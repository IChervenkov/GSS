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00" tabRatio="787" activeTab="4"/>
  </bookViews>
  <sheets>
    <sheet name="Data Keys" sheetId="37" r:id="rId1"/>
    <sheet name="All" sheetId="16" r:id="rId2"/>
    <sheet name="Notes" sheetId="20" r:id="rId3"/>
    <sheet name="Data" sheetId="25" r:id="rId4"/>
    <sheet name="MEAL CARD" sheetId="39" r:id="rId5"/>
    <sheet name="Sheet2" sheetId="38" r:id="rId6"/>
    <sheet name="Sheet1" sheetId="36" r:id="rId7"/>
    <sheet name="27" sheetId="8" r:id="rId8"/>
    <sheet name="28" sheetId="26" r:id="rId9"/>
    <sheet name="29" sheetId="27" r:id="rId10"/>
    <sheet name="30" sheetId="28" r:id="rId11"/>
    <sheet name="31" sheetId="29" r:id="rId12"/>
    <sheet name="32" sheetId="7" r:id="rId13"/>
    <sheet name="33" sheetId="31" r:id="rId14"/>
    <sheet name="34" sheetId="33" r:id="rId15"/>
    <sheet name="35" sheetId="34" r:id="rId16"/>
    <sheet name="36" sheetId="35" r:id="rId17"/>
    <sheet name="Sort-Keys" sheetId="21" r:id="rId18"/>
    <sheet name="Accommodation buildings" sheetId="2" r:id="rId19"/>
  </sheets>
  <definedNames>
    <definedName name="_xlnm._FilterDatabase" localSheetId="0" hidden="1">'Data Keys'!$A$1:$L$1437</definedName>
    <definedName name="_xlnm._FilterDatabase" localSheetId="3" hidden="1">Data!$A$1:$L$1425</definedName>
    <definedName name="_xlnm._FilterDatabase" localSheetId="4" hidden="1">'MEAL CARD'!$A$2:$E$531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trampi 2</author>
  </authors>
  <commentList>
    <comment ref="L4" authorId="0">
      <text>
        <r>
          <rPr>
            <b/>
            <sz val="9"/>
            <rFont val="Tahoma"/>
            <charset val="204"/>
          </rPr>
          <t>Rooms with 1 bed</t>
        </r>
      </text>
    </comment>
    <comment ref="M4" authorId="0">
      <text>
        <r>
          <rPr>
            <b/>
            <sz val="9"/>
            <rFont val="Tahoma"/>
            <charset val="204"/>
          </rPr>
          <t>Rooms with 2 beds</t>
        </r>
      </text>
    </comment>
    <comment ref="O4" authorId="0">
      <text>
        <r>
          <rPr>
            <b/>
            <sz val="9"/>
            <rFont val="Tahoma"/>
            <charset val="204"/>
          </rPr>
          <t>Rooms with 3 beds</t>
        </r>
      </text>
    </comment>
    <comment ref="L5" authorId="0">
      <text>
        <r>
          <rPr>
            <b/>
            <sz val="9"/>
            <rFont val="Tahoma"/>
            <charset val="204"/>
          </rPr>
          <t>Beds</t>
        </r>
      </text>
    </comment>
    <comment ref="O5" authorId="0">
      <text>
        <r>
          <rPr>
            <b/>
            <sz val="9"/>
            <rFont val="Tahoma"/>
            <charset val="204"/>
          </rPr>
          <t>All rooms with beds</t>
        </r>
      </text>
    </comment>
  </commentList>
</comments>
</file>

<file path=xl/comments2.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comments3.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comments4.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comments5.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comments6.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comments7.xml><?xml version="1.0" encoding="utf-8"?>
<comments xmlns="http://schemas.openxmlformats.org/spreadsheetml/2006/main">
  <authors>
    <author>trampi 2</author>
  </authors>
  <commentList>
    <comment ref="V4" authorId="0">
      <text>
        <r>
          <rPr>
            <b/>
            <sz val="9"/>
            <rFont val="Tahoma"/>
            <charset val="204"/>
          </rPr>
          <t>Rooms with 1 bed</t>
        </r>
      </text>
    </comment>
    <comment ref="W4" authorId="0">
      <text>
        <r>
          <rPr>
            <b/>
            <sz val="9"/>
            <rFont val="Tahoma"/>
            <charset val="204"/>
          </rPr>
          <t>Rooms with 2 beds</t>
        </r>
      </text>
    </comment>
    <comment ref="X4" authorId="0">
      <text>
        <r>
          <rPr>
            <b/>
            <sz val="9"/>
            <rFont val="Tahoma"/>
            <charset val="204"/>
          </rPr>
          <t>Rooms with 3 beds</t>
        </r>
      </text>
    </comment>
    <comment ref="V5" authorId="0">
      <text>
        <r>
          <rPr>
            <b/>
            <sz val="9"/>
            <rFont val="Tahoma"/>
            <charset val="204"/>
          </rPr>
          <t>Beds</t>
        </r>
      </text>
    </comment>
  </commentList>
</comments>
</file>

<file path=xl/comments8.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comments9.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comments10.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comments11.xml><?xml version="1.0" encoding="utf-8"?>
<comments xmlns="http://schemas.openxmlformats.org/spreadsheetml/2006/main">
  <authors>
    <author>trampi 2</author>
  </authors>
  <commentList>
    <comment ref="U4" authorId="0">
      <text>
        <r>
          <rPr>
            <b/>
            <sz val="9"/>
            <rFont val="Tahoma"/>
            <charset val="204"/>
          </rPr>
          <t>Rooms with 1 bed</t>
        </r>
      </text>
    </comment>
    <comment ref="V4" authorId="0">
      <text>
        <r>
          <rPr>
            <b/>
            <sz val="9"/>
            <rFont val="Tahoma"/>
            <charset val="204"/>
          </rPr>
          <t>Rooms with 2 beds</t>
        </r>
      </text>
    </comment>
    <comment ref="W4" authorId="0">
      <text>
        <r>
          <rPr>
            <b/>
            <sz val="9"/>
            <rFont val="Tahoma"/>
            <charset val="204"/>
          </rPr>
          <t>Rooms with 3 beds</t>
        </r>
      </text>
    </comment>
    <comment ref="U5" authorId="0">
      <text>
        <r>
          <rPr>
            <b/>
            <sz val="9"/>
            <rFont val="Tahoma"/>
            <charset val="204"/>
          </rPr>
          <t>Beds</t>
        </r>
      </text>
    </comment>
    <comment ref="W5" authorId="0">
      <text>
        <r>
          <rPr>
            <b/>
            <sz val="9"/>
            <rFont val="Tahoma"/>
            <charset val="204"/>
          </rPr>
          <t>All rooms with beds</t>
        </r>
      </text>
    </comment>
  </commentList>
</comments>
</file>

<file path=xl/sharedStrings.xml><?xml version="1.0" encoding="utf-8"?>
<sst xmlns="http://schemas.openxmlformats.org/spreadsheetml/2006/main" count="33573" uniqueCount="8027">
  <si>
    <t>Name</t>
  </si>
  <si>
    <t>Code</t>
  </si>
  <si>
    <t>User</t>
  </si>
  <si>
    <t>Serial Number</t>
  </si>
  <si>
    <t>Location</t>
  </si>
  <si>
    <t>ADDITIONAL KEYS GIVEN</t>
  </si>
  <si>
    <t>MC</t>
  </si>
  <si>
    <t>Laundry Tag</t>
  </si>
  <si>
    <t>27/1/E1/1</t>
  </si>
  <si>
    <t>6483CE93</t>
  </si>
  <si>
    <t>sadmin</t>
  </si>
  <si>
    <t>key</t>
  </si>
  <si>
    <t>Accommodation Keys</t>
  </si>
  <si>
    <t>452127 Sebastian</t>
  </si>
  <si>
    <t>Bag 0189</t>
  </si>
  <si>
    <t>Laundry Bags in Use</t>
  </si>
  <si>
    <t>27/1/E1/2</t>
  </si>
  <si>
    <t>D4F4CC93</t>
  </si>
  <si>
    <t>Bag 0824</t>
  </si>
  <si>
    <t>Unreceived Bags</t>
  </si>
  <si>
    <t>27/1/E1/3</t>
  </si>
  <si>
    <t>B40DED93</t>
  </si>
  <si>
    <t>506372 Magnus</t>
  </si>
  <si>
    <t>Bag 0447</t>
  </si>
  <si>
    <t>27/1/E2/1</t>
  </si>
  <si>
    <t>14E0DB93</t>
  </si>
  <si>
    <t>472536 Alexander</t>
  </si>
  <si>
    <t>Bag 0455</t>
  </si>
  <si>
    <t>27/1/E2/2</t>
  </si>
  <si>
    <t>2413CD93</t>
  </si>
  <si>
    <t>508884 Jes</t>
  </si>
  <si>
    <t>Bag 0232</t>
  </si>
  <si>
    <t>27/1/E2/3</t>
  </si>
  <si>
    <t>74D8DF93</t>
  </si>
  <si>
    <t>410103 Kasper</t>
  </si>
  <si>
    <t>Bag 0615</t>
  </si>
  <si>
    <t>27/101/1</t>
  </si>
  <si>
    <t>C487F493</t>
  </si>
  <si>
    <t>99901 Richard</t>
  </si>
  <si>
    <t>393712 Peter</t>
  </si>
  <si>
    <t>Bag 0620</t>
  </si>
  <si>
    <t>32/205/1</t>
  </si>
  <si>
    <t>D47FDD93</t>
  </si>
  <si>
    <t>167039 Jesper</t>
  </si>
  <si>
    <t>0368</t>
  </si>
  <si>
    <t>27/101/2</t>
  </si>
  <si>
    <t>743DE893</t>
  </si>
  <si>
    <t>534522 Michael</t>
  </si>
  <si>
    <t>Bag 0641</t>
  </si>
  <si>
    <t>399105 Chris</t>
  </si>
  <si>
    <t>27/101/3</t>
  </si>
  <si>
    <t>A473CD93</t>
  </si>
  <si>
    <t>Bag 0305</t>
  </si>
  <si>
    <t>Laundry Bags Depot</t>
  </si>
  <si>
    <t>443003 Jesper</t>
  </si>
  <si>
    <t>27/102/1</t>
  </si>
  <si>
    <t>A435E293</t>
  </si>
  <si>
    <t>99903 Hakan</t>
  </si>
  <si>
    <t>439367 Malthe</t>
  </si>
  <si>
    <t>Bag 0724</t>
  </si>
  <si>
    <t>32/206/1</t>
  </si>
  <si>
    <t>B4E2D093</t>
  </si>
  <si>
    <t>27/102/2</t>
  </si>
  <si>
    <t>478336 Johannes</t>
  </si>
  <si>
    <t>Bag 0059</t>
  </si>
  <si>
    <t>27/102/3</t>
  </si>
  <si>
    <t>64E1D593</t>
  </si>
  <si>
    <t>Bag 0394</t>
  </si>
  <si>
    <t>27/103/1</t>
  </si>
  <si>
    <t>E4464694</t>
  </si>
  <si>
    <t>99905 Torbjorn</t>
  </si>
  <si>
    <t>307201 Yoan</t>
  </si>
  <si>
    <t>Bag 0909</t>
  </si>
  <si>
    <t>32/207/1</t>
  </si>
  <si>
    <t>64D0D393</t>
  </si>
  <si>
    <t>27/103/2</t>
  </si>
  <si>
    <t>3416CF93</t>
  </si>
  <si>
    <t>Bag 0838</t>
  </si>
  <si>
    <t>27/103/3</t>
  </si>
  <si>
    <t>C456E093</t>
  </si>
  <si>
    <t>193022 Claus</t>
  </si>
  <si>
    <t>Bag 0974</t>
  </si>
  <si>
    <t>27/104/1</t>
  </si>
  <si>
    <t>44A5E293</t>
  </si>
  <si>
    <t>99907 Kateryna</t>
  </si>
  <si>
    <t>194935 Karsten</t>
  </si>
  <si>
    <t>Bag 0047</t>
  </si>
  <si>
    <t>32/215/1</t>
  </si>
  <si>
    <t>1455E193</t>
  </si>
  <si>
    <t>500640 Philip</t>
  </si>
  <si>
    <t>27/104/2</t>
  </si>
  <si>
    <t>B4B14194</t>
  </si>
  <si>
    <t>397279 Jesper</t>
  </si>
  <si>
    <t>Bag 0545</t>
  </si>
  <si>
    <t>27/104/3</t>
  </si>
  <si>
    <t>140DF093</t>
  </si>
  <si>
    <t>Bag 0847</t>
  </si>
  <si>
    <t>27/105/1</t>
  </si>
  <si>
    <t>A427D093</t>
  </si>
  <si>
    <t>99909 Bjorn</t>
  </si>
  <si>
    <t>511788 Ghislain</t>
  </si>
  <si>
    <t>Bag 1011</t>
  </si>
  <si>
    <t>32/208/1</t>
  </si>
  <si>
    <t>E4454794</t>
  </si>
  <si>
    <t>514113 Abdul</t>
  </si>
  <si>
    <t>27/105/2</t>
  </si>
  <si>
    <t>Bag 0848</t>
  </si>
  <si>
    <t>27/105/3</t>
  </si>
  <si>
    <t>248DE193</t>
  </si>
  <si>
    <t>431628 Marc</t>
  </si>
  <si>
    <t>Bag 1000</t>
  </si>
  <si>
    <t>27/106/1</t>
  </si>
  <si>
    <t>842FE293</t>
  </si>
  <si>
    <t>99911 Bjorn</t>
  </si>
  <si>
    <t>494353 Mikkel</t>
  </si>
  <si>
    <t>Bag 0768</t>
  </si>
  <si>
    <t>27/106/2</t>
  </si>
  <si>
    <t>84B5D293</t>
  </si>
  <si>
    <t>495997 Sandra</t>
  </si>
  <si>
    <t>Bag 1104</t>
  </si>
  <si>
    <t>27/106/3</t>
  </si>
  <si>
    <t>A4F5DC93</t>
  </si>
  <si>
    <t>495475 Stefan</t>
  </si>
  <si>
    <t>Bag 1024</t>
  </si>
  <si>
    <t>27/107/1</t>
  </si>
  <si>
    <t>747ECC93</t>
  </si>
  <si>
    <t>99913 Ida</t>
  </si>
  <si>
    <t>456552 Oliver</t>
  </si>
  <si>
    <t>Bag 0513</t>
  </si>
  <si>
    <t>27/107/2</t>
  </si>
  <si>
    <t>44C74594</t>
  </si>
  <si>
    <t>303575 Rasmus</t>
  </si>
  <si>
    <t>Bag 0243</t>
  </si>
  <si>
    <t>27/107/3</t>
  </si>
  <si>
    <t>746FE193</t>
  </si>
  <si>
    <t>197679 Niels Erik</t>
  </si>
  <si>
    <t>Bag 0674</t>
  </si>
  <si>
    <t>27/108/1</t>
  </si>
  <si>
    <t>944FE193</t>
  </si>
  <si>
    <t>99914 Maria</t>
  </si>
  <si>
    <t>171119 Olivier</t>
  </si>
  <si>
    <t>Bag 0820</t>
  </si>
  <si>
    <t>27/108/2</t>
  </si>
  <si>
    <t>34DCEE93</t>
  </si>
  <si>
    <t>485435 Micki</t>
  </si>
  <si>
    <t>Bag 0654</t>
  </si>
  <si>
    <t>27/108/3</t>
  </si>
  <si>
    <t>04EED593</t>
  </si>
  <si>
    <t>456401 Patrick</t>
  </si>
  <si>
    <t>Bag 0740</t>
  </si>
  <si>
    <t>27/109/1</t>
  </si>
  <si>
    <t>E46BD893</t>
  </si>
  <si>
    <t>99915 Rickard</t>
  </si>
  <si>
    <t>Bag 0822</t>
  </si>
  <si>
    <t>27/109/2</t>
  </si>
  <si>
    <t>04D23B94</t>
  </si>
  <si>
    <t>459106 Daniel</t>
  </si>
  <si>
    <t>Bag 0015</t>
  </si>
  <si>
    <t>27/109/3</t>
  </si>
  <si>
    <t>3484F493</t>
  </si>
  <si>
    <t>509424 Emil</t>
  </si>
  <si>
    <t>Bag 0084</t>
  </si>
  <si>
    <t>27/110/1</t>
  </si>
  <si>
    <t>6454CB93</t>
  </si>
  <si>
    <t>99917 Patrik</t>
  </si>
  <si>
    <t>Bag 0454</t>
  </si>
  <si>
    <t>27/110/2</t>
  </si>
  <si>
    <t>D4BD3794</t>
  </si>
  <si>
    <t>Bag 0357</t>
  </si>
  <si>
    <t>27/110/3</t>
  </si>
  <si>
    <t>94D2E493</t>
  </si>
  <si>
    <t>Bag 0381</t>
  </si>
  <si>
    <t>27/111/1</t>
  </si>
  <si>
    <t>D4763894</t>
  </si>
  <si>
    <t>99919 Jimmy</t>
  </si>
  <si>
    <t>Bag 0063</t>
  </si>
  <si>
    <t>27/111/2</t>
  </si>
  <si>
    <t>E42AE193</t>
  </si>
  <si>
    <t>425459 Mads</t>
  </si>
  <si>
    <t>Bag 0885</t>
  </si>
  <si>
    <t>27/111/3</t>
  </si>
  <si>
    <t>6449F493</t>
  </si>
  <si>
    <t>501115 Villads</t>
  </si>
  <si>
    <t>Bag 0696</t>
  </si>
  <si>
    <t>27/112/1</t>
  </si>
  <si>
    <t>B4173A94</t>
  </si>
  <si>
    <t>99920 Adam</t>
  </si>
  <si>
    <t>669595 Jonathan</t>
  </si>
  <si>
    <t>Bag 1046</t>
  </si>
  <si>
    <t>27/112/2</t>
  </si>
  <si>
    <t>3486EA93</t>
  </si>
  <si>
    <t>505536 Christian</t>
  </si>
  <si>
    <t>Bag 0404</t>
  </si>
  <si>
    <t>27/112/3</t>
  </si>
  <si>
    <t>B4ADEC93</t>
  </si>
  <si>
    <t>Bag 0626</t>
  </si>
  <si>
    <t>27/113/1</t>
  </si>
  <si>
    <t>44254194</t>
  </si>
  <si>
    <t>99918 Jacob</t>
  </si>
  <si>
    <t>229537 Soren</t>
  </si>
  <si>
    <t>Bag 0161</t>
  </si>
  <si>
    <t>27/113/2</t>
  </si>
  <si>
    <t>54A0F093</t>
  </si>
  <si>
    <t>500801 Rasmus</t>
  </si>
  <si>
    <t>Bag 1186</t>
  </si>
  <si>
    <t>27/113/3</t>
  </si>
  <si>
    <t>B4AFE193</t>
  </si>
  <si>
    <t>424712 Nicholaj</t>
  </si>
  <si>
    <t>Bag 0273</t>
  </si>
  <si>
    <t>27/114/1</t>
  </si>
  <si>
    <t>3477F493</t>
  </si>
  <si>
    <t>99916 Johan</t>
  </si>
  <si>
    <t>508348 Oscar</t>
  </si>
  <si>
    <t>Bag 0134</t>
  </si>
  <si>
    <t>27/114/2</t>
  </si>
  <si>
    <t>041CD093</t>
  </si>
  <si>
    <t>514411 Alan</t>
  </si>
  <si>
    <t>Bag 0452</t>
  </si>
  <si>
    <t>27/114/3</t>
  </si>
  <si>
    <t>549EF093</t>
  </si>
  <si>
    <t>373817 Andreas</t>
  </si>
  <si>
    <t>Bag 0590</t>
  </si>
  <si>
    <t>27/115/1</t>
  </si>
  <si>
    <t>F4CD3A94</t>
  </si>
  <si>
    <t>99912 Peter</t>
  </si>
  <si>
    <t>507538 Victor</t>
  </si>
  <si>
    <t>Bag 0023</t>
  </si>
  <si>
    <t>27/115/2</t>
  </si>
  <si>
    <t>5463EB93</t>
  </si>
  <si>
    <t>501406 Rasmus</t>
  </si>
  <si>
    <t>Bag 0698</t>
  </si>
  <si>
    <t>27/115/3</t>
  </si>
  <si>
    <t>2409F093</t>
  </si>
  <si>
    <t>493372 Marco</t>
  </si>
  <si>
    <t>Bag 0234</t>
  </si>
  <si>
    <t>27/116/1</t>
  </si>
  <si>
    <t>F413D093</t>
  </si>
  <si>
    <t>99910 Roger</t>
  </si>
  <si>
    <t>473689 Viktor</t>
  </si>
  <si>
    <t>Bag 1115</t>
  </si>
  <si>
    <t>27/116/2</t>
  </si>
  <si>
    <t>34F7E493</t>
  </si>
  <si>
    <t>483759 Richard</t>
  </si>
  <si>
    <t>Bag 0786</t>
  </si>
  <si>
    <t>27/116/3</t>
  </si>
  <si>
    <t>492162 Emil</t>
  </si>
  <si>
    <t>Bag 0504</t>
  </si>
  <si>
    <t>27/117/1</t>
  </si>
  <si>
    <t>046C3894</t>
  </si>
  <si>
    <t>99908 Frida</t>
  </si>
  <si>
    <t>202347 Danni</t>
  </si>
  <si>
    <t>Bag 0916</t>
  </si>
  <si>
    <t>27/117/2</t>
  </si>
  <si>
    <t>94D1E293</t>
  </si>
  <si>
    <t>Bag 0318</t>
  </si>
  <si>
    <t>27/117/3</t>
  </si>
  <si>
    <t>F443DE93</t>
  </si>
  <si>
    <t>Bag 1066</t>
  </si>
  <si>
    <t>27/118/1</t>
  </si>
  <si>
    <t>B4B2E193</t>
  </si>
  <si>
    <t>99906 Christoffer</t>
  </si>
  <si>
    <t>469660 Alexander</t>
  </si>
  <si>
    <t>Bag 0925</t>
  </si>
  <si>
    <t>27/118/2</t>
  </si>
  <si>
    <t>040DCB93</t>
  </si>
  <si>
    <t>492840 Pauline</t>
  </si>
  <si>
    <t>Bag 0923</t>
  </si>
  <si>
    <t>27/118/3</t>
  </si>
  <si>
    <t>2408E193</t>
  </si>
  <si>
    <t>495752 Lukas</t>
  </si>
  <si>
    <t>Bag 0650</t>
  </si>
  <si>
    <t>27/119/1</t>
  </si>
  <si>
    <t>54A0F193</t>
  </si>
  <si>
    <t>99904 Philip</t>
  </si>
  <si>
    <t>498325 Luke</t>
  </si>
  <si>
    <t>Bag 0509</t>
  </si>
  <si>
    <t>27/119/2</t>
  </si>
  <si>
    <t>B459D393</t>
  </si>
  <si>
    <t>023055 Eric</t>
  </si>
  <si>
    <t>Bag 1051</t>
  </si>
  <si>
    <t>27/119/3</t>
  </si>
  <si>
    <t>640EE093</t>
  </si>
  <si>
    <t>465035 Andreas</t>
  </si>
  <si>
    <t>Bag 1084</t>
  </si>
  <si>
    <t>27/120/1</t>
  </si>
  <si>
    <t>74A5E293</t>
  </si>
  <si>
    <t>99902 Peter</t>
  </si>
  <si>
    <t>Bag 0424</t>
  </si>
  <si>
    <t>27/120/2</t>
  </si>
  <si>
    <t>14EDDD93</t>
  </si>
  <si>
    <t>410797 Christian</t>
  </si>
  <si>
    <t>Bag 0044</t>
  </si>
  <si>
    <t>27/120/3</t>
  </si>
  <si>
    <t>4492E593</t>
  </si>
  <si>
    <t>301281 Scott</t>
  </si>
  <si>
    <t>Bag 1150</t>
  </si>
  <si>
    <t>1150</t>
  </si>
  <si>
    <t>27/2/E1/1</t>
  </si>
  <si>
    <t>94914494</t>
  </si>
  <si>
    <t>473040 Bastien</t>
  </si>
  <si>
    <t>Bag 1200</t>
  </si>
  <si>
    <t>1200</t>
  </si>
  <si>
    <t>27/2/E1/2</t>
  </si>
  <si>
    <t>940ACF93</t>
  </si>
  <si>
    <t>486075 Anton</t>
  </si>
  <si>
    <t>Bag 0895</t>
  </si>
  <si>
    <t>895</t>
  </si>
  <si>
    <t>27/2/E1/3</t>
  </si>
  <si>
    <t>5433E293</t>
  </si>
  <si>
    <t>971109 Thomas</t>
  </si>
  <si>
    <t>Bag 0803</t>
  </si>
  <si>
    <t>803</t>
  </si>
  <si>
    <t>27/2/E2/1</t>
  </si>
  <si>
    <t>D41A4494</t>
  </si>
  <si>
    <t>519406 Samuel</t>
  </si>
  <si>
    <t>Bag 0152</t>
  </si>
  <si>
    <t>152</t>
  </si>
  <si>
    <t>27/2/E2/2</t>
  </si>
  <si>
    <t>B4AFEC93</t>
  </si>
  <si>
    <t>224340 René</t>
  </si>
  <si>
    <t>Bag 0035</t>
  </si>
  <si>
    <t>35</t>
  </si>
  <si>
    <t>27/2/E2/3</t>
  </si>
  <si>
    <t>84694694</t>
  </si>
  <si>
    <t>Bag 0350</t>
  </si>
  <si>
    <t>350</t>
  </si>
  <si>
    <t>27/201/1</t>
  </si>
  <si>
    <t>9453E693</t>
  </si>
  <si>
    <t>99921 Elin</t>
  </si>
  <si>
    <t>497202 Cecilie</t>
  </si>
  <si>
    <t>Bag 0728</t>
  </si>
  <si>
    <t>728</t>
  </si>
  <si>
    <t>27/201/2</t>
  </si>
  <si>
    <t>649AF193</t>
  </si>
  <si>
    <t>497124 Kasper</t>
  </si>
  <si>
    <t>Bag 0011</t>
  </si>
  <si>
    <t>11</t>
  </si>
  <si>
    <t>27/201/3</t>
  </si>
  <si>
    <t>44BDCA93</t>
  </si>
  <si>
    <t>544064 Alexandre</t>
  </si>
  <si>
    <t>Bag 0514</t>
  </si>
  <si>
    <t>514</t>
  </si>
  <si>
    <t>27/202/1</t>
  </si>
  <si>
    <t>84D9E893</t>
  </si>
  <si>
    <t>99923 William</t>
  </si>
  <si>
    <t>Bag 0349</t>
  </si>
  <si>
    <t>349</t>
  </si>
  <si>
    <t>27/202/2</t>
  </si>
  <si>
    <t>544AF293</t>
  </si>
  <si>
    <t>490977 Christoffer</t>
  </si>
  <si>
    <t>Bag 0866</t>
  </si>
  <si>
    <t>866</t>
  </si>
  <si>
    <t>27/202/3</t>
  </si>
  <si>
    <t>C4C2E793</t>
  </si>
  <si>
    <t>496720 Mark</t>
  </si>
  <si>
    <t>Bag 1167</t>
  </si>
  <si>
    <t>1167</t>
  </si>
  <si>
    <t>27/203/1</t>
  </si>
  <si>
    <t>F4FADE93</t>
  </si>
  <si>
    <t>99932 Elin</t>
  </si>
  <si>
    <t>370004 Christopher</t>
  </si>
  <si>
    <t>Bag 1030</t>
  </si>
  <si>
    <t>1030</t>
  </si>
  <si>
    <t>27/203/2</t>
  </si>
  <si>
    <t>7487E393</t>
  </si>
  <si>
    <t>99933 Julia</t>
  </si>
  <si>
    <t>040874 Dylan</t>
  </si>
  <si>
    <t>Bag 1157</t>
  </si>
  <si>
    <t>1157</t>
  </si>
  <si>
    <t>Laundry Transportation</t>
  </si>
  <si>
    <t>27/203/3</t>
  </si>
  <si>
    <t>B4F8E493</t>
  </si>
  <si>
    <t>486003 Søren</t>
  </si>
  <si>
    <t>Bag 0530</t>
  </si>
  <si>
    <t>530</t>
  </si>
  <si>
    <t>27/204/1</t>
  </si>
  <si>
    <t>0479F493</t>
  </si>
  <si>
    <t>99936 Eric</t>
  </si>
  <si>
    <t>411408 Søren</t>
  </si>
  <si>
    <t>Bag 0125</t>
  </si>
  <si>
    <t>125</t>
  </si>
  <si>
    <t>04B6F493</t>
  </si>
  <si>
    <t>27/204/2</t>
  </si>
  <si>
    <t>99937 Maria</t>
  </si>
  <si>
    <t>496672 Lucas</t>
  </si>
  <si>
    <t>Bag 1099</t>
  </si>
  <si>
    <t>1099</t>
  </si>
  <si>
    <t>27/204/3</t>
  </si>
  <si>
    <t>D4C6F293</t>
  </si>
  <si>
    <t>481627 Paprika</t>
  </si>
  <si>
    <t>Bag 1130</t>
  </si>
  <si>
    <t>1130</t>
  </si>
  <si>
    <t>27/205/1</t>
  </si>
  <si>
    <t>049BE493</t>
  </si>
  <si>
    <t>99948 Rebecca B 13/1-20/1 Guest</t>
  </si>
  <si>
    <t>513520 Kasper</t>
  </si>
  <si>
    <t>Bag 1175</t>
  </si>
  <si>
    <t>1175</t>
  </si>
  <si>
    <t>27/205/2</t>
  </si>
  <si>
    <t>C416CC93</t>
  </si>
  <si>
    <t>99949 Cassandra B 13/1-20/1 Guest</t>
  </si>
  <si>
    <t>501415 Malthe</t>
  </si>
  <si>
    <t>Bag 0290</t>
  </si>
  <si>
    <t>290</t>
  </si>
  <si>
    <t>27/205/3</t>
  </si>
  <si>
    <t>9455E693</t>
  </si>
  <si>
    <t>508766 Bertram</t>
  </si>
  <si>
    <t>Bag 1169</t>
  </si>
  <si>
    <t>1169</t>
  </si>
  <si>
    <t>27/206/1</t>
  </si>
  <si>
    <t>9443F493</t>
  </si>
  <si>
    <t>99950 Daniel J 13/1-20/1 Guest</t>
  </si>
  <si>
    <t>213926 Michael</t>
  </si>
  <si>
    <t>Bag 0240</t>
  </si>
  <si>
    <t>240</t>
  </si>
  <si>
    <t>Laundry Drop Off</t>
  </si>
  <si>
    <t>27/206/2</t>
  </si>
  <si>
    <t>7483E393</t>
  </si>
  <si>
    <t>177841 Jens</t>
  </si>
  <si>
    <t>Bag 0165</t>
  </si>
  <si>
    <t>165</t>
  </si>
  <si>
    <t>27/206/3</t>
  </si>
  <si>
    <t>24E1E393</t>
  </si>
  <si>
    <t>693439 Andrew</t>
  </si>
  <si>
    <t>Bag 0670</t>
  </si>
  <si>
    <t>670</t>
  </si>
  <si>
    <t>27/207/1</t>
  </si>
  <si>
    <t>D426E393</t>
  </si>
  <si>
    <t xml:space="preserve"> 99951 Anton.W 13/1-20/1 Guest</t>
  </si>
  <si>
    <t>486517 Benjamin</t>
  </si>
  <si>
    <t>Bag 0647</t>
  </si>
  <si>
    <t>647</t>
  </si>
  <si>
    <t>27/207/2</t>
  </si>
  <si>
    <t>242BCC93</t>
  </si>
  <si>
    <t>477832 Kristoffer</t>
  </si>
  <si>
    <t>Bag 0418</t>
  </si>
  <si>
    <t>418</t>
  </si>
  <si>
    <t>27/207/3</t>
  </si>
  <si>
    <t>145DE393</t>
  </si>
  <si>
    <t>219455 Kenneth</t>
  </si>
  <si>
    <t>Bag 0976</t>
  </si>
  <si>
    <t>976</t>
  </si>
  <si>
    <t>27/208/1</t>
  </si>
  <si>
    <t>2488EA93</t>
  </si>
  <si>
    <t>99952 Isac A 13/1-20/1 Guest</t>
  </si>
  <si>
    <t>Bag 0261</t>
  </si>
  <si>
    <t>261</t>
  </si>
  <si>
    <t>LOST ITEMS</t>
  </si>
  <si>
    <t>27/208/2</t>
  </si>
  <si>
    <t>9432EB93</t>
  </si>
  <si>
    <t>99953 Liam B 13/1-20/1 Guest</t>
  </si>
  <si>
    <t>Bag 0343</t>
  </si>
  <si>
    <t>343</t>
  </si>
  <si>
    <t>27/208/3</t>
  </si>
  <si>
    <t>148FE193</t>
  </si>
  <si>
    <t>Bag 0048</t>
  </si>
  <si>
    <t>48</t>
  </si>
  <si>
    <t>27/209/1</t>
  </si>
  <si>
    <t>8445E593</t>
  </si>
  <si>
    <t>99954 Axel D 13/1-20/1 Guest</t>
  </si>
  <si>
    <t>469354 Jacob</t>
  </si>
  <si>
    <t>Bag 0027</t>
  </si>
  <si>
    <t>27</t>
  </si>
  <si>
    <t>27/209/2</t>
  </si>
  <si>
    <t>240AE193</t>
  </si>
  <si>
    <t>99955 Viktor L 13/1-20/1 Guest</t>
  </si>
  <si>
    <t>222374 Nils</t>
  </si>
  <si>
    <t>Bag 0587</t>
  </si>
  <si>
    <t>587</t>
  </si>
  <si>
    <t>27/209/3</t>
  </si>
  <si>
    <t>248AEA93</t>
  </si>
  <si>
    <t>466321 Niclas</t>
  </si>
  <si>
    <t>Bag 0906</t>
  </si>
  <si>
    <t>906</t>
  </si>
  <si>
    <t>27/210/1</t>
  </si>
  <si>
    <t>C44DE193</t>
  </si>
  <si>
    <t>99956 Albin A 13/1-20/1 Guest</t>
  </si>
  <si>
    <t>481705 Mathias</t>
  </si>
  <si>
    <t>Bag 1187</t>
  </si>
  <si>
    <t>1187</t>
  </si>
  <si>
    <t>27/210/2</t>
  </si>
  <si>
    <t>C449E493</t>
  </si>
  <si>
    <t>99957 Alfons B 13/1-20/1 Guest</t>
  </si>
  <si>
    <t>Bag 0636</t>
  </si>
  <si>
    <t>636</t>
  </si>
  <si>
    <t>27/210/3</t>
  </si>
  <si>
    <t>144BF193</t>
  </si>
  <si>
    <t>198788 Søren</t>
  </si>
  <si>
    <t>Bag 0215</t>
  </si>
  <si>
    <t>215</t>
  </si>
  <si>
    <t>27/211/1</t>
  </si>
  <si>
    <t>D4E9DA93</t>
  </si>
  <si>
    <t>99958 Sam F 13/1-20/1 Guest</t>
  </si>
  <si>
    <t>Bag 0553</t>
  </si>
  <si>
    <t>553</t>
  </si>
  <si>
    <t>27/211/2</t>
  </si>
  <si>
    <t>F483E593</t>
  </si>
  <si>
    <t>486934 Louise</t>
  </si>
  <si>
    <t>Bag 0921</t>
  </si>
  <si>
    <t>921</t>
  </si>
  <si>
    <t>27/211/3</t>
  </si>
  <si>
    <t>F4A8F493</t>
  </si>
  <si>
    <t>500852 Jeppe</t>
  </si>
  <si>
    <t>Bag 0448</t>
  </si>
  <si>
    <t>448</t>
  </si>
  <si>
    <t>27/212/1</t>
  </si>
  <si>
    <t>141FF293</t>
  </si>
  <si>
    <t>496380 Astrid</t>
  </si>
  <si>
    <t>Bag 0957</t>
  </si>
  <si>
    <t>957</t>
  </si>
  <si>
    <t>27/212/2</t>
  </si>
  <si>
    <t>B41AF193</t>
  </si>
  <si>
    <t>492346 Michael</t>
  </si>
  <si>
    <t>Bag 0133</t>
  </si>
  <si>
    <t>27/212/3</t>
  </si>
  <si>
    <t>1429E293</t>
  </si>
  <si>
    <t>464936 Emil</t>
  </si>
  <si>
    <t>Bag 1126</t>
  </si>
  <si>
    <t>1126</t>
  </si>
  <si>
    <t>27/213/1</t>
  </si>
  <si>
    <t>0450E293</t>
  </si>
  <si>
    <t>99946 Otto B 13/1-20/1 Guest</t>
  </si>
  <si>
    <t>454269 Johnny</t>
  </si>
  <si>
    <t>Bag 0623</t>
  </si>
  <si>
    <t>623</t>
  </si>
  <si>
    <t>27/213/2</t>
  </si>
  <si>
    <t>8489F493</t>
  </si>
  <si>
    <t>99947 Vilhelm V 13/1-20/1 Guest</t>
  </si>
  <si>
    <t>Bag 0351</t>
  </si>
  <si>
    <t>351</t>
  </si>
  <si>
    <t>27/213/3</t>
  </si>
  <si>
    <t>34B1E293</t>
  </si>
  <si>
    <t>514024 Magnus</t>
  </si>
  <si>
    <t>Bag 0104</t>
  </si>
  <si>
    <t>27/214/1</t>
  </si>
  <si>
    <t>C47BE393</t>
  </si>
  <si>
    <t>99944 Emil A 13/1-20/1 Guest</t>
  </si>
  <si>
    <t>181283 Lars</t>
  </si>
  <si>
    <t>Bag 1028</t>
  </si>
  <si>
    <t>1028</t>
  </si>
  <si>
    <t>27/214/2</t>
  </si>
  <si>
    <t>E443DB93</t>
  </si>
  <si>
    <t>99945 Hugo B 13/1-20/1 Guest</t>
  </si>
  <si>
    <t>Bag 0347</t>
  </si>
  <si>
    <t>347</t>
  </si>
  <si>
    <t>27/214/3</t>
  </si>
  <si>
    <t>7429F493</t>
  </si>
  <si>
    <t>155205 Jesper</t>
  </si>
  <si>
    <t>Bag 0975</t>
  </si>
  <si>
    <t>975</t>
  </si>
  <si>
    <t>27/215/1</t>
  </si>
  <si>
    <t>8447DE93</t>
  </si>
  <si>
    <t>99942 Lydiana B 13/1-20/1 Guest</t>
  </si>
  <si>
    <t>503410 Lasse</t>
  </si>
  <si>
    <t>Bag 0671</t>
  </si>
  <si>
    <t>671</t>
  </si>
  <si>
    <t>27/215/2</t>
  </si>
  <si>
    <t>84A5D793</t>
  </si>
  <si>
    <t>99943 Isabelle S 13/1-20/1 Guest</t>
  </si>
  <si>
    <t>477301 Frederik</t>
  </si>
  <si>
    <t>Bag 0205</t>
  </si>
  <si>
    <t>205</t>
  </si>
  <si>
    <t>27/215/3</t>
  </si>
  <si>
    <t>4490E593</t>
  </si>
  <si>
    <t>496832 Magnus</t>
  </si>
  <si>
    <t>Bag 0692</t>
  </si>
  <si>
    <t>692</t>
  </si>
  <si>
    <t>27/216/2</t>
  </si>
  <si>
    <t>E4ACD693</t>
  </si>
  <si>
    <t>Bag 0802</t>
  </si>
  <si>
    <t>802</t>
  </si>
  <si>
    <t>27/216/3</t>
  </si>
  <si>
    <t>6403E693</t>
  </si>
  <si>
    <t>501146 Lewis</t>
  </si>
  <si>
    <t>Bag 0702</t>
  </si>
  <si>
    <t>702</t>
  </si>
  <si>
    <t>27/217/1</t>
  </si>
  <si>
    <t>54E0F393</t>
  </si>
  <si>
    <t>99940 Ake Nordstrom</t>
  </si>
  <si>
    <t>Bag 0469</t>
  </si>
  <si>
    <t>469</t>
  </si>
  <si>
    <t>27/217/2</t>
  </si>
  <si>
    <t>D48AF293</t>
  </si>
  <si>
    <t>99941 Maria Hjortstorp</t>
  </si>
  <si>
    <t>Bag 0772</t>
  </si>
  <si>
    <t>772</t>
  </si>
  <si>
    <t>27/217/3</t>
  </si>
  <si>
    <t>4409CD93</t>
  </si>
  <si>
    <t>431485 Ahmad</t>
  </si>
  <si>
    <t>Bag 0945</t>
  </si>
  <si>
    <t>945</t>
  </si>
  <si>
    <t>27/218/1</t>
  </si>
  <si>
    <t>8479EC93</t>
  </si>
  <si>
    <t>99934 Axel</t>
  </si>
  <si>
    <t>127910 Jean</t>
  </si>
  <si>
    <t>Bag 1070</t>
  </si>
  <si>
    <t>1070</t>
  </si>
  <si>
    <t>27/218/2</t>
  </si>
  <si>
    <t>D4D03B94</t>
  </si>
  <si>
    <t>99935 Cevin</t>
  </si>
  <si>
    <t>487306 Rasmus</t>
  </si>
  <si>
    <t>Bag 0779</t>
  </si>
  <si>
    <t>779</t>
  </si>
  <si>
    <t>27/218/3</t>
  </si>
  <si>
    <t>246EE493</t>
  </si>
  <si>
    <t>324307 Johni</t>
  </si>
  <si>
    <t>Bag 0182</t>
  </si>
  <si>
    <t>182</t>
  </si>
  <si>
    <t>27/219/1</t>
  </si>
  <si>
    <t>A4FCCC93</t>
  </si>
  <si>
    <t>99930 Simon</t>
  </si>
  <si>
    <t>497571 Frederik</t>
  </si>
  <si>
    <t>Bag 0263</t>
  </si>
  <si>
    <t>263</t>
  </si>
  <si>
    <t>27/219/2</t>
  </si>
  <si>
    <t>7461EB93</t>
  </si>
  <si>
    <t>99931 Victor</t>
  </si>
  <si>
    <t>328732 Peter</t>
  </si>
  <si>
    <t>Bag 0612</t>
  </si>
  <si>
    <t>612</t>
  </si>
  <si>
    <t>27/219/3</t>
  </si>
  <si>
    <t>D461D693</t>
  </si>
  <si>
    <t>Bag 0738</t>
  </si>
  <si>
    <t>738</t>
  </si>
  <si>
    <t>27/220/1</t>
  </si>
  <si>
    <t>140FF093</t>
  </si>
  <si>
    <t>99922 Oscar</t>
  </si>
  <si>
    <t>472482 Patrick</t>
  </si>
  <si>
    <t>Bag 0934</t>
  </si>
  <si>
    <t>934</t>
  </si>
  <si>
    <t>27/220/2</t>
  </si>
  <si>
    <t>9469DD93</t>
  </si>
  <si>
    <t>Bag 0461</t>
  </si>
  <si>
    <t>461</t>
  </si>
  <si>
    <t>27/220/3</t>
  </si>
  <si>
    <t>B4B6E393</t>
  </si>
  <si>
    <t>148159 Jérémy</t>
  </si>
  <si>
    <t>Bag 1012</t>
  </si>
  <si>
    <t>1012</t>
  </si>
  <si>
    <t>27/D1/1</t>
  </si>
  <si>
    <t>044FF193</t>
  </si>
  <si>
    <t>359361 Rasmus, ankommer uge 41</t>
  </si>
  <si>
    <t>Bag 0596</t>
  </si>
  <si>
    <t>596</t>
  </si>
  <si>
    <t>27/D1/2</t>
  </si>
  <si>
    <t>94E93D94</t>
  </si>
  <si>
    <t>Bag 1149</t>
  </si>
  <si>
    <t>1149</t>
  </si>
  <si>
    <t>27/D1/3</t>
  </si>
  <si>
    <t>D47DD493</t>
  </si>
  <si>
    <t>503306 Mikkel</t>
  </si>
  <si>
    <t>Bag 0419</t>
  </si>
  <si>
    <t>419</t>
  </si>
  <si>
    <t>27/D2/1</t>
  </si>
  <si>
    <t>D4C8F293</t>
  </si>
  <si>
    <t>508682 Jeppe</t>
  </si>
  <si>
    <t>Bag 0147</t>
  </si>
  <si>
    <t>27/D2/2</t>
  </si>
  <si>
    <t>849DCF93</t>
  </si>
  <si>
    <t>481384 Emil</t>
  </si>
  <si>
    <t>Bag 0177</t>
  </si>
  <si>
    <t>177</t>
  </si>
  <si>
    <t>27/D2/3</t>
  </si>
  <si>
    <t>C478D493</t>
  </si>
  <si>
    <t>720859 Jonathan</t>
  </si>
  <si>
    <t>Bag 0843</t>
  </si>
  <si>
    <t>843</t>
  </si>
  <si>
    <t>28/1/E1/1</t>
  </si>
  <si>
    <t>74364994</t>
  </si>
  <si>
    <t>503509 Mikkel</t>
  </si>
  <si>
    <t>Bag 0220</t>
  </si>
  <si>
    <t>220</t>
  </si>
  <si>
    <t>28/1/E1/2</t>
  </si>
  <si>
    <t>E4BDD093</t>
  </si>
  <si>
    <t>477089 Frederik</t>
  </si>
  <si>
    <t>Bag 0668</t>
  </si>
  <si>
    <t>668</t>
  </si>
  <si>
    <t>28/1/E1/3</t>
  </si>
  <si>
    <t>24C2DE93</t>
  </si>
  <si>
    <t>444115 Andreas</t>
  </si>
  <si>
    <t>Bag 0549</t>
  </si>
  <si>
    <t>549</t>
  </si>
  <si>
    <t>28/1/E2/1</t>
  </si>
  <si>
    <t>F40DD493</t>
  </si>
  <si>
    <t>496309 Tristan</t>
  </si>
  <si>
    <t>Bag 0554</t>
  </si>
  <si>
    <t>554</t>
  </si>
  <si>
    <t>28/1/E2/2</t>
  </si>
  <si>
    <t>C49BCE93</t>
  </si>
  <si>
    <t>217166 Jan</t>
  </si>
  <si>
    <t>Bag 0988</t>
  </si>
  <si>
    <t>988</t>
  </si>
  <si>
    <t>28/1/E2/3</t>
  </si>
  <si>
    <t>44CFD393</t>
  </si>
  <si>
    <t>Bag 0325</t>
  </si>
  <si>
    <t>325</t>
  </si>
  <si>
    <t>28/101/1</t>
  </si>
  <si>
    <t>24C4DE93</t>
  </si>
  <si>
    <t>10002 NILS</t>
  </si>
  <si>
    <t>Bag 0754</t>
  </si>
  <si>
    <t>754</t>
  </si>
  <si>
    <t>28/101/2</t>
  </si>
  <si>
    <t>94A4CD93</t>
  </si>
  <si>
    <t>183569 Flemming Thing Rasmussen</t>
  </si>
  <si>
    <t>Bag 0308</t>
  </si>
  <si>
    <t>308</t>
  </si>
  <si>
    <t>28/101/3</t>
  </si>
  <si>
    <t>84FE3894</t>
  </si>
  <si>
    <t>Bag 0309</t>
  </si>
  <si>
    <t>309</t>
  </si>
  <si>
    <t>28/102/1</t>
  </si>
  <si>
    <t>D430CC93</t>
  </si>
  <si>
    <t>12101 SIMON</t>
  </si>
  <si>
    <t>493140 Inger Sofie</t>
  </si>
  <si>
    <t>Bag 0178</t>
  </si>
  <si>
    <t>178</t>
  </si>
  <si>
    <t>28/102/2</t>
  </si>
  <si>
    <t>7466D193</t>
  </si>
  <si>
    <t>12102 NILS</t>
  </si>
  <si>
    <t>415288 Niklas</t>
  </si>
  <si>
    <t>Bag 0731</t>
  </si>
  <si>
    <t>731</t>
  </si>
  <si>
    <t>28/102/3</t>
  </si>
  <si>
    <t>F4EFDB93</t>
  </si>
  <si>
    <t>UNKNOW</t>
  </si>
  <si>
    <t>UNKNOWN, ILST</t>
  </si>
  <si>
    <t>Bag 1043</t>
  </si>
  <si>
    <t>1043</t>
  </si>
  <si>
    <t>28/103/1</t>
  </si>
  <si>
    <t>945D3F94</t>
  </si>
  <si>
    <t>12201 JESPER</t>
  </si>
  <si>
    <t>Bag 0353</t>
  </si>
  <si>
    <t>353</t>
  </si>
  <si>
    <t>28/103/2</t>
  </si>
  <si>
    <t>54E8D893</t>
  </si>
  <si>
    <t>12202 ADAM</t>
  </si>
  <si>
    <t>512897 Lucas</t>
  </si>
  <si>
    <t>Bag 1165</t>
  </si>
  <si>
    <t>1165</t>
  </si>
  <si>
    <t>28/103/3</t>
  </si>
  <si>
    <t>F416D593</t>
  </si>
  <si>
    <t>467989 Philip</t>
  </si>
  <si>
    <t>Bag 0523</t>
  </si>
  <si>
    <t>523</t>
  </si>
  <si>
    <t>28/104/1</t>
  </si>
  <si>
    <t>540AD293</t>
  </si>
  <si>
    <t>12107 JAKOB</t>
  </si>
  <si>
    <t>469229 Mathias</t>
  </si>
  <si>
    <t>Bag 0066</t>
  </si>
  <si>
    <t>28/104/2</t>
  </si>
  <si>
    <t>44FCD393</t>
  </si>
  <si>
    <t>12108 JESPER</t>
  </si>
  <si>
    <t>513360 Simon</t>
  </si>
  <si>
    <t>Bag 0219</t>
  </si>
  <si>
    <t>219</t>
  </si>
  <si>
    <t>28/104/3</t>
  </si>
  <si>
    <t>C4F03B94</t>
  </si>
  <si>
    <t>478433 Jonathan</t>
  </si>
  <si>
    <t>Bag 1184</t>
  </si>
  <si>
    <t>1184</t>
  </si>
  <si>
    <t>28/105/1</t>
  </si>
  <si>
    <t>C46DDE93</t>
  </si>
  <si>
    <t>12109 THERRAPHAN</t>
  </si>
  <si>
    <t>447418 Arly</t>
  </si>
  <si>
    <t>Bag 0225</t>
  </si>
  <si>
    <t>225</t>
  </si>
  <si>
    <t>28/105/2</t>
  </si>
  <si>
    <t>649FD493</t>
  </si>
  <si>
    <t>12110 ALEXANDER</t>
  </si>
  <si>
    <t>486000 René</t>
  </si>
  <si>
    <t>Bag 0149</t>
  </si>
  <si>
    <t>28/105/3</t>
  </si>
  <si>
    <t>D449DE93</t>
  </si>
  <si>
    <t>Bag 0322</t>
  </si>
  <si>
    <t>322</t>
  </si>
  <si>
    <t>28/106/1</t>
  </si>
  <si>
    <t>9481D993</t>
  </si>
  <si>
    <t>12203 EMIL</t>
  </si>
  <si>
    <t>347528 Mike</t>
  </si>
  <si>
    <t>Bag 0600</t>
  </si>
  <si>
    <t>600</t>
  </si>
  <si>
    <t>28/106/2</t>
  </si>
  <si>
    <t>640DD993</t>
  </si>
  <si>
    <t>12205 WILIAM</t>
  </si>
  <si>
    <t>838661 Stéphane</t>
  </si>
  <si>
    <t>Bag 0905</t>
  </si>
  <si>
    <t>905</t>
  </si>
  <si>
    <t>28/106/3</t>
  </si>
  <si>
    <t>F496CC93</t>
  </si>
  <si>
    <t>506165 Mads</t>
  </si>
  <si>
    <t>Bag 0913</t>
  </si>
  <si>
    <t>913</t>
  </si>
  <si>
    <t>28/107/1</t>
  </si>
  <si>
    <t>2418CE93</t>
  </si>
  <si>
    <t>12210 ALEXANDER</t>
  </si>
  <si>
    <t>496504 Sylvester</t>
  </si>
  <si>
    <t>Bag 0640</t>
  </si>
  <si>
    <t>640</t>
  </si>
  <si>
    <t>28/107/2</t>
  </si>
  <si>
    <t>D407CD93</t>
  </si>
  <si>
    <t>12206 ELIAS</t>
  </si>
  <si>
    <t>Bag 0391</t>
  </si>
  <si>
    <t>391</t>
  </si>
  <si>
    <t>28/107/3</t>
  </si>
  <si>
    <t>6498CC93</t>
  </si>
  <si>
    <t>485261 Kristian</t>
  </si>
  <si>
    <t>Bag 0709</t>
  </si>
  <si>
    <t>709</t>
  </si>
  <si>
    <t>28/108/1</t>
  </si>
  <si>
    <t>54854194</t>
  </si>
  <si>
    <t>12303 FILIP</t>
  </si>
  <si>
    <t>493144 Marc</t>
  </si>
  <si>
    <t>Bag 0171</t>
  </si>
  <si>
    <t>171</t>
  </si>
  <si>
    <t>28/108/2</t>
  </si>
  <si>
    <t>F47DCE93</t>
  </si>
  <si>
    <t>12305 ALGOT</t>
  </si>
  <si>
    <t>Bag 0472</t>
  </si>
  <si>
    <t>472</t>
  </si>
  <si>
    <t>28/108/3</t>
  </si>
  <si>
    <t>14C24594</t>
  </si>
  <si>
    <t>Bag 0060</t>
  </si>
  <si>
    <t>28/109/1</t>
  </si>
  <si>
    <t>7498CF93</t>
  </si>
  <si>
    <t>12301 GUNNAR</t>
  </si>
  <si>
    <t>303216 Paul-André</t>
  </si>
  <si>
    <t>Bag 0532</t>
  </si>
  <si>
    <t>532</t>
  </si>
  <si>
    <t>28/109/2</t>
  </si>
  <si>
    <t>A4713B94</t>
  </si>
  <si>
    <t>12302 EMIL</t>
  </si>
  <si>
    <t>181828 David</t>
  </si>
  <si>
    <t>Bag 1156</t>
  </si>
  <si>
    <t>1156</t>
  </si>
  <si>
    <t>28/109/3</t>
  </si>
  <si>
    <t>643E3694</t>
  </si>
  <si>
    <t>502184 Oscar</t>
  </si>
  <si>
    <t>Bag 0247</t>
  </si>
  <si>
    <t>247</t>
  </si>
  <si>
    <t>28/110/1</t>
  </si>
  <si>
    <t>E41CCD93</t>
  </si>
  <si>
    <t>12304 VIKTOR</t>
  </si>
  <si>
    <t>473112 Alexander</t>
  </si>
  <si>
    <t>Bag 0130</t>
  </si>
  <si>
    <t>130</t>
  </si>
  <si>
    <t>28/110/2</t>
  </si>
  <si>
    <t>6415DA93</t>
  </si>
  <si>
    <t>12307 ADAM</t>
  </si>
  <si>
    <t>496945 Rasmus</t>
  </si>
  <si>
    <t>Bag 0678</t>
  </si>
  <si>
    <t>678</t>
  </si>
  <si>
    <t>28/110/3</t>
  </si>
  <si>
    <t>6474CD93</t>
  </si>
  <si>
    <t>495951 Anne Kathrine</t>
  </si>
  <si>
    <t>Bag 0070</t>
  </si>
  <si>
    <t>28/111/1</t>
  </si>
  <si>
    <t>F4EDCC93</t>
  </si>
  <si>
    <t>12001 JAKOB</t>
  </si>
  <si>
    <t>512065 Frederik</t>
  </si>
  <si>
    <t>Bag 0228</t>
  </si>
  <si>
    <t>228</t>
  </si>
  <si>
    <t>28/111/2</t>
  </si>
  <si>
    <t>E476DC93</t>
  </si>
  <si>
    <t>492111 Oliver</t>
  </si>
  <si>
    <t>Bag 0558</t>
  </si>
  <si>
    <t>558</t>
  </si>
  <si>
    <t>28/111/3</t>
  </si>
  <si>
    <t>E4F33994</t>
  </si>
  <si>
    <t>180945 Per</t>
  </si>
  <si>
    <t>Bag 0078</t>
  </si>
  <si>
    <t>28/112/1</t>
  </si>
  <si>
    <t>C476CD93</t>
  </si>
  <si>
    <t>12002 NILS</t>
  </si>
  <si>
    <t>250972 Alexandre</t>
  </si>
  <si>
    <t>Bag 1120</t>
  </si>
  <si>
    <t>1120</t>
  </si>
  <si>
    <t>28/112/2</t>
  </si>
  <si>
    <t>C4E2CC93</t>
  </si>
  <si>
    <t>468473 Marc</t>
  </si>
  <si>
    <t>Bag 0722</t>
  </si>
  <si>
    <t>722</t>
  </si>
  <si>
    <t>28/112/3</t>
  </si>
  <si>
    <t>843ED893</t>
  </si>
  <si>
    <t>493230 Victor</t>
  </si>
  <si>
    <t>Bag 0488</t>
  </si>
  <si>
    <t>488</t>
  </si>
  <si>
    <t>28/113/1</t>
  </si>
  <si>
    <t>F4F33E94</t>
  </si>
  <si>
    <t>12309 MALTE</t>
  </si>
  <si>
    <t>426197 Rasmus</t>
  </si>
  <si>
    <t>Bag 0628</t>
  </si>
  <si>
    <t>628</t>
  </si>
  <si>
    <t>28/113/2</t>
  </si>
  <si>
    <t>A4BBCB93</t>
  </si>
  <si>
    <t>12306 ADAM</t>
  </si>
  <si>
    <t>450753 Natascha</t>
  </si>
  <si>
    <t>Bag 0919</t>
  </si>
  <si>
    <t>919</t>
  </si>
  <si>
    <t>28/113/3</t>
  </si>
  <si>
    <t>8449D393</t>
  </si>
  <si>
    <t>472429 Frederik</t>
  </si>
  <si>
    <t>Bag 0599</t>
  </si>
  <si>
    <t>599</t>
  </si>
  <si>
    <t>28/114/1</t>
  </si>
  <si>
    <t>D481DD93</t>
  </si>
  <si>
    <t>12308 OLIVER</t>
  </si>
  <si>
    <t>Bag 1049</t>
  </si>
  <si>
    <t>1049</t>
  </si>
  <si>
    <t>28/114/2</t>
  </si>
  <si>
    <t>84DA4194</t>
  </si>
  <si>
    <t>12310 Theodore</t>
  </si>
  <si>
    <t>Bag 0816</t>
  </si>
  <si>
    <t>816</t>
  </si>
  <si>
    <t>28/114/3</t>
  </si>
  <si>
    <t>84BECB93</t>
  </si>
  <si>
    <t>486819 Elias</t>
  </si>
  <si>
    <t>Bag 0065</t>
  </si>
  <si>
    <t>28/115/1</t>
  </si>
  <si>
    <t>E4B8CB93</t>
  </si>
  <si>
    <t>12208 ZACK</t>
  </si>
  <si>
    <t>455033 Nikolai</t>
  </si>
  <si>
    <t>Bag 0742</t>
  </si>
  <si>
    <t>742</t>
  </si>
  <si>
    <t>28/115/2</t>
  </si>
  <si>
    <t>84D1CA93</t>
  </si>
  <si>
    <t>12209 THOMAS</t>
  </si>
  <si>
    <t>497766 Christoffer</t>
  </si>
  <si>
    <t>Bag 0256</t>
  </si>
  <si>
    <t>256</t>
  </si>
  <si>
    <t>28/115/3</t>
  </si>
  <si>
    <t>445ED893</t>
  </si>
  <si>
    <t>299763 Mie</t>
  </si>
  <si>
    <t>Bag 1038</t>
  </si>
  <si>
    <t>1038</t>
  </si>
  <si>
    <t>28/116/1</t>
  </si>
  <si>
    <t>F41FCD93</t>
  </si>
  <si>
    <t>12204 JOAKIM</t>
  </si>
  <si>
    <t>507428 William</t>
  </si>
  <si>
    <t>Bag 0863</t>
  </si>
  <si>
    <t>863</t>
  </si>
  <si>
    <t>28/116/2</t>
  </si>
  <si>
    <t>842FDA93</t>
  </si>
  <si>
    <t>12207 ELIAS</t>
  </si>
  <si>
    <t>464236 Magnus</t>
  </si>
  <si>
    <t>Bag 0930</t>
  </si>
  <si>
    <t>930</t>
  </si>
  <si>
    <t>28/116/3</t>
  </si>
  <si>
    <t>B4EFDB93</t>
  </si>
  <si>
    <t>422181 Casper</t>
  </si>
  <si>
    <t>Bag 1180</t>
  </si>
  <si>
    <t>1180</t>
  </si>
  <si>
    <t>28/117/1</t>
  </si>
  <si>
    <t>C460D693</t>
  </si>
  <si>
    <t xml:space="preserve">12111 OSCAR </t>
  </si>
  <si>
    <t>358876 Jes</t>
  </si>
  <si>
    <t>Bag 1063</t>
  </si>
  <si>
    <t>1063</t>
  </si>
  <si>
    <t>28/117/2</t>
  </si>
  <si>
    <t>F44ED793</t>
  </si>
  <si>
    <t>12106 OTTO</t>
  </si>
  <si>
    <t>317256 Andreas</t>
  </si>
  <si>
    <t>Bag 0977</t>
  </si>
  <si>
    <t>977</t>
  </si>
  <si>
    <t>28/117/3</t>
  </si>
  <si>
    <t>748DD493</t>
  </si>
  <si>
    <t>469641 Joachim</t>
  </si>
  <si>
    <t>Bag 0281</t>
  </si>
  <si>
    <t>281</t>
  </si>
  <si>
    <t>28/118/1</t>
  </si>
  <si>
    <t>34F0CC93</t>
  </si>
  <si>
    <t>12103 FREDRIK</t>
  </si>
  <si>
    <t>Bag 0465</t>
  </si>
  <si>
    <t>465</t>
  </si>
  <si>
    <t>28/118/2</t>
  </si>
  <si>
    <t>B4DBDA93</t>
  </si>
  <si>
    <t>501674 Adam</t>
  </si>
  <si>
    <t>Bag 0567</t>
  </si>
  <si>
    <t>567</t>
  </si>
  <si>
    <t>28/118/3</t>
  </si>
  <si>
    <t>A46B3B94</t>
  </si>
  <si>
    <t>454753 Ulrik</t>
  </si>
  <si>
    <t>Bag 0019</t>
  </si>
  <si>
    <t>28/119/1</t>
  </si>
  <si>
    <t>54E0DD93</t>
  </si>
  <si>
    <t>12104 ALBIN</t>
  </si>
  <si>
    <t>507202 Steven</t>
  </si>
  <si>
    <t>Bag 0411</t>
  </si>
  <si>
    <t>411</t>
  </si>
  <si>
    <t>28/119/2</t>
  </si>
  <si>
    <t>B428CF93</t>
  </si>
  <si>
    <t>12105 MAX</t>
  </si>
  <si>
    <t>Bag 0303</t>
  </si>
  <si>
    <t>303</t>
  </si>
  <si>
    <t>84CFDC93</t>
  </si>
  <si>
    <t>28/119/3</t>
  </si>
  <si>
    <t>497971 Oscar</t>
  </si>
  <si>
    <t>Bag 0947</t>
  </si>
  <si>
    <t>947</t>
  </si>
  <si>
    <t>28/120/1</t>
  </si>
  <si>
    <t>C413DA93</t>
  </si>
  <si>
    <t>10003 JEFF</t>
  </si>
  <si>
    <t>392597 Philippe</t>
  </si>
  <si>
    <t>Bag 1199</t>
  </si>
  <si>
    <t>1199</t>
  </si>
  <si>
    <t>28/120/2</t>
  </si>
  <si>
    <t>7458DC93</t>
  </si>
  <si>
    <t>512995 Mathias</t>
  </si>
  <si>
    <t>Bag 0144</t>
  </si>
  <si>
    <t>28/120/3</t>
  </si>
  <si>
    <t>646ECB93</t>
  </si>
  <si>
    <t>485221 Christian</t>
  </si>
  <si>
    <t>Bag 0188</t>
  </si>
  <si>
    <t>188</t>
  </si>
  <si>
    <t>28/2/E1/1</t>
  </si>
  <si>
    <t>A4ABCB93</t>
  </si>
  <si>
    <t>174181 Jan</t>
  </si>
  <si>
    <t>Bag 0608</t>
  </si>
  <si>
    <t>608</t>
  </si>
  <si>
    <t>28/2/E1/2</t>
  </si>
  <si>
    <t>B48BDB93</t>
  </si>
  <si>
    <t>GUEST LAUNDRY BAG</t>
  </si>
  <si>
    <t>Bag 1065</t>
  </si>
  <si>
    <t>1065</t>
  </si>
  <si>
    <t>28/2/E1/3</t>
  </si>
  <si>
    <t>34CA3A94</t>
  </si>
  <si>
    <t>508845 Christoffer</t>
  </si>
  <si>
    <t>Bag 0196</t>
  </si>
  <si>
    <t>196</t>
  </si>
  <si>
    <t>28/2/E2/1</t>
  </si>
  <si>
    <t>9496CD93</t>
  </si>
  <si>
    <t>486743 Julie</t>
  </si>
  <si>
    <t>Bag 0946</t>
  </si>
  <si>
    <t>946</t>
  </si>
  <si>
    <t>28/2/E2/2</t>
  </si>
  <si>
    <t>34D83C94</t>
  </si>
  <si>
    <t>492234 Ralph</t>
  </si>
  <si>
    <t>Bag 0474</t>
  </si>
  <si>
    <t>474</t>
  </si>
  <si>
    <t>28/2/E2/3</t>
  </si>
  <si>
    <t>54A9CE93</t>
  </si>
  <si>
    <t>477815 Kenneth</t>
  </si>
  <si>
    <t>Bag 0664</t>
  </si>
  <si>
    <t>664</t>
  </si>
  <si>
    <t>28/201/1</t>
  </si>
  <si>
    <t>940ACB93</t>
  </si>
  <si>
    <t>10048 JONAS</t>
  </si>
  <si>
    <t>502013 Mads</t>
  </si>
  <si>
    <t>Bag 1174</t>
  </si>
  <si>
    <t>1174</t>
  </si>
  <si>
    <t>28/201/2</t>
  </si>
  <si>
    <t>04E3D893</t>
  </si>
  <si>
    <t>617853 Kristofer</t>
  </si>
  <si>
    <t>Bag 1194</t>
  </si>
  <si>
    <t>1194</t>
  </si>
  <si>
    <t>28/201/3</t>
  </si>
  <si>
    <t>64DED893</t>
  </si>
  <si>
    <t>473159 Victor-Emil</t>
  </si>
  <si>
    <t>Bag 0873</t>
  </si>
  <si>
    <t>873</t>
  </si>
  <si>
    <t>28/202/1</t>
  </si>
  <si>
    <t>4497D193</t>
  </si>
  <si>
    <t>13101 HUGO</t>
  </si>
  <si>
    <t>Bag 0396</t>
  </si>
  <si>
    <t>396</t>
  </si>
  <si>
    <t>28/202/2</t>
  </si>
  <si>
    <t>34D2CB93</t>
  </si>
  <si>
    <t>13102 OLIVER</t>
  </si>
  <si>
    <t>392173 Nikolaj</t>
  </si>
  <si>
    <t>Bag 0200</t>
  </si>
  <si>
    <t>28/202/3</t>
  </si>
  <si>
    <t>C4F43594</t>
  </si>
  <si>
    <t>481378 Oliver</t>
  </si>
  <si>
    <t>Bag 1127</t>
  </si>
  <si>
    <t>1127</t>
  </si>
  <si>
    <t>28/203/1</t>
  </si>
  <si>
    <t>74DFDA93</t>
  </si>
  <si>
    <t>13210 LINUS</t>
  </si>
  <si>
    <t>377349 Jens-Christian</t>
  </si>
  <si>
    <t>Bag 0282</t>
  </si>
  <si>
    <t>282</t>
  </si>
  <si>
    <t>28/203/2</t>
  </si>
  <si>
    <t>744CD393</t>
  </si>
  <si>
    <t>13105 OSCAR</t>
  </si>
  <si>
    <t>486756 Simon</t>
  </si>
  <si>
    <t>Bag 0255</t>
  </si>
  <si>
    <t>255</t>
  </si>
  <si>
    <t>28/203/3</t>
  </si>
  <si>
    <t>E4EFDB93</t>
  </si>
  <si>
    <t>476629 Lucas</t>
  </si>
  <si>
    <t>Bag 1097</t>
  </si>
  <si>
    <t>1097</t>
  </si>
  <si>
    <t>28/204/1</t>
  </si>
  <si>
    <t>F481CE93</t>
  </si>
  <si>
    <t>13108 TRULS</t>
  </si>
  <si>
    <t>454484 Dave</t>
  </si>
  <si>
    <t>Bag 1101</t>
  </si>
  <si>
    <t>1101</t>
  </si>
  <si>
    <t>28/204/2</t>
  </si>
  <si>
    <t>A406CC93</t>
  </si>
  <si>
    <t>13109 ALEXANDER</t>
  </si>
  <si>
    <t>501413 Simon</t>
  </si>
  <si>
    <t>Bag 0295</t>
  </si>
  <si>
    <t>295</t>
  </si>
  <si>
    <t>28/204/3</t>
  </si>
  <si>
    <t>34ED4894</t>
  </si>
  <si>
    <t>509250 Emilie</t>
  </si>
  <si>
    <t>Bag 0510</t>
  </si>
  <si>
    <t>510</t>
  </si>
  <si>
    <t>28/205/1</t>
  </si>
  <si>
    <t>C4EE3794</t>
  </si>
  <si>
    <t>13204 VICTOR</t>
  </si>
  <si>
    <t>Bag 0379</t>
  </si>
  <si>
    <t>379</t>
  </si>
  <si>
    <t>28/205/2</t>
  </si>
  <si>
    <t>149ECF93</t>
  </si>
  <si>
    <t>13207 ANTE</t>
  </si>
  <si>
    <t>454438 Theis</t>
  </si>
  <si>
    <t>Bag 0131</t>
  </si>
  <si>
    <t>28/205/3</t>
  </si>
  <si>
    <t>145D3794</t>
  </si>
  <si>
    <t>Jim NS</t>
  </si>
  <si>
    <t>Jim NSPA</t>
  </si>
  <si>
    <t>Bag 0340</t>
  </si>
  <si>
    <t>340</t>
  </si>
  <si>
    <t>28/206/1</t>
  </si>
  <si>
    <t>74D0D393</t>
  </si>
  <si>
    <t>13208 CORNELIUS</t>
  </si>
  <si>
    <t>501913 Ole</t>
  </si>
  <si>
    <t>Bag 0776</t>
  </si>
  <si>
    <t>776</t>
  </si>
  <si>
    <t>28/206/2</t>
  </si>
  <si>
    <t>C466CD93</t>
  </si>
  <si>
    <t>13209 KIM</t>
  </si>
  <si>
    <t>959271 Louis-Charles</t>
  </si>
  <si>
    <t>Bag 1007</t>
  </si>
  <si>
    <t>1007</t>
  </si>
  <si>
    <t>28/206/3</t>
  </si>
  <si>
    <t>04B9E493</t>
  </si>
  <si>
    <t>463607 Geoffroy</t>
  </si>
  <si>
    <t>Bag 0775</t>
  </si>
  <si>
    <t>775</t>
  </si>
  <si>
    <t>28/207/1</t>
  </si>
  <si>
    <t>14C4CA93</t>
  </si>
  <si>
    <t>13103 ERIK</t>
  </si>
  <si>
    <t>954455 Thomas</t>
  </si>
  <si>
    <t>Bag 0646</t>
  </si>
  <si>
    <t>646</t>
  </si>
  <si>
    <t>28/207/2</t>
  </si>
  <si>
    <t>84424794</t>
  </si>
  <si>
    <t>465790 Andreas</t>
  </si>
  <si>
    <t>Bag 1117</t>
  </si>
  <si>
    <t>1117</t>
  </si>
  <si>
    <t>28/207/3</t>
  </si>
  <si>
    <t>A40BCC93</t>
  </si>
  <si>
    <t>490850 Andreas</t>
  </si>
  <si>
    <t>Bag 0293</t>
  </si>
  <si>
    <t>293</t>
  </si>
  <si>
    <t>28/208/1</t>
  </si>
  <si>
    <t>F43BD593</t>
  </si>
  <si>
    <t>13301 ELIAS</t>
  </si>
  <si>
    <t>464406 Wojciech</t>
  </si>
  <si>
    <t>Bag 0907</t>
  </si>
  <si>
    <t>907</t>
  </si>
  <si>
    <t>28/208/2</t>
  </si>
  <si>
    <t>F40FD493</t>
  </si>
  <si>
    <t>13302 JESPER</t>
  </si>
  <si>
    <t>227355 Jennifer</t>
  </si>
  <si>
    <t>Bag 0049</t>
  </si>
  <si>
    <t>28/208/3</t>
  </si>
  <si>
    <t>E46FD393</t>
  </si>
  <si>
    <t>Bag 0734</t>
  </si>
  <si>
    <t>734</t>
  </si>
  <si>
    <t>28/209/1</t>
  </si>
  <si>
    <t>C4FFCA93</t>
  </si>
  <si>
    <t>13304 SIMON</t>
  </si>
  <si>
    <t>486555 Holger</t>
  </si>
  <si>
    <t>Bag 0560</t>
  </si>
  <si>
    <t>560</t>
  </si>
  <si>
    <t>28/209/2</t>
  </si>
  <si>
    <t>A49DD693</t>
  </si>
  <si>
    <t>13307 JEPPE</t>
  </si>
  <si>
    <t>Bag 0363</t>
  </si>
  <si>
    <t>363</t>
  </si>
  <si>
    <t>28/209/3</t>
  </si>
  <si>
    <t>4471CD93</t>
  </si>
  <si>
    <t>Bag 0315</t>
  </si>
  <si>
    <t>315</t>
  </si>
  <si>
    <t>28/210/1</t>
  </si>
  <si>
    <t>2472D893</t>
  </si>
  <si>
    <t>13310 JOSHUA</t>
  </si>
  <si>
    <t>444239 Benjamin</t>
  </si>
  <si>
    <t>Bag 0865</t>
  </si>
  <si>
    <t>865</t>
  </si>
  <si>
    <t>28/210/2</t>
  </si>
  <si>
    <t>D4DED893</t>
  </si>
  <si>
    <t>13306 OLLE</t>
  </si>
  <si>
    <t>058861 Jacob</t>
  </si>
  <si>
    <t>Bag 0540</t>
  </si>
  <si>
    <t>540</t>
  </si>
  <si>
    <t>F46BD393</t>
  </si>
  <si>
    <t>28/210/3</t>
  </si>
  <si>
    <t>4452F293</t>
  </si>
  <si>
    <t>473640 Cengiz</t>
  </si>
  <si>
    <t>Bag 0248</t>
  </si>
  <si>
    <t>248</t>
  </si>
  <si>
    <t>28/211/1</t>
  </si>
  <si>
    <t>C401CB93</t>
  </si>
  <si>
    <t>13001 ERIK</t>
  </si>
  <si>
    <t>Bag 0372</t>
  </si>
  <si>
    <t>372</t>
  </si>
  <si>
    <t>28/211/2</t>
  </si>
  <si>
    <t>34FEDB93</t>
  </si>
  <si>
    <t>485226 Christopher</t>
  </si>
  <si>
    <t>Bag 0168</t>
  </si>
  <si>
    <t>168</t>
  </si>
  <si>
    <t>28/211/3</t>
  </si>
  <si>
    <t>843ED793</t>
  </si>
  <si>
    <t>468934 Nikolaj</t>
  </si>
  <si>
    <t>Bag 1073</t>
  </si>
  <si>
    <t>1073</t>
  </si>
  <si>
    <t>28/212/1</t>
  </si>
  <si>
    <t>142F3F94</t>
  </si>
  <si>
    <t>13002 PAR</t>
  </si>
  <si>
    <t>502081 Frederik</t>
  </si>
  <si>
    <t>Bag 0291</t>
  </si>
  <si>
    <t>291</t>
  </si>
  <si>
    <t>28/212/2</t>
  </si>
  <si>
    <t>24D6DD93</t>
  </si>
  <si>
    <t>477584 Oliver</t>
  </si>
  <si>
    <t>Bag 0665</t>
  </si>
  <si>
    <t>665</t>
  </si>
  <si>
    <t>28/212/3</t>
  </si>
  <si>
    <t>54B9CA93</t>
  </si>
  <si>
    <t>509420 Malthe</t>
  </si>
  <si>
    <t>Bag 0136</t>
  </si>
  <si>
    <t>28/213/1</t>
  </si>
  <si>
    <t>4491CC93</t>
  </si>
  <si>
    <t>13308 TEO</t>
  </si>
  <si>
    <t>Bag 0367</t>
  </si>
  <si>
    <t>367</t>
  </si>
  <si>
    <t>28/213/2</t>
  </si>
  <si>
    <t>84F0CD93</t>
  </si>
  <si>
    <t>13309 ALMIR</t>
  </si>
  <si>
    <t>500818 Tobias</t>
  </si>
  <si>
    <t>Bag 1139</t>
  </si>
  <si>
    <t>1139</t>
  </si>
  <si>
    <t>28/213/3</t>
  </si>
  <si>
    <t>A41FDA93</t>
  </si>
  <si>
    <t>501128 Martin</t>
  </si>
  <si>
    <t>Bag 1091</t>
  </si>
  <si>
    <t>1091</t>
  </si>
  <si>
    <t>28/214/1</t>
  </si>
  <si>
    <t>B458DE93</t>
  </si>
  <si>
    <t>13303 TAGE</t>
  </si>
  <si>
    <t>485650 Nicolai</t>
  </si>
  <si>
    <t>Bag 0493</t>
  </si>
  <si>
    <t>493</t>
  </si>
  <si>
    <t>28/214/2</t>
  </si>
  <si>
    <t>448FCE93</t>
  </si>
  <si>
    <t>13305 LINUS</t>
  </si>
  <si>
    <t>110445 Ove</t>
  </si>
  <si>
    <t>Bag 0954</t>
  </si>
  <si>
    <t>954</t>
  </si>
  <si>
    <t>28/214/3</t>
  </si>
  <si>
    <t>C41FCE93</t>
  </si>
  <si>
    <t>513977 Sebastian</t>
  </si>
  <si>
    <t>Bag 0163</t>
  </si>
  <si>
    <t>163</t>
  </si>
  <si>
    <t>28/215/1</t>
  </si>
  <si>
    <t>64C4D093</t>
  </si>
  <si>
    <t>13203 BSHAR</t>
  </si>
  <si>
    <t>Bag 0762</t>
  </si>
  <si>
    <t>762</t>
  </si>
  <si>
    <t>28/215/2</t>
  </si>
  <si>
    <t>9462DF93</t>
  </si>
  <si>
    <t>13205 DENNIS</t>
  </si>
  <si>
    <t>Matthe</t>
  </si>
  <si>
    <t>Matthew NSPA</t>
  </si>
  <si>
    <t>Bag 0332</t>
  </si>
  <si>
    <t>28/215/3</t>
  </si>
  <si>
    <t>743BE293</t>
  </si>
  <si>
    <t>Bag 0823</t>
  </si>
  <si>
    <t>823</t>
  </si>
  <si>
    <t>28/216/1</t>
  </si>
  <si>
    <t>F47F4394</t>
  </si>
  <si>
    <t>13201 GUSTAV</t>
  </si>
  <si>
    <t>Bag 0400</t>
  </si>
  <si>
    <t>400</t>
  </si>
  <si>
    <t>28/216/2</t>
  </si>
  <si>
    <t>64B5DA93</t>
  </si>
  <si>
    <t>13202 CHRISTOPHER</t>
  </si>
  <si>
    <t>Bag 0217</t>
  </si>
  <si>
    <t>217</t>
  </si>
  <si>
    <t>28/216/3</t>
  </si>
  <si>
    <t>94FDCD93</t>
  </si>
  <si>
    <t>491907 Viktor</t>
  </si>
  <si>
    <t>Bag 1140</t>
  </si>
  <si>
    <t>1140</t>
  </si>
  <si>
    <t>28/217/1</t>
  </si>
  <si>
    <t>B4BECB93</t>
  </si>
  <si>
    <t>13110 DEAN</t>
  </si>
  <si>
    <t>212919 Henrik</t>
  </si>
  <si>
    <t>Bag 0625</t>
  </si>
  <si>
    <t>625</t>
  </si>
  <si>
    <t>28/217/2</t>
  </si>
  <si>
    <t>F454DE93</t>
  </si>
  <si>
    <t>13111 ROY</t>
  </si>
  <si>
    <t>473393 Mads</t>
  </si>
  <si>
    <t>Bag 0069</t>
  </si>
  <si>
    <t>28/217/3</t>
  </si>
  <si>
    <t>B4DA3B94</t>
  </si>
  <si>
    <t>472603 Lasse</t>
  </si>
  <si>
    <t>Bag 0744</t>
  </si>
  <si>
    <t>744</t>
  </si>
  <si>
    <t>28/218/1</t>
  </si>
  <si>
    <t>C471DC93</t>
  </si>
  <si>
    <t>13107 VALDEMAR</t>
  </si>
  <si>
    <t>492696 Jeppe</t>
  </si>
  <si>
    <t>Bag 0751</t>
  </si>
  <si>
    <t>751</t>
  </si>
  <si>
    <t>28/218/2</t>
  </si>
  <si>
    <t>041A3694</t>
  </si>
  <si>
    <t>13106 LOWE</t>
  </si>
  <si>
    <t>499488 Sofus</t>
  </si>
  <si>
    <t>Bag 0679</t>
  </si>
  <si>
    <t>679</t>
  </si>
  <si>
    <t>28/218/3</t>
  </si>
  <si>
    <t>A453DA93</t>
  </si>
  <si>
    <t>450874 Kasper</t>
  </si>
  <si>
    <t>Bag 0594</t>
  </si>
  <si>
    <t>594</t>
  </si>
  <si>
    <t>28/219/1</t>
  </si>
  <si>
    <t>A4A5D793</t>
  </si>
  <si>
    <t>13104 MINA</t>
  </si>
  <si>
    <t>Bag 0326</t>
  </si>
  <si>
    <t>326</t>
  </si>
  <si>
    <t>28/219/2</t>
  </si>
  <si>
    <t>24ECCC93</t>
  </si>
  <si>
    <t>13206 MOA</t>
  </si>
  <si>
    <t>473015 Maja</t>
  </si>
  <si>
    <t>Bag 1129</t>
  </si>
  <si>
    <t>1129</t>
  </si>
  <si>
    <t>28/219/3</t>
  </si>
  <si>
    <t>74FECC93</t>
  </si>
  <si>
    <t>370124 Rune</t>
  </si>
  <si>
    <t>Bag 0992</t>
  </si>
  <si>
    <t>992</t>
  </si>
  <si>
    <t>28/220/1</t>
  </si>
  <si>
    <t>24E9DD93</t>
  </si>
  <si>
    <t>10041 JOHANNES</t>
  </si>
  <si>
    <t>481921 Frederik</t>
  </si>
  <si>
    <t>Bag 1105</t>
  </si>
  <si>
    <t>1105</t>
  </si>
  <si>
    <t>28/220/2</t>
  </si>
  <si>
    <t>24B8DA93</t>
  </si>
  <si>
    <t>352386 Johan</t>
  </si>
  <si>
    <t>Bag 1033</t>
  </si>
  <si>
    <t>1033</t>
  </si>
  <si>
    <t>28/220/3</t>
  </si>
  <si>
    <t>34DCD093</t>
  </si>
  <si>
    <t>410735 Thea</t>
  </si>
  <si>
    <t>Bag 0968</t>
  </si>
  <si>
    <t>968</t>
  </si>
  <si>
    <t>28/D1/1</t>
  </si>
  <si>
    <t>D4673894</t>
  </si>
  <si>
    <t>513721 Noah</t>
  </si>
  <si>
    <t>Bag 0102</t>
  </si>
  <si>
    <t>28/D1/2</t>
  </si>
  <si>
    <t>74FCDD93</t>
  </si>
  <si>
    <t>493532 Magnus</t>
  </si>
  <si>
    <t>Bag 1128</t>
  </si>
  <si>
    <t>1128</t>
  </si>
  <si>
    <t>28/D1/3</t>
  </si>
  <si>
    <t>24ACD093</t>
  </si>
  <si>
    <t>509167 Ali</t>
  </si>
  <si>
    <t>Bag 0872</t>
  </si>
  <si>
    <t>872</t>
  </si>
  <si>
    <t>28/D2/1</t>
  </si>
  <si>
    <t>A4B4CA93</t>
  </si>
  <si>
    <t>508312 Diluvan</t>
  </si>
  <si>
    <t>Bag 1183</t>
  </si>
  <si>
    <t>1183</t>
  </si>
  <si>
    <t>28/D2/2</t>
  </si>
  <si>
    <t>B4F3CC93</t>
  </si>
  <si>
    <t>496109 Mathias</t>
  </si>
  <si>
    <t>Bag 0785</t>
  </si>
  <si>
    <t>785</t>
  </si>
  <si>
    <t>28/D2/3</t>
  </si>
  <si>
    <t>940CCB93</t>
  </si>
  <si>
    <t>497187 Luca</t>
  </si>
  <si>
    <t>Bag 0948</t>
  </si>
  <si>
    <t>948</t>
  </si>
  <si>
    <t>29/1/E1/1</t>
  </si>
  <si>
    <t>F431CC93</t>
  </si>
  <si>
    <t>473146 Troels</t>
  </si>
  <si>
    <t>Bag 0933</t>
  </si>
  <si>
    <t>933</t>
  </si>
  <si>
    <t>29/1/E1/2</t>
  </si>
  <si>
    <t>C4693894</t>
  </si>
  <si>
    <t>173722 Kenni</t>
  </si>
  <si>
    <t>Bag 0213</t>
  </si>
  <si>
    <t>213</t>
  </si>
  <si>
    <t>29/1/E1/3</t>
  </si>
  <si>
    <t>646BD693</t>
  </si>
  <si>
    <t>423765 Frederik</t>
  </si>
  <si>
    <t>Bag 0942</t>
  </si>
  <si>
    <t>942</t>
  </si>
  <si>
    <t>29/1/E2/1</t>
  </si>
  <si>
    <t>D4EED893</t>
  </si>
  <si>
    <t>485972 Kasper</t>
  </si>
  <si>
    <t>Bag 0501</t>
  </si>
  <si>
    <t>501</t>
  </si>
  <si>
    <t>29/1/E2/2</t>
  </si>
  <si>
    <t>B48BCC93</t>
  </si>
  <si>
    <t>458729 Tobias</t>
  </si>
  <si>
    <t>Bag 0025</t>
  </si>
  <si>
    <t>29/1/E2/3</t>
  </si>
  <si>
    <t>F458D193</t>
  </si>
  <si>
    <t>477224 Emilie</t>
  </si>
  <si>
    <t>Bag 0531</t>
  </si>
  <si>
    <t>531</t>
  </si>
  <si>
    <t>29/101/1</t>
  </si>
  <si>
    <t>041ED093</t>
  </si>
  <si>
    <t>20001 Dan</t>
  </si>
  <si>
    <t>482496 Rasmus</t>
  </si>
  <si>
    <t>Bag 0477</t>
  </si>
  <si>
    <t>477</t>
  </si>
  <si>
    <t>29/101/2</t>
  </si>
  <si>
    <t>2468D693</t>
  </si>
  <si>
    <t>381059 Simon</t>
  </si>
  <si>
    <t>Bag 0610</t>
  </si>
  <si>
    <t>610</t>
  </si>
  <si>
    <t>29/101/3</t>
  </si>
  <si>
    <t>74F2DC93</t>
  </si>
  <si>
    <t>009330 Maxim</t>
  </si>
  <si>
    <t>Bag 1195</t>
  </si>
  <si>
    <t>1195</t>
  </si>
  <si>
    <t>29/102/1</t>
  </si>
  <si>
    <t>148CCE93</t>
  </si>
  <si>
    <t>20002 Marten</t>
  </si>
  <si>
    <t>304783 Martin</t>
  </si>
  <si>
    <t>Bag 1027</t>
  </si>
  <si>
    <t>1027</t>
  </si>
  <si>
    <t>29/102/2</t>
  </si>
  <si>
    <t>44EFCA93</t>
  </si>
  <si>
    <t>775260 Maxime</t>
  </si>
  <si>
    <t>Bag 1054</t>
  </si>
  <si>
    <t>1054</t>
  </si>
  <si>
    <t>29/102/3</t>
  </si>
  <si>
    <t>644EDE93</t>
  </si>
  <si>
    <t>054762 Kevin</t>
  </si>
  <si>
    <t>Bag 1022</t>
  </si>
  <si>
    <t>1022</t>
  </si>
  <si>
    <t>29/103/1</t>
  </si>
  <si>
    <t>1455DD93</t>
  </si>
  <si>
    <t xml:space="preserve"> 20003 Christoffer</t>
  </si>
  <si>
    <t>487087 Kean</t>
  </si>
  <si>
    <t>Bag 0030</t>
  </si>
  <si>
    <t>29/103/2</t>
  </si>
  <si>
    <t>44FADE93</t>
  </si>
  <si>
    <t>506217 Louie</t>
  </si>
  <si>
    <t>Bag 0082</t>
  </si>
  <si>
    <t>29/103/3</t>
  </si>
  <si>
    <t>84074894</t>
  </si>
  <si>
    <t>439675 Emil</t>
  </si>
  <si>
    <t>Bag 0790</t>
  </si>
  <si>
    <t>790</t>
  </si>
  <si>
    <t>29/104/1</t>
  </si>
  <si>
    <t>F454D193</t>
  </si>
  <si>
    <t xml:space="preserve">20041 Rasmus </t>
  </si>
  <si>
    <t>497598 Ioannis</t>
  </si>
  <si>
    <t>Bag 0714</t>
  </si>
  <si>
    <t>714</t>
  </si>
  <si>
    <t>29/104/2</t>
  </si>
  <si>
    <t>C4B6D493</t>
  </si>
  <si>
    <t>472491 Matias</t>
  </si>
  <si>
    <t>Bag 1179</t>
  </si>
  <si>
    <t>1179</t>
  </si>
  <si>
    <t>29/104/3</t>
  </si>
  <si>
    <t>F4BAD993</t>
  </si>
  <si>
    <t>Bag 0376</t>
  </si>
  <si>
    <t>376</t>
  </si>
  <si>
    <t>29/105/1</t>
  </si>
  <si>
    <t>14A7D993</t>
  </si>
  <si>
    <t>21101 Gustav</t>
  </si>
  <si>
    <t>481586 Troels</t>
  </si>
  <si>
    <t>Bag 0409</t>
  </si>
  <si>
    <t>409</t>
  </si>
  <si>
    <t>29/105/2</t>
  </si>
  <si>
    <t>048DD993</t>
  </si>
  <si>
    <t xml:space="preserve">21102 David </t>
  </si>
  <si>
    <t>480316 Mikkel</t>
  </si>
  <si>
    <t>Bag 0833</t>
  </si>
  <si>
    <t>833</t>
  </si>
  <si>
    <t>29/105/3</t>
  </si>
  <si>
    <t>24A04794</t>
  </si>
  <si>
    <t>393277 Danny</t>
  </si>
  <si>
    <t>Bag 0592</t>
  </si>
  <si>
    <t>592</t>
  </si>
  <si>
    <t>29/106/1</t>
  </si>
  <si>
    <t>9470CB93</t>
  </si>
  <si>
    <t>21103 Faraj</t>
  </si>
  <si>
    <t>666752 Jesse</t>
  </si>
  <si>
    <t>Bag 1081</t>
  </si>
  <si>
    <t>1081</t>
  </si>
  <si>
    <t>29/106/2</t>
  </si>
  <si>
    <t>34DCD793</t>
  </si>
  <si>
    <t xml:space="preserve">21203 Leo </t>
  </si>
  <si>
    <t>513348 Elias</t>
  </si>
  <si>
    <t>Bag 0780</t>
  </si>
  <si>
    <t>780</t>
  </si>
  <si>
    <t>29/106/3</t>
  </si>
  <si>
    <t>54163894</t>
  </si>
  <si>
    <t>472758 Mark</t>
  </si>
  <si>
    <t>Bag 0457</t>
  </si>
  <si>
    <t>457</t>
  </si>
  <si>
    <t>29/107/1</t>
  </si>
  <si>
    <t>6416CC93</t>
  </si>
  <si>
    <t xml:space="preserve">21105 Gustav </t>
  </si>
  <si>
    <t>686490 Ann-Laurie</t>
  </si>
  <si>
    <t>Bag 0792</t>
  </si>
  <si>
    <t>792</t>
  </si>
  <si>
    <t>29/107/2</t>
  </si>
  <si>
    <t>F44AD093</t>
  </si>
  <si>
    <t>21104 Bendeguz</t>
  </si>
  <si>
    <t>Bag 0304</t>
  </si>
  <si>
    <t>304</t>
  </si>
  <si>
    <t>29/107/3</t>
  </si>
  <si>
    <t>64B7D993</t>
  </si>
  <si>
    <t>468156 Mathilde</t>
  </si>
  <si>
    <t>Bag 0175</t>
  </si>
  <si>
    <t>175</t>
  </si>
  <si>
    <t>29/108/1</t>
  </si>
  <si>
    <t>B4353494</t>
  </si>
  <si>
    <t xml:space="preserve">21107 Eskil </t>
  </si>
  <si>
    <t>Bag 0456</t>
  </si>
  <si>
    <t>456</t>
  </si>
  <si>
    <t>29/108/2</t>
  </si>
  <si>
    <t>947AE693</t>
  </si>
  <si>
    <t xml:space="preserve">21108 Hugo </t>
  </si>
  <si>
    <t>039904 Manuel Jesus</t>
  </si>
  <si>
    <t>Bag 1014</t>
  </si>
  <si>
    <t>1014</t>
  </si>
  <si>
    <t>29/108/3</t>
  </si>
  <si>
    <t>F497D293</t>
  </si>
  <si>
    <t>Bag 0352</t>
  </si>
  <si>
    <t>352</t>
  </si>
  <si>
    <t>29/109/1</t>
  </si>
  <si>
    <t>C4EAD893</t>
  </si>
  <si>
    <t xml:space="preserve">21109 Jakob </t>
  </si>
  <si>
    <t>492557 Tone</t>
  </si>
  <si>
    <t>Bag 0555</t>
  </si>
  <si>
    <t>555</t>
  </si>
  <si>
    <t>29/109/2</t>
  </si>
  <si>
    <t>C47BD493</t>
  </si>
  <si>
    <t xml:space="preserve">21106 Carl </t>
  </si>
  <si>
    <t>492594 Mikkel</t>
  </si>
  <si>
    <t>Bag 0148</t>
  </si>
  <si>
    <t>29/109/3</t>
  </si>
  <si>
    <t>F4CECB93</t>
  </si>
  <si>
    <t>717298 Simon</t>
  </si>
  <si>
    <t>Bag 1018</t>
  </si>
  <si>
    <t>1018</t>
  </si>
  <si>
    <t>29/110/1</t>
  </si>
  <si>
    <t>A4494594</t>
  </si>
  <si>
    <t xml:space="preserve">21201 Alexander </t>
  </si>
  <si>
    <t>496935 Nikolai</t>
  </si>
  <si>
    <t>Bag 0551</t>
  </si>
  <si>
    <t>551</t>
  </si>
  <si>
    <t>29/110/2</t>
  </si>
  <si>
    <t>C4BEDA93</t>
  </si>
  <si>
    <t xml:space="preserve">21202 Axel </t>
  </si>
  <si>
    <t>Bag 0354</t>
  </si>
  <si>
    <t>354</t>
  </si>
  <si>
    <t>29/110/3</t>
  </si>
  <si>
    <t>2414CF93</t>
  </si>
  <si>
    <t>481491 Valdemar</t>
  </si>
  <si>
    <t>Bag 0715</t>
  </si>
  <si>
    <t>715</t>
  </si>
  <si>
    <t>29/111/1</t>
  </si>
  <si>
    <t>947DD393</t>
  </si>
  <si>
    <t>21205 Melker</t>
  </si>
  <si>
    <t>Bag 0164</t>
  </si>
  <si>
    <t>416374 Anna</t>
  </si>
  <si>
    <t>164</t>
  </si>
  <si>
    <t>29/111/2</t>
  </si>
  <si>
    <t>B454DE93</t>
  </si>
  <si>
    <t xml:space="preserve">21204 Jacob </t>
  </si>
  <si>
    <t>215371 Rune</t>
  </si>
  <si>
    <t>Bag 0028</t>
  </si>
  <si>
    <t>29/111/3</t>
  </si>
  <si>
    <t>440CD493</t>
  </si>
  <si>
    <t>216819 Michael</t>
  </si>
  <si>
    <t>Bag 0183</t>
  </si>
  <si>
    <t>183</t>
  </si>
  <si>
    <t>29/112/1</t>
  </si>
  <si>
    <t>0480DC93</t>
  </si>
  <si>
    <t xml:space="preserve">21207 Joel </t>
  </si>
  <si>
    <t>Bag 0386</t>
  </si>
  <si>
    <t>386</t>
  </si>
  <si>
    <t>29/112/2</t>
  </si>
  <si>
    <t>6450DF93</t>
  </si>
  <si>
    <t>21208 Hugo</t>
  </si>
  <si>
    <t>Bag 0881</t>
  </si>
  <si>
    <t>881</t>
  </si>
  <si>
    <t>29/112/3</t>
  </si>
  <si>
    <t>B4E7CC93</t>
  </si>
  <si>
    <t>338195 Kim</t>
  </si>
  <si>
    <t>Bag 0170</t>
  </si>
  <si>
    <t>170</t>
  </si>
  <si>
    <t>29/113/1</t>
  </si>
  <si>
    <t>84D8DC93</t>
  </si>
  <si>
    <t xml:space="preserve">21209 Niklas </t>
  </si>
  <si>
    <t>505433 Christian</t>
  </si>
  <si>
    <t>Bag 0867</t>
  </si>
  <si>
    <t>867</t>
  </si>
  <si>
    <t>29/113/2</t>
  </si>
  <si>
    <t>848BCD93</t>
  </si>
  <si>
    <t xml:space="preserve">21206 Carl </t>
  </si>
  <si>
    <t>Bag 0441</t>
  </si>
  <si>
    <t>441</t>
  </si>
  <si>
    <t>29/113/3</t>
  </si>
  <si>
    <t>14E2DB93</t>
  </si>
  <si>
    <t>519832 Anders</t>
  </si>
  <si>
    <t>Bag 0115</t>
  </si>
  <si>
    <t>29/114/1</t>
  </si>
  <si>
    <t>64AFCA93</t>
  </si>
  <si>
    <t>21301 Hampus</t>
  </si>
  <si>
    <t>619169 Joshua</t>
  </si>
  <si>
    <t>Bag 1158</t>
  </si>
  <si>
    <t>1158</t>
  </si>
  <si>
    <t>29/114/2</t>
  </si>
  <si>
    <t>342DD793</t>
  </si>
  <si>
    <t xml:space="preserve">21302 Ludwig </t>
  </si>
  <si>
    <t>445978 Jacob</t>
  </si>
  <si>
    <t>Bag 0601</t>
  </si>
  <si>
    <t>601</t>
  </si>
  <si>
    <t>29/114/3</t>
  </si>
  <si>
    <t>A4E4D593</t>
  </si>
  <si>
    <t>485950 Jakob</t>
  </si>
  <si>
    <t>Bag 1118</t>
  </si>
  <si>
    <t>1118</t>
  </si>
  <si>
    <t>29/115/1</t>
  </si>
  <si>
    <t>74E7D793</t>
  </si>
  <si>
    <t xml:space="preserve">21305 Linus </t>
  </si>
  <si>
    <t>Bag 0629</t>
  </si>
  <si>
    <t>629</t>
  </si>
  <si>
    <t>29/115/2</t>
  </si>
  <si>
    <t>F4ABCB93</t>
  </si>
  <si>
    <t xml:space="preserve">21304 Loke </t>
  </si>
  <si>
    <t>514429 Saifudin</t>
  </si>
  <si>
    <t>Bag 0112</t>
  </si>
  <si>
    <t>29/115/3</t>
  </si>
  <si>
    <t>3406CE93</t>
  </si>
  <si>
    <t>514529 Emil</t>
  </si>
  <si>
    <t>Bag 1192</t>
  </si>
  <si>
    <t>1192</t>
  </si>
  <si>
    <t>29/116/1</t>
  </si>
  <si>
    <t>D4F6DA93</t>
  </si>
  <si>
    <t>21307 Elliot</t>
  </si>
  <si>
    <t>425346 Simon</t>
  </si>
  <si>
    <t>Bag 0207</t>
  </si>
  <si>
    <t>207</t>
  </si>
  <si>
    <t>29/116/2</t>
  </si>
  <si>
    <t>6484CD93</t>
  </si>
  <si>
    <t xml:space="preserve">21308 Willy </t>
  </si>
  <si>
    <t>500730 Malte</t>
  </si>
  <si>
    <t>Bag 0693</t>
  </si>
  <si>
    <t>693</t>
  </si>
  <si>
    <t>29/116/3</t>
  </si>
  <si>
    <t>1414CD93</t>
  </si>
  <si>
    <t>506762 Mikkel</t>
  </si>
  <si>
    <t>Bag 0700</t>
  </si>
  <si>
    <t>700</t>
  </si>
  <si>
    <t>29/117/1</t>
  </si>
  <si>
    <t>3494D493</t>
  </si>
  <si>
    <t xml:space="preserve">21309 Felix </t>
  </si>
  <si>
    <t>113638 Roseline</t>
  </si>
  <si>
    <t>Bag 0755</t>
  </si>
  <si>
    <t>755</t>
  </si>
  <si>
    <t>29/117/2</t>
  </si>
  <si>
    <t>2424E593</t>
  </si>
  <si>
    <t xml:space="preserve">21306 Jakub </t>
  </si>
  <si>
    <t>Bag 0868</t>
  </si>
  <si>
    <t>868</t>
  </si>
  <si>
    <t>29/117/3</t>
  </si>
  <si>
    <t>A48F3694</t>
  </si>
  <si>
    <t>Bag 0331</t>
  </si>
  <si>
    <t>Zahit GUNES NSPA</t>
  </si>
  <si>
    <t>331</t>
  </si>
  <si>
    <t>29/118/1</t>
  </si>
  <si>
    <t>E4C9DE93</t>
  </si>
  <si>
    <t xml:space="preserve">21001 Andre </t>
  </si>
  <si>
    <t>514346 Asger</t>
  </si>
  <si>
    <t>Bag 0122</t>
  </si>
  <si>
    <t>E44E3E94</t>
  </si>
  <si>
    <t>29/118/2</t>
  </si>
  <si>
    <t>6455DF93</t>
  </si>
  <si>
    <t>185919 Charles-Étienne</t>
  </si>
  <si>
    <t>Bag 0819</t>
  </si>
  <si>
    <t>819</t>
  </si>
  <si>
    <t>29/118/3</t>
  </si>
  <si>
    <t>241BCD93</t>
  </si>
  <si>
    <t>345010 Simon</t>
  </si>
  <si>
    <t>Bag 1119</t>
  </si>
  <si>
    <t>1119</t>
  </si>
  <si>
    <t>29/119/1</t>
  </si>
  <si>
    <t>6485DB93</t>
  </si>
  <si>
    <t xml:space="preserve">21002 Klara </t>
  </si>
  <si>
    <t>443057 Piet</t>
  </si>
  <si>
    <t>Bag 0157</t>
  </si>
  <si>
    <t>29/119/2</t>
  </si>
  <si>
    <t>9451F093</t>
  </si>
  <si>
    <t>068869 Stéfany</t>
  </si>
  <si>
    <t>Bag 0719</t>
  </si>
  <si>
    <t>719</t>
  </si>
  <si>
    <t>29/119/3</t>
  </si>
  <si>
    <t>546DCC93</t>
  </si>
  <si>
    <t>815657 Willyam</t>
  </si>
  <si>
    <t>Bag 0527</t>
  </si>
  <si>
    <t>527</t>
  </si>
  <si>
    <t>29/120/1</t>
  </si>
  <si>
    <t>742AD793</t>
  </si>
  <si>
    <t xml:space="preserve">20048 Johan </t>
  </si>
  <si>
    <t>Duran</t>
  </si>
  <si>
    <t>Duran NSPA</t>
  </si>
  <si>
    <t>Bag 0337</t>
  </si>
  <si>
    <t>337</t>
  </si>
  <si>
    <t>29/120/2</t>
  </si>
  <si>
    <t>E44FD093</t>
  </si>
  <si>
    <t>501145 Anders</t>
  </si>
  <si>
    <t>Bag 0444</t>
  </si>
  <si>
    <t>444</t>
  </si>
  <si>
    <t>29/120/3</t>
  </si>
  <si>
    <t>14503594</t>
  </si>
  <si>
    <t>487302 Mads</t>
  </si>
  <si>
    <t>Bag 0296</t>
  </si>
  <si>
    <t>296</t>
  </si>
  <si>
    <t>29/2/E1/1</t>
  </si>
  <si>
    <t>E4D9D393</t>
  </si>
  <si>
    <t>523384 Théophane</t>
  </si>
  <si>
    <t>Bag 0598</t>
  </si>
  <si>
    <t>598</t>
  </si>
  <si>
    <t>29/2/E1/2</t>
  </si>
  <si>
    <t>04783C94</t>
  </si>
  <si>
    <t>Bag 0073</t>
  </si>
  <si>
    <t>29/2/E1/3</t>
  </si>
  <si>
    <t>548FCE93</t>
  </si>
  <si>
    <t>492854 Marcus</t>
  </si>
  <si>
    <t>Bag 0842</t>
  </si>
  <si>
    <t>842</t>
  </si>
  <si>
    <t>29/2/E2/1</t>
  </si>
  <si>
    <t>E42ECC93</t>
  </si>
  <si>
    <t>Bag 0360</t>
  </si>
  <si>
    <t>360</t>
  </si>
  <si>
    <t>29/2/E2/2</t>
  </si>
  <si>
    <t>049FCA93</t>
  </si>
  <si>
    <t>497575 Tobias</t>
  </si>
  <si>
    <t>Bag 0490</t>
  </si>
  <si>
    <t>490</t>
  </si>
  <si>
    <t>29/2/E2/3</t>
  </si>
  <si>
    <t>C405DD93</t>
  </si>
  <si>
    <t>417366 Asthor</t>
  </si>
  <si>
    <t>Bag 0079</t>
  </si>
  <si>
    <t>79</t>
  </si>
  <si>
    <t>29/201/1</t>
  </si>
  <si>
    <t>0443DE93</t>
  </si>
  <si>
    <t>22001 Anton</t>
  </si>
  <si>
    <t>506155 Eyð</t>
  </si>
  <si>
    <t>Bag 0917</t>
  </si>
  <si>
    <t>917</t>
  </si>
  <si>
    <t>29/201/2</t>
  </si>
  <si>
    <t>B46DDC93</t>
  </si>
  <si>
    <t>292823 Palle</t>
  </si>
  <si>
    <t>Bag 0166</t>
  </si>
  <si>
    <t>166</t>
  </si>
  <si>
    <t>29/201/3</t>
  </si>
  <si>
    <t>C49ACC93</t>
  </si>
  <si>
    <t>179054 Torben</t>
  </si>
  <si>
    <t>Bag 0730</t>
  </si>
  <si>
    <t>730</t>
  </si>
  <si>
    <t>29/202/1</t>
  </si>
  <si>
    <t>7453DA93</t>
  </si>
  <si>
    <t xml:space="preserve">22002 Omar </t>
  </si>
  <si>
    <t>456859 Helene</t>
  </si>
  <si>
    <t>Bag 0941</t>
  </si>
  <si>
    <t>941</t>
  </si>
  <si>
    <t>29/202/2</t>
  </si>
  <si>
    <t>748DCC93</t>
  </si>
  <si>
    <t>476290 Lasse</t>
  </si>
  <si>
    <t>Bag 0884</t>
  </si>
  <si>
    <t>884</t>
  </si>
  <si>
    <t>29/202/3</t>
  </si>
  <si>
    <t>6493D193</t>
  </si>
  <si>
    <t>500808 Tobias</t>
  </si>
  <si>
    <t>Bag 0262</t>
  </si>
  <si>
    <t>262</t>
  </si>
  <si>
    <t>29/203/1</t>
  </si>
  <si>
    <t>440BCD93</t>
  </si>
  <si>
    <t xml:space="preserve">22101 Jona </t>
  </si>
  <si>
    <t>483789 Jonas</t>
  </si>
  <si>
    <t>Bag 0486</t>
  </si>
  <si>
    <t>486</t>
  </si>
  <si>
    <t>29/203/2</t>
  </si>
  <si>
    <t>54E2ED93</t>
  </si>
  <si>
    <t xml:space="preserve">22102 Emil </t>
  </si>
  <si>
    <t>464254 Daniel</t>
  </si>
  <si>
    <t>Bag 0681</t>
  </si>
  <si>
    <t>681</t>
  </si>
  <si>
    <t>29/203/3</t>
  </si>
  <si>
    <t>2481CE93</t>
  </si>
  <si>
    <t>507018 Matthew</t>
  </si>
  <si>
    <t>Bag 0511</t>
  </si>
  <si>
    <t>511</t>
  </si>
  <si>
    <t>29/204/1</t>
  </si>
  <si>
    <t>F45DDC93</t>
  </si>
  <si>
    <t xml:space="preserve">22105 Gustav </t>
  </si>
  <si>
    <t>Bag 1131</t>
  </si>
  <si>
    <t>1131</t>
  </si>
  <si>
    <t>29/204/2</t>
  </si>
  <si>
    <t>A4B6CA93</t>
  </si>
  <si>
    <t>22104 Maximilian</t>
  </si>
  <si>
    <t>490451 Oliver</t>
  </si>
  <si>
    <t>Bag 0675</t>
  </si>
  <si>
    <t>675</t>
  </si>
  <si>
    <t>29/204/3</t>
  </si>
  <si>
    <t>3460CB93</t>
  </si>
  <si>
    <t>Bag 0870</t>
  </si>
  <si>
    <t>870</t>
  </si>
  <si>
    <t>29/205/1</t>
  </si>
  <si>
    <t>94B93694</t>
  </si>
  <si>
    <t xml:space="preserve">22107 Victor </t>
  </si>
  <si>
    <t>513098 Tobias</t>
  </si>
  <si>
    <t>Bag 0099</t>
  </si>
  <si>
    <t>29/205/2</t>
  </si>
  <si>
    <t>A496CF93</t>
  </si>
  <si>
    <t xml:space="preserve">22110 Joel </t>
  </si>
  <si>
    <t>487221 Aasted</t>
  </si>
  <si>
    <t>Bag 0787</t>
  </si>
  <si>
    <t>787</t>
  </si>
  <si>
    <t>29/205/3</t>
  </si>
  <si>
    <t>D4DEDD93</t>
  </si>
  <si>
    <t>305463 Sébastien</t>
  </si>
  <si>
    <t>Bag 0773</t>
  </si>
  <si>
    <t>773</t>
  </si>
  <si>
    <t>29/206/1</t>
  </si>
  <si>
    <t>A446D593</t>
  </si>
  <si>
    <t>22109 Lino</t>
  </si>
  <si>
    <t>513027 Sigrid</t>
  </si>
  <si>
    <t>Bag 0428</t>
  </si>
  <si>
    <t>428</t>
  </si>
  <si>
    <t>29/206/2</t>
  </si>
  <si>
    <t>F4E53A94</t>
  </si>
  <si>
    <t xml:space="preserve">22108 Elliot </t>
  </si>
  <si>
    <t>399105 Christoffer</t>
  </si>
  <si>
    <t>Bag 0793</t>
  </si>
  <si>
    <t>793</t>
  </si>
  <si>
    <t>29/206/3</t>
  </si>
  <si>
    <t>748ACA93</t>
  </si>
  <si>
    <t>464555 Malthe</t>
  </si>
  <si>
    <t>Bag 0908</t>
  </si>
  <si>
    <t>908</t>
  </si>
  <si>
    <t>29/207/1</t>
  </si>
  <si>
    <t>5401D293</t>
  </si>
  <si>
    <t xml:space="preserve">22201 Gustaf </t>
  </si>
  <si>
    <t>485750 Mathilde</t>
  </si>
  <si>
    <t>Bag 0238</t>
  </si>
  <si>
    <t>238</t>
  </si>
  <si>
    <t>29/207/2</t>
  </si>
  <si>
    <t>1498CA93</t>
  </si>
  <si>
    <t xml:space="preserve">22208 Elias </t>
  </si>
  <si>
    <t>459243 Viktor</t>
  </si>
  <si>
    <t>Bag 0421</t>
  </si>
  <si>
    <t>421</t>
  </si>
  <si>
    <t>29/207/3</t>
  </si>
  <si>
    <t>B4A53D94</t>
  </si>
  <si>
    <t>216841 Jonathan</t>
  </si>
  <si>
    <t>Bag 0497</t>
  </si>
  <si>
    <t>497</t>
  </si>
  <si>
    <t>29/208/1</t>
  </si>
  <si>
    <t>14014094</t>
  </si>
  <si>
    <t xml:space="preserve">22205 Oskar </t>
  </si>
  <si>
    <t>492649 Anne</t>
  </si>
  <si>
    <t>Bag 0464</t>
  </si>
  <si>
    <t>464</t>
  </si>
  <si>
    <t>29/208/2</t>
  </si>
  <si>
    <t>C414D993</t>
  </si>
  <si>
    <t xml:space="preserve">22204 Felix </t>
  </si>
  <si>
    <t>499559 Kristian</t>
  </si>
  <si>
    <t>Bag 1163</t>
  </si>
  <si>
    <t>1163</t>
  </si>
  <si>
    <t>29/208/3</t>
  </si>
  <si>
    <t>540F3794</t>
  </si>
  <si>
    <t>495808 Christopher</t>
  </si>
  <si>
    <t>Bag 0491</t>
  </si>
  <si>
    <t>491</t>
  </si>
  <si>
    <t>29/209/1</t>
  </si>
  <si>
    <t>0410CD93</t>
  </si>
  <si>
    <t xml:space="preserve">22202 Theo </t>
  </si>
  <si>
    <t>Bag 0316</t>
  </si>
  <si>
    <t>316</t>
  </si>
  <si>
    <t>29/209/2</t>
  </si>
  <si>
    <t>E4FDD593</t>
  </si>
  <si>
    <t xml:space="preserve">22210 Gustav </t>
  </si>
  <si>
    <t>Bag 0346</t>
  </si>
  <si>
    <t>346</t>
  </si>
  <si>
    <t>29/209/3</t>
  </si>
  <si>
    <t>64A83494</t>
  </si>
  <si>
    <t>Bag 0769</t>
  </si>
  <si>
    <t>769</t>
  </si>
  <si>
    <t>29/210/1</t>
  </si>
  <si>
    <t>E4DFD293</t>
  </si>
  <si>
    <t>22209 Kevin</t>
  </si>
  <si>
    <t>443393 Marcus</t>
  </si>
  <si>
    <t>Bag 0745</t>
  </si>
  <si>
    <t>745</t>
  </si>
  <si>
    <t>29/210/2</t>
  </si>
  <si>
    <t>D42CCC93</t>
  </si>
  <si>
    <t>22207 Adam</t>
  </si>
  <si>
    <t>501341 Karl</t>
  </si>
  <si>
    <t>Bag 1196</t>
  </si>
  <si>
    <t>1196</t>
  </si>
  <si>
    <t>29/210/3</t>
  </si>
  <si>
    <t>A4F43594</t>
  </si>
  <si>
    <t>336882 Kim</t>
  </si>
  <si>
    <t>Bag 0271</t>
  </si>
  <si>
    <t>271</t>
  </si>
  <si>
    <t>29/211/1</t>
  </si>
  <si>
    <t>7459D393</t>
  </si>
  <si>
    <t xml:space="preserve">22301 Nils </t>
  </si>
  <si>
    <t>474940 Anders</t>
  </si>
  <si>
    <t>Bag 0951</t>
  </si>
  <si>
    <t>951</t>
  </si>
  <si>
    <t>29/211/2</t>
  </si>
  <si>
    <t>7495CF93</t>
  </si>
  <si>
    <t xml:space="preserve">22302 Elias </t>
  </si>
  <si>
    <t>486889 Adam</t>
  </si>
  <si>
    <t>Bag 0471</t>
  </si>
  <si>
    <t>471</t>
  </si>
  <si>
    <t>29/211/3</t>
  </si>
  <si>
    <t>C424CF93</t>
  </si>
  <si>
    <t>500597 Mads</t>
  </si>
  <si>
    <t>Bag 0422</t>
  </si>
  <si>
    <t>422</t>
  </si>
  <si>
    <t>29/212/1</t>
  </si>
  <si>
    <t>A44F4494</t>
  </si>
  <si>
    <t>22305 Isac</t>
  </si>
  <si>
    <t>503412 Christoffer</t>
  </si>
  <si>
    <t>Bag 0487</t>
  </si>
  <si>
    <t>487</t>
  </si>
  <si>
    <t>29/212/2</t>
  </si>
  <si>
    <t>E422CC93</t>
  </si>
  <si>
    <t xml:space="preserve">22304 Leon </t>
  </si>
  <si>
    <t>513627 Oscar</t>
  </si>
  <si>
    <t>Bag 0556</t>
  </si>
  <si>
    <t>556</t>
  </si>
  <si>
    <t>29/212/3</t>
  </si>
  <si>
    <t>0442D093</t>
  </si>
  <si>
    <t>186714 Kenn, Ankommer uge 47</t>
  </si>
  <si>
    <t>Bag 0574</t>
  </si>
  <si>
    <t>574</t>
  </si>
  <si>
    <t>29/213/1</t>
  </si>
  <si>
    <t>043BDE93</t>
  </si>
  <si>
    <t xml:space="preserve">22310 Anton </t>
  </si>
  <si>
    <t>Bag 0399</t>
  </si>
  <si>
    <t>399</t>
  </si>
  <si>
    <t>29/213/2</t>
  </si>
  <si>
    <t>B482E093</t>
  </si>
  <si>
    <t>22307 Måns</t>
  </si>
  <si>
    <t>495942 Oscar</t>
  </si>
  <si>
    <t>Bag 0052</t>
  </si>
  <si>
    <t>52</t>
  </si>
  <si>
    <t>29/213/3</t>
  </si>
  <si>
    <t>740D3794</t>
  </si>
  <si>
    <t>Bag 0361</t>
  </si>
  <si>
    <t>361</t>
  </si>
  <si>
    <t>29/214/1</t>
  </si>
  <si>
    <t>84E4D593</t>
  </si>
  <si>
    <t>22309 Victor</t>
  </si>
  <si>
    <t>Bag 0720</t>
  </si>
  <si>
    <t>720</t>
  </si>
  <si>
    <t>29/214/2</t>
  </si>
  <si>
    <t>F443D093</t>
  </si>
  <si>
    <t xml:space="preserve">22308 Gustav </t>
  </si>
  <si>
    <t>513965 Magnus</t>
  </si>
  <si>
    <t>Bag 0143</t>
  </si>
  <si>
    <t>143</t>
  </si>
  <si>
    <t>29/214/3</t>
  </si>
  <si>
    <t>D4FC3894</t>
  </si>
  <si>
    <t>399867 Steffen</t>
  </si>
  <si>
    <t>Bag 0633</t>
  </si>
  <si>
    <t>633</t>
  </si>
  <si>
    <t>29/215/1</t>
  </si>
  <si>
    <t>F452DA93</t>
  </si>
  <si>
    <t xml:space="preserve">22103 Evelina </t>
  </si>
  <si>
    <t>514351 Chris</t>
  </si>
  <si>
    <t>Bag 0260</t>
  </si>
  <si>
    <t>260</t>
  </si>
  <si>
    <t>29/215/2</t>
  </si>
  <si>
    <t>547CDD93</t>
  </si>
  <si>
    <t>486611 Mads</t>
  </si>
  <si>
    <t>Bag 0533</t>
  </si>
  <si>
    <t>533</t>
  </si>
  <si>
    <t>29/215/3</t>
  </si>
  <si>
    <t>84EED193</t>
  </si>
  <si>
    <t>351831 Martin</t>
  </si>
  <si>
    <t>Bag 0644</t>
  </si>
  <si>
    <t>644</t>
  </si>
  <si>
    <t>29/216/1</t>
  </si>
  <si>
    <t>B4AFD793</t>
  </si>
  <si>
    <t xml:space="preserve">23105 Elliot </t>
  </si>
  <si>
    <t>431398 Dorte</t>
  </si>
  <si>
    <t>Bag 0969</t>
  </si>
  <si>
    <t>969</t>
  </si>
  <si>
    <t>29/216/2</t>
  </si>
  <si>
    <t>A4A6D693</t>
  </si>
  <si>
    <t xml:space="preserve">23104 Truls </t>
  </si>
  <si>
    <t>514324 Ole bjørn</t>
  </si>
  <si>
    <t>Bag 0494</t>
  </si>
  <si>
    <t>494</t>
  </si>
  <si>
    <t>29/216/3</t>
  </si>
  <si>
    <t>7453DF93</t>
  </si>
  <si>
    <t>23103 Olle</t>
  </si>
  <si>
    <t>762295 Jean-Sébastien</t>
  </si>
  <si>
    <t>Bag 0979</t>
  </si>
  <si>
    <t>979</t>
  </si>
  <si>
    <t>29/217/1</t>
  </si>
  <si>
    <t>2467D693</t>
  </si>
  <si>
    <t>501407 Morten</t>
  </si>
  <si>
    <t>Bag 0306</t>
  </si>
  <si>
    <t>306</t>
  </si>
  <si>
    <t>29/217/2</t>
  </si>
  <si>
    <t>B4ADD793</t>
  </si>
  <si>
    <t>Bag 0392</t>
  </si>
  <si>
    <t>392</t>
  </si>
  <si>
    <t>29/217/3</t>
  </si>
  <si>
    <t>4474D193</t>
  </si>
  <si>
    <t>450861 Simon</t>
  </si>
  <si>
    <t>Bag 0056</t>
  </si>
  <si>
    <t>29/218/1</t>
  </si>
  <si>
    <t>74D5F393</t>
  </si>
  <si>
    <t xml:space="preserve">23107 Sixten </t>
  </si>
  <si>
    <t>462802 Mads</t>
  </si>
  <si>
    <t>Bag 0042</t>
  </si>
  <si>
    <t>29/218/2</t>
  </si>
  <si>
    <t>8452DA93</t>
  </si>
  <si>
    <t xml:space="preserve">23108 Lukas </t>
  </si>
  <si>
    <t>503513 Lukas</t>
  </si>
  <si>
    <t>Bag 0484</t>
  </si>
  <si>
    <t>484</t>
  </si>
  <si>
    <t>29/218/3</t>
  </si>
  <si>
    <t>1418CB93</t>
  </si>
  <si>
    <t>494521 Emil</t>
  </si>
  <si>
    <t>Bag 0648</t>
  </si>
  <si>
    <t>648</t>
  </si>
  <si>
    <t>29/219/1</t>
  </si>
  <si>
    <t>A4E84494</t>
  </si>
  <si>
    <t>23002 Ludwig</t>
  </si>
  <si>
    <t>Bag 0677</t>
  </si>
  <si>
    <t>677</t>
  </si>
  <si>
    <t>29/219/2</t>
  </si>
  <si>
    <t>5402CE93</t>
  </si>
  <si>
    <t>411811 Sebastian</t>
  </si>
  <si>
    <t>Bag 0602</t>
  </si>
  <si>
    <t>602</t>
  </si>
  <si>
    <t>29/219/3</t>
  </si>
  <si>
    <t>544BF193</t>
  </si>
  <si>
    <t>452008 Simon</t>
  </si>
  <si>
    <t>Bag 0206</t>
  </si>
  <si>
    <t>206</t>
  </si>
  <si>
    <t>29/220/1</t>
  </si>
  <si>
    <t>A4A7D793</t>
  </si>
  <si>
    <t>23001 Hampus</t>
  </si>
  <si>
    <t>432465 Hans Peter</t>
  </si>
  <si>
    <t>Bag 0582</t>
  </si>
  <si>
    <t>582</t>
  </si>
  <si>
    <t>29/220/2</t>
  </si>
  <si>
    <t>84233D94</t>
  </si>
  <si>
    <t>502077 Nils</t>
  </si>
  <si>
    <t>Bag 0703</t>
  </si>
  <si>
    <t>703</t>
  </si>
  <si>
    <t>29/220/3</t>
  </si>
  <si>
    <t>746DDB93</t>
  </si>
  <si>
    <t>384615 Aksel</t>
  </si>
  <si>
    <t>Bag 1036</t>
  </si>
  <si>
    <t>1036</t>
  </si>
  <si>
    <t>29/D1/1</t>
  </si>
  <si>
    <t>74C4D093</t>
  </si>
  <si>
    <t>496387 Rasmus</t>
  </si>
  <si>
    <t>Bag 0485</t>
  </si>
  <si>
    <t>485</t>
  </si>
  <si>
    <t>29/D1/2</t>
  </si>
  <si>
    <t>5423CF93</t>
  </si>
  <si>
    <t>513938 Jonas</t>
  </si>
  <si>
    <t>Bag 1182</t>
  </si>
  <si>
    <t>1182</t>
  </si>
  <si>
    <t>29/D1/3</t>
  </si>
  <si>
    <t>D4DCD893</t>
  </si>
  <si>
    <t>513694 Kasper</t>
  </si>
  <si>
    <t>Bag 1161</t>
  </si>
  <si>
    <t>1161</t>
  </si>
  <si>
    <t>29/D2/1</t>
  </si>
  <si>
    <t>4400D793</t>
  </si>
  <si>
    <t>501174 Freja</t>
  </si>
  <si>
    <t>Bag 0662</t>
  </si>
  <si>
    <t>662</t>
  </si>
  <si>
    <t>29/D2/2</t>
  </si>
  <si>
    <t>44EB4094</t>
  </si>
  <si>
    <t>477038 Lucas</t>
  </si>
  <si>
    <t>Bag 0663</t>
  </si>
  <si>
    <t>663</t>
  </si>
  <si>
    <t>29/D2/3</t>
  </si>
  <si>
    <t>A4F83594</t>
  </si>
  <si>
    <t>395126 Ian</t>
  </si>
  <si>
    <t>Bag 0972</t>
  </si>
  <si>
    <t>972</t>
  </si>
  <si>
    <t>30/1/E1/1</t>
  </si>
  <si>
    <t>84B1CA93</t>
  </si>
  <si>
    <t>785639 Mark-Antoine</t>
  </si>
  <si>
    <t>Bag 0809</t>
  </si>
  <si>
    <t>809</t>
  </si>
  <si>
    <t>30/1/E1/2</t>
  </si>
  <si>
    <t>A452D393</t>
  </si>
  <si>
    <t>175778 Johnny Egon, ankommer uge 43</t>
  </si>
  <si>
    <t>Bag 0597</t>
  </si>
  <si>
    <t>597</t>
  </si>
  <si>
    <t>30/1/E1/3</t>
  </si>
  <si>
    <t>1000000</t>
  </si>
  <si>
    <t>Bag 1074</t>
  </si>
  <si>
    <t>1074</t>
  </si>
  <si>
    <t>30/1/E2/1</t>
  </si>
  <si>
    <t>0457D393</t>
  </si>
  <si>
    <t>399187 Henrik</t>
  </si>
  <si>
    <t>Bag 0704</t>
  </si>
  <si>
    <t>704</t>
  </si>
  <si>
    <t>30/1/E2/2</t>
  </si>
  <si>
    <t>544A4594</t>
  </si>
  <si>
    <t>589457 Marie-Christine</t>
  </si>
  <si>
    <t>Bag 0829</t>
  </si>
  <si>
    <t>829</t>
  </si>
  <si>
    <t>30/1/E2/3</t>
  </si>
  <si>
    <t>C4B34494</t>
  </si>
  <si>
    <t>473735 Thor</t>
  </si>
  <si>
    <t>Bag 1125</t>
  </si>
  <si>
    <t>1125</t>
  </si>
  <si>
    <t>30/101/1</t>
  </si>
  <si>
    <t>2476CE93</t>
  </si>
  <si>
    <t xml:space="preserve">52303 Agnes </t>
  </si>
  <si>
    <t>491955 David</t>
  </si>
  <si>
    <t>Bag 0508</t>
  </si>
  <si>
    <t>508</t>
  </si>
  <si>
    <t>30/101/2</t>
  </si>
  <si>
    <t>D47DD893</t>
  </si>
  <si>
    <t xml:space="preserve">52103 Siri </t>
  </si>
  <si>
    <t>468209 Mads</t>
  </si>
  <si>
    <t>Bag 0195</t>
  </si>
  <si>
    <t>195</t>
  </si>
  <si>
    <t>30/101/3</t>
  </si>
  <si>
    <t>9474E693</t>
  </si>
  <si>
    <t>447402 Phillip</t>
  </si>
  <si>
    <t>Bag 0576</t>
  </si>
  <si>
    <t>576</t>
  </si>
  <si>
    <t>30/102/1</t>
  </si>
  <si>
    <t>C440D393</t>
  </si>
  <si>
    <t xml:space="preserve">52313 Simon </t>
  </si>
  <si>
    <t>Bag 0857</t>
  </si>
  <si>
    <t>857</t>
  </si>
  <si>
    <t>30/102/2</t>
  </si>
  <si>
    <t>14FFCC93</t>
  </si>
  <si>
    <t xml:space="preserve">52312 Oliver </t>
  </si>
  <si>
    <t>482466 Nichlas</t>
  </si>
  <si>
    <t>Bag 0433</t>
  </si>
  <si>
    <t>433</t>
  </si>
  <si>
    <t>30/102/3</t>
  </si>
  <si>
    <t>047FCC93</t>
  </si>
  <si>
    <t>446996 André</t>
  </si>
  <si>
    <t>Bag 0726</t>
  </si>
  <si>
    <t>726</t>
  </si>
  <si>
    <t>30/103/1</t>
  </si>
  <si>
    <t>84FEDD93</t>
  </si>
  <si>
    <t>52308 Wiktor</t>
  </si>
  <si>
    <t>508997 Silas</t>
  </si>
  <si>
    <t>Bag 0446</t>
  </si>
  <si>
    <t>446</t>
  </si>
  <si>
    <t>30/103/2</t>
  </si>
  <si>
    <t>74464694</t>
  </si>
  <si>
    <t xml:space="preserve">52310 Erik </t>
  </si>
  <si>
    <t>519350 Andreas</t>
  </si>
  <si>
    <t>Bag 0451</t>
  </si>
  <si>
    <t>451</t>
  </si>
  <si>
    <t>30/103/3</t>
  </si>
  <si>
    <t>D444D793</t>
  </si>
  <si>
    <t>456318 Martin</t>
  </si>
  <si>
    <t>Bag 1197</t>
  </si>
  <si>
    <t>1197</t>
  </si>
  <si>
    <t>30/104/1</t>
  </si>
  <si>
    <t>349CCA93</t>
  </si>
  <si>
    <t xml:space="preserve">52311 August </t>
  </si>
  <si>
    <t>223880 Jakob</t>
  </si>
  <si>
    <t>Bag 0037</t>
  </si>
  <si>
    <t>30/104/2</t>
  </si>
  <si>
    <t>7485CD93</t>
  </si>
  <si>
    <t xml:space="preserve">52105 Elias </t>
  </si>
  <si>
    <t>162351 Jérôme</t>
  </si>
  <si>
    <t>Bag 0759</t>
  </si>
  <si>
    <t>759</t>
  </si>
  <si>
    <t>30/104/3</t>
  </si>
  <si>
    <t>3402D293</t>
  </si>
  <si>
    <t>477005 Patrick</t>
  </si>
  <si>
    <t>Bag 0492</t>
  </si>
  <si>
    <t>492</t>
  </si>
  <si>
    <t>30/105/1</t>
  </si>
  <si>
    <t>C4F83594</t>
  </si>
  <si>
    <t xml:space="preserve">52309 Aron </t>
  </si>
  <si>
    <t>Bag 0358</t>
  </si>
  <si>
    <t>358</t>
  </si>
  <si>
    <t>30/105/2</t>
  </si>
  <si>
    <t>A448CB93</t>
  </si>
  <si>
    <t xml:space="preserve">52307 Mattias </t>
  </si>
  <si>
    <t>513446 Niels</t>
  </si>
  <si>
    <t>Bag 0998</t>
  </si>
  <si>
    <t>998</t>
  </si>
  <si>
    <t>30/105/3</t>
  </si>
  <si>
    <t>E40ECB93</t>
  </si>
  <si>
    <t>441628 Emil</t>
  </si>
  <si>
    <t>Bag 0408</t>
  </si>
  <si>
    <t>408</t>
  </si>
  <si>
    <t>30/106/1</t>
  </si>
  <si>
    <t>A41BD793</t>
  </si>
  <si>
    <t xml:space="preserve">52104 Ellen </t>
  </si>
  <si>
    <t>455509 Victor</t>
  </si>
  <si>
    <t>Bag 0186</t>
  </si>
  <si>
    <t>186</t>
  </si>
  <si>
    <t>30/106/2</t>
  </si>
  <si>
    <t>04EBD793</t>
  </si>
  <si>
    <t xml:space="preserve">52205 Nova </t>
  </si>
  <si>
    <t>512980 Caroline</t>
  </si>
  <si>
    <t>Bag 0222</t>
  </si>
  <si>
    <t>222</t>
  </si>
  <si>
    <t>30/106/3</t>
  </si>
  <si>
    <t>94B4CA93</t>
  </si>
  <si>
    <t>497745 Alexander</t>
  </si>
  <si>
    <t>Bag 0141</t>
  </si>
  <si>
    <t>30/107/1</t>
  </si>
  <si>
    <t>04C83D94</t>
  </si>
  <si>
    <t xml:space="preserve">52203 Rasmus </t>
  </si>
  <si>
    <t>497673 Holger</t>
  </si>
  <si>
    <t>Bag 0839</t>
  </si>
  <si>
    <t>839</t>
  </si>
  <si>
    <t>30/107/2</t>
  </si>
  <si>
    <t>B450D193</t>
  </si>
  <si>
    <t xml:space="preserve">52204 Gustav </t>
  </si>
  <si>
    <t>Bag 1061</t>
  </si>
  <si>
    <t>1061</t>
  </si>
  <si>
    <t>30/107/3</t>
  </si>
  <si>
    <t>74CAD593</t>
  </si>
  <si>
    <t>475050 Simon</t>
  </si>
  <si>
    <t>Bag 0420</t>
  </si>
  <si>
    <t>420</t>
  </si>
  <si>
    <t>30/108/1</t>
  </si>
  <si>
    <t>1484D993</t>
  </si>
  <si>
    <t xml:space="preserve">52401 Filip </t>
  </si>
  <si>
    <t>518229 Simon</t>
  </si>
  <si>
    <t>Bag 0117</t>
  </si>
  <si>
    <t>1460CB93</t>
  </si>
  <si>
    <t>30/108/2</t>
  </si>
  <si>
    <t>F481D893</t>
  </si>
  <si>
    <t xml:space="preserve">52415 Jakob </t>
  </si>
  <si>
    <t>Bag 0364</t>
  </si>
  <si>
    <t>364</t>
  </si>
  <si>
    <t>30/108/3</t>
  </si>
  <si>
    <t>496858 Thulani</t>
  </si>
  <si>
    <t>Bag 0245</t>
  </si>
  <si>
    <t>245</t>
  </si>
  <si>
    <t>30/109/1</t>
  </si>
  <si>
    <t>C42ED293</t>
  </si>
  <si>
    <t>52455 Eli</t>
  </si>
  <si>
    <t>468237 Lasse</t>
  </si>
  <si>
    <t>Bag 0233</t>
  </si>
  <si>
    <t>233</t>
  </si>
  <si>
    <t>30/109/2</t>
  </si>
  <si>
    <t>844DD593</t>
  </si>
  <si>
    <t>52445 Lilja</t>
  </si>
  <si>
    <t>429530 Victor</t>
  </si>
  <si>
    <t>Bag 0406</t>
  </si>
  <si>
    <t>406</t>
  </si>
  <si>
    <t>30/109/3</t>
  </si>
  <si>
    <t>6496CC93</t>
  </si>
  <si>
    <t>485211 Johannes</t>
  </si>
  <si>
    <t>Bag 0894</t>
  </si>
  <si>
    <t>894</t>
  </si>
  <si>
    <t>30/110/1</t>
  </si>
  <si>
    <t>1474CD93</t>
  </si>
  <si>
    <t>52402 Maria</t>
  </si>
  <si>
    <t>496586 Lasse</t>
  </si>
  <si>
    <t>Bag 0425</t>
  </si>
  <si>
    <t>425</t>
  </si>
  <si>
    <t>30/110/2</t>
  </si>
  <si>
    <t>9453CB93</t>
  </si>
  <si>
    <t>52405 Natalia</t>
  </si>
  <si>
    <t>462952 Thøger</t>
  </si>
  <si>
    <t>Bag 0280</t>
  </si>
  <si>
    <t>280</t>
  </si>
  <si>
    <t>30/110/3</t>
  </si>
  <si>
    <t>D476D393</t>
  </si>
  <si>
    <t>404301 Philip</t>
  </si>
  <si>
    <t>Bag 0889</t>
  </si>
  <si>
    <t>889</t>
  </si>
  <si>
    <t>30/111/1</t>
  </si>
  <si>
    <t>C47EDD93</t>
  </si>
  <si>
    <t>52425 andres</t>
  </si>
  <si>
    <t>481859 Nicolai</t>
  </si>
  <si>
    <t>Bag 0476</t>
  </si>
  <si>
    <t>476</t>
  </si>
  <si>
    <t>30/111/2</t>
  </si>
  <si>
    <t>7475DD93</t>
  </si>
  <si>
    <t>52435 Philip</t>
  </si>
  <si>
    <t>Bag 0390</t>
  </si>
  <si>
    <t>390</t>
  </si>
  <si>
    <t>30/111/3</t>
  </si>
  <si>
    <t>44B13494</t>
  </si>
  <si>
    <t>Bag 0437</t>
  </si>
  <si>
    <t>437</t>
  </si>
  <si>
    <t>30/112/1</t>
  </si>
  <si>
    <t>245DDF93</t>
  </si>
  <si>
    <t>52501 David</t>
  </si>
  <si>
    <t>415376 Jimmi</t>
  </si>
  <si>
    <t>Bag 0169</t>
  </si>
  <si>
    <t>169</t>
  </si>
  <si>
    <t>30/112/2</t>
  </si>
  <si>
    <t>D47DCD93</t>
  </si>
  <si>
    <t>52508 Algot</t>
  </si>
  <si>
    <t>Bag 0314</t>
  </si>
  <si>
    <t>314</t>
  </si>
  <si>
    <t>30/112/3</t>
  </si>
  <si>
    <t>24CFCB93</t>
  </si>
  <si>
    <t>465679 Rasmus</t>
  </si>
  <si>
    <t>Bag 0666</t>
  </si>
  <si>
    <t>666</t>
  </si>
  <si>
    <t>30/113/1</t>
  </si>
  <si>
    <t>64C0DE93</t>
  </si>
  <si>
    <t>52507 Emil</t>
  </si>
  <si>
    <t>217686 Flemming</t>
  </si>
  <si>
    <t>Bag 0915</t>
  </si>
  <si>
    <t>915</t>
  </si>
  <si>
    <t>30/113/2</t>
  </si>
  <si>
    <t>3414CB93</t>
  </si>
  <si>
    <t>52509 Jonas</t>
  </si>
  <si>
    <t>500885 Alfred</t>
  </si>
  <si>
    <t>Bag 0927</t>
  </si>
  <si>
    <t>927</t>
  </si>
  <si>
    <t>30/113/3</t>
  </si>
  <si>
    <t>F4953A94</t>
  </si>
  <si>
    <t>447084 Jefta</t>
  </si>
  <si>
    <t>Bag 0684</t>
  </si>
  <si>
    <t>684</t>
  </si>
  <si>
    <t>30/114/1</t>
  </si>
  <si>
    <t>A4DAD593</t>
  </si>
  <si>
    <t>52601 Hampus</t>
  </si>
  <si>
    <t>Bag 0311</t>
  </si>
  <si>
    <t>311</t>
  </si>
  <si>
    <t>30/114/2</t>
  </si>
  <si>
    <t>3450DB93</t>
  </si>
  <si>
    <t>52607 Simon</t>
  </si>
  <si>
    <t>Bag 0398</t>
  </si>
  <si>
    <t>398</t>
  </si>
  <si>
    <t>30/114/3</t>
  </si>
  <si>
    <t>B471DE93</t>
  </si>
  <si>
    <t>360359 Søren</t>
  </si>
  <si>
    <t>Bag 0585</t>
  </si>
  <si>
    <t>585</t>
  </si>
  <si>
    <t>30/115/1</t>
  </si>
  <si>
    <t>A4B04494</t>
  </si>
  <si>
    <t>Tengman</t>
  </si>
  <si>
    <t>496307 Martin</t>
  </si>
  <si>
    <t>Bag 0098</t>
  </si>
  <si>
    <t>30/115/2</t>
  </si>
  <si>
    <t>44A8D693</t>
  </si>
  <si>
    <t>Gullbrandson</t>
  </si>
  <si>
    <t>975913 Alexandre</t>
  </si>
  <si>
    <t>Bag 1050</t>
  </si>
  <si>
    <t>1050</t>
  </si>
  <si>
    <t>30/115/3</t>
  </si>
  <si>
    <t>514204 Mikkel</t>
  </si>
  <si>
    <t>Bag 0251</t>
  </si>
  <si>
    <t>251</t>
  </si>
  <si>
    <t>30/116/1</t>
  </si>
  <si>
    <t>F491CD93</t>
  </si>
  <si>
    <t>Axelsson</t>
  </si>
  <si>
    <t>476158 Kristian</t>
  </si>
  <si>
    <t>Bag 0611</t>
  </si>
  <si>
    <t>611</t>
  </si>
  <si>
    <t>30/116/2</t>
  </si>
  <si>
    <t>D448D093</t>
  </si>
  <si>
    <t>S.Persson</t>
  </si>
  <si>
    <t>486781 Marcus</t>
  </si>
  <si>
    <t>Bag 0756</t>
  </si>
  <si>
    <t>756</t>
  </si>
  <si>
    <t>30/116/3</t>
  </si>
  <si>
    <t>A4714594</t>
  </si>
  <si>
    <t>261299 Camille</t>
  </si>
  <si>
    <t>Bag 0827</t>
  </si>
  <si>
    <t>827</t>
  </si>
  <si>
    <t>30/117/1</t>
  </si>
  <si>
    <t>1452DB93</t>
  </si>
  <si>
    <t>Berntsson</t>
  </si>
  <si>
    <t>505729 Mathias</t>
  </si>
  <si>
    <t>Bag 0101</t>
  </si>
  <si>
    <t>30/117/2</t>
  </si>
  <si>
    <t>F4C8D293</t>
  </si>
  <si>
    <t>Lange</t>
  </si>
  <si>
    <t>506555 Villads</t>
  </si>
  <si>
    <t>Bag 0135</t>
  </si>
  <si>
    <t>30/117/3</t>
  </si>
  <si>
    <t>24FFDB93</t>
  </si>
  <si>
    <t>473399 Simon</t>
  </si>
  <si>
    <t>Bag 0691</t>
  </si>
  <si>
    <t>691</t>
  </si>
  <si>
    <t>30/118/1</t>
  </si>
  <si>
    <t>C44ED593</t>
  </si>
  <si>
    <t>Karlsson</t>
  </si>
  <si>
    <t>450810 Denis</t>
  </si>
  <si>
    <t>Bag 0737</t>
  </si>
  <si>
    <t>737</t>
  </si>
  <si>
    <t>30/118/2</t>
  </si>
  <si>
    <t>8445D793</t>
  </si>
  <si>
    <t>Nordkvist</t>
  </si>
  <si>
    <t>Bag 0859</t>
  </si>
  <si>
    <t>859</t>
  </si>
  <si>
    <t>30/118/3</t>
  </si>
  <si>
    <t>0448DE93</t>
  </si>
  <si>
    <t>473726 Mads</t>
  </si>
  <si>
    <t>Bag 1110</t>
  </si>
  <si>
    <t>1110</t>
  </si>
  <si>
    <t>30/119/1</t>
  </si>
  <si>
    <t>043FD393</t>
  </si>
  <si>
    <t xml:space="preserve">52002 Felix </t>
  </si>
  <si>
    <t>443719 Marko</t>
  </si>
  <si>
    <t>Bag 0127</t>
  </si>
  <si>
    <t>30/119/2</t>
  </si>
  <si>
    <t>F46DD393</t>
  </si>
  <si>
    <t>307603 Simon</t>
  </si>
  <si>
    <t>Bag 0911</t>
  </si>
  <si>
    <t>911</t>
  </si>
  <si>
    <t>30/119/3</t>
  </si>
  <si>
    <t>94AE4494</t>
  </si>
  <si>
    <t>513061 Mathias</t>
  </si>
  <si>
    <t>Bag 0550</t>
  </si>
  <si>
    <t>550</t>
  </si>
  <si>
    <t>30/120/1</t>
  </si>
  <si>
    <t>B4A6F493</t>
  </si>
  <si>
    <t xml:space="preserve">52001 Filip </t>
  </si>
  <si>
    <t>208193 Karsten</t>
  </si>
  <si>
    <t>Bag 0212</t>
  </si>
  <si>
    <t>212</t>
  </si>
  <si>
    <t>30/120/2</t>
  </si>
  <si>
    <t>54F5CA93</t>
  </si>
  <si>
    <t>473460 Kristian</t>
  </si>
  <si>
    <t>Bag 0855</t>
  </si>
  <si>
    <t>855</t>
  </si>
  <si>
    <t>30/120/3</t>
  </si>
  <si>
    <t>8409D693</t>
  </si>
  <si>
    <t>496561 Christian</t>
  </si>
  <si>
    <t>Bag 0676</t>
  </si>
  <si>
    <t>676</t>
  </si>
  <si>
    <t>30/2/E1/1</t>
  </si>
  <si>
    <t>A4DAD393</t>
  </si>
  <si>
    <t>982405 Vincent</t>
  </si>
  <si>
    <t>Bag 0808</t>
  </si>
  <si>
    <t>808</t>
  </si>
  <si>
    <t>30/2/E1/2</t>
  </si>
  <si>
    <t>F45E4394</t>
  </si>
  <si>
    <t>439997 Kenneth</t>
  </si>
  <si>
    <t>Bag 0613</t>
  </si>
  <si>
    <t>613</t>
  </si>
  <si>
    <t>30/2/E1/3</t>
  </si>
  <si>
    <t>B404E893</t>
  </si>
  <si>
    <t>447403 Jonas</t>
  </si>
  <si>
    <t>Bag 0009</t>
  </si>
  <si>
    <t>30/2/E2/1</t>
  </si>
  <si>
    <t>04C5CB93</t>
  </si>
  <si>
    <t>478497 Anders</t>
  </si>
  <si>
    <t>Bag 0711</t>
  </si>
  <si>
    <t>711</t>
  </si>
  <si>
    <t>30/2/E2/2</t>
  </si>
  <si>
    <t>D46FD493</t>
  </si>
  <si>
    <t>519822 Rasmus</t>
  </si>
  <si>
    <t>Bag 0450</t>
  </si>
  <si>
    <t>450</t>
  </si>
  <si>
    <t>30/2/E2/3</t>
  </si>
  <si>
    <t>248A3694</t>
  </si>
  <si>
    <t>Bag 0462</t>
  </si>
  <si>
    <t>462</t>
  </si>
  <si>
    <t>30/201/1</t>
  </si>
  <si>
    <t>44B2DA93</t>
  </si>
  <si>
    <t xml:space="preserve">53001 Elias </t>
  </si>
  <si>
    <t>410827 Torsten</t>
  </si>
  <si>
    <t>Bag 0955</t>
  </si>
  <si>
    <t>955</t>
  </si>
  <si>
    <t>30/201/2</t>
  </si>
  <si>
    <t>C4D64194</t>
  </si>
  <si>
    <t>519927 Jonas</t>
  </si>
  <si>
    <t>Bag 0423</t>
  </si>
  <si>
    <t>423</t>
  </si>
  <si>
    <t>30/201/3</t>
  </si>
  <si>
    <t>D418DF93</t>
  </si>
  <si>
    <t>486089 Mathias</t>
  </si>
  <si>
    <t>Bag 0932</t>
  </si>
  <si>
    <t>932</t>
  </si>
  <si>
    <t>30/202/1</t>
  </si>
  <si>
    <t>443AD893</t>
  </si>
  <si>
    <t>53201 Erik</t>
  </si>
  <si>
    <t>500704 Ras</t>
  </si>
  <si>
    <t>Bag 0301</t>
  </si>
  <si>
    <t>301</t>
  </si>
  <si>
    <t>30/202/2</t>
  </si>
  <si>
    <t>944BDF93</t>
  </si>
  <si>
    <t>Bag 0341</t>
  </si>
  <si>
    <t>341</t>
  </si>
  <si>
    <t>30/202/3</t>
  </si>
  <si>
    <t>F40ECB93</t>
  </si>
  <si>
    <t>433414 Jakob</t>
  </si>
  <si>
    <t>Bag 0051</t>
  </si>
  <si>
    <t>30/203/1</t>
  </si>
  <si>
    <t>54BADA93</t>
  </si>
  <si>
    <t>53501 Kuno</t>
  </si>
  <si>
    <t>464267 Simon</t>
  </si>
  <si>
    <t>Bag 0543</t>
  </si>
  <si>
    <t>543</t>
  </si>
  <si>
    <t>30/203/2</t>
  </si>
  <si>
    <t>748DCD93</t>
  </si>
  <si>
    <t>Bag 0739</t>
  </si>
  <si>
    <t>739</t>
  </si>
  <si>
    <t>30/203/3</t>
  </si>
  <si>
    <t>E442D093</t>
  </si>
  <si>
    <t>437331 Kristian</t>
  </si>
  <si>
    <t>Bag 0618</t>
  </si>
  <si>
    <t>618</t>
  </si>
  <si>
    <t>30/204/1</t>
  </si>
  <si>
    <t>D4564494</t>
  </si>
  <si>
    <t>53312 Christoffer</t>
  </si>
  <si>
    <t>465165 Janik</t>
  </si>
  <si>
    <t>Bag 0876</t>
  </si>
  <si>
    <t>876</t>
  </si>
  <si>
    <t>30/204/2</t>
  </si>
  <si>
    <t>6407CE93</t>
  </si>
  <si>
    <t>53207 Johannes</t>
  </si>
  <si>
    <t>451732 Nicolai</t>
  </si>
  <si>
    <t>Bag 0516</t>
  </si>
  <si>
    <t>516</t>
  </si>
  <si>
    <t>30/204/3</t>
  </si>
  <si>
    <t>7407CE93</t>
  </si>
  <si>
    <t>519640 Sille</t>
  </si>
  <si>
    <t>Bag 0180</t>
  </si>
  <si>
    <t>180</t>
  </si>
  <si>
    <t>30/205/1</t>
  </si>
  <si>
    <t>648FCE93</t>
  </si>
  <si>
    <t>53507 Kajsa</t>
  </si>
  <si>
    <t>473233 Sofie</t>
  </si>
  <si>
    <t>Bag 0729</t>
  </si>
  <si>
    <t>729</t>
  </si>
  <si>
    <t>6463CB93</t>
  </si>
  <si>
    <t>30/205/2</t>
  </si>
  <si>
    <t>F4B8D993</t>
  </si>
  <si>
    <t>366426 Mélody</t>
  </si>
  <si>
    <t>Bag 0834</t>
  </si>
  <si>
    <t>834</t>
  </si>
  <si>
    <t>30/205/3</t>
  </si>
  <si>
    <t>562652 William</t>
  </si>
  <si>
    <t>Bag 0804</t>
  </si>
  <si>
    <t>804</t>
  </si>
  <si>
    <t>30/206/1</t>
  </si>
  <si>
    <t>5411CD93</t>
  </si>
  <si>
    <t>53509 Emil</t>
  </si>
  <si>
    <t>477132 Mikkel</t>
  </si>
  <si>
    <t>Bag 0880</t>
  </si>
  <si>
    <t>880</t>
  </si>
  <si>
    <t>30/206/2</t>
  </si>
  <si>
    <t>F41ECD93</t>
  </si>
  <si>
    <t>53508 Jonas</t>
  </si>
  <si>
    <t>501161 Jonas</t>
  </si>
  <si>
    <t>Bag 0697</t>
  </si>
  <si>
    <t>697</t>
  </si>
  <si>
    <t>30/206/3</t>
  </si>
  <si>
    <t>A4B73994</t>
  </si>
  <si>
    <t>450260 Benjamin</t>
  </si>
  <si>
    <t>Bag 1134</t>
  </si>
  <si>
    <t>1134</t>
  </si>
  <si>
    <t>30/207/1</t>
  </si>
  <si>
    <t>840DD793</t>
  </si>
  <si>
    <t>53209 Ivar</t>
  </si>
  <si>
    <t>Bag 0438</t>
  </si>
  <si>
    <t>438</t>
  </si>
  <si>
    <t>30/207/2</t>
  </si>
  <si>
    <t>9429D593</t>
  </si>
  <si>
    <t>53502 Jakob</t>
  </si>
  <si>
    <t>476772 Emil</t>
  </si>
  <si>
    <t>Bag 0096</t>
  </si>
  <si>
    <t>30/207/3</t>
  </si>
  <si>
    <t>146FDD93</t>
  </si>
  <si>
    <t>351580 Jacob</t>
  </si>
  <si>
    <t>Bag 0748</t>
  </si>
  <si>
    <t>748</t>
  </si>
  <si>
    <t>30/208/1</t>
  </si>
  <si>
    <t>B47FD893</t>
  </si>
  <si>
    <t>53307 David</t>
  </si>
  <si>
    <t>519186 Oscar</t>
  </si>
  <si>
    <t>Bag 0093</t>
  </si>
  <si>
    <t>30/208/2</t>
  </si>
  <si>
    <t>74C94694</t>
  </si>
  <si>
    <t>53408 David</t>
  </si>
  <si>
    <t>Bag 1001</t>
  </si>
  <si>
    <t>1001</t>
  </si>
  <si>
    <t>30/208/3</t>
  </si>
  <si>
    <t>0411CF93</t>
  </si>
  <si>
    <t>429819 Mads</t>
  </si>
  <si>
    <t>Bag 0584</t>
  </si>
  <si>
    <t>584</t>
  </si>
  <si>
    <t>30/209/1</t>
  </si>
  <si>
    <t>04444194</t>
  </si>
  <si>
    <t>53313 Axel</t>
  </si>
  <si>
    <t>513020 Jacob</t>
  </si>
  <si>
    <t>Bag 0064</t>
  </si>
  <si>
    <t>30/209/2</t>
  </si>
  <si>
    <t>241CD093</t>
  </si>
  <si>
    <t>53107 Alfred</t>
  </si>
  <si>
    <t>464924 Kim</t>
  </si>
  <si>
    <t>Bag 0085</t>
  </si>
  <si>
    <t>30/209/3</t>
  </si>
  <si>
    <t>E45F3694</t>
  </si>
  <si>
    <t>497549 Oliver</t>
  </si>
  <si>
    <t>Bag 0645</t>
  </si>
  <si>
    <t>645</t>
  </si>
  <si>
    <t>30/210/1</t>
  </si>
  <si>
    <t>84F2D093</t>
  </si>
  <si>
    <t>53407 Arvid</t>
  </si>
  <si>
    <t>507715 Mads</t>
  </si>
  <si>
    <t>Bag 1162</t>
  </si>
  <si>
    <t>1162</t>
  </si>
  <si>
    <t>30/210/2</t>
  </si>
  <si>
    <t>64A8F393</t>
  </si>
  <si>
    <t>Bag 0335</t>
  </si>
  <si>
    <t>335</t>
  </si>
  <si>
    <t>30/210/3</t>
  </si>
  <si>
    <t>34F6CD93</t>
  </si>
  <si>
    <t>514317 Ali</t>
  </si>
  <si>
    <t>Bag 0837</t>
  </si>
  <si>
    <t>837</t>
  </si>
  <si>
    <t>30/211/1</t>
  </si>
  <si>
    <t>64DDD593</t>
  </si>
  <si>
    <t>52801 Erik</t>
  </si>
  <si>
    <t>508410 Jeppe</t>
  </si>
  <si>
    <t>Bag 0782</t>
  </si>
  <si>
    <t>782</t>
  </si>
  <si>
    <t>30/211/2</t>
  </si>
  <si>
    <t>54A4DE93</t>
  </si>
  <si>
    <t>Bag 0581</t>
  </si>
  <si>
    <t>581</t>
  </si>
  <si>
    <t>30/211/3</t>
  </si>
  <si>
    <t>D4F1DC93</t>
  </si>
  <si>
    <t>Bag 1060</t>
  </si>
  <si>
    <t>1060</t>
  </si>
  <si>
    <t>30/212/1</t>
  </si>
  <si>
    <t>84434594</t>
  </si>
  <si>
    <t>714162 Vandy</t>
  </si>
  <si>
    <t>Bag 1082</t>
  </si>
  <si>
    <t>1082</t>
  </si>
  <si>
    <t>30/212/2</t>
  </si>
  <si>
    <t>B4E1DD93</t>
  </si>
  <si>
    <t>458150 Frederik</t>
  </si>
  <si>
    <t>Bag 1100</t>
  </si>
  <si>
    <t>1100</t>
  </si>
  <si>
    <t>30/212/3</t>
  </si>
  <si>
    <t>34BADA93</t>
  </si>
  <si>
    <t>511010 Lasse</t>
  </si>
  <si>
    <t>Bag 0963</t>
  </si>
  <si>
    <t>963</t>
  </si>
  <si>
    <t>30/213/1</t>
  </si>
  <si>
    <t>E4C1CA93</t>
  </si>
  <si>
    <t>416519 Jackie</t>
  </si>
  <si>
    <t>Bag 0004</t>
  </si>
  <si>
    <t>30/213/2</t>
  </si>
  <si>
    <t>74AFCF93</t>
  </si>
  <si>
    <t>926480 Luis Carlos</t>
  </si>
  <si>
    <t>Bag 1153</t>
  </si>
  <si>
    <t>1153</t>
  </si>
  <si>
    <t>30/213/3</t>
  </si>
  <si>
    <t>C4FECA93</t>
  </si>
  <si>
    <t>467531 Ammon</t>
  </si>
  <si>
    <t>Bag 0185</t>
  </si>
  <si>
    <t>185</t>
  </si>
  <si>
    <t>30/214/1</t>
  </si>
  <si>
    <t>64F83E94</t>
  </si>
  <si>
    <t>53409 Jonatan</t>
  </si>
  <si>
    <t>Bag 0774</t>
  </si>
  <si>
    <t>774</t>
  </si>
  <si>
    <t>30/214/2</t>
  </si>
  <si>
    <t>B400DF93</t>
  </si>
  <si>
    <t>53310 Jesper</t>
  </si>
  <si>
    <t>Bag 0499</t>
  </si>
  <si>
    <t>499</t>
  </si>
  <si>
    <t>30/214/3</t>
  </si>
  <si>
    <t>E432CC93</t>
  </si>
  <si>
    <t>462959 Benjamin</t>
  </si>
  <si>
    <t>Bag 0694</t>
  </si>
  <si>
    <t>694</t>
  </si>
  <si>
    <t>30/215/1</t>
  </si>
  <si>
    <t>5483CE93</t>
  </si>
  <si>
    <t>53308 Elias</t>
  </si>
  <si>
    <t>474132 Mike</t>
  </si>
  <si>
    <t>Bag 0832</t>
  </si>
  <si>
    <t>832</t>
  </si>
  <si>
    <t>30/215/2</t>
  </si>
  <si>
    <t>04E4DB93</t>
  </si>
  <si>
    <t>53208 Staffan</t>
  </si>
  <si>
    <t>478062 Josef</t>
  </si>
  <si>
    <t>Bag 1079</t>
  </si>
  <si>
    <t>1079</t>
  </si>
  <si>
    <t>30/215/3</t>
  </si>
  <si>
    <t>44E3D093</t>
  </si>
  <si>
    <t>492805 Sejer</t>
  </si>
  <si>
    <t>Bag 0879</t>
  </si>
  <si>
    <t>879</t>
  </si>
  <si>
    <t>30/216/1</t>
  </si>
  <si>
    <t>24BFD793</t>
  </si>
  <si>
    <t>53102 Adrian</t>
  </si>
  <si>
    <t>309854 Lars</t>
  </si>
  <si>
    <t>Bag 0172</t>
  </si>
  <si>
    <t>172</t>
  </si>
  <si>
    <t>30/216/2</t>
  </si>
  <si>
    <t>E45BDC93</t>
  </si>
  <si>
    <t>53108 Julius</t>
  </si>
  <si>
    <t>879364 Mathieu</t>
  </si>
  <si>
    <t>Bag 0814</t>
  </si>
  <si>
    <t>814</t>
  </si>
  <si>
    <t>30/216/3</t>
  </si>
  <si>
    <t>E414D593</t>
  </si>
  <si>
    <t>477205 Alexander</t>
  </si>
  <si>
    <t>Bag 0559</t>
  </si>
  <si>
    <t>559</t>
  </si>
  <si>
    <t>30/217/1</t>
  </si>
  <si>
    <t>C47FD193</t>
  </si>
  <si>
    <t>53101 Adam</t>
  </si>
  <si>
    <t>437693 Mads</t>
  </si>
  <si>
    <t>Bag 1114</t>
  </si>
  <si>
    <t>1114</t>
  </si>
  <si>
    <t>30/217/2</t>
  </si>
  <si>
    <t>446DDC93</t>
  </si>
  <si>
    <t>53302 Johan</t>
  </si>
  <si>
    <t>453341 Viktor</t>
  </si>
  <si>
    <t>Bag 0055</t>
  </si>
  <si>
    <t>30/217/3</t>
  </si>
  <si>
    <t>F4A7D293</t>
  </si>
  <si>
    <t>402388 Marc</t>
  </si>
  <si>
    <t>Bag 1031</t>
  </si>
  <si>
    <t>1031</t>
  </si>
  <si>
    <t>30/218/1</t>
  </si>
  <si>
    <t>A49BD693</t>
  </si>
  <si>
    <t>53301 Elias</t>
  </si>
  <si>
    <t>503367 Magnus</t>
  </si>
  <si>
    <t>Bag 0139</t>
  </si>
  <si>
    <t>30/218/2</t>
  </si>
  <si>
    <t>A467D693</t>
  </si>
  <si>
    <t>53311 Anton</t>
  </si>
  <si>
    <t>496955 Julius</t>
  </si>
  <si>
    <t>Bag 0160</t>
  </si>
  <si>
    <t>30/218/3</t>
  </si>
  <si>
    <t>84F8CA93</t>
  </si>
  <si>
    <t>Bag 0366</t>
  </si>
  <si>
    <t>366</t>
  </si>
  <si>
    <t>30/219/1</t>
  </si>
  <si>
    <t>2478D393</t>
  </si>
  <si>
    <t>53401 Simon</t>
  </si>
  <si>
    <t>513356 Kristian</t>
  </si>
  <si>
    <t>Bag 0091</t>
  </si>
  <si>
    <t>30/219/2</t>
  </si>
  <si>
    <t>0449DE93</t>
  </si>
  <si>
    <t>443288 Sebastian</t>
  </si>
  <si>
    <t>Bag 1095</t>
  </si>
  <si>
    <t>1095</t>
  </si>
  <si>
    <t>30/219/3</t>
  </si>
  <si>
    <t>A4E9D093</t>
  </si>
  <si>
    <t>497028 Mads</t>
  </si>
  <si>
    <t>Bag 0463</t>
  </si>
  <si>
    <t>463</t>
  </si>
  <si>
    <t>30/220/1</t>
  </si>
  <si>
    <t>D45FDC93</t>
  </si>
  <si>
    <t xml:space="preserve">53002 Charlie </t>
  </si>
  <si>
    <t>465061 Nichlas</t>
  </si>
  <si>
    <t>Bag 1088</t>
  </si>
  <si>
    <t>1088</t>
  </si>
  <si>
    <t>30/220/2</t>
  </si>
  <si>
    <t>A4A4D693</t>
  </si>
  <si>
    <t>440128 Martin</t>
  </si>
  <si>
    <t>Bag 0937</t>
  </si>
  <si>
    <t>937</t>
  </si>
  <si>
    <t>30/220/3</t>
  </si>
  <si>
    <t>B4F7D193</t>
  </si>
  <si>
    <t>485960 Mikkel</t>
  </si>
  <si>
    <t>Bag 0798</t>
  </si>
  <si>
    <t>798</t>
  </si>
  <si>
    <t>30/D1/1</t>
  </si>
  <si>
    <t>B4FBDE93</t>
  </si>
  <si>
    <t>500773 Christian</t>
  </si>
  <si>
    <t>Bag 0561</t>
  </si>
  <si>
    <t>561</t>
  </si>
  <si>
    <t>30/D1/2</t>
  </si>
  <si>
    <t>F464DD93</t>
  </si>
  <si>
    <t>485276 Nikolai</t>
  </si>
  <si>
    <t>Bag 0405</t>
  </si>
  <si>
    <t>405</t>
  </si>
  <si>
    <t>30/D1/3</t>
  </si>
  <si>
    <t>0421CC93</t>
  </si>
  <si>
    <t>Bag 0807</t>
  </si>
  <si>
    <t>807</t>
  </si>
  <si>
    <t>30/D2/1</t>
  </si>
  <si>
    <t>F4F53594</t>
  </si>
  <si>
    <t>514546 Benjamin</t>
  </si>
  <si>
    <t>Bag 0118</t>
  </si>
  <si>
    <t>30/D2/2</t>
  </si>
  <si>
    <t>C4EAD393</t>
  </si>
  <si>
    <t>479476 Jonas</t>
  </si>
  <si>
    <t>Bag 0622</t>
  </si>
  <si>
    <t>622</t>
  </si>
  <si>
    <t>30/D2/3</t>
  </si>
  <si>
    <t>1459D793</t>
  </si>
  <si>
    <t>518677 Victor</t>
  </si>
  <si>
    <t>Bag 0443</t>
  </si>
  <si>
    <t>443</t>
  </si>
  <si>
    <t>31/1/E1/1</t>
  </si>
  <si>
    <t>F48BD493</t>
  </si>
  <si>
    <t>Bag 0632</t>
  </si>
  <si>
    <t>632</t>
  </si>
  <si>
    <t>31/1/E1/2</t>
  </si>
  <si>
    <t>645FD193</t>
  </si>
  <si>
    <t>482358 Jonas</t>
  </si>
  <si>
    <t>Bag 0548</t>
  </si>
  <si>
    <t>548</t>
  </si>
  <si>
    <t>31/1/E1/3</t>
  </si>
  <si>
    <t>2413F293</t>
  </si>
  <si>
    <t>Bag 0336</t>
  </si>
  <si>
    <t>336</t>
  </si>
  <si>
    <t>31/1/E2/1</t>
  </si>
  <si>
    <t>D4BFDF93</t>
  </si>
  <si>
    <t>455581 Sebastian</t>
  </si>
  <si>
    <t>Bag 0032</t>
  </si>
  <si>
    <t>31/1/E2/2</t>
  </si>
  <si>
    <t>2444E893</t>
  </si>
  <si>
    <t>519887 Pascal</t>
  </si>
  <si>
    <t>Bag 0524</t>
  </si>
  <si>
    <t>524</t>
  </si>
  <si>
    <t>31/1/E2/3</t>
  </si>
  <si>
    <t>B4714594</t>
  </si>
  <si>
    <t>503472 Mikkel</t>
  </si>
  <si>
    <t>Bag 0672</t>
  </si>
  <si>
    <t>672</t>
  </si>
  <si>
    <t>31/101/1</t>
  </si>
  <si>
    <t>944FF093</t>
  </si>
  <si>
    <t>451075 Martin</t>
  </si>
  <si>
    <t>Bag 0903</t>
  </si>
  <si>
    <t>903</t>
  </si>
  <si>
    <t>31/101/2</t>
  </si>
  <si>
    <t>B477CE93</t>
  </si>
  <si>
    <t>504294 Kenneth</t>
  </si>
  <si>
    <t>Bag 0940</t>
  </si>
  <si>
    <t>940</t>
  </si>
  <si>
    <t>31/101/3</t>
  </si>
  <si>
    <t>C46BF493</t>
  </si>
  <si>
    <t>472973 Kris</t>
  </si>
  <si>
    <t>Bag 0187</t>
  </si>
  <si>
    <t>187</t>
  </si>
  <si>
    <t>31/102/1</t>
  </si>
  <si>
    <t>9435D593</t>
  </si>
  <si>
    <t>513210 Silas</t>
  </si>
  <si>
    <t>Bag 0547</t>
  </si>
  <si>
    <t>547</t>
  </si>
  <si>
    <t>31/102/2</t>
  </si>
  <si>
    <t>446FCD93</t>
  </si>
  <si>
    <t>444463 Mike</t>
  </si>
  <si>
    <t>Bag 1034</t>
  </si>
  <si>
    <t>1034</t>
  </si>
  <si>
    <t>31/102/3</t>
  </si>
  <si>
    <t>B4CFDC93</t>
  </si>
  <si>
    <t>505406 Robert</t>
  </si>
  <si>
    <t>Bag 1191</t>
  </si>
  <si>
    <t>1191</t>
  </si>
  <si>
    <t>31/103/1</t>
  </si>
  <si>
    <t>F4C0D793</t>
  </si>
  <si>
    <t>497845 Kristoffer</t>
  </si>
  <si>
    <t>Bag 1138</t>
  </si>
  <si>
    <t>1138</t>
  </si>
  <si>
    <t>31/103/2</t>
  </si>
  <si>
    <t>747ED493</t>
  </si>
  <si>
    <t>461712 Niklas</t>
  </si>
  <si>
    <t>Bag 0912</t>
  </si>
  <si>
    <t>912</t>
  </si>
  <si>
    <t>31/103/3</t>
  </si>
  <si>
    <t>F4B2D493</t>
  </si>
  <si>
    <t>459217 Mikkel</t>
  </si>
  <si>
    <t>Bag 0407</t>
  </si>
  <si>
    <t>407</t>
  </si>
  <si>
    <t>31/104/1</t>
  </si>
  <si>
    <t>14BDE293</t>
  </si>
  <si>
    <t>801886 Amelia-Ann</t>
  </si>
  <si>
    <t>Bag 0835</t>
  </si>
  <si>
    <t>835</t>
  </si>
  <si>
    <t>31/104/2</t>
  </si>
  <si>
    <t>7448D393</t>
  </si>
  <si>
    <t>406913 Tristan</t>
  </si>
  <si>
    <t>Bag 1154</t>
  </si>
  <si>
    <t>1154</t>
  </si>
  <si>
    <t>31/104/3</t>
  </si>
  <si>
    <t>B4C5CB93</t>
  </si>
  <si>
    <t>519819 Mie</t>
  </si>
  <si>
    <t>Bag 0658</t>
  </si>
  <si>
    <t>658</t>
  </si>
  <si>
    <t>31/105/1</t>
  </si>
  <si>
    <t>C4194394</t>
  </si>
  <si>
    <t>485486 Sarah</t>
  </si>
  <si>
    <t>Bag 0661</t>
  </si>
  <si>
    <t>661</t>
  </si>
  <si>
    <t>31/105/2</t>
  </si>
  <si>
    <t>B430CF93</t>
  </si>
  <si>
    <t>507795 Benjamin</t>
  </si>
  <si>
    <t>Bag 0231</t>
  </si>
  <si>
    <t>231</t>
  </si>
  <si>
    <t>31/105/3</t>
  </si>
  <si>
    <t>148FF493</t>
  </si>
  <si>
    <t>332779 John</t>
  </si>
  <si>
    <t>Bag 0268</t>
  </si>
  <si>
    <t>268</t>
  </si>
  <si>
    <t>31/106/1</t>
  </si>
  <si>
    <t>D4FDD593</t>
  </si>
  <si>
    <t>481193 Daniel</t>
  </si>
  <si>
    <t>Bag 0229</t>
  </si>
  <si>
    <t>229</t>
  </si>
  <si>
    <t>31/106/2</t>
  </si>
  <si>
    <t>844ED193</t>
  </si>
  <si>
    <t>Bag 0616</t>
  </si>
  <si>
    <t>616</t>
  </si>
  <si>
    <t>31/106/3</t>
  </si>
  <si>
    <t>B4BAE393</t>
  </si>
  <si>
    <t>205026 Steve</t>
  </si>
  <si>
    <t>Bag 0736</t>
  </si>
  <si>
    <t>736</t>
  </si>
  <si>
    <t>31/107/1</t>
  </si>
  <si>
    <t>3490CD93</t>
  </si>
  <si>
    <t>451389 Mads</t>
  </si>
  <si>
    <t>Bag 0743</t>
  </si>
  <si>
    <t>743</t>
  </si>
  <si>
    <t>31/107/2</t>
  </si>
  <si>
    <t>D47FD493</t>
  </si>
  <si>
    <t>486177 Victor</t>
  </si>
  <si>
    <t>Bag 0162</t>
  </si>
  <si>
    <t>162</t>
  </si>
  <si>
    <t>31/107/3</t>
  </si>
  <si>
    <t>24B3D993</t>
  </si>
  <si>
    <t>435878 Kia</t>
  </si>
  <si>
    <t>Bag 0075</t>
  </si>
  <si>
    <t>31/108/1</t>
  </si>
  <si>
    <t>7435CC93</t>
  </si>
  <si>
    <t>496740 Victoria</t>
  </si>
  <si>
    <t>Bag 0076</t>
  </si>
  <si>
    <t>31/108/2</t>
  </si>
  <si>
    <t>64B7EF93</t>
  </si>
  <si>
    <t>Bag 0445</t>
  </si>
  <si>
    <t>445</t>
  </si>
  <si>
    <t>31/108/3</t>
  </si>
  <si>
    <t>E43DDE93</t>
  </si>
  <si>
    <t>496320 Gustav</t>
  </si>
  <si>
    <t>Bag 0653</t>
  </si>
  <si>
    <t>653</t>
  </si>
  <si>
    <t>31/109/1</t>
  </si>
  <si>
    <t>F465DE93</t>
  </si>
  <si>
    <t>473700 Mads</t>
  </si>
  <si>
    <t>Bag 0688</t>
  </si>
  <si>
    <t>688</t>
  </si>
  <si>
    <t>31/109/2</t>
  </si>
  <si>
    <t>64B9EF93</t>
  </si>
  <si>
    <t>328845 Michael</t>
  </si>
  <si>
    <t>Bag 0071</t>
  </si>
  <si>
    <t>31/109/3</t>
  </si>
  <si>
    <t>14ABCC93</t>
  </si>
  <si>
    <t>457775 Kristian</t>
  </si>
  <si>
    <t>Bag 0583</t>
  </si>
  <si>
    <t>583</t>
  </si>
  <si>
    <t>31/110/1</t>
  </si>
  <si>
    <t>8494D493</t>
  </si>
  <si>
    <t>501851 Lau</t>
  </si>
  <si>
    <t>Bag 0475</t>
  </si>
  <si>
    <t>475</t>
  </si>
  <si>
    <t>31/110/2</t>
  </si>
  <si>
    <t>F41CF193</t>
  </si>
  <si>
    <t>441162 Christina</t>
  </si>
  <si>
    <t>Bag 1002</t>
  </si>
  <si>
    <t>1002</t>
  </si>
  <si>
    <t>31/110/3</t>
  </si>
  <si>
    <t>84ADD793</t>
  </si>
  <si>
    <t>361616 Kim Michael</t>
  </si>
  <si>
    <t>Bag 0591</t>
  </si>
  <si>
    <t>591</t>
  </si>
  <si>
    <t>31/111/1</t>
  </si>
  <si>
    <t>A4C3EA93</t>
  </si>
  <si>
    <t>467527 Sara</t>
  </si>
  <si>
    <t>Bag 0466</t>
  </si>
  <si>
    <t>466</t>
  </si>
  <si>
    <t>31/111/2</t>
  </si>
  <si>
    <t>54104194</t>
  </si>
  <si>
    <t>750850 Jérémie</t>
  </si>
  <si>
    <t>Bag 1037</t>
  </si>
  <si>
    <t>1037</t>
  </si>
  <si>
    <t>31/111/3</t>
  </si>
  <si>
    <t>4432D293</t>
  </si>
  <si>
    <t>478686 Lucas</t>
  </si>
  <si>
    <t>Bag 0686</t>
  </si>
  <si>
    <t>686</t>
  </si>
  <si>
    <t>31/112/1</t>
  </si>
  <si>
    <t>C471DE93</t>
  </si>
  <si>
    <t>088487 Felix</t>
  </si>
  <si>
    <t>Bag 1015</t>
  </si>
  <si>
    <t>1015</t>
  </si>
  <si>
    <t>31/112/2</t>
  </si>
  <si>
    <t>8487CD93</t>
  </si>
  <si>
    <t>492799 Mikkel</t>
  </si>
  <si>
    <t>Bag 0936</t>
  </si>
  <si>
    <t>936</t>
  </si>
  <si>
    <t>31/112/3</t>
  </si>
  <si>
    <t>A43AD093</t>
  </si>
  <si>
    <t>290105 Olivier</t>
  </si>
  <si>
    <t>Bag 0981</t>
  </si>
  <si>
    <t>981</t>
  </si>
  <si>
    <t>31/113/1</t>
  </si>
  <si>
    <t>C436E093</t>
  </si>
  <si>
    <t>485253 Kasper</t>
  </si>
  <si>
    <t>Bag 0039</t>
  </si>
  <si>
    <t>31/113/2</t>
  </si>
  <si>
    <t>3470CD93</t>
  </si>
  <si>
    <t>519208 Rasmus</t>
  </si>
  <si>
    <t>Bag 0153</t>
  </si>
  <si>
    <t>31/113/3</t>
  </si>
  <si>
    <t>3490CE93</t>
  </si>
  <si>
    <t>509505 Rasmus</t>
  </si>
  <si>
    <t>Bag 0107</t>
  </si>
  <si>
    <t>31/114/1</t>
  </si>
  <si>
    <t>64CEDE93</t>
  </si>
  <si>
    <t>389199 Mohamed Amine</t>
  </si>
  <si>
    <t>Bag 1193</t>
  </si>
  <si>
    <t>1193</t>
  </si>
  <si>
    <t>31/114/2</t>
  </si>
  <si>
    <t>94E03D94</t>
  </si>
  <si>
    <t>Bag 0317</t>
  </si>
  <si>
    <t>317</t>
  </si>
  <si>
    <t>31/114/3</t>
  </si>
  <si>
    <t>34D9E493</t>
  </si>
  <si>
    <t>458925 Morten</t>
  </si>
  <si>
    <t>Bag 0279</t>
  </si>
  <si>
    <t>279</t>
  </si>
  <si>
    <t>31/115/1</t>
  </si>
  <si>
    <t>5494CD93</t>
  </si>
  <si>
    <t>446034 Jens</t>
  </si>
  <si>
    <t>Bag 0542</t>
  </si>
  <si>
    <t>542</t>
  </si>
  <si>
    <t>31/115/2</t>
  </si>
  <si>
    <t>D4544294</t>
  </si>
  <si>
    <t>432816 Jeppe</t>
  </si>
  <si>
    <t>Bag 0129</t>
  </si>
  <si>
    <t>31/115/3</t>
  </si>
  <si>
    <t>D47FCD93</t>
  </si>
  <si>
    <t>466513 Frederik</t>
  </si>
  <si>
    <t>Bag 1123</t>
  </si>
  <si>
    <t>1123</t>
  </si>
  <si>
    <t>31/116/1</t>
  </si>
  <si>
    <t>A434D593</t>
  </si>
  <si>
    <t>433780 Jeppe</t>
  </si>
  <si>
    <t>Bag 0259</t>
  </si>
  <si>
    <t>259</t>
  </si>
  <si>
    <t>31/116/2</t>
  </si>
  <si>
    <t>94694694</t>
  </si>
  <si>
    <t>481191 Jonas</t>
  </si>
  <si>
    <t>Bag 0557</t>
  </si>
  <si>
    <t>557</t>
  </si>
  <si>
    <t>31/116/3</t>
  </si>
  <si>
    <t>4483CD93</t>
  </si>
  <si>
    <t>444875 Brian</t>
  </si>
  <si>
    <t>Bag 0184</t>
  </si>
  <si>
    <t>184</t>
  </si>
  <si>
    <t>31/117/1</t>
  </si>
  <si>
    <t>F4A93994</t>
  </si>
  <si>
    <t>498728 Mikkel</t>
  </si>
  <si>
    <t>Bag 0155</t>
  </si>
  <si>
    <t>31/117/2</t>
  </si>
  <si>
    <t>74B3CB93</t>
  </si>
  <si>
    <t>496575 Jens</t>
  </si>
  <si>
    <t>Bag 0789</t>
  </si>
  <si>
    <t>789</t>
  </si>
  <si>
    <t>31/117/3</t>
  </si>
  <si>
    <t>4451DC93</t>
  </si>
  <si>
    <t>464256 Michael</t>
  </si>
  <si>
    <t>Bag 0522</t>
  </si>
  <si>
    <t>522</t>
  </si>
  <si>
    <t>31/118/1</t>
  </si>
  <si>
    <t>E438D893</t>
  </si>
  <si>
    <t>451179 Patrick</t>
  </si>
  <si>
    <t>Bag 0267</t>
  </si>
  <si>
    <t>267</t>
  </si>
  <si>
    <t>31/118/2</t>
  </si>
  <si>
    <t>9424CC93</t>
  </si>
  <si>
    <t>492252 Simon</t>
  </si>
  <si>
    <t>Bag 1188</t>
  </si>
  <si>
    <t>1188</t>
  </si>
  <si>
    <t>31/118/3</t>
  </si>
  <si>
    <t>5433CC93</t>
  </si>
  <si>
    <t>Bag 0869</t>
  </si>
  <si>
    <t>869</t>
  </si>
  <si>
    <t>31/119/1</t>
  </si>
  <si>
    <t>945BCB93</t>
  </si>
  <si>
    <t>474116 Mikkel</t>
  </si>
  <si>
    <t>Bag 0258</t>
  </si>
  <si>
    <t>258</t>
  </si>
  <si>
    <t>31/119/2</t>
  </si>
  <si>
    <t>6468DE93</t>
  </si>
  <si>
    <t>334644 Emil</t>
  </si>
  <si>
    <t>Bag 0566</t>
  </si>
  <si>
    <t>566</t>
  </si>
  <si>
    <t>31/119/3</t>
  </si>
  <si>
    <t>44F4DD93</t>
  </si>
  <si>
    <t>497545 Anna</t>
  </si>
  <si>
    <t>Bag 0922</t>
  </si>
  <si>
    <t>922</t>
  </si>
  <si>
    <t>31/120/1</t>
  </si>
  <si>
    <t>942DE493</t>
  </si>
  <si>
    <t>Bag 0324</t>
  </si>
  <si>
    <t>324</t>
  </si>
  <si>
    <t>31/120/2</t>
  </si>
  <si>
    <t>749ECB93</t>
  </si>
  <si>
    <t>571758 Jimmy</t>
  </si>
  <si>
    <t>Bag 1159</t>
  </si>
  <si>
    <t>1159</t>
  </si>
  <si>
    <t>31/120/3</t>
  </si>
  <si>
    <t>1400DC93</t>
  </si>
  <si>
    <t>Bag 0427</t>
  </si>
  <si>
    <t>427</t>
  </si>
  <si>
    <t>31/2/E1/1</t>
  </si>
  <si>
    <t>5405D293</t>
  </si>
  <si>
    <t>468749 Asmus</t>
  </si>
  <si>
    <t>Bag 0717</t>
  </si>
  <si>
    <t>717</t>
  </si>
  <si>
    <t>31/2/E1/2</t>
  </si>
  <si>
    <t>E436D393</t>
  </si>
  <si>
    <t>502284 Andrias</t>
  </si>
  <si>
    <t>Bag 0253</t>
  </si>
  <si>
    <t>253</t>
  </si>
  <si>
    <t>31/2/E1/3</t>
  </si>
  <si>
    <t>E456D393</t>
  </si>
  <si>
    <t>437359 Kasper</t>
  </si>
  <si>
    <t>Bag 0874</t>
  </si>
  <si>
    <t>874</t>
  </si>
  <si>
    <t>31/2/E2/1</t>
  </si>
  <si>
    <t>3479CE93</t>
  </si>
  <si>
    <t>463932 Jonas</t>
  </si>
  <si>
    <t>Bag 0952</t>
  </si>
  <si>
    <t>952</t>
  </si>
  <si>
    <t>31/2/E2/2</t>
  </si>
  <si>
    <t>2406CB93</t>
  </si>
  <si>
    <t>269293 Noah</t>
  </si>
  <si>
    <t>Bag 0528</t>
  </si>
  <si>
    <t>528</t>
  </si>
  <si>
    <t>31/2/E2/3</t>
  </si>
  <si>
    <t>2427D293</t>
  </si>
  <si>
    <t>451645 Thor</t>
  </si>
  <si>
    <t>Bag 0856</t>
  </si>
  <si>
    <t>856</t>
  </si>
  <si>
    <t>31/201/1</t>
  </si>
  <si>
    <t>4431CC93</t>
  </si>
  <si>
    <t>491925 Christian</t>
  </si>
  <si>
    <t>Bag 0652</t>
  </si>
  <si>
    <t>652</t>
  </si>
  <si>
    <t>31/201/2</t>
  </si>
  <si>
    <t>B4BEE393</t>
  </si>
  <si>
    <t>507278 Lasse</t>
  </si>
  <si>
    <t>Bag 0777</t>
  </si>
  <si>
    <t>777</t>
  </si>
  <si>
    <t>31/201/3</t>
  </si>
  <si>
    <t>54F0CD93</t>
  </si>
  <si>
    <t>507566 Kristian</t>
  </si>
  <si>
    <t>Bag 0074</t>
  </si>
  <si>
    <t>31/202/1</t>
  </si>
  <si>
    <t>74F73F94</t>
  </si>
  <si>
    <t>513114 Magnus</t>
  </si>
  <si>
    <t>Bag 0750</t>
  </si>
  <si>
    <t>750</t>
  </si>
  <si>
    <t>31/202/2</t>
  </si>
  <si>
    <t>646C3994</t>
  </si>
  <si>
    <t>George</t>
  </si>
  <si>
    <t>George NSPA</t>
  </si>
  <si>
    <t>Bag 0338</t>
  </si>
  <si>
    <t>338</t>
  </si>
  <si>
    <t>31/202/3</t>
  </si>
  <si>
    <t>C4CF3D94</t>
  </si>
  <si>
    <t>488264 Nicklas</t>
  </si>
  <si>
    <t>Bag 1124</t>
  </si>
  <si>
    <t>1124</t>
  </si>
  <si>
    <t>31/203/1</t>
  </si>
  <si>
    <t>B41ACC93</t>
  </si>
  <si>
    <t>497115 Lasse</t>
  </si>
  <si>
    <t>Bag 0649</t>
  </si>
  <si>
    <t>649</t>
  </si>
  <si>
    <t>31/203/2</t>
  </si>
  <si>
    <t>6445DA93</t>
  </si>
  <si>
    <t>370800 Kasper</t>
  </si>
  <si>
    <t>Bag 0001</t>
  </si>
  <si>
    <t>31/203/3</t>
  </si>
  <si>
    <t>74DBF093</t>
  </si>
  <si>
    <t>318002 Michael</t>
  </si>
  <si>
    <t>Bag 0741</t>
  </si>
  <si>
    <t>741</t>
  </si>
  <si>
    <t>31/204/1</t>
  </si>
  <si>
    <t>6432E993</t>
  </si>
  <si>
    <t>968428 Josiah</t>
  </si>
  <si>
    <t>Bag 1145</t>
  </si>
  <si>
    <t>1145</t>
  </si>
  <si>
    <t>31/204/2</t>
  </si>
  <si>
    <t>C41DEF93</t>
  </si>
  <si>
    <t>453359 Rasmus</t>
  </si>
  <si>
    <t>Bag 0061</t>
  </si>
  <si>
    <t>31/204/3</t>
  </si>
  <si>
    <t>9482D993</t>
  </si>
  <si>
    <t>481986 Emil</t>
  </si>
  <si>
    <t>Bag 0230</t>
  </si>
  <si>
    <t>230</t>
  </si>
  <si>
    <t>31/205/1</t>
  </si>
  <si>
    <t>4451DE93</t>
  </si>
  <si>
    <t>Bag 0397</t>
  </si>
  <si>
    <t>397</t>
  </si>
  <si>
    <t>31/205/2</t>
  </si>
  <si>
    <t>94E8DD93</t>
  </si>
  <si>
    <t>482529 Nicklas</t>
  </si>
  <si>
    <t>Bag 0289</t>
  </si>
  <si>
    <t>289</t>
  </si>
  <si>
    <t>31/205/3</t>
  </si>
  <si>
    <t>0477F393</t>
  </si>
  <si>
    <t>497314 Patrick</t>
  </si>
  <si>
    <t>Bag 0412</t>
  </si>
  <si>
    <t>412</t>
  </si>
  <si>
    <t>31/206/1</t>
  </si>
  <si>
    <t>24EDE793</t>
  </si>
  <si>
    <t>469557 Chris</t>
  </si>
  <si>
    <t>Bag 0119</t>
  </si>
  <si>
    <t>31/206/2</t>
  </si>
  <si>
    <t>147ACD93</t>
  </si>
  <si>
    <t>185768 Christian</t>
  </si>
  <si>
    <t>Bag 0113</t>
  </si>
  <si>
    <t>31/206/3</t>
  </si>
  <si>
    <t>9445CB93</t>
  </si>
  <si>
    <t>036585 Leonard</t>
  </si>
  <si>
    <t>Bag 1109</t>
  </si>
  <si>
    <t>1109</t>
  </si>
  <si>
    <t>31/207/1</t>
  </si>
  <si>
    <t>640E3594</t>
  </si>
  <si>
    <t>514265 August</t>
  </si>
  <si>
    <t>Bag 0264</t>
  </si>
  <si>
    <t>264</t>
  </si>
  <si>
    <t>31/207/2</t>
  </si>
  <si>
    <t>743AD593</t>
  </si>
  <si>
    <t>464329 Siravit</t>
  </si>
  <si>
    <t>Bag 0010</t>
  </si>
  <si>
    <t>31/207/3</t>
  </si>
  <si>
    <t>4458F293</t>
  </si>
  <si>
    <t>211793 Mads</t>
  </si>
  <si>
    <t>Bag 0080</t>
  </si>
  <si>
    <t>31/208/1</t>
  </si>
  <si>
    <t>1478D493</t>
  </si>
  <si>
    <t>316326 Henrik</t>
  </si>
  <si>
    <t>Bag 0605</t>
  </si>
  <si>
    <t>605</t>
  </si>
  <si>
    <t>31/208/2</t>
  </si>
  <si>
    <t>64EED093</t>
  </si>
  <si>
    <t>443672 Emilie</t>
  </si>
  <si>
    <t>Bag 0018</t>
  </si>
  <si>
    <t>31/208/3</t>
  </si>
  <si>
    <t>942BCF93</t>
  </si>
  <si>
    <t>633689 Marc-André</t>
  </si>
  <si>
    <t>Bag 0902</t>
  </si>
  <si>
    <t>902</t>
  </si>
  <si>
    <t>31/209/1</t>
  </si>
  <si>
    <t>24DCDB93</t>
  </si>
  <si>
    <t>497834 Niclas</t>
  </si>
  <si>
    <t>Bag 0095</t>
  </si>
  <si>
    <t>31/209/2</t>
  </si>
  <si>
    <t>743DE293</t>
  </si>
  <si>
    <t>482154 Viktor</t>
  </si>
  <si>
    <t>Bag 0413</t>
  </si>
  <si>
    <t>413</t>
  </si>
  <si>
    <t>31/209/3</t>
  </si>
  <si>
    <t>6451CB93</t>
  </si>
  <si>
    <t>464152 Nicklas</t>
  </si>
  <si>
    <t>Bag 0111</t>
  </si>
  <si>
    <t>31/210/1</t>
  </si>
  <si>
    <t>64EDCC93</t>
  </si>
  <si>
    <t>513057 Valdemar</t>
  </si>
  <si>
    <t>Bag 0846</t>
  </si>
  <si>
    <t>846</t>
  </si>
  <si>
    <t>31/210/2</t>
  </si>
  <si>
    <t>243FED93</t>
  </si>
  <si>
    <t>483792 Daniel (tilgår OKT)</t>
  </si>
  <si>
    <t>Bag 0053</t>
  </si>
  <si>
    <t>31/210/3</t>
  </si>
  <si>
    <t>142DCC93</t>
  </si>
  <si>
    <t>176046 Bjørn</t>
  </si>
  <si>
    <t>Bag 0541</t>
  </si>
  <si>
    <t>541</t>
  </si>
  <si>
    <t>31/211/1</t>
  </si>
  <si>
    <t>040D3E94</t>
  </si>
  <si>
    <t>476174 Frederik</t>
  </si>
  <si>
    <t>Bag 0707</t>
  </si>
  <si>
    <t>707</t>
  </si>
  <si>
    <t>31/211/2</t>
  </si>
  <si>
    <t>C41CDF93</t>
  </si>
  <si>
    <t>494223 Celia</t>
  </si>
  <si>
    <t>Bag 0432</t>
  </si>
  <si>
    <t>432</t>
  </si>
  <si>
    <t>31/211/3</t>
  </si>
  <si>
    <t>1470D193</t>
  </si>
  <si>
    <t>496247 Nicklas</t>
  </si>
  <si>
    <t>Bag 0109</t>
  </si>
  <si>
    <t>31/212/1</t>
  </si>
  <si>
    <t>34C5DA93</t>
  </si>
  <si>
    <t>Bag 0313</t>
  </si>
  <si>
    <t>313</t>
  </si>
  <si>
    <t>31/212/2</t>
  </si>
  <si>
    <t>A49ACD93</t>
  </si>
  <si>
    <t>444757 Simon</t>
  </si>
  <si>
    <t>Bag 0897</t>
  </si>
  <si>
    <t>897</t>
  </si>
  <si>
    <t>31/212/3</t>
  </si>
  <si>
    <t>1477E993</t>
  </si>
  <si>
    <t>450362 Morten</t>
  </si>
  <si>
    <t>Bag 0026</t>
  </si>
  <si>
    <t>31/213/1</t>
  </si>
  <si>
    <t>24EDDA93</t>
  </si>
  <si>
    <t>Bag 1102</t>
  </si>
  <si>
    <t>1102</t>
  </si>
  <si>
    <t>31/213/2</t>
  </si>
  <si>
    <t>24BBF493</t>
  </si>
  <si>
    <t>497955 Dennis</t>
  </si>
  <si>
    <t>Bag 0284</t>
  </si>
  <si>
    <t>284</t>
  </si>
  <si>
    <t>31/213/3</t>
  </si>
  <si>
    <t>B4673894</t>
  </si>
  <si>
    <t>348441 Kristian</t>
  </si>
  <si>
    <t>Bag 0210</t>
  </si>
  <si>
    <t>210</t>
  </si>
  <si>
    <t>31/214/1</t>
  </si>
  <si>
    <t>7443DE93</t>
  </si>
  <si>
    <t>500608 Tobias</t>
  </si>
  <si>
    <t>Bag 0103</t>
  </si>
  <si>
    <t>31/214/2</t>
  </si>
  <si>
    <t>4454F293</t>
  </si>
  <si>
    <t>478498 Mathias</t>
  </si>
  <si>
    <t>Bag 0899</t>
  </si>
  <si>
    <t>899</t>
  </si>
  <si>
    <t>31/214/3</t>
  </si>
  <si>
    <t>B4B5CB93</t>
  </si>
  <si>
    <t>340169 Jesper</t>
  </si>
  <si>
    <t>Bag 1025</t>
  </si>
  <si>
    <t>1025</t>
  </si>
  <si>
    <t>31/215/1</t>
  </si>
  <si>
    <t>B4BEDF93</t>
  </si>
  <si>
    <t>456510 Mathias</t>
  </si>
  <si>
    <t>Bag 0929</t>
  </si>
  <si>
    <t>929</t>
  </si>
  <si>
    <t>31/215/2</t>
  </si>
  <si>
    <t>04E3E893</t>
  </si>
  <si>
    <t>496484 Oliver</t>
  </si>
  <si>
    <t>Bag 0690</t>
  </si>
  <si>
    <t>690</t>
  </si>
  <si>
    <t>31/215/3</t>
  </si>
  <si>
    <t>C487DB93</t>
  </si>
  <si>
    <t>Bag 0068</t>
  </si>
  <si>
    <t>31/216/1</t>
  </si>
  <si>
    <t>04593794</t>
  </si>
  <si>
    <t>486367 Christian</t>
  </si>
  <si>
    <t>Bag 0297</t>
  </si>
  <si>
    <t>297</t>
  </si>
  <si>
    <t>31/216/2</t>
  </si>
  <si>
    <t>B472D693</t>
  </si>
  <si>
    <t>509664 Oscar</t>
  </si>
  <si>
    <t>Bag 0090</t>
  </si>
  <si>
    <t>31/216/3</t>
  </si>
  <si>
    <t>64D9F393</t>
  </si>
  <si>
    <t>500589 Frederik</t>
  </si>
  <si>
    <t>Bag 0875</t>
  </si>
  <si>
    <t>875</t>
  </si>
  <si>
    <t>31/217/1</t>
  </si>
  <si>
    <t>A4C5EA93</t>
  </si>
  <si>
    <t>389308 Jonas</t>
  </si>
  <si>
    <t>Bag 0606</t>
  </si>
  <si>
    <t>606</t>
  </si>
  <si>
    <t>31/217/2</t>
  </si>
  <si>
    <t>741FEA93</t>
  </si>
  <si>
    <t>Bag 0330</t>
  </si>
  <si>
    <t>330</t>
  </si>
  <si>
    <t>31/217/3</t>
  </si>
  <si>
    <t>D46DD493</t>
  </si>
  <si>
    <t>450798 Victor</t>
  </si>
  <si>
    <t>Bag 1078</t>
  </si>
  <si>
    <t>1078</t>
  </si>
  <si>
    <t>31/218/1</t>
  </si>
  <si>
    <t>84C44594</t>
  </si>
  <si>
    <t>483857 Anders</t>
  </si>
  <si>
    <t>Bag 1076</t>
  </si>
  <si>
    <t>1076</t>
  </si>
  <si>
    <t>31/218/2</t>
  </si>
  <si>
    <t>E466DF93</t>
  </si>
  <si>
    <t>435720 Nikolaj</t>
  </si>
  <si>
    <t>Bag 0593</t>
  </si>
  <si>
    <t>593</t>
  </si>
  <si>
    <t>31/218/3</t>
  </si>
  <si>
    <t>2465D693</t>
  </si>
  <si>
    <t>469484 Daniel</t>
  </si>
  <si>
    <t>Bag 0747</t>
  </si>
  <si>
    <t>747</t>
  </si>
  <si>
    <t>31/219/1</t>
  </si>
  <si>
    <t>D4F3E093</t>
  </si>
  <si>
    <t>Bag 0385</t>
  </si>
  <si>
    <t>385</t>
  </si>
  <si>
    <t>31/219/2</t>
  </si>
  <si>
    <t>54D0DB93</t>
  </si>
  <si>
    <t>128987 Marianne</t>
  </si>
  <si>
    <t>Bag 0858</t>
  </si>
  <si>
    <t>858</t>
  </si>
  <si>
    <t>31/219/3</t>
  </si>
  <si>
    <t>34C64694</t>
  </si>
  <si>
    <t>323557 Claus</t>
  </si>
  <si>
    <t>Bag 1093</t>
  </si>
  <si>
    <t>1093</t>
  </si>
  <si>
    <t>31/220/1</t>
  </si>
  <si>
    <t>A4C93794</t>
  </si>
  <si>
    <t>447427 Mathias</t>
  </si>
  <si>
    <t>Bag 0892</t>
  </si>
  <si>
    <t>892</t>
  </si>
  <si>
    <t>31/220/2</t>
  </si>
  <si>
    <t>F428D593</t>
  </si>
  <si>
    <t>442768 Søren</t>
  </si>
  <si>
    <t>Bag 1133</t>
  </si>
  <si>
    <t>1133</t>
  </si>
  <si>
    <t>31/220/3</t>
  </si>
  <si>
    <t>1401D493</t>
  </si>
  <si>
    <t>Bag 0460</t>
  </si>
  <si>
    <t>460</t>
  </si>
  <si>
    <t>31/D1/1</t>
  </si>
  <si>
    <t>5471F493</t>
  </si>
  <si>
    <t>485963 Peter</t>
  </si>
  <si>
    <t>Bag 0154</t>
  </si>
  <si>
    <t>31/D1/2</t>
  </si>
  <si>
    <t>D44DDE93</t>
  </si>
  <si>
    <t>492238 Maja</t>
  </si>
  <si>
    <t>Bag 0660</t>
  </si>
  <si>
    <t>660</t>
  </si>
  <si>
    <t>31/D1/3</t>
  </si>
  <si>
    <t>8440F393</t>
  </si>
  <si>
    <t>444638 Mathias</t>
  </si>
  <si>
    <t>Bag 0962</t>
  </si>
  <si>
    <t>962</t>
  </si>
  <si>
    <t>31/D2/1</t>
  </si>
  <si>
    <t>94E94594</t>
  </si>
  <si>
    <t>476791 Jacob</t>
  </si>
  <si>
    <t>Bag 0571</t>
  </si>
  <si>
    <t>571</t>
  </si>
  <si>
    <t>31/D2/2</t>
  </si>
  <si>
    <t>746DDC93</t>
  </si>
  <si>
    <t>506675 Frederik</t>
  </si>
  <si>
    <t>Bag 0300</t>
  </si>
  <si>
    <t>300</t>
  </si>
  <si>
    <t>31/D2/3</t>
  </si>
  <si>
    <t>E460D693</t>
  </si>
  <si>
    <t>496827 André</t>
  </si>
  <si>
    <t>Bag 0416</t>
  </si>
  <si>
    <t>416</t>
  </si>
  <si>
    <t>32/1/E1/1</t>
  </si>
  <si>
    <t>64C84694</t>
  </si>
  <si>
    <t>149951 Mike</t>
  </si>
  <si>
    <t>Bag 1023</t>
  </si>
  <si>
    <t>1023</t>
  </si>
  <si>
    <t>32/1/E1/2</t>
  </si>
  <si>
    <t>2448DB93</t>
  </si>
  <si>
    <t>Bag 0374</t>
  </si>
  <si>
    <t>374</t>
  </si>
  <si>
    <t>32/1/E1/3</t>
  </si>
  <si>
    <t>A43FD393</t>
  </si>
  <si>
    <t>Bag 0348</t>
  </si>
  <si>
    <t>348</t>
  </si>
  <si>
    <t>32/1/E2/1</t>
  </si>
  <si>
    <t>444CDB93</t>
  </si>
  <si>
    <t>Bag 0429</t>
  </si>
  <si>
    <t>429</t>
  </si>
  <si>
    <t>32/1/E2/2</t>
  </si>
  <si>
    <t>9451DB93</t>
  </si>
  <si>
    <t>464753 Joakim</t>
  </si>
  <si>
    <t>Bag 0043</t>
  </si>
  <si>
    <t>Jesper Tunroth</t>
  </si>
  <si>
    <t>Joakim Söderqvist</t>
  </si>
  <si>
    <t>Anton Hurtig</t>
  </si>
  <si>
    <t>Tobias Lindh</t>
  </si>
  <si>
    <t>Mathias Nilsson</t>
  </si>
  <si>
    <t>Jerry Jönsson</t>
  </si>
  <si>
    <t>Joel Johansson</t>
  </si>
  <si>
    <t>Niklas Davidsson</t>
  </si>
  <si>
    <t>Peter Lindskog</t>
  </si>
  <si>
    <t>442964 Rico</t>
  </si>
  <si>
    <t>Bag 0570</t>
  </si>
  <si>
    <t>570</t>
  </si>
  <si>
    <t>Carl Backström</t>
  </si>
  <si>
    <t>84FCDD93</t>
  </si>
  <si>
    <t>Johan Boström</t>
  </si>
  <si>
    <t>Mikael Eklund</t>
  </si>
  <si>
    <t>32/101/1</t>
  </si>
  <si>
    <t>E41ED093</t>
  </si>
  <si>
    <t>499890 Johan</t>
  </si>
  <si>
    <t>Bag 0265</t>
  </si>
  <si>
    <t>265</t>
  </si>
  <si>
    <t>E4E1D293</t>
  </si>
  <si>
    <t>32/101/2</t>
  </si>
  <si>
    <t>506898 Simon</t>
  </si>
  <si>
    <t>Bag 0507</t>
  </si>
  <si>
    <t>507</t>
  </si>
  <si>
    <t>32/101/3</t>
  </si>
  <si>
    <t>F413CE93</t>
  </si>
  <si>
    <t>197317 Kristian</t>
  </si>
  <si>
    <t>Bag 0939</t>
  </si>
  <si>
    <t>939</t>
  </si>
  <si>
    <t>32/101/4</t>
  </si>
  <si>
    <t>C414DA93</t>
  </si>
  <si>
    <t>482349 Mikkel</t>
  </si>
  <si>
    <t>Bag 0414</t>
  </si>
  <si>
    <t>414</t>
  </si>
  <si>
    <t>32/102/1</t>
  </si>
  <si>
    <t>7491CA93</t>
  </si>
  <si>
    <t xml:space="preserve">51401 Emilia </t>
  </si>
  <si>
    <t>Bag 1062</t>
  </si>
  <si>
    <t>1062</t>
  </si>
  <si>
    <t>32/102/2</t>
  </si>
  <si>
    <t>14F7CC93</t>
  </si>
  <si>
    <t xml:space="preserve">51203 Iza </t>
  </si>
  <si>
    <t>Bag 0389</t>
  </si>
  <si>
    <t>389</t>
  </si>
  <si>
    <t>32/102/3</t>
  </si>
  <si>
    <t>641CCF93</t>
  </si>
  <si>
    <t>482192 Sune</t>
  </si>
  <si>
    <t>Bag 0680</t>
  </si>
  <si>
    <t>680</t>
  </si>
  <si>
    <t>32/102/4</t>
  </si>
  <si>
    <t>747ACC93</t>
  </si>
  <si>
    <t>229653 Hans</t>
  </si>
  <si>
    <t>Bag 0244</t>
  </si>
  <si>
    <t>244</t>
  </si>
  <si>
    <t>32/103/1</t>
  </si>
  <si>
    <t>7410CB93</t>
  </si>
  <si>
    <t xml:space="preserve">51407 Jens </t>
  </si>
  <si>
    <t>Bag 0888</t>
  </si>
  <si>
    <t>888</t>
  </si>
  <si>
    <t>32/103/2</t>
  </si>
  <si>
    <t>84BECA93</t>
  </si>
  <si>
    <t xml:space="preserve">51501 Mattias </t>
  </si>
  <si>
    <t>487503 Sander</t>
  </si>
  <si>
    <t>Bag 1152</t>
  </si>
  <si>
    <t>1152</t>
  </si>
  <si>
    <t>32/103/3</t>
  </si>
  <si>
    <t>8409DD93</t>
  </si>
  <si>
    <t>519670 Mathias</t>
  </si>
  <si>
    <t>Bag 1143</t>
  </si>
  <si>
    <t>1143</t>
  </si>
  <si>
    <t>32/103/4</t>
  </si>
  <si>
    <t>74DCEE93</t>
  </si>
  <si>
    <t>402790 Casper</t>
  </si>
  <si>
    <t>Bag 0630</t>
  </si>
  <si>
    <t>630</t>
  </si>
  <si>
    <t>32/203/1</t>
  </si>
  <si>
    <t>F46B3894</t>
  </si>
  <si>
    <t>201379 Nikolai Risvange</t>
  </si>
  <si>
    <t>0366</t>
  </si>
  <si>
    <t>32/104/1</t>
  </si>
  <si>
    <t>C463CD93</t>
  </si>
  <si>
    <t xml:space="preserve">51105 David </t>
  </si>
  <si>
    <t>480306 Christian</t>
  </si>
  <si>
    <t>Bag 0836</t>
  </si>
  <si>
    <t>836</t>
  </si>
  <si>
    <t>32/204/1</t>
  </si>
  <si>
    <t>C4E3CC93</t>
  </si>
  <si>
    <t>485210Kasper Thomsen</t>
  </si>
  <si>
    <t>0365</t>
  </si>
  <si>
    <t>32/104/2</t>
  </si>
  <si>
    <t>6465DE93</t>
  </si>
  <si>
    <t xml:space="preserve">51108 Colin </t>
  </si>
  <si>
    <t>486827 Atai</t>
  </si>
  <si>
    <t>Bag 1096</t>
  </si>
  <si>
    <t>1096</t>
  </si>
  <si>
    <t>32/216/1</t>
  </si>
  <si>
    <t>1463D693</t>
  </si>
  <si>
    <t>171631 Bjarne S. Munk</t>
  </si>
  <si>
    <t>0367</t>
  </si>
  <si>
    <t>32/104/3</t>
  </si>
  <si>
    <t>A486DD93</t>
  </si>
  <si>
    <t>501883 Magnus</t>
  </si>
  <si>
    <t>Bag 0861</t>
  </si>
  <si>
    <t>861</t>
  </si>
  <si>
    <t>32/217/1</t>
  </si>
  <si>
    <t>A4DCDB93</t>
  </si>
  <si>
    <t>304794 Christian Andersen</t>
  </si>
  <si>
    <t>0364</t>
  </si>
  <si>
    <t>32/104/4</t>
  </si>
  <si>
    <t>6438E993</t>
  </si>
  <si>
    <t>444070 Simon</t>
  </si>
  <si>
    <t>Bag 0275</t>
  </si>
  <si>
    <t>275</t>
  </si>
  <si>
    <t>32/218/1</t>
  </si>
  <si>
    <t>544BDA93</t>
  </si>
  <si>
    <t>225018 Anders Tagge</t>
  </si>
  <si>
    <t>0363</t>
  </si>
  <si>
    <t>32/105/1</t>
  </si>
  <si>
    <t>C41DF493</t>
  </si>
  <si>
    <t xml:space="preserve">51305 Rex </t>
  </si>
  <si>
    <t>Bag 0359</t>
  </si>
  <si>
    <t>359</t>
  </si>
  <si>
    <t>32/105/2</t>
  </si>
  <si>
    <t>C43FD093</t>
  </si>
  <si>
    <t xml:space="preserve">51207 Tim </t>
  </si>
  <si>
    <t>464053 Jesper</t>
  </si>
  <si>
    <t>Bag 1132</t>
  </si>
  <si>
    <t>1132</t>
  </si>
  <si>
    <t>32/105/3</t>
  </si>
  <si>
    <t>C405D993</t>
  </si>
  <si>
    <t>493011 Kathrine</t>
  </si>
  <si>
    <t>Bag 1103</t>
  </si>
  <si>
    <t>1103</t>
  </si>
  <si>
    <t>32/105/4</t>
  </si>
  <si>
    <t>34E0E893</t>
  </si>
  <si>
    <t>500558 Marcus</t>
  </si>
  <si>
    <t>Bag 0473</t>
  </si>
  <si>
    <t>473</t>
  </si>
  <si>
    <t>32/106/1</t>
  </si>
  <si>
    <t>34ACD093</t>
  </si>
  <si>
    <t xml:space="preserve">51307 Christoffer </t>
  </si>
  <si>
    <t>456567 Dedenroth</t>
  </si>
  <si>
    <t>Bag 1032</t>
  </si>
  <si>
    <t>1032</t>
  </si>
  <si>
    <t>32/106/2</t>
  </si>
  <si>
    <t>D43FD093</t>
  </si>
  <si>
    <t xml:space="preserve">51308 Carl-Gustaf </t>
  </si>
  <si>
    <t>444558 Jakob</t>
  </si>
  <si>
    <t>Bag 0960</t>
  </si>
  <si>
    <t>960</t>
  </si>
  <si>
    <t>32/106/3</t>
  </si>
  <si>
    <t>916367 Jonathan</t>
  </si>
  <si>
    <t>Bag 0758</t>
  </si>
  <si>
    <t>758</t>
  </si>
  <si>
    <t>32/106/4</t>
  </si>
  <si>
    <t>34DAE493</t>
  </si>
  <si>
    <t>Bag 0631</t>
  </si>
  <si>
    <t>631</t>
  </si>
  <si>
    <t>32/107/1</t>
  </si>
  <si>
    <t>94D4DC93</t>
  </si>
  <si>
    <t xml:space="preserve">51001 Marcus </t>
  </si>
  <si>
    <t>099134 Christophe</t>
  </si>
  <si>
    <t>Bag 0515</t>
  </si>
  <si>
    <t>515</t>
  </si>
  <si>
    <t>32/107/2</t>
  </si>
  <si>
    <t>34A24894</t>
  </si>
  <si>
    <t>513193 Oliver</t>
  </si>
  <si>
    <t>Bag 1048</t>
  </si>
  <si>
    <t>1048</t>
  </si>
  <si>
    <t>32/107/3</t>
  </si>
  <si>
    <t>943FD893</t>
  </si>
  <si>
    <t>518439 Laura</t>
  </si>
  <si>
    <t>Bag 0223</t>
  </si>
  <si>
    <t>223</t>
  </si>
  <si>
    <t>32/107/4</t>
  </si>
  <si>
    <t>4425EB93</t>
  </si>
  <si>
    <t>503205 Alexander</t>
  </si>
  <si>
    <t>Bag 0436</t>
  </si>
  <si>
    <t>436</t>
  </si>
  <si>
    <t>32/108/1</t>
  </si>
  <si>
    <t>C485D193</t>
  </si>
  <si>
    <t xml:space="preserve">51002 Hannah </t>
  </si>
  <si>
    <t>521100 Natasha</t>
  </si>
  <si>
    <t>Bag 0040</t>
  </si>
  <si>
    <t>32/108/2</t>
  </si>
  <si>
    <t>2441D393</t>
  </si>
  <si>
    <t>331022 Thomas</t>
  </si>
  <si>
    <t>Bag 1026</t>
  </si>
  <si>
    <t>1026</t>
  </si>
  <si>
    <t>32/108/3</t>
  </si>
  <si>
    <t>A4F8DA93</t>
  </si>
  <si>
    <t>Bag 0327</t>
  </si>
  <si>
    <t>327</t>
  </si>
  <si>
    <t>32/108/4</t>
  </si>
  <si>
    <t>34B7E293</t>
  </si>
  <si>
    <t>513088 Tobias</t>
  </si>
  <si>
    <t>Bag 0088</t>
  </si>
  <si>
    <t>32/109/1</t>
  </si>
  <si>
    <t>440ED493</t>
  </si>
  <si>
    <t>462968 Steffen</t>
  </si>
  <si>
    <t>Bag 0959</t>
  </si>
  <si>
    <t>959</t>
  </si>
  <si>
    <t>32/109/2</t>
  </si>
  <si>
    <t>D4CECA93</t>
  </si>
  <si>
    <t>Bag 0459</t>
  </si>
  <si>
    <t>459</t>
  </si>
  <si>
    <t>32/109/3</t>
  </si>
  <si>
    <t>944EDF93</t>
  </si>
  <si>
    <t>Bag 1008</t>
  </si>
  <si>
    <t>1008</t>
  </si>
  <si>
    <t>32/109/4</t>
  </si>
  <si>
    <t>346B3594</t>
  </si>
  <si>
    <t>Bag 1009</t>
  </si>
  <si>
    <t>1009</t>
  </si>
  <si>
    <t>32/110/1</t>
  </si>
  <si>
    <t>345ECB93</t>
  </si>
  <si>
    <t>472561 Yousef</t>
  </si>
  <si>
    <t>Bag 0285</t>
  </si>
  <si>
    <t>285</t>
  </si>
  <si>
    <t>32/110/2</t>
  </si>
  <si>
    <t>44E9CD93</t>
  </si>
  <si>
    <t>451932 Karl</t>
  </si>
  <si>
    <t>Bag 0201</t>
  </si>
  <si>
    <t>201</t>
  </si>
  <si>
    <t>32/110/3</t>
  </si>
  <si>
    <t>E418DF93</t>
  </si>
  <si>
    <t>Bag 0380</t>
  </si>
  <si>
    <t>380</t>
  </si>
  <si>
    <t>32/110/4</t>
  </si>
  <si>
    <t>8441E593</t>
  </si>
  <si>
    <t>455022 Anders</t>
  </si>
  <si>
    <t>Bag 0126</t>
  </si>
  <si>
    <t>32/111/1</t>
  </si>
  <si>
    <t>B4F4DA93</t>
  </si>
  <si>
    <t>503470 Nikolai</t>
  </si>
  <si>
    <t>Bag 1075</t>
  </si>
  <si>
    <t>1075</t>
  </si>
  <si>
    <t>32/111/2</t>
  </si>
  <si>
    <t>3400D293</t>
  </si>
  <si>
    <t>231513 Denis Alix</t>
  </si>
  <si>
    <t>Bag 0982</t>
  </si>
  <si>
    <t>982</t>
  </si>
  <si>
    <t>32/111/3</t>
  </si>
  <si>
    <t>544BD893</t>
  </si>
  <si>
    <t>513580 Jens</t>
  </si>
  <si>
    <t>Bag 0203</t>
  </si>
  <si>
    <t>203</t>
  </si>
  <si>
    <t>32/111/4</t>
  </si>
  <si>
    <t>E4DEE893</t>
  </si>
  <si>
    <t>771679 Raveen Timothy</t>
  </si>
  <si>
    <t>Bag 1098</t>
  </si>
  <si>
    <t>1098</t>
  </si>
  <si>
    <t>32/112/1</t>
  </si>
  <si>
    <t>4460CB93</t>
  </si>
  <si>
    <t>437354 Birk</t>
  </si>
  <si>
    <t>Bag 0124</t>
  </si>
  <si>
    <t>32/112/2</t>
  </si>
  <si>
    <t>84E34594</t>
  </si>
  <si>
    <t>500524 Nicolaj</t>
  </si>
  <si>
    <t>Bag 1173</t>
  </si>
  <si>
    <t>1173</t>
  </si>
  <si>
    <t>32/112/3</t>
  </si>
  <si>
    <t>543AD593</t>
  </si>
  <si>
    <t>476610 Niels</t>
  </si>
  <si>
    <t>Bag 0226</t>
  </si>
  <si>
    <t>226</t>
  </si>
  <si>
    <t>32/112/4</t>
  </si>
  <si>
    <t>94B9E193</t>
  </si>
  <si>
    <t>464029 Mathias</t>
  </si>
  <si>
    <t>Bag 0984</t>
  </si>
  <si>
    <t>984</t>
  </si>
  <si>
    <t>32/113/1</t>
  </si>
  <si>
    <t>245CCB93</t>
  </si>
  <si>
    <t>Bag 1148</t>
  </si>
  <si>
    <t>1148</t>
  </si>
  <si>
    <t>32/113/2</t>
  </si>
  <si>
    <t>34C0DF93</t>
  </si>
  <si>
    <t>Bag 0825</t>
  </si>
  <si>
    <t>825</t>
  </si>
  <si>
    <t>32/113/3</t>
  </si>
  <si>
    <t>44DDD893</t>
  </si>
  <si>
    <t>Bag 0733</t>
  </si>
  <si>
    <t>733</t>
  </si>
  <si>
    <t>32/113/4</t>
  </si>
  <si>
    <t>B4D9F193</t>
  </si>
  <si>
    <t>492041 Kasper</t>
  </si>
  <si>
    <t>Bag 0106</t>
  </si>
  <si>
    <t>32/114/1</t>
  </si>
  <si>
    <t>54B6D093</t>
  </si>
  <si>
    <t>Bag 0334</t>
  </si>
  <si>
    <t>334</t>
  </si>
  <si>
    <t>32/114/2</t>
  </si>
  <si>
    <t>D45ADE93</t>
  </si>
  <si>
    <t>Bag 0369</t>
  </si>
  <si>
    <t>369</t>
  </si>
  <si>
    <t>32/114/3</t>
  </si>
  <si>
    <t>84D3CA93</t>
  </si>
  <si>
    <t>199791 Jens</t>
  </si>
  <si>
    <t>Bag 0519</t>
  </si>
  <si>
    <t>519</t>
  </si>
  <si>
    <t>32/114/4</t>
  </si>
  <si>
    <t>74F83894</t>
  </si>
  <si>
    <t>Bag 0395</t>
  </si>
  <si>
    <t>395</t>
  </si>
  <si>
    <t>32/115/1</t>
  </si>
  <si>
    <t>743ACF93</t>
  </si>
  <si>
    <t xml:space="preserve">51205 Elias </t>
  </si>
  <si>
    <t>496669 Mathias</t>
  </si>
  <si>
    <t>Bag 0094</t>
  </si>
  <si>
    <t>32/115/2</t>
  </si>
  <si>
    <t>24B0D093</t>
  </si>
  <si>
    <t>492513 Tore</t>
  </si>
  <si>
    <t>Bag 1172</t>
  </si>
  <si>
    <t>1172</t>
  </si>
  <si>
    <t>32/115/3</t>
  </si>
  <si>
    <t>D45DDD93</t>
  </si>
  <si>
    <t>472052 Tove R Jensen</t>
  </si>
  <si>
    <t>Bag 0609</t>
  </si>
  <si>
    <t>609</t>
  </si>
  <si>
    <t>32/115/4</t>
  </si>
  <si>
    <t>D4A9E193</t>
  </si>
  <si>
    <t>469831 Helena</t>
  </si>
  <si>
    <t>Bag 0197</t>
  </si>
  <si>
    <t>197</t>
  </si>
  <si>
    <t>32/116/1</t>
  </si>
  <si>
    <t>8406D693</t>
  </si>
  <si>
    <t xml:space="preserve">51208 Eric </t>
  </si>
  <si>
    <t>486332 Eskild</t>
  </si>
  <si>
    <t>Bag 0235</t>
  </si>
  <si>
    <t>235</t>
  </si>
  <si>
    <t>32/116/2</t>
  </si>
  <si>
    <t>D471D493</t>
  </si>
  <si>
    <t xml:space="preserve">51303 Figge </t>
  </si>
  <si>
    <t>492323 Gustav</t>
  </si>
  <si>
    <t>Bag 0521</t>
  </si>
  <si>
    <t>521</t>
  </si>
  <si>
    <t>32/116/3</t>
  </si>
  <si>
    <t>D45FCB93</t>
  </si>
  <si>
    <t>Bag 0342</t>
  </si>
  <si>
    <t>342</t>
  </si>
  <si>
    <t>32/116/4</t>
  </si>
  <si>
    <t>6471F493</t>
  </si>
  <si>
    <t>311577 Ashley</t>
  </si>
  <si>
    <t>Bag 0517</t>
  </si>
  <si>
    <t>517</t>
  </si>
  <si>
    <t>32/117/1</t>
  </si>
  <si>
    <t>1431CC93</t>
  </si>
  <si>
    <t xml:space="preserve">51107 Dante </t>
  </si>
  <si>
    <t>477465 Mikkel</t>
  </si>
  <si>
    <t>Bag 0685</t>
  </si>
  <si>
    <t>685</t>
  </si>
  <si>
    <t>32/117/2</t>
  </si>
  <si>
    <t>948ED493</t>
  </si>
  <si>
    <t xml:space="preserve">51103 Pontus </t>
  </si>
  <si>
    <t>Bag 0860</t>
  </si>
  <si>
    <t>860</t>
  </si>
  <si>
    <t>32/117/3</t>
  </si>
  <si>
    <t>241ACC93</t>
  </si>
  <si>
    <t>Bag 0986</t>
  </si>
  <si>
    <t>986</t>
  </si>
  <si>
    <t>32/117/4</t>
  </si>
  <si>
    <t>5431CC93</t>
  </si>
  <si>
    <t>427758 Andreas</t>
  </si>
  <si>
    <t>Bag 0208</t>
  </si>
  <si>
    <t>208</t>
  </si>
  <si>
    <t>32/118/1</t>
  </si>
  <si>
    <t>2408D693</t>
  </si>
  <si>
    <t xml:space="preserve">51505 Emil </t>
  </si>
  <si>
    <t>478585 Alexander</t>
  </si>
  <si>
    <t>Bag 0008</t>
  </si>
  <si>
    <t>32/118/2</t>
  </si>
  <si>
    <t>C4E14294</t>
  </si>
  <si>
    <t xml:space="preserve">51515 Daniel </t>
  </si>
  <si>
    <t>918691 David</t>
  </si>
  <si>
    <t>Bag 0518</t>
  </si>
  <si>
    <t>518</t>
  </si>
  <si>
    <t>32/118/3</t>
  </si>
  <si>
    <t>84EFD593</t>
  </si>
  <si>
    <t>Bag 0307</t>
  </si>
  <si>
    <t>307</t>
  </si>
  <si>
    <t>32/118/4</t>
  </si>
  <si>
    <t>946D4694</t>
  </si>
  <si>
    <t>373728 Jean</t>
  </si>
  <si>
    <t>Bag 1055</t>
  </si>
  <si>
    <t>1055</t>
  </si>
  <si>
    <t>32/119/1</t>
  </si>
  <si>
    <t>543F4294</t>
  </si>
  <si>
    <t xml:space="preserve">51405 Jesper </t>
  </si>
  <si>
    <t>478576 Josef</t>
  </si>
  <si>
    <t>Bag 0006</t>
  </si>
  <si>
    <t>32/119/2</t>
  </si>
  <si>
    <t>B478CD93</t>
  </si>
  <si>
    <t xml:space="preserve">51408 Vilgot </t>
  </si>
  <si>
    <t>509928 Freja</t>
  </si>
  <si>
    <t>Bag 1177</t>
  </si>
  <si>
    <t>1177</t>
  </si>
  <si>
    <t>32/119/3</t>
  </si>
  <si>
    <t>C4F23B94</t>
  </si>
  <si>
    <t>Bag 0886</t>
  </si>
  <si>
    <t>886</t>
  </si>
  <si>
    <t>32/119/4</t>
  </si>
  <si>
    <t>6476CD93</t>
  </si>
  <si>
    <t>481063 Ian</t>
  </si>
  <si>
    <t>Bag 0568</t>
  </si>
  <si>
    <t>568</t>
  </si>
  <si>
    <t>32/120/1</t>
  </si>
  <si>
    <t>048CD493</t>
  </si>
  <si>
    <t>447137 Kasper</t>
  </si>
  <si>
    <t>Bag 1072</t>
  </si>
  <si>
    <t>1072</t>
  </si>
  <si>
    <t>32/120/2</t>
  </si>
  <si>
    <t>14FED893</t>
  </si>
  <si>
    <t>434562 Christoffer</t>
  </si>
  <si>
    <t>Bag 0565</t>
  </si>
  <si>
    <t>565</t>
  </si>
  <si>
    <t>32/120/3</t>
  </si>
  <si>
    <t>C44DE493</t>
  </si>
  <si>
    <t>476484 Niclas</t>
  </si>
  <si>
    <t>Bag 1168</t>
  </si>
  <si>
    <t>1168</t>
  </si>
  <si>
    <t>32/120/4</t>
  </si>
  <si>
    <t>7406F393</t>
  </si>
  <si>
    <t>519045 Tilde</t>
  </si>
  <si>
    <t>Bag 0114</t>
  </si>
  <si>
    <t>32/2/E1/1</t>
  </si>
  <si>
    <t>B4E93994</t>
  </si>
  <si>
    <t>Bag 0355</t>
  </si>
  <si>
    <t>355</t>
  </si>
  <si>
    <t>32/2/E1/2</t>
  </si>
  <si>
    <t>E401D693</t>
  </si>
  <si>
    <t>342550 Kasper</t>
  </si>
  <si>
    <t>Bag 0036</t>
  </si>
  <si>
    <t>32/2/E1/3</t>
  </si>
  <si>
    <t>1413CF93</t>
  </si>
  <si>
    <t>450600 Nikoline</t>
  </si>
  <si>
    <t>Bag 0167</t>
  </si>
  <si>
    <t>167</t>
  </si>
  <si>
    <t>32/2/E2/1</t>
  </si>
  <si>
    <t>4427EB93</t>
  </si>
  <si>
    <t>467551 Matilde</t>
  </si>
  <si>
    <t>Bag 0031</t>
  </si>
  <si>
    <t>32/2/E2/2</t>
  </si>
  <si>
    <t>84C0CB93</t>
  </si>
  <si>
    <t>509191 Sebastian</t>
  </si>
  <si>
    <t>Bag 1135</t>
  </si>
  <si>
    <t>1135</t>
  </si>
  <si>
    <t>32/2/E2/3</t>
  </si>
  <si>
    <t>645FD893</t>
  </si>
  <si>
    <t>411727 Danni</t>
  </si>
  <si>
    <t>Bag 0272</t>
  </si>
  <si>
    <t>272</t>
  </si>
  <si>
    <t>32/201/1</t>
  </si>
  <si>
    <t>1469CE93</t>
  </si>
  <si>
    <t>501105 Magnus</t>
  </si>
  <si>
    <t>Bag 0449</t>
  </si>
  <si>
    <t>449</t>
  </si>
  <si>
    <t>32/201/2</t>
  </si>
  <si>
    <t>2461DD93</t>
  </si>
  <si>
    <t>497138 Alexander</t>
  </si>
  <si>
    <t>Bag 0795</t>
  </si>
  <si>
    <t>795</t>
  </si>
  <si>
    <t>32/201/3</t>
  </si>
  <si>
    <t>F4B73594</t>
  </si>
  <si>
    <t>Bag 1064</t>
  </si>
  <si>
    <t>1064</t>
  </si>
  <si>
    <t>32/202/1</t>
  </si>
  <si>
    <t>E44CD393</t>
  </si>
  <si>
    <t>464693 Sine</t>
  </si>
  <si>
    <t>Bag 0918</t>
  </si>
  <si>
    <t>918</t>
  </si>
  <si>
    <t>32/202/2</t>
  </si>
  <si>
    <t>7493CF93</t>
  </si>
  <si>
    <t>493142 Anders</t>
  </si>
  <si>
    <t>Bag 1108</t>
  </si>
  <si>
    <t>1108</t>
  </si>
  <si>
    <t>32/202/3</t>
  </si>
  <si>
    <t>54DDD393</t>
  </si>
  <si>
    <t>Bag 0617</t>
  </si>
  <si>
    <t>617</t>
  </si>
  <si>
    <t>509390 Asta</t>
  </si>
  <si>
    <t>Bag 0193</t>
  </si>
  <si>
    <t>193</t>
  </si>
  <si>
    <t>32/203/2</t>
  </si>
  <si>
    <t>B486D693</t>
  </si>
  <si>
    <t>443646 Esben</t>
  </si>
  <si>
    <t>Bag 0121</t>
  </si>
  <si>
    <t>32/203/3</t>
  </si>
  <si>
    <t>8453CB93</t>
  </si>
  <si>
    <t>Bag 0818</t>
  </si>
  <si>
    <t>818</t>
  </si>
  <si>
    <t>32/203/4</t>
  </si>
  <si>
    <t>9439E093</t>
  </si>
  <si>
    <t>Bag 0468</t>
  </si>
  <si>
    <t>468</t>
  </si>
  <si>
    <t>94CACA93</t>
  </si>
  <si>
    <t>485210 Kasper Thomsen</t>
  </si>
  <si>
    <t>485740 Benjamin</t>
  </si>
  <si>
    <t>Bag 1137</t>
  </si>
  <si>
    <t>1137</t>
  </si>
  <si>
    <t>32/204/2</t>
  </si>
  <si>
    <t>34A44194</t>
  </si>
  <si>
    <t>505372 Mia</t>
  </si>
  <si>
    <t>Bag 0181</t>
  </si>
  <si>
    <t>181</t>
  </si>
  <si>
    <t>32/204/3</t>
  </si>
  <si>
    <t>94653494</t>
  </si>
  <si>
    <t>469819 Rikke</t>
  </si>
  <si>
    <t>Bag 0198</t>
  </si>
  <si>
    <t>198</t>
  </si>
  <si>
    <t>32/204/4</t>
  </si>
  <si>
    <t>C41BEF93</t>
  </si>
  <si>
    <t>494372 Tobias</t>
  </si>
  <si>
    <t>Bag 1069</t>
  </si>
  <si>
    <t>1069</t>
  </si>
  <si>
    <t>507699 Sigurd</t>
  </si>
  <si>
    <t>Bag 0087</t>
  </si>
  <si>
    <t>32/205/2</t>
  </si>
  <si>
    <t>8454DA93</t>
  </si>
  <si>
    <t>458054 Thomas</t>
  </si>
  <si>
    <t>Bag 0045</t>
  </si>
  <si>
    <t>32/205/3</t>
  </si>
  <si>
    <t>843DE593</t>
  </si>
  <si>
    <t>198041 Kenneth</t>
  </si>
  <si>
    <t>Bag 0643</t>
  </si>
  <si>
    <t>643</t>
  </si>
  <si>
    <t>32/205/4</t>
  </si>
  <si>
    <t>347FDB93</t>
  </si>
  <si>
    <t>469111 Thor</t>
  </si>
  <si>
    <t>Bag 0655</t>
  </si>
  <si>
    <t>655</t>
  </si>
  <si>
    <t>501897 August</t>
  </si>
  <si>
    <t>Bag 0254</t>
  </si>
  <si>
    <t>254</t>
  </si>
  <si>
    <t>32/206/2</t>
  </si>
  <si>
    <t>D4FFD593</t>
  </si>
  <si>
    <t>724439 Pierre-Oliver</t>
  </si>
  <si>
    <t>Bag 0770</t>
  </si>
  <si>
    <t>770</t>
  </si>
  <si>
    <t>32/206/3</t>
  </si>
  <si>
    <t>748DF493</t>
  </si>
  <si>
    <t>493242 Alexander (Tilgår OKT)</t>
  </si>
  <si>
    <t>Bag 0054</t>
  </si>
  <si>
    <t>32/206/4</t>
  </si>
  <si>
    <t>94A2F093</t>
  </si>
  <si>
    <t>976538 Patrick</t>
  </si>
  <si>
    <t>Bag 0882</t>
  </si>
  <si>
    <t>882</t>
  </si>
  <si>
    <t>189252 Christian</t>
  </si>
  <si>
    <t>Bag 0209</t>
  </si>
  <si>
    <t>209</t>
  </si>
  <si>
    <t>32/207/2</t>
  </si>
  <si>
    <t>74B9D993</t>
  </si>
  <si>
    <t>447085 Cong</t>
  </si>
  <si>
    <t>Bag 0546</t>
  </si>
  <si>
    <t>546</t>
  </si>
  <si>
    <t>32/207/3</t>
  </si>
  <si>
    <t>24A0CF93</t>
  </si>
  <si>
    <t>364989 Túni</t>
  </si>
  <si>
    <t>Bag 0159</t>
  </si>
  <si>
    <t>159</t>
  </si>
  <si>
    <t>32/207/4</t>
  </si>
  <si>
    <t>1453F193</t>
  </si>
  <si>
    <t>Bag 0999</t>
  </si>
  <si>
    <t>999</t>
  </si>
  <si>
    <t>083806 Gabriel</t>
  </si>
  <si>
    <t>Bag 0841</t>
  </si>
  <si>
    <t>841</t>
  </si>
  <si>
    <t>32/208/2</t>
  </si>
  <si>
    <t>C47FD393</t>
  </si>
  <si>
    <t>513279 Lukas</t>
  </si>
  <si>
    <t>Bag 0092</t>
  </si>
  <si>
    <t>32/208/3</t>
  </si>
  <si>
    <t>548ACE93</t>
  </si>
  <si>
    <t>436503 Dennis</t>
  </si>
  <si>
    <t>Bag 0746</t>
  </si>
  <si>
    <t>746</t>
  </si>
  <si>
    <t>32/208/4</t>
  </si>
  <si>
    <t>44D3DD93</t>
  </si>
  <si>
    <t>506456 Kathrine</t>
  </si>
  <si>
    <t>Bag 0431</t>
  </si>
  <si>
    <t>431</t>
  </si>
  <si>
    <t>32/209/1</t>
  </si>
  <si>
    <t>3402CE93</t>
  </si>
  <si>
    <t>Bag 0388</t>
  </si>
  <si>
    <t>388</t>
  </si>
  <si>
    <t>32/209/2</t>
  </si>
  <si>
    <t>B4E1D593</t>
  </si>
  <si>
    <t>211169 Jean-Christophe</t>
  </si>
  <si>
    <t>Bag 1020</t>
  </si>
  <si>
    <t>1020</t>
  </si>
  <si>
    <t>32/209/3</t>
  </si>
  <si>
    <t>8402F493</t>
  </si>
  <si>
    <t>454374 Mikkel</t>
  </si>
  <si>
    <t>Bag 0900</t>
  </si>
  <si>
    <t>900</t>
  </si>
  <si>
    <t>32/209/4</t>
  </si>
  <si>
    <t>E46B3694</t>
  </si>
  <si>
    <t>068218 Marilyn</t>
  </si>
  <si>
    <t>Bag 0852</t>
  </si>
  <si>
    <t>852</t>
  </si>
  <si>
    <t>32/210/1</t>
  </si>
  <si>
    <t>54E4D893</t>
  </si>
  <si>
    <t>Bag 0319</t>
  </si>
  <si>
    <t>319</t>
  </si>
  <si>
    <t>32/210/2</t>
  </si>
  <si>
    <t>4401D793</t>
  </si>
  <si>
    <t>490483 Monika</t>
  </si>
  <si>
    <t>Bag 0965</t>
  </si>
  <si>
    <t>965</t>
  </si>
  <si>
    <t>32/210/3</t>
  </si>
  <si>
    <t>74D8EE93</t>
  </si>
  <si>
    <t>443815 Morten</t>
  </si>
  <si>
    <t>Bag 1181</t>
  </si>
  <si>
    <t>1181</t>
  </si>
  <si>
    <t>32/210/4</t>
  </si>
  <si>
    <t>24C1EF93</t>
  </si>
  <si>
    <t>336185 Samuel</t>
  </si>
  <si>
    <t>Bag 1019</t>
  </si>
  <si>
    <t>1019</t>
  </si>
  <si>
    <t>32/211/1</t>
  </si>
  <si>
    <t>B420CC93</t>
  </si>
  <si>
    <t>Bag 0806</t>
  </si>
  <si>
    <t>806</t>
  </si>
  <si>
    <t>32/211/2</t>
  </si>
  <si>
    <t>A4FFDB93</t>
  </si>
  <si>
    <t>433879 Mathias</t>
  </si>
  <si>
    <t>Bag 0580</t>
  </si>
  <si>
    <t>580</t>
  </si>
  <si>
    <t>32/211/3</t>
  </si>
  <si>
    <t>B40CCE93</t>
  </si>
  <si>
    <t>485275 Magnus</t>
  </si>
  <si>
    <t>Bag 0964</t>
  </si>
  <si>
    <t>964</t>
  </si>
  <si>
    <t>32/211/4</t>
  </si>
  <si>
    <t>B4D2F293</t>
  </si>
  <si>
    <t>Bag 0344</t>
  </si>
  <si>
    <t>344</t>
  </si>
  <si>
    <t>32/212/1</t>
  </si>
  <si>
    <t>04C4CA93</t>
  </si>
  <si>
    <t>494152 Markus</t>
  </si>
  <si>
    <t>Bag 1185</t>
  </si>
  <si>
    <t>1185</t>
  </si>
  <si>
    <t>32/212/2</t>
  </si>
  <si>
    <t>D4CDDD93</t>
  </si>
  <si>
    <t>514523 Markus</t>
  </si>
  <si>
    <t>Bag 0417</t>
  </si>
  <si>
    <t>417</t>
  </si>
  <si>
    <t>32/212/3</t>
  </si>
  <si>
    <t>8410CB93</t>
  </si>
  <si>
    <t>412603 Michael</t>
  </si>
  <si>
    <t>Bag 0970</t>
  </si>
  <si>
    <t>970</t>
  </si>
  <si>
    <t>32/212/4</t>
  </si>
  <si>
    <t>34E1E093</t>
  </si>
  <si>
    <t>496683 Kenn</t>
  </si>
  <si>
    <t>Bag 0110</t>
  </si>
  <si>
    <t>32/213/1</t>
  </si>
  <si>
    <t>4479DB93</t>
  </si>
  <si>
    <t>Bag 0878</t>
  </si>
  <si>
    <t>878</t>
  </si>
  <si>
    <t>32/213/2</t>
  </si>
  <si>
    <t>A4B43E94</t>
  </si>
  <si>
    <t>514451 Mikkel</t>
  </si>
  <si>
    <t>Bag 0480</t>
  </si>
  <si>
    <t>480</t>
  </si>
  <si>
    <t>32/213/3</t>
  </si>
  <si>
    <t>34F7CD93</t>
  </si>
  <si>
    <t>463716 Kasper</t>
  </si>
  <si>
    <t>Bag 0204</t>
  </si>
  <si>
    <t>204</t>
  </si>
  <si>
    <t>32/213/4</t>
  </si>
  <si>
    <t>B410CB93</t>
  </si>
  <si>
    <t>Bag 0766</t>
  </si>
  <si>
    <t>766</t>
  </si>
  <si>
    <t>32/214/1</t>
  </si>
  <si>
    <t>34DFE093</t>
  </si>
  <si>
    <t>513443 Emilie</t>
  </si>
  <si>
    <t>Bag 1176</t>
  </si>
  <si>
    <t>1176</t>
  </si>
  <si>
    <t>32/214/2</t>
  </si>
  <si>
    <t>E451DE93</t>
  </si>
  <si>
    <t>501532 Alexander</t>
  </si>
  <si>
    <t>Bag 0669</t>
  </si>
  <si>
    <t>669</t>
  </si>
  <si>
    <t>32/214/3</t>
  </si>
  <si>
    <t>9441D393</t>
  </si>
  <si>
    <t>772312 Charles</t>
  </si>
  <si>
    <t>Bag 0495</t>
  </si>
  <si>
    <t>495</t>
  </si>
  <si>
    <t>32/214/4</t>
  </si>
  <si>
    <t>B433CF93</t>
  </si>
  <si>
    <t>062727 Gabriel</t>
  </si>
  <si>
    <t>Bag 1006</t>
  </si>
  <si>
    <t>1006</t>
  </si>
  <si>
    <t>94B8D093</t>
  </si>
  <si>
    <t>212716 Kim</t>
  </si>
  <si>
    <t>Bag 0995</t>
  </si>
  <si>
    <t>995</t>
  </si>
  <si>
    <t>32/215/2</t>
  </si>
  <si>
    <t>A45BDC93</t>
  </si>
  <si>
    <t>469386 Mads</t>
  </si>
  <si>
    <t>Bag 0227</t>
  </si>
  <si>
    <t>227</t>
  </si>
  <si>
    <t>32/215/3</t>
  </si>
  <si>
    <t>2476D893</t>
  </si>
  <si>
    <t>509728 Mikkel</t>
  </si>
  <si>
    <t>Bag 0403</t>
  </si>
  <si>
    <t>403</t>
  </si>
  <si>
    <t>32/215/4</t>
  </si>
  <si>
    <t>64ADCB93</t>
  </si>
  <si>
    <t>446010 Mathias</t>
  </si>
  <si>
    <t>Bag 0137</t>
  </si>
  <si>
    <t>497645 Mikkel</t>
  </si>
  <si>
    <t>Bag 0966</t>
  </si>
  <si>
    <t>966</t>
  </si>
  <si>
    <t>32/216/2</t>
  </si>
  <si>
    <t>649ACC93</t>
  </si>
  <si>
    <t>203893 Juliette</t>
  </si>
  <si>
    <t>Bag 0760</t>
  </si>
  <si>
    <t>760</t>
  </si>
  <si>
    <t>32/216/3</t>
  </si>
  <si>
    <t>04A5CC93</t>
  </si>
  <si>
    <t>477658 Victor</t>
  </si>
  <si>
    <t>Bag 0797</t>
  </si>
  <si>
    <t>797</t>
  </si>
  <si>
    <t>32/216/4</t>
  </si>
  <si>
    <t>6442E193</t>
  </si>
  <si>
    <t>458536 Frederik</t>
  </si>
  <si>
    <t>Bag 0638</t>
  </si>
  <si>
    <t>638</t>
  </si>
  <si>
    <t>446984 Lasse</t>
  </si>
  <si>
    <t>Bag 0123</t>
  </si>
  <si>
    <t>32/217/2</t>
  </si>
  <si>
    <t>543C4994</t>
  </si>
  <si>
    <t>477013 Thais</t>
  </si>
  <si>
    <t>Bag 1085</t>
  </si>
  <si>
    <t>1085</t>
  </si>
  <si>
    <t>32/217/3</t>
  </si>
  <si>
    <t>3467CC93</t>
  </si>
  <si>
    <t>Bag 0321</t>
  </si>
  <si>
    <t>321</t>
  </si>
  <si>
    <t>32/217/4</t>
  </si>
  <si>
    <t>546FF493</t>
  </si>
  <si>
    <t>Bag 0635</t>
  </si>
  <si>
    <t>635</t>
  </si>
  <si>
    <t>841824 Anthony</t>
  </si>
  <si>
    <t>Bag 1039</t>
  </si>
  <si>
    <t>1039</t>
  </si>
  <si>
    <t>32/218/2</t>
  </si>
  <si>
    <t>9407CE93</t>
  </si>
  <si>
    <t>Bag 0767</t>
  </si>
  <si>
    <t>767</t>
  </si>
  <si>
    <t>32/218/3</t>
  </si>
  <si>
    <t>54C0D593</t>
  </si>
  <si>
    <t>434488 Magnus</t>
  </si>
  <si>
    <t>Bag 0434</t>
  </si>
  <si>
    <t>434</t>
  </si>
  <si>
    <t>32/218/4</t>
  </si>
  <si>
    <t>04BFE493</t>
  </si>
  <si>
    <t>515295 Charlotte</t>
  </si>
  <si>
    <t>Bag 1005</t>
  </si>
  <si>
    <t>1005</t>
  </si>
  <si>
    <t>32/219/1</t>
  </si>
  <si>
    <t>444BDC93</t>
  </si>
  <si>
    <t>Bag 0614</t>
  </si>
  <si>
    <t>614</t>
  </si>
  <si>
    <t>32/219/2</t>
  </si>
  <si>
    <t>649B3F94</t>
  </si>
  <si>
    <t>272313 Xavier</t>
  </si>
  <si>
    <t>Bag 0529</t>
  </si>
  <si>
    <t>529</t>
  </si>
  <si>
    <t>32/219/3</t>
  </si>
  <si>
    <t>6489DB93</t>
  </si>
  <si>
    <t>497045 Andreas</t>
  </si>
  <si>
    <t>Bag 0298</t>
  </si>
  <si>
    <t>298</t>
  </si>
  <si>
    <t>32/220/1</t>
  </si>
  <si>
    <t>A486D193</t>
  </si>
  <si>
    <t>513635 Lucas</t>
  </si>
  <si>
    <t>Bag 1166</t>
  </si>
  <si>
    <t>1166</t>
  </si>
  <si>
    <t>32/220/2</t>
  </si>
  <si>
    <t>4457DE93</t>
  </si>
  <si>
    <t>618794 Jeff</t>
  </si>
  <si>
    <t>Bag 0994</t>
  </si>
  <si>
    <t>994</t>
  </si>
  <si>
    <t>32/220/3</t>
  </si>
  <si>
    <t>44DFD893</t>
  </si>
  <si>
    <t>505711 Mark</t>
  </si>
  <si>
    <t>Bag 0277</t>
  </si>
  <si>
    <t>277</t>
  </si>
  <si>
    <t>32/D1/1</t>
  </si>
  <si>
    <t>E468CD93</t>
  </si>
  <si>
    <t>161117 Jan</t>
  </si>
  <si>
    <t>Bag 0199</t>
  </si>
  <si>
    <t>199</t>
  </si>
  <si>
    <t>32/D1/2</t>
  </si>
  <si>
    <t>2447D593</t>
  </si>
  <si>
    <t>473595 Jannik</t>
  </si>
  <si>
    <t>Bag 0276</t>
  </si>
  <si>
    <t>276</t>
  </si>
  <si>
    <t>32/D1/3</t>
  </si>
  <si>
    <t>6479CC93</t>
  </si>
  <si>
    <t>413270 Steve</t>
  </si>
  <si>
    <t>Bag 0534</t>
  </si>
  <si>
    <t>534</t>
  </si>
  <si>
    <t>32/D2/1</t>
  </si>
  <si>
    <t>94F3CA93</t>
  </si>
  <si>
    <t>514172 Markus</t>
  </si>
  <si>
    <t>Bag 0194</t>
  </si>
  <si>
    <t>194</t>
  </si>
  <si>
    <t>32/D2/2</t>
  </si>
  <si>
    <t>B4B1CB93</t>
  </si>
  <si>
    <t>152015 Rasmus</t>
  </si>
  <si>
    <t>Bag 1056</t>
  </si>
  <si>
    <t>1056</t>
  </si>
  <si>
    <t>32/D2/3</t>
  </si>
  <si>
    <t>C4A6F493</t>
  </si>
  <si>
    <t>472823 Ulrik</t>
  </si>
  <si>
    <t>Bag 0578</t>
  </si>
  <si>
    <t>578</t>
  </si>
  <si>
    <t>33/1/E1/1</t>
  </si>
  <si>
    <t>943CCC93</t>
  </si>
  <si>
    <t>472922 Emma</t>
  </si>
  <si>
    <t>Bag 0034</t>
  </si>
  <si>
    <t>33/1/E1/2</t>
  </si>
  <si>
    <t>A4C2D793</t>
  </si>
  <si>
    <t>738360 Justin</t>
  </si>
  <si>
    <t>Bag 1112</t>
  </si>
  <si>
    <t>1112</t>
  </si>
  <si>
    <t>33/1/E1/3</t>
  </si>
  <si>
    <t>947DCC93</t>
  </si>
  <si>
    <t>487759 Andreas</t>
  </si>
  <si>
    <t>Bag 0862</t>
  </si>
  <si>
    <t>862</t>
  </si>
  <si>
    <t>33/1/E2/1</t>
  </si>
  <si>
    <t>54DD3794</t>
  </si>
  <si>
    <t>Bag 0535</t>
  </si>
  <si>
    <t>535</t>
  </si>
  <si>
    <t>33/1/E2/2</t>
  </si>
  <si>
    <t>7467DE93</t>
  </si>
  <si>
    <t>501135 Simon</t>
  </si>
  <si>
    <t>Bag 0683</t>
  </si>
  <si>
    <t>683</t>
  </si>
  <si>
    <t>33/1/E2/3</t>
  </si>
  <si>
    <t>D4A8CC93</t>
  </si>
  <si>
    <t>Bag 1122</t>
  </si>
  <si>
    <t>1122</t>
  </si>
  <si>
    <t>33/101/1</t>
  </si>
  <si>
    <t>14EDD393</t>
  </si>
  <si>
    <t>55001 Kajsa-Elsa</t>
  </si>
  <si>
    <t>454104 Paulo</t>
  </si>
  <si>
    <t>Bag 0752</t>
  </si>
  <si>
    <t>752</t>
  </si>
  <si>
    <t>33/101/2</t>
  </si>
  <si>
    <t>947CE693</t>
  </si>
  <si>
    <t>485238 Frederik</t>
  </si>
  <si>
    <t>Bag 1047</t>
  </si>
  <si>
    <t>1047</t>
  </si>
  <si>
    <t>33/101/3</t>
  </si>
  <si>
    <t>9491CE93</t>
  </si>
  <si>
    <t>482048 Jakob</t>
  </si>
  <si>
    <t>Bag 0269</t>
  </si>
  <si>
    <t>269</t>
  </si>
  <si>
    <t>33/102/1</t>
  </si>
  <si>
    <t>F4ACE193</t>
  </si>
  <si>
    <t xml:space="preserve">55625 Viktor </t>
  </si>
  <si>
    <t>490455 Thomas</t>
  </si>
  <si>
    <t>Bag 0725</t>
  </si>
  <si>
    <t>725</t>
  </si>
  <si>
    <t>33/102/2</t>
  </si>
  <si>
    <t>747BD393</t>
  </si>
  <si>
    <t xml:space="preserve">55501 Joel </t>
  </si>
  <si>
    <t>465198 Emil</t>
  </si>
  <si>
    <t>Bag 0012</t>
  </si>
  <si>
    <t>33/102/3</t>
  </si>
  <si>
    <t>24BBEF93</t>
  </si>
  <si>
    <t>142471 Didier</t>
  </si>
  <si>
    <t>Bag 0525</t>
  </si>
  <si>
    <t>525</t>
  </si>
  <si>
    <t>33/103/1</t>
  </si>
  <si>
    <t>F40E3994</t>
  </si>
  <si>
    <t xml:space="preserve">55315 Niki </t>
  </si>
  <si>
    <t>458151 Anders</t>
  </si>
  <si>
    <t>Bag 0156</t>
  </si>
  <si>
    <t>A4A33F94</t>
  </si>
  <si>
    <t>33/103/2</t>
  </si>
  <si>
    <t>F4BEEA93</t>
  </si>
  <si>
    <t xml:space="preserve">55415 Kajsa </t>
  </si>
  <si>
    <t>509128 Kristoffer</t>
  </si>
  <si>
    <t>Bag 0851</t>
  </si>
  <si>
    <t>851</t>
  </si>
  <si>
    <t>446DDB93</t>
  </si>
  <si>
    <t>33/103/3</t>
  </si>
  <si>
    <t>44B7F493</t>
  </si>
  <si>
    <t>195186 Lars Ole</t>
  </si>
  <si>
    <t>Bag 0002</t>
  </si>
  <si>
    <t>33/104/1</t>
  </si>
  <si>
    <t>F4B8EA93</t>
  </si>
  <si>
    <t>Theo RIECKMANN</t>
  </si>
  <si>
    <t>481846 Maja</t>
  </si>
  <si>
    <t>Bag 0241</t>
  </si>
  <si>
    <t>241</t>
  </si>
  <si>
    <t>33/104/2</t>
  </si>
  <si>
    <t>6401E693</t>
  </si>
  <si>
    <t>Hugo LINDSTROM</t>
  </si>
  <si>
    <t>Bag 0440</t>
  </si>
  <si>
    <t>440</t>
  </si>
  <si>
    <t>33/104/3</t>
  </si>
  <si>
    <t>44A1E293</t>
  </si>
  <si>
    <t>478226 Jens</t>
  </si>
  <si>
    <t>Bag 0058</t>
  </si>
  <si>
    <t>33/105/1</t>
  </si>
  <si>
    <t>849CCB93</t>
  </si>
  <si>
    <t xml:space="preserve">55201 Albin </t>
  </si>
  <si>
    <t>496072 Niclas</t>
  </si>
  <si>
    <t>Bag 0057</t>
  </si>
  <si>
    <t>33/105/2</t>
  </si>
  <si>
    <t>B4BEDE93</t>
  </si>
  <si>
    <t xml:space="preserve">55305 Leo </t>
  </si>
  <si>
    <t>493291 Christia</t>
  </si>
  <si>
    <t>Bag 0853</t>
  </si>
  <si>
    <t>853</t>
  </si>
  <si>
    <t>33/105/3</t>
  </si>
  <si>
    <t>74C0D993</t>
  </si>
  <si>
    <t>501774 Jacob</t>
  </si>
  <si>
    <t>Bag 0506</t>
  </si>
  <si>
    <t>506</t>
  </si>
  <si>
    <t>33/106/1</t>
  </si>
  <si>
    <t>A41FF493</t>
  </si>
  <si>
    <t>55405 Casper</t>
  </si>
  <si>
    <t>497779 Caroline</t>
  </si>
  <si>
    <t>Bag 0956</t>
  </si>
  <si>
    <t>956</t>
  </si>
  <si>
    <t>33/106/2</t>
  </si>
  <si>
    <t>54FAD393</t>
  </si>
  <si>
    <t xml:space="preserve">55205 Jonathan </t>
  </si>
  <si>
    <t>421903 Nicolaj</t>
  </si>
  <si>
    <t>Bag 0732</t>
  </si>
  <si>
    <t>732</t>
  </si>
  <si>
    <t>33/106/3</t>
  </si>
  <si>
    <t>744BE593</t>
  </si>
  <si>
    <t>364409 Martin</t>
  </si>
  <si>
    <t>Bag 1089</t>
  </si>
  <si>
    <t>1089</t>
  </si>
  <si>
    <t>33/107/1</t>
  </si>
  <si>
    <t>3481CC93</t>
  </si>
  <si>
    <t xml:space="preserve">55401 Benjamin </t>
  </si>
  <si>
    <t>419245 Adrien Vallieres</t>
  </si>
  <si>
    <t>Bag 1146</t>
  </si>
  <si>
    <t>1146</t>
  </si>
  <si>
    <t>33/107/2</t>
  </si>
  <si>
    <t>54FCF393</t>
  </si>
  <si>
    <t xml:space="preserve">55665 Hannes </t>
  </si>
  <si>
    <t>464046 Ditte</t>
  </si>
  <si>
    <t>Bag 0192</t>
  </si>
  <si>
    <t>192</t>
  </si>
  <si>
    <t>33/107/3</t>
  </si>
  <si>
    <t>64AADE93</t>
  </si>
  <si>
    <t>500865 Andreas</t>
  </si>
  <si>
    <t>Bag 1136</t>
  </si>
  <si>
    <t>1136</t>
  </si>
  <si>
    <t>33/108/1</t>
  </si>
  <si>
    <t>A450E193</t>
  </si>
  <si>
    <t>55202 Christopher</t>
  </si>
  <si>
    <t>329515 Martin</t>
  </si>
  <si>
    <t>Bag 0174</t>
  </si>
  <si>
    <t>174</t>
  </si>
  <si>
    <t>33/108/2</t>
  </si>
  <si>
    <t>04533D94</t>
  </si>
  <si>
    <t xml:space="preserve">55655 Andreas </t>
  </si>
  <si>
    <t>513450 Viktor</t>
  </si>
  <si>
    <t>Bag 0252</t>
  </si>
  <si>
    <t>252</t>
  </si>
  <si>
    <t>33/108/3</t>
  </si>
  <si>
    <t>140FCF93</t>
  </si>
  <si>
    <t>436623 Dennis</t>
  </si>
  <si>
    <t>Bag 0257</t>
  </si>
  <si>
    <t>257</t>
  </si>
  <si>
    <t>33/109/1</t>
  </si>
  <si>
    <t>54DCDD93</t>
  </si>
  <si>
    <t>417390 Poul</t>
  </si>
  <si>
    <t>Bag 0067</t>
  </si>
  <si>
    <t>A40CE093</t>
  </si>
  <si>
    <t>33/109/2</t>
  </si>
  <si>
    <t>5417D993</t>
  </si>
  <si>
    <t xml:space="preserve">55215 Elias </t>
  </si>
  <si>
    <t>460045 Asger</t>
  </si>
  <si>
    <t>Bag 0784</t>
  </si>
  <si>
    <t>784</t>
  </si>
  <si>
    <t>33/109/3</t>
  </si>
  <si>
    <t>159347 Ditlev</t>
  </si>
  <si>
    <t>Bag 0896</t>
  </si>
  <si>
    <t>896</t>
  </si>
  <si>
    <t>33/110/1</t>
  </si>
  <si>
    <t>846EE993</t>
  </si>
  <si>
    <t xml:space="preserve">55125 Elias </t>
  </si>
  <si>
    <t>488623 Mikael</t>
  </si>
  <si>
    <t>Bag 0813</t>
  </si>
  <si>
    <t>813</t>
  </si>
  <si>
    <t>944BF093</t>
  </si>
  <si>
    <t>33/110/2</t>
  </si>
  <si>
    <t>240CE493</t>
  </si>
  <si>
    <t xml:space="preserve">55325 Lukas </t>
  </si>
  <si>
    <t>497871 Jacob</t>
  </si>
  <si>
    <t>Bag 0470</t>
  </si>
  <si>
    <t>470</t>
  </si>
  <si>
    <t>33/110/3</t>
  </si>
  <si>
    <t>472915 Frederik</t>
  </si>
  <si>
    <t>Bag 0041</t>
  </si>
  <si>
    <t>33/111/1</t>
  </si>
  <si>
    <t>D4B8DE93</t>
  </si>
  <si>
    <t>513252 Alex</t>
  </si>
  <si>
    <t>Bag 0086</t>
  </si>
  <si>
    <t>33/111/2</t>
  </si>
  <si>
    <t>7478E493</t>
  </si>
  <si>
    <t>493249 Magnus</t>
  </si>
  <si>
    <t>Bag 1111</t>
  </si>
  <si>
    <t>1111</t>
  </si>
  <si>
    <t>33/111/3</t>
  </si>
  <si>
    <t>942BE493</t>
  </si>
  <si>
    <t>468285 Signe</t>
  </si>
  <si>
    <t>Bag 0077</t>
  </si>
  <si>
    <t>33/112/1</t>
  </si>
  <si>
    <t>54444094</t>
  </si>
  <si>
    <t>54207 Sixten</t>
  </si>
  <si>
    <t>Bag 0871</t>
  </si>
  <si>
    <t>871</t>
  </si>
  <si>
    <t>04D6F093</t>
  </si>
  <si>
    <t>33/112/2</t>
  </si>
  <si>
    <t>B4753E94</t>
  </si>
  <si>
    <t>Bag 0333</t>
  </si>
  <si>
    <t>333</t>
  </si>
  <si>
    <t>33/112/3</t>
  </si>
  <si>
    <t>195268 Thomas</t>
  </si>
  <si>
    <t>Bag 0211</t>
  </si>
  <si>
    <t>211</t>
  </si>
  <si>
    <t>33/113/1</t>
  </si>
  <si>
    <t>2481D693</t>
  </si>
  <si>
    <t>54111 Jimmy (ssk på plats v4-10)</t>
  </si>
  <si>
    <t>463802 John-Lee</t>
  </si>
  <si>
    <t>Bag 1035</t>
  </si>
  <si>
    <t>1035</t>
  </si>
  <si>
    <t>2470E493</t>
  </si>
  <si>
    <t>33/113/2</t>
  </si>
  <si>
    <t>4402CE93</t>
  </si>
  <si>
    <t>Bag 1045</t>
  </si>
  <si>
    <t>1045</t>
  </si>
  <si>
    <t>33/113/3</t>
  </si>
  <si>
    <t>478000 Niels</t>
  </si>
  <si>
    <t>Bag 0246</t>
  </si>
  <si>
    <t>246</t>
  </si>
  <si>
    <t>33/114/1</t>
  </si>
  <si>
    <t>5450F293</t>
  </si>
  <si>
    <t xml:space="preserve">55601 Eric </t>
  </si>
  <si>
    <t>506340 Niels</t>
  </si>
  <si>
    <t>Bag 0138</t>
  </si>
  <si>
    <t>33/114/2</t>
  </si>
  <si>
    <t>B4C74694</t>
  </si>
  <si>
    <t xml:space="preserve">55105 Noel </t>
  </si>
  <si>
    <t>652812 Bach Dinh</t>
  </si>
  <si>
    <t>Bag 0801</t>
  </si>
  <si>
    <t>801</t>
  </si>
  <si>
    <t>33/114/3</t>
  </si>
  <si>
    <t>0408E893</t>
  </si>
  <si>
    <t>493357 Jacob</t>
  </si>
  <si>
    <t>Bag 0105</t>
  </si>
  <si>
    <t>33/115/1</t>
  </si>
  <si>
    <t>54FFD193</t>
  </si>
  <si>
    <t xml:space="preserve">55335 Carl </t>
  </si>
  <si>
    <t>459216 Tobias</t>
  </si>
  <si>
    <t>Bag 0996</t>
  </si>
  <si>
    <t>996</t>
  </si>
  <si>
    <t>33/115/2</t>
  </si>
  <si>
    <t>C412EA93</t>
  </si>
  <si>
    <t xml:space="preserve">55302 Alexander </t>
  </si>
  <si>
    <t>156921 Poul</t>
  </si>
  <si>
    <t>Bag 0214</t>
  </si>
  <si>
    <t>214</t>
  </si>
  <si>
    <t>33/115/3</t>
  </si>
  <si>
    <t>B4CC4694</t>
  </si>
  <si>
    <t>472500 Lasse</t>
  </si>
  <si>
    <t>Bag 1090</t>
  </si>
  <si>
    <t>1090</t>
  </si>
  <si>
    <t>33/116/1</t>
  </si>
  <si>
    <t>A4E3DB93</t>
  </si>
  <si>
    <t xml:space="preserve">55675 Ture </t>
  </si>
  <si>
    <t>478453 William</t>
  </si>
  <si>
    <t>Bag 0435</t>
  </si>
  <si>
    <t>435</t>
  </si>
  <si>
    <t>33/116/2</t>
  </si>
  <si>
    <t>D4ADE393</t>
  </si>
  <si>
    <t xml:space="preserve">55645 Gustav </t>
  </si>
  <si>
    <t>Bag 1044</t>
  </si>
  <si>
    <t>493959 Anne Malene</t>
  </si>
  <si>
    <t>1044</t>
  </si>
  <si>
    <t>33/116/3</t>
  </si>
  <si>
    <t>E403CB93</t>
  </si>
  <si>
    <t>507807 Jonas</t>
  </si>
  <si>
    <t>Bag 0145</t>
  </si>
  <si>
    <t>33/117/1</t>
  </si>
  <si>
    <t>9450E193</t>
  </si>
  <si>
    <t xml:space="preserve"> 55101 Hampus </t>
  </si>
  <si>
    <t>Bag 0810</t>
  </si>
  <si>
    <t>810</t>
  </si>
  <si>
    <t>33/117/2</t>
  </si>
  <si>
    <t>74D9DA93</t>
  </si>
  <si>
    <t xml:space="preserve">55605 Oscar </t>
  </si>
  <si>
    <t>408151 Mads</t>
  </si>
  <si>
    <t>Bag 0639</t>
  </si>
  <si>
    <t>639</t>
  </si>
  <si>
    <t>54DB3794</t>
  </si>
  <si>
    <t>33/117/3</t>
  </si>
  <si>
    <t>44BBDE93</t>
  </si>
  <si>
    <t>508839 Hector</t>
  </si>
  <si>
    <t>Bag 0682</t>
  </si>
  <si>
    <t>682</t>
  </si>
  <si>
    <t>33/118/1</t>
  </si>
  <si>
    <t>34DADF93</t>
  </si>
  <si>
    <t xml:space="preserve">55602 Signe </t>
  </si>
  <si>
    <t>Bag 0831</t>
  </si>
  <si>
    <t>831</t>
  </si>
  <si>
    <t>33/118/2</t>
  </si>
  <si>
    <t>E444D093</t>
  </si>
  <si>
    <t xml:space="preserve">55615 Tilde </t>
  </si>
  <si>
    <t>505414 Jeppe</t>
  </si>
  <si>
    <t>Bag 0221</t>
  </si>
  <si>
    <t>221</t>
  </si>
  <si>
    <t>33/118/3</t>
  </si>
  <si>
    <t>446C3694</t>
  </si>
  <si>
    <t>513700 Isabella</t>
  </si>
  <si>
    <t>Bag 0062</t>
  </si>
  <si>
    <t>33/119/1</t>
  </si>
  <si>
    <t>D407DD93</t>
  </si>
  <si>
    <t xml:space="preserve">55505 Tommy </t>
  </si>
  <si>
    <t>482625 Oliver</t>
  </si>
  <si>
    <t>Bag 0176</t>
  </si>
  <si>
    <t>176</t>
  </si>
  <si>
    <t>33/119/2</t>
  </si>
  <si>
    <t>1491CD93</t>
  </si>
  <si>
    <t xml:space="preserve">55301 Viggo </t>
  </si>
  <si>
    <t>446127 Flemming</t>
  </si>
  <si>
    <t>Bag 0931</t>
  </si>
  <si>
    <t>931</t>
  </si>
  <si>
    <t>33/119/3</t>
  </si>
  <si>
    <t>1441ED93</t>
  </si>
  <si>
    <t>478464 Aksel</t>
  </si>
  <si>
    <t>Bag 0794</t>
  </si>
  <si>
    <t>794</t>
  </si>
  <si>
    <t>33/120/1</t>
  </si>
  <si>
    <t>B473DC93</t>
  </si>
  <si>
    <t xml:space="preserve">55002 Viktor </t>
  </si>
  <si>
    <t>Bag 1147</t>
  </si>
  <si>
    <t>1147</t>
  </si>
  <si>
    <t>33/120/2</t>
  </si>
  <si>
    <t>A4ACF493</t>
  </si>
  <si>
    <t>216556 Niels</t>
  </si>
  <si>
    <t>Bag 0987</t>
  </si>
  <si>
    <t>987</t>
  </si>
  <si>
    <t>33/120/3</t>
  </si>
  <si>
    <t>C426E393</t>
  </si>
  <si>
    <t>508172 Christopher</t>
  </si>
  <si>
    <t>Bag 0116</t>
  </si>
  <si>
    <t>33/2/E1/1</t>
  </si>
  <si>
    <t>C417DA93</t>
  </si>
  <si>
    <t>518661 Lukas</t>
  </si>
  <si>
    <t>Bag 0426</t>
  </si>
  <si>
    <t>426</t>
  </si>
  <si>
    <t>33/2/E1/2</t>
  </si>
  <si>
    <t>2461D693</t>
  </si>
  <si>
    <t>433771 Lukas</t>
  </si>
  <si>
    <t>Bag 0128</t>
  </si>
  <si>
    <t>33/2/E1/3</t>
  </si>
  <si>
    <t>7449DD93</t>
  </si>
  <si>
    <t>Bag 0840</t>
  </si>
  <si>
    <t>840</t>
  </si>
  <si>
    <t>33/2/E2/1</t>
  </si>
  <si>
    <t>240B4994</t>
  </si>
  <si>
    <t>748290 William</t>
  </si>
  <si>
    <t>Bag 1068</t>
  </si>
  <si>
    <t>1068</t>
  </si>
  <si>
    <t>33/2/E2/2</t>
  </si>
  <si>
    <t>A499CD93</t>
  </si>
  <si>
    <t>Bag 0753</t>
  </si>
  <si>
    <t>753</t>
  </si>
  <si>
    <t>33/2/E2/3</t>
  </si>
  <si>
    <t>6497CF93</t>
  </si>
  <si>
    <t>Bag 0382</t>
  </si>
  <si>
    <t>382</t>
  </si>
  <si>
    <t>33/201/1</t>
  </si>
  <si>
    <t>A4A8D293</t>
  </si>
  <si>
    <t>50001 Marcus</t>
  </si>
  <si>
    <t>Henri</t>
  </si>
  <si>
    <t>Henri NSPA</t>
  </si>
  <si>
    <t>Bag 0339</t>
  </si>
  <si>
    <t>339</t>
  </si>
  <si>
    <t>33/201/2</t>
  </si>
  <si>
    <t>549EF193</t>
  </si>
  <si>
    <t>505752 Tobias</t>
  </si>
  <si>
    <t>Bag 1077</t>
  </si>
  <si>
    <t>1077</t>
  </si>
  <si>
    <t>33/201/3</t>
  </si>
  <si>
    <t>84F9E693</t>
  </si>
  <si>
    <t>Bag 0817</t>
  </si>
  <si>
    <t>817</t>
  </si>
  <si>
    <t>33/202/1</t>
  </si>
  <si>
    <t>C4F8F393</t>
  </si>
  <si>
    <t xml:space="preserve">500041 Marcus </t>
  </si>
  <si>
    <t>499584 Victor</t>
  </si>
  <si>
    <t>Bag 1106</t>
  </si>
  <si>
    <t>1106</t>
  </si>
  <si>
    <t>33/202/2</t>
  </si>
  <si>
    <t>C471D493</t>
  </si>
  <si>
    <t>493502 Kenneth</t>
  </si>
  <si>
    <t>Bag 0489</t>
  </si>
  <si>
    <t>489</t>
  </si>
  <si>
    <t>33/202/3</t>
  </si>
  <si>
    <t>241EE593</t>
  </si>
  <si>
    <t>Bag 0815</t>
  </si>
  <si>
    <t>815</t>
  </si>
  <si>
    <t>33/203/1</t>
  </si>
  <si>
    <t>B43FE993</t>
  </si>
  <si>
    <t xml:space="preserve">50003 Sebastian </t>
  </si>
  <si>
    <t>513639 Victor</t>
  </si>
  <si>
    <t>Bag 1190</t>
  </si>
  <si>
    <t>1190</t>
  </si>
  <si>
    <t>33/203/2</t>
  </si>
  <si>
    <t>54E13794</t>
  </si>
  <si>
    <t>812007 Jeremie</t>
  </si>
  <si>
    <t>Bag 1144</t>
  </si>
  <si>
    <t>1144</t>
  </si>
  <si>
    <t>33/203/3</t>
  </si>
  <si>
    <t>B4E3E993</t>
  </si>
  <si>
    <t>469156 Morten</t>
  </si>
  <si>
    <t>Bag 0132</t>
  </si>
  <si>
    <t>33/204/1</t>
  </si>
  <si>
    <t>14C2E493</t>
  </si>
  <si>
    <t xml:space="preserve"> 54002 Josefin</t>
  </si>
  <si>
    <t>465359 Patrick</t>
  </si>
  <si>
    <t>Bag 0721</t>
  </si>
  <si>
    <t>721</t>
  </si>
  <si>
    <t>33/204/2</t>
  </si>
  <si>
    <t>942AD293</t>
  </si>
  <si>
    <t>500972 Thorbjørn</t>
  </si>
  <si>
    <t>Bag 1198</t>
  </si>
  <si>
    <t>1198</t>
  </si>
  <si>
    <t>33/204/3</t>
  </si>
  <si>
    <t>342AE693</t>
  </si>
  <si>
    <t>508030 Oliver</t>
  </si>
  <si>
    <t>Bag 0483</t>
  </si>
  <si>
    <t>483</t>
  </si>
  <si>
    <t>33/205/1</t>
  </si>
  <si>
    <t>44FCF393</t>
  </si>
  <si>
    <t>54106 William</t>
  </si>
  <si>
    <t>504292 Steffen</t>
  </si>
  <si>
    <t>Bag 1094</t>
  </si>
  <si>
    <t>1094</t>
  </si>
  <si>
    <t>33/205/2</t>
  </si>
  <si>
    <t>B41EF193</t>
  </si>
  <si>
    <t>54136 Hannes</t>
  </si>
  <si>
    <t>497634 Rasmus</t>
  </si>
  <si>
    <t>Bag 0961</t>
  </si>
  <si>
    <t>961</t>
  </si>
  <si>
    <t>33/205/3</t>
  </si>
  <si>
    <t>5459DF93</t>
  </si>
  <si>
    <t>410162 Christian</t>
  </si>
  <si>
    <t>Bag 0564</t>
  </si>
  <si>
    <t>564</t>
  </si>
  <si>
    <t>33/206/1</t>
  </si>
  <si>
    <t>5465EB93</t>
  </si>
  <si>
    <t>54401 Michael</t>
  </si>
  <si>
    <t>507542 Marcus</t>
  </si>
  <si>
    <t>Bag 0250</t>
  </si>
  <si>
    <t>250</t>
  </si>
  <si>
    <t>1449F193</t>
  </si>
  <si>
    <t>33/206/2</t>
  </si>
  <si>
    <t>84C7E693</t>
  </si>
  <si>
    <t>54406 Elliot</t>
  </si>
  <si>
    <t>Bag 0910</t>
  </si>
  <si>
    <t>910</t>
  </si>
  <si>
    <t>33/206/3</t>
  </si>
  <si>
    <t>465234 Christoffer</t>
  </si>
  <si>
    <t>Bag 0033</t>
  </si>
  <si>
    <t>33/207/1</t>
  </si>
  <si>
    <t>3477DD93</t>
  </si>
  <si>
    <t>54206 Jonathan</t>
  </si>
  <si>
    <t>Bag 0791</t>
  </si>
  <si>
    <t>791</t>
  </si>
  <si>
    <t>F487E593</t>
  </si>
  <si>
    <t>33/207/2</t>
  </si>
  <si>
    <t>2422E593</t>
  </si>
  <si>
    <t>54205 Johannes</t>
  </si>
  <si>
    <t>Bag 0539</t>
  </si>
  <si>
    <t>539</t>
  </si>
  <si>
    <t>33/207/3</t>
  </si>
  <si>
    <t>501462 Sebastian</t>
  </si>
  <si>
    <t>Bag 0481</t>
  </si>
  <si>
    <t>481</t>
  </si>
  <si>
    <t>33/208/1</t>
  </si>
  <si>
    <t>A432CF93</t>
  </si>
  <si>
    <t>54407 Peter</t>
  </si>
  <si>
    <t>Bag 0345</t>
  </si>
  <si>
    <t>345</t>
  </si>
  <si>
    <t>2410E493</t>
  </si>
  <si>
    <t>33/208/2</t>
  </si>
  <si>
    <t>24DBE393</t>
  </si>
  <si>
    <t>54408 Johana</t>
  </si>
  <si>
    <t>473912 Maria</t>
  </si>
  <si>
    <t>Bag 0179</t>
  </si>
  <si>
    <t>179</t>
  </si>
  <si>
    <t>33/208/3</t>
  </si>
  <si>
    <t>900006 Diego</t>
  </si>
  <si>
    <t>Bag 0800</t>
  </si>
  <si>
    <t>800</t>
  </si>
  <si>
    <t>33/209/1</t>
  </si>
  <si>
    <t>04C8E093</t>
  </si>
  <si>
    <t>54108 Johan</t>
  </si>
  <si>
    <t>493095 Niels</t>
  </si>
  <si>
    <t>Bag 0287</t>
  </si>
  <si>
    <t>287</t>
  </si>
  <si>
    <t>A49CE493</t>
  </si>
  <si>
    <t>33/209/2</t>
  </si>
  <si>
    <t>A46F3794</t>
  </si>
  <si>
    <t>443274 Lasse</t>
  </si>
  <si>
    <t>Bag 0901</t>
  </si>
  <si>
    <t>901</t>
  </si>
  <si>
    <t>33/209/3</t>
  </si>
  <si>
    <t>732211 Renaud</t>
  </si>
  <si>
    <t>Bag 1052</t>
  </si>
  <si>
    <t>1052</t>
  </si>
  <si>
    <t>33/210/1</t>
  </si>
  <si>
    <t>74A2CB93</t>
  </si>
  <si>
    <t>54109 Staffan</t>
  </si>
  <si>
    <t>493204 Mette</t>
  </si>
  <si>
    <t>Bag 0286</t>
  </si>
  <si>
    <t>286</t>
  </si>
  <si>
    <t>6482E693</t>
  </si>
  <si>
    <t>33/210/2</t>
  </si>
  <si>
    <t>2451D793</t>
  </si>
  <si>
    <t>825108 Olivier</t>
  </si>
  <si>
    <t>Bag 0536</t>
  </si>
  <si>
    <t>536</t>
  </si>
  <si>
    <t>33/210/3</t>
  </si>
  <si>
    <t>Bag 0673</t>
  </si>
  <si>
    <t>673</t>
  </si>
  <si>
    <t>33/211/1</t>
  </si>
  <si>
    <t>9433CC93</t>
  </si>
  <si>
    <t>54201 Emelie</t>
  </si>
  <si>
    <t>Bag 0844</t>
  </si>
  <si>
    <t>844</t>
  </si>
  <si>
    <t>F408CB93</t>
  </si>
  <si>
    <t>33/211/2</t>
  </si>
  <si>
    <t>1461D693</t>
  </si>
  <si>
    <t>492054 Emma</t>
  </si>
  <si>
    <t>Bag 0242</t>
  </si>
  <si>
    <t>242</t>
  </si>
  <si>
    <t>33/211/3</t>
  </si>
  <si>
    <t>606958 Jean-Loup</t>
  </si>
  <si>
    <t>Bag 1040</t>
  </si>
  <si>
    <t>1040</t>
  </si>
  <si>
    <t>33/212/1</t>
  </si>
  <si>
    <t>34FFDB93</t>
  </si>
  <si>
    <t>54301 Arvid</t>
  </si>
  <si>
    <t>512927 Rasmus</t>
  </si>
  <si>
    <t>Bag 0083</t>
  </si>
  <si>
    <t>33/212/2</t>
  </si>
  <si>
    <t>7433E493</t>
  </si>
  <si>
    <t>514271 Marius</t>
  </si>
  <si>
    <t>Bag 0005</t>
  </si>
  <si>
    <t>33/212/3</t>
  </si>
  <si>
    <t>34B2D693</t>
  </si>
  <si>
    <t>846612 Daniel</t>
  </si>
  <si>
    <t>Bag 1067</t>
  </si>
  <si>
    <t>1067</t>
  </si>
  <si>
    <t>33/213/1</t>
  </si>
  <si>
    <t>5473F493</t>
  </si>
  <si>
    <t>Frost</t>
  </si>
  <si>
    <t>494363 Carl</t>
  </si>
  <si>
    <t>Bag 0294</t>
  </si>
  <si>
    <t>294</t>
  </si>
  <si>
    <t>F493CE93</t>
  </si>
  <si>
    <t>33/213/2</t>
  </si>
  <si>
    <t>E413CC93</t>
  </si>
  <si>
    <t>Bag 0496</t>
  </si>
  <si>
    <t>496</t>
  </si>
  <si>
    <t>33/213/3</t>
  </si>
  <si>
    <t>497481 Johannes</t>
  </si>
  <si>
    <t>Bag 0021</t>
  </si>
  <si>
    <t>33/214/1</t>
  </si>
  <si>
    <t>04C4E093</t>
  </si>
  <si>
    <t>54110 Emma</t>
  </si>
  <si>
    <t>485600 Victor</t>
  </si>
  <si>
    <t>Bag 0458</t>
  </si>
  <si>
    <t>458</t>
  </si>
  <si>
    <t>64AFDE93</t>
  </si>
  <si>
    <t>33/214/2</t>
  </si>
  <si>
    <t>D4244194</t>
  </si>
  <si>
    <t>493412 Anne</t>
  </si>
  <si>
    <t>Bag 0017</t>
  </si>
  <si>
    <t>33/214/3</t>
  </si>
  <si>
    <t>355782 Tim</t>
  </si>
  <si>
    <t>Bag 1016</t>
  </si>
  <si>
    <t>1016</t>
  </si>
  <si>
    <t>33/215/1</t>
  </si>
  <si>
    <t>B434CF93</t>
  </si>
  <si>
    <t>54305 Axel</t>
  </si>
  <si>
    <t>476162 Rasmus</t>
  </si>
  <si>
    <t>Bag 0943</t>
  </si>
  <si>
    <t>943</t>
  </si>
  <si>
    <t>94D3E293</t>
  </si>
  <si>
    <t>33/215/2</t>
  </si>
  <si>
    <t>B4E5D793</t>
  </si>
  <si>
    <t>54306 Zackarias</t>
  </si>
  <si>
    <t>436447 Karsten</t>
  </si>
  <si>
    <t>Bag 0687</t>
  </si>
  <si>
    <t>687</t>
  </si>
  <si>
    <t>33/215/3</t>
  </si>
  <si>
    <t>492956 Nicklas</t>
  </si>
  <si>
    <t>Bag 0796</t>
  </si>
  <si>
    <t>796</t>
  </si>
  <si>
    <t>33/216/1</t>
  </si>
  <si>
    <t>441CE093</t>
  </si>
  <si>
    <t>54116 Alexander</t>
  </si>
  <si>
    <t>514335 Sulaiman</t>
  </si>
  <si>
    <t>Bag 0020</t>
  </si>
  <si>
    <t>A455DD93</t>
  </si>
  <si>
    <t>33/216/2</t>
  </si>
  <si>
    <t>C47FD893</t>
  </si>
  <si>
    <t>54146 Kevin</t>
  </si>
  <si>
    <t>211628 Karsten</t>
  </si>
  <si>
    <t>Bag 0624</t>
  </si>
  <si>
    <t>624</t>
  </si>
  <si>
    <t>33/216/3</t>
  </si>
  <si>
    <t>74E3DC93</t>
  </si>
  <si>
    <t>392647 Andreas Bruun</t>
  </si>
  <si>
    <t>Bag 0920</t>
  </si>
  <si>
    <t>920</t>
  </si>
  <si>
    <t>33/217/1</t>
  </si>
  <si>
    <t>3410CE93</t>
  </si>
  <si>
    <t>54126 Jonna</t>
  </si>
  <si>
    <t>481895 Victor</t>
  </si>
  <si>
    <t>Bag 0512</t>
  </si>
  <si>
    <t>512</t>
  </si>
  <si>
    <t>33/217/2</t>
  </si>
  <si>
    <t>C4AFE193</t>
  </si>
  <si>
    <t>54316 Jennifer</t>
  </si>
  <si>
    <t>Bag 0328</t>
  </si>
  <si>
    <t>328</t>
  </si>
  <si>
    <t>33/217/3</t>
  </si>
  <si>
    <t>C4A0E693</t>
  </si>
  <si>
    <t>Bag 0821</t>
  </si>
  <si>
    <t>821</t>
  </si>
  <si>
    <t>33/218/1</t>
  </si>
  <si>
    <t>9452E193</t>
  </si>
  <si>
    <t xml:space="preserve">54001 Matilda </t>
  </si>
  <si>
    <t>486020 Frederik</t>
  </si>
  <si>
    <t>Bag 0573</t>
  </si>
  <si>
    <t>573</t>
  </si>
  <si>
    <t>33/218/2</t>
  </si>
  <si>
    <t>44AFE393</t>
  </si>
  <si>
    <t>517872 Kristian</t>
  </si>
  <si>
    <t>Bag 0151</t>
  </si>
  <si>
    <t>33/218/3</t>
  </si>
  <si>
    <t>C4B9E593</t>
  </si>
  <si>
    <t>480549 Steen</t>
  </si>
  <si>
    <t>Bag 0989</t>
  </si>
  <si>
    <t>989</t>
  </si>
  <si>
    <t>33/219/1</t>
  </si>
  <si>
    <t>B4F7DA93</t>
  </si>
  <si>
    <t xml:space="preserve">500048 Samuel </t>
  </si>
  <si>
    <t>454098 Jacob</t>
  </si>
  <si>
    <t>Bag 0893</t>
  </si>
  <si>
    <t>893</t>
  </si>
  <si>
    <t>33/219/2</t>
  </si>
  <si>
    <t>14B4E593</t>
  </si>
  <si>
    <t>509828 Magnus</t>
  </si>
  <si>
    <t>Bag 0089</t>
  </si>
  <si>
    <t>33/219/3</t>
  </si>
  <si>
    <t>0409E093</t>
  </si>
  <si>
    <t>458670 Mikkel</t>
  </si>
  <si>
    <t>Bag 1087</t>
  </si>
  <si>
    <t>1087</t>
  </si>
  <si>
    <t>33/220/1</t>
  </si>
  <si>
    <t>C47C3994</t>
  </si>
  <si>
    <t xml:space="preserve">50002 Sebastian </t>
  </si>
  <si>
    <t>500586 Victor</t>
  </si>
  <si>
    <t>Bag 0991</t>
  </si>
  <si>
    <t>991</t>
  </si>
  <si>
    <t>33/220/2</t>
  </si>
  <si>
    <t>B4B4E393</t>
  </si>
  <si>
    <t>336497 Louise</t>
  </si>
  <si>
    <t>Bag 1178</t>
  </si>
  <si>
    <t>1178</t>
  </si>
  <si>
    <t>33/220/3</t>
  </si>
  <si>
    <t>D4564294</t>
  </si>
  <si>
    <t>501065 Magnus</t>
  </si>
  <si>
    <t>Bag 1107</t>
  </si>
  <si>
    <t>1107</t>
  </si>
  <si>
    <t>33/D1/1</t>
  </si>
  <si>
    <t>E4B5CF93</t>
  </si>
  <si>
    <t>Bag 0604</t>
  </si>
  <si>
    <t>604</t>
  </si>
  <si>
    <t>33/D1/2</t>
  </si>
  <si>
    <t>7427D993</t>
  </si>
  <si>
    <t>500836 Rasmus</t>
  </si>
  <si>
    <t>Bag 0401</t>
  </si>
  <si>
    <t>401</t>
  </si>
  <si>
    <t>33/D1/3</t>
  </si>
  <si>
    <t>947FD393</t>
  </si>
  <si>
    <t>460124 Dennis</t>
  </si>
  <si>
    <t>Bag 0173</t>
  </si>
  <si>
    <t>173</t>
  </si>
  <si>
    <t>33/D2/1</t>
  </si>
  <si>
    <t>A4D3CA93</t>
  </si>
  <si>
    <t>223764 Peter</t>
  </si>
  <si>
    <t>Bag 0938</t>
  </si>
  <si>
    <t>938</t>
  </si>
  <si>
    <t>33/D2/2</t>
  </si>
  <si>
    <t>64103594</t>
  </si>
  <si>
    <t>514383 Simon</t>
  </si>
  <si>
    <t>Bag 0949</t>
  </si>
  <si>
    <t>949</t>
  </si>
  <si>
    <t>33/D2/3</t>
  </si>
  <si>
    <t>44B9D793</t>
  </si>
  <si>
    <t>493028 Malte</t>
  </si>
  <si>
    <t>Bag 0503</t>
  </si>
  <si>
    <t>503</t>
  </si>
  <si>
    <t>34/1/E1/1</t>
  </si>
  <si>
    <t>F424CC93</t>
  </si>
  <si>
    <t>197821 Torben</t>
  </si>
  <si>
    <t>Bag 0595</t>
  </si>
  <si>
    <t>595</t>
  </si>
  <si>
    <t>34/1/E1/2</t>
  </si>
  <si>
    <t>5471DD93</t>
  </si>
  <si>
    <t>402116 Filip</t>
  </si>
  <si>
    <t>Bag 0898</t>
  </si>
  <si>
    <t>898</t>
  </si>
  <si>
    <t>34/1/E1/3</t>
  </si>
  <si>
    <t>A46CD393</t>
  </si>
  <si>
    <t>Bag 1058</t>
  </si>
  <si>
    <t>1058</t>
  </si>
  <si>
    <t>34/1/E2/1</t>
  </si>
  <si>
    <t>7447E593</t>
  </si>
  <si>
    <t>Bag 0378</t>
  </si>
  <si>
    <t>378</t>
  </si>
  <si>
    <t>34/1/E2/2</t>
  </si>
  <si>
    <t>9410DF93</t>
  </si>
  <si>
    <t>Bag 0830</t>
  </si>
  <si>
    <t>830</t>
  </si>
  <si>
    <t>34/1/E2/3</t>
  </si>
  <si>
    <t>9424D593</t>
  </si>
  <si>
    <t>507550 Christian</t>
  </si>
  <si>
    <t>Bag 0081</t>
  </si>
  <si>
    <t>34/101/1</t>
  </si>
  <si>
    <t>54B0DE93</t>
  </si>
  <si>
    <t>23109 Fredrik</t>
  </si>
  <si>
    <t>496511 Malte</t>
  </si>
  <si>
    <t>Bag 0657</t>
  </si>
  <si>
    <t>657</t>
  </si>
  <si>
    <t>34/101/2</t>
  </si>
  <si>
    <t>B4A2E693</t>
  </si>
  <si>
    <t xml:space="preserve">23106 Lucas </t>
  </si>
  <si>
    <t>Bag 0627</t>
  </si>
  <si>
    <t>627</t>
  </si>
  <si>
    <t>34/101/3</t>
  </si>
  <si>
    <t>145BE393</t>
  </si>
  <si>
    <t>207449 Thomas</t>
  </si>
  <si>
    <t>Bag 0572</t>
  </si>
  <si>
    <t>572</t>
  </si>
  <si>
    <t>34/102/1</t>
  </si>
  <si>
    <t>B41CF193</t>
  </si>
  <si>
    <t>23201 Rasmus</t>
  </si>
  <si>
    <t>Bag 1057</t>
  </si>
  <si>
    <t>447984 Peter Marco</t>
  </si>
  <si>
    <t>1057</t>
  </si>
  <si>
    <t>34/102/2</t>
  </si>
  <si>
    <t>542DD793</t>
  </si>
  <si>
    <t>23202 Ruben</t>
  </si>
  <si>
    <t>202322 Nikolaj</t>
  </si>
  <si>
    <t>Bag 0973</t>
  </si>
  <si>
    <t>973</t>
  </si>
  <si>
    <t>34/102/3</t>
  </si>
  <si>
    <t>E45DCD93</t>
  </si>
  <si>
    <t>514535 Michael</t>
  </si>
  <si>
    <t>Bag 0845</t>
  </si>
  <si>
    <t>845</t>
  </si>
  <si>
    <t>34/103/1</t>
  </si>
  <si>
    <t>544EF293</t>
  </si>
  <si>
    <t>23205 Oskar</t>
  </si>
  <si>
    <t>393276 Mads</t>
  </si>
  <si>
    <t>Bag 0890</t>
  </si>
  <si>
    <t>890</t>
  </si>
  <si>
    <t>34/103/2</t>
  </si>
  <si>
    <t>2428E393</t>
  </si>
  <si>
    <t xml:space="preserve">23204 Emil </t>
  </si>
  <si>
    <t>960641 Julie</t>
  </si>
  <si>
    <t>Bag 0799</t>
  </si>
  <si>
    <t>799</t>
  </si>
  <si>
    <t>34/103/3</t>
  </si>
  <si>
    <t>F461DB93</t>
  </si>
  <si>
    <t>502059 Mads</t>
  </si>
  <si>
    <t>Bag 0249</t>
  </si>
  <si>
    <t>249</t>
  </si>
  <si>
    <t>34/104/1</t>
  </si>
  <si>
    <t>44B5E293</t>
  </si>
  <si>
    <t>23207 Milton</t>
  </si>
  <si>
    <t>Bag 0763</t>
  </si>
  <si>
    <t>763</t>
  </si>
  <si>
    <t>34/104/2</t>
  </si>
  <si>
    <t>C4BEE793</t>
  </si>
  <si>
    <t>23208 Johannes</t>
  </si>
  <si>
    <t>Bag 0320</t>
  </si>
  <si>
    <t>320</t>
  </si>
  <si>
    <t>34/104/3</t>
  </si>
  <si>
    <t>7474E493</t>
  </si>
  <si>
    <t>518303 Kasper</t>
  </si>
  <si>
    <t>Bag 0478</t>
  </si>
  <si>
    <t>478</t>
  </si>
  <si>
    <t>34/105/1</t>
  </si>
  <si>
    <t>9424D093</t>
  </si>
  <si>
    <t>23209 Axel</t>
  </si>
  <si>
    <t>487320 Oliver</t>
  </si>
  <si>
    <t>Bag 1113</t>
  </si>
  <si>
    <t>1113</t>
  </si>
  <si>
    <t>34/105/2</t>
  </si>
  <si>
    <t>F499E493</t>
  </si>
  <si>
    <t xml:space="preserve">23206 Gustav </t>
  </si>
  <si>
    <t>Bag 0393</t>
  </si>
  <si>
    <t>393</t>
  </si>
  <si>
    <t>34/105/3</t>
  </si>
  <si>
    <t>C4ABE893</t>
  </si>
  <si>
    <t>Bag 0365</t>
  </si>
  <si>
    <t>365</t>
  </si>
  <si>
    <t>34/106/1</t>
  </si>
  <si>
    <t>8443F493</t>
  </si>
  <si>
    <t>23301 Axel</t>
  </si>
  <si>
    <t>459839 Frederik</t>
  </si>
  <si>
    <t>Bag 0072</t>
  </si>
  <si>
    <t>34/106/2</t>
  </si>
  <si>
    <t>14C4E493</t>
  </si>
  <si>
    <t>23302 Alexander</t>
  </si>
  <si>
    <t>460742 Peter</t>
  </si>
  <si>
    <t>Bag 0990</t>
  </si>
  <si>
    <t>990</t>
  </si>
  <si>
    <t>34/106/3</t>
  </si>
  <si>
    <t>64EDD793</t>
  </si>
  <si>
    <t>503207 Martin</t>
  </si>
  <si>
    <t>Bag 0108</t>
  </si>
  <si>
    <t>34/107/1</t>
  </si>
  <si>
    <t>648BCE93</t>
  </si>
  <si>
    <t>23305 Elias</t>
  </si>
  <si>
    <t>Bag 0538</t>
  </si>
  <si>
    <t>538</t>
  </si>
  <si>
    <t>34/107/2</t>
  </si>
  <si>
    <t>B4CBF193</t>
  </si>
  <si>
    <t>23304 Lukas</t>
  </si>
  <si>
    <t>970637 Jordan</t>
  </si>
  <si>
    <t>Bag 1155</t>
  </si>
  <si>
    <t>1155</t>
  </si>
  <si>
    <t>34/107/3</t>
  </si>
  <si>
    <t>E40FCB93</t>
  </si>
  <si>
    <t>459206 Mikkel</t>
  </si>
  <si>
    <t>Bag 0924</t>
  </si>
  <si>
    <t>924</t>
  </si>
  <si>
    <t>34/108/1</t>
  </si>
  <si>
    <t>A4FAE493</t>
  </si>
  <si>
    <t>23307 Harry</t>
  </si>
  <si>
    <t>514524 Rasmus</t>
  </si>
  <si>
    <t>Bag 0849</t>
  </si>
  <si>
    <t>849</t>
  </si>
  <si>
    <t>34/108/2</t>
  </si>
  <si>
    <t>54A2F093</t>
  </si>
  <si>
    <t>23308 Emil</t>
  </si>
  <si>
    <t>857935 Kevin</t>
  </si>
  <si>
    <t>Bag 1013</t>
  </si>
  <si>
    <t>1013</t>
  </si>
  <si>
    <t>34/108/3</t>
  </si>
  <si>
    <t>F428E193</t>
  </si>
  <si>
    <t>190893 Stephan</t>
  </si>
  <si>
    <t>Bag 0237</t>
  </si>
  <si>
    <t>237</t>
  </si>
  <si>
    <t>34/109/1</t>
  </si>
  <si>
    <t>9438F393</t>
  </si>
  <si>
    <t>23306 Jonatan</t>
  </si>
  <si>
    <t>459586 Steven</t>
  </si>
  <si>
    <t>Bag 0667</t>
  </si>
  <si>
    <t>667</t>
  </si>
  <si>
    <t>34/109/2</t>
  </si>
  <si>
    <t>E446D393</t>
  </si>
  <si>
    <t>23203 Ebbe</t>
  </si>
  <si>
    <t>487036 Bertram</t>
  </si>
  <si>
    <t>Bag 0146</t>
  </si>
  <si>
    <t>34/109/3</t>
  </si>
  <si>
    <t>D4ABE193</t>
  </si>
  <si>
    <t>Bag 0383</t>
  </si>
  <si>
    <t>383</t>
  </si>
  <si>
    <t>34/110/1</t>
  </si>
  <si>
    <t>94CDE293</t>
  </si>
  <si>
    <t>24104 Mans</t>
  </si>
  <si>
    <t>161441 Lars</t>
  </si>
  <si>
    <t>Bag 0050</t>
  </si>
  <si>
    <t>34/110/2</t>
  </si>
  <si>
    <t>C42AE393</t>
  </si>
  <si>
    <t>486897 Marcus</t>
  </si>
  <si>
    <t>Bag 0552</t>
  </si>
  <si>
    <t>552</t>
  </si>
  <si>
    <t>34/110/3</t>
  </si>
  <si>
    <t>8427F493</t>
  </si>
  <si>
    <t>499431 Andreas</t>
  </si>
  <si>
    <t>Bag 0415</t>
  </si>
  <si>
    <t>415</t>
  </si>
  <si>
    <t>34/111/1</t>
  </si>
  <si>
    <t>5475F493</t>
  </si>
  <si>
    <t>24204 Albin</t>
  </si>
  <si>
    <t>358868 Niels</t>
  </si>
  <si>
    <t>Bag 0967</t>
  </si>
  <si>
    <t>967</t>
  </si>
  <si>
    <t>34/111/2</t>
  </si>
  <si>
    <t>54DA3F94</t>
  </si>
  <si>
    <t>24205 Melvin</t>
  </si>
  <si>
    <t>Bag 0373</t>
  </si>
  <si>
    <t>373</t>
  </si>
  <si>
    <t>34/111/3</t>
  </si>
  <si>
    <t>A425F493</t>
  </si>
  <si>
    <t>496914 Mikkel</t>
  </si>
  <si>
    <t>Bag 0097</t>
  </si>
  <si>
    <t>34/112/1</t>
  </si>
  <si>
    <t>9402E493</t>
  </si>
  <si>
    <t>24305 Gustav</t>
  </si>
  <si>
    <t>510843 Kasper</t>
  </si>
  <si>
    <t>Bag 0236</t>
  </si>
  <si>
    <t>236</t>
  </si>
  <si>
    <t>34/112/2</t>
  </si>
  <si>
    <t>A46BDD93</t>
  </si>
  <si>
    <t>24304 Wilmer</t>
  </si>
  <si>
    <t>507066 Mads</t>
  </si>
  <si>
    <t>Bag 0562</t>
  </si>
  <si>
    <t>562</t>
  </si>
  <si>
    <t>34/112/3</t>
  </si>
  <si>
    <t>0484CC93</t>
  </si>
  <si>
    <t>Bag 0498</t>
  </si>
  <si>
    <t>498</t>
  </si>
  <si>
    <t>34/113/1</t>
  </si>
  <si>
    <t>847DEC93</t>
  </si>
  <si>
    <t>24405 Max</t>
  </si>
  <si>
    <t>039575 Tom</t>
  </si>
  <si>
    <t>Bag 0502</t>
  </si>
  <si>
    <t>502</t>
  </si>
  <si>
    <t>34/113/2</t>
  </si>
  <si>
    <t>343AD593</t>
  </si>
  <si>
    <t>24404 Carl</t>
  </si>
  <si>
    <t>506906 Nikolaj</t>
  </si>
  <si>
    <t>Bag 0828</t>
  </si>
  <si>
    <t>828</t>
  </si>
  <si>
    <t>34/113/3</t>
  </si>
  <si>
    <t>D40AE093</t>
  </si>
  <si>
    <t>496560 Asger</t>
  </si>
  <si>
    <t>Bag 0695</t>
  </si>
  <si>
    <t>695</t>
  </si>
  <si>
    <t>34/114/1</t>
  </si>
  <si>
    <t>24E1E593</t>
  </si>
  <si>
    <t>24107 Daniel</t>
  </si>
  <si>
    <t>478088 Søren</t>
  </si>
  <si>
    <t>Bag 0482</t>
  </si>
  <si>
    <t>482</t>
  </si>
  <si>
    <t>34/114/2</t>
  </si>
  <si>
    <t>C404EC93</t>
  </si>
  <si>
    <t>24207 Mattias</t>
  </si>
  <si>
    <t>Bag 0370</t>
  </si>
  <si>
    <t>370</t>
  </si>
  <si>
    <t>34/114/3</t>
  </si>
  <si>
    <t>6459D693</t>
  </si>
  <si>
    <t>487325 Marc</t>
  </si>
  <si>
    <t>Bag 0718</t>
  </si>
  <si>
    <t>718</t>
  </si>
  <si>
    <t>34/115/1</t>
  </si>
  <si>
    <t>B494CD93</t>
  </si>
  <si>
    <t>24307 Axel</t>
  </si>
  <si>
    <t>421626 Benedikte</t>
  </si>
  <si>
    <t>Bag 0705</t>
  </si>
  <si>
    <t>705</t>
  </si>
  <si>
    <t>34/115/2</t>
  </si>
  <si>
    <t>1473CD93</t>
  </si>
  <si>
    <t>24407 Frank</t>
  </si>
  <si>
    <t>Bag 0864</t>
  </si>
  <si>
    <t>864</t>
  </si>
  <si>
    <t>34/115/3</t>
  </si>
  <si>
    <t>7424CF93</t>
  </si>
  <si>
    <t>509836 Mathias</t>
  </si>
  <si>
    <t>Bag 0699</t>
  </si>
  <si>
    <t>699</t>
  </si>
  <si>
    <t>34/116/1</t>
  </si>
  <si>
    <t>24474094</t>
  </si>
  <si>
    <t>24403 Fredrik</t>
  </si>
  <si>
    <t>361359 Pelle</t>
  </si>
  <si>
    <t>Bag 0883</t>
  </si>
  <si>
    <t>883</t>
  </si>
  <si>
    <t>34/116/2</t>
  </si>
  <si>
    <t>24DADF93</t>
  </si>
  <si>
    <t>24101 John</t>
  </si>
  <si>
    <t>478271 Malthe</t>
  </si>
  <si>
    <t>Bag 0024</t>
  </si>
  <si>
    <t>34/116/3</t>
  </si>
  <si>
    <t>44A24894</t>
  </si>
  <si>
    <t>809607 Bo Cheng</t>
  </si>
  <si>
    <t>Bag 0980</t>
  </si>
  <si>
    <t>980</t>
  </si>
  <si>
    <t>34/117/1</t>
  </si>
  <si>
    <t>241BF293</t>
  </si>
  <si>
    <t>24507 Viktor</t>
  </si>
  <si>
    <t>162449 Erik</t>
  </si>
  <si>
    <t>Bag 0997</t>
  </si>
  <si>
    <t>997</t>
  </si>
  <si>
    <t>34/117/2</t>
  </si>
  <si>
    <t>D468E793</t>
  </si>
  <si>
    <t>24508 Malte</t>
  </si>
  <si>
    <t>451001 Mike</t>
  </si>
  <si>
    <t>Bag 1092</t>
  </si>
  <si>
    <t>1092</t>
  </si>
  <si>
    <t>34/117/3</t>
  </si>
  <si>
    <t>1423D293</t>
  </si>
  <si>
    <t>139709 Marc-André</t>
  </si>
  <si>
    <t>Bag 1059</t>
  </si>
  <si>
    <t>1059</t>
  </si>
  <si>
    <t>34/118/1</t>
  </si>
  <si>
    <t>C49CE693</t>
  </si>
  <si>
    <t>24503 Magnus</t>
  </si>
  <si>
    <t>492223 Mathias</t>
  </si>
  <si>
    <t>Bag 1116</t>
  </si>
  <si>
    <t>1116</t>
  </si>
  <si>
    <t>34/118/2</t>
  </si>
  <si>
    <t>64FDE593</t>
  </si>
  <si>
    <t>Bag 0953</t>
  </si>
  <si>
    <t>953</t>
  </si>
  <si>
    <t>34/118/3</t>
  </si>
  <si>
    <t>645DE593</t>
  </si>
  <si>
    <t>Bag 0430</t>
  </si>
  <si>
    <t>430</t>
  </si>
  <si>
    <t>34/119/1</t>
  </si>
  <si>
    <t>C49EE693</t>
  </si>
  <si>
    <t xml:space="preserve">24002 Felix </t>
  </si>
  <si>
    <t>440828 Rasmus</t>
  </si>
  <si>
    <t>Bag 0283</t>
  </si>
  <si>
    <t>283</t>
  </si>
  <si>
    <t>34/119/2</t>
  </si>
  <si>
    <t>C4AAF493</t>
  </si>
  <si>
    <t>485267 Mads</t>
  </si>
  <si>
    <t>Bag 0266</t>
  </si>
  <si>
    <t>266</t>
  </si>
  <si>
    <t>34/119/3</t>
  </si>
  <si>
    <t>D466E793</t>
  </si>
  <si>
    <t>458238 Marcus</t>
  </si>
  <si>
    <t>Bag 0944</t>
  </si>
  <si>
    <t>944</t>
  </si>
  <si>
    <t>34/120/1</t>
  </si>
  <si>
    <t>C42EE393</t>
  </si>
  <si>
    <t>24001 Andreas</t>
  </si>
  <si>
    <t>497139 Kristian</t>
  </si>
  <si>
    <t>Bag 0150</t>
  </si>
  <si>
    <t>34/120/2</t>
  </si>
  <si>
    <t>246CE493</t>
  </si>
  <si>
    <t>487097 Oliver</t>
  </si>
  <si>
    <t>Bag 0788</t>
  </si>
  <si>
    <t>788</t>
  </si>
  <si>
    <t>34/120/3</t>
  </si>
  <si>
    <t>B4E5E993</t>
  </si>
  <si>
    <t>450380 Mikkel</t>
  </si>
  <si>
    <t>Bag 0971</t>
  </si>
  <si>
    <t>971</t>
  </si>
  <si>
    <t>34/2/E1/1</t>
  </si>
  <si>
    <t>A4AAD693</t>
  </si>
  <si>
    <t>Bag 0377</t>
  </si>
  <si>
    <t>377</t>
  </si>
  <si>
    <t>34/2/E1/2</t>
  </si>
  <si>
    <t>A4F7CC93</t>
  </si>
  <si>
    <t>437430 Simon</t>
  </si>
  <si>
    <t>Bag 0723</t>
  </si>
  <si>
    <t>723</t>
  </si>
  <si>
    <t>34/2/E1/3</t>
  </si>
  <si>
    <t>A425E293</t>
  </si>
  <si>
    <t>436879 Emil</t>
  </si>
  <si>
    <t>Bag 0278</t>
  </si>
  <si>
    <t>278</t>
  </si>
  <si>
    <t>34/2/E2/1</t>
  </si>
  <si>
    <t>B4F6DA93</t>
  </si>
  <si>
    <t>Bag 1041</t>
  </si>
  <si>
    <t>1041</t>
  </si>
  <si>
    <t>34/2/E2/2</t>
  </si>
  <si>
    <t>D41AD993</t>
  </si>
  <si>
    <t>451038 Casper</t>
  </si>
  <si>
    <t>Bag 0288</t>
  </si>
  <si>
    <t>288</t>
  </si>
  <si>
    <t>34/2/E2/3</t>
  </si>
  <si>
    <t>A4DFDA93</t>
  </si>
  <si>
    <t>501425 Andreas</t>
  </si>
  <si>
    <t>Bag 0453</t>
  </si>
  <si>
    <t>453</t>
  </si>
  <si>
    <t>34/201/1</t>
  </si>
  <si>
    <t>5435E293</t>
  </si>
  <si>
    <t xml:space="preserve">25001 Elsa </t>
  </si>
  <si>
    <t>083718 Grant</t>
  </si>
  <si>
    <t>Bag 1141</t>
  </si>
  <si>
    <t>1141</t>
  </si>
  <si>
    <t>34/201/2</t>
  </si>
  <si>
    <t>9402E293</t>
  </si>
  <si>
    <t>Bag 0826</t>
  </si>
  <si>
    <t>826</t>
  </si>
  <si>
    <t>34/201/3</t>
  </si>
  <si>
    <t>D4CCF293</t>
  </si>
  <si>
    <t>439356 Jes Emil</t>
  </si>
  <si>
    <t>Bag 0891</t>
  </si>
  <si>
    <t>891</t>
  </si>
  <si>
    <t>34/202/1</t>
  </si>
  <si>
    <t>94FED593</t>
  </si>
  <si>
    <t xml:space="preserve">25002 Patrik </t>
  </si>
  <si>
    <t>439151 Emil</t>
  </si>
  <si>
    <t>Bag 0579</t>
  </si>
  <si>
    <t>579</t>
  </si>
  <si>
    <t>34/202/2</t>
  </si>
  <si>
    <t>145FE393</t>
  </si>
  <si>
    <t>490699 Simon</t>
  </si>
  <si>
    <t>Bag 0142</t>
  </si>
  <si>
    <t>34/202/3</t>
  </si>
  <si>
    <t>240BF093</t>
  </si>
  <si>
    <t>Bag 1151</t>
  </si>
  <si>
    <t>1151</t>
  </si>
  <si>
    <t>34/203/1</t>
  </si>
  <si>
    <t>B4B2E393</t>
  </si>
  <si>
    <t>25107 John</t>
  </si>
  <si>
    <t>431471 Steffen</t>
  </si>
  <si>
    <t>Bag 0520</t>
  </si>
  <si>
    <t>520</t>
  </si>
  <si>
    <t>24A1CF93</t>
  </si>
  <si>
    <t>34/203/2</t>
  </si>
  <si>
    <t>C4ABE193</t>
  </si>
  <si>
    <t>25207 Ludvig</t>
  </si>
  <si>
    <t>481488 Jonas</t>
  </si>
  <si>
    <t>Bag 0218</t>
  </si>
  <si>
    <t>218</t>
  </si>
  <si>
    <t>34/203/3</t>
  </si>
  <si>
    <t>6491D193</t>
  </si>
  <si>
    <t>490971 Jeppe</t>
  </si>
  <si>
    <t>Bag 0854</t>
  </si>
  <si>
    <t>854</t>
  </si>
  <si>
    <t>34/204/1</t>
  </si>
  <si>
    <t>942ED793</t>
  </si>
  <si>
    <t>25108 Otto</t>
  </si>
  <si>
    <t>501252 Simon</t>
  </si>
  <si>
    <t>Bag 0100</t>
  </si>
  <si>
    <t>34/204/2</t>
  </si>
  <si>
    <t>9477EC93</t>
  </si>
  <si>
    <t>25109 Melvin</t>
  </si>
  <si>
    <t>386748 Christian</t>
  </si>
  <si>
    <t>Bag 1004</t>
  </si>
  <si>
    <t>1004</t>
  </si>
  <si>
    <t>34/204/3</t>
  </si>
  <si>
    <t>D492F293</t>
  </si>
  <si>
    <t>491929 Benjamin</t>
  </si>
  <si>
    <t>Bag 0410</t>
  </si>
  <si>
    <t>410</t>
  </si>
  <si>
    <t>34/205/1</t>
  </si>
  <si>
    <t>9427D093</t>
  </si>
  <si>
    <t>25105 Oskar</t>
  </si>
  <si>
    <t>425921 Kasper</t>
  </si>
  <si>
    <t>Bag 0712</t>
  </si>
  <si>
    <t>712</t>
  </si>
  <si>
    <t>34/205/2</t>
  </si>
  <si>
    <t>448CE593</t>
  </si>
  <si>
    <t>25104 Leopold</t>
  </si>
  <si>
    <t>433297 Claus</t>
  </si>
  <si>
    <t>Bag 0926</t>
  </si>
  <si>
    <t>926</t>
  </si>
  <si>
    <t>34/205/3</t>
  </si>
  <si>
    <t>54DCDF93</t>
  </si>
  <si>
    <t>407510 Casper</t>
  </si>
  <si>
    <t>Bag 0735</t>
  </si>
  <si>
    <t>735</t>
  </si>
  <si>
    <t>34/206/1</t>
  </si>
  <si>
    <t>4433CC93</t>
  </si>
  <si>
    <t>25201 Sixten</t>
  </si>
  <si>
    <t>876731 Martin</t>
  </si>
  <si>
    <t>Bag 1053</t>
  </si>
  <si>
    <t>1053</t>
  </si>
  <si>
    <t>34/206/2</t>
  </si>
  <si>
    <t>C401DC93</t>
  </si>
  <si>
    <t>25204 Alexander</t>
  </si>
  <si>
    <t>496313 Lars</t>
  </si>
  <si>
    <t>Bag 0120</t>
  </si>
  <si>
    <t>34/206/3</t>
  </si>
  <si>
    <t>04C6E093</t>
  </si>
  <si>
    <t>513613 Gustav</t>
  </si>
  <si>
    <t>Bag 0783</t>
  </si>
  <si>
    <t>783</t>
  </si>
  <si>
    <t>34/207/1</t>
  </si>
  <si>
    <t>645FE593</t>
  </si>
  <si>
    <t>25208 Lukas</t>
  </si>
  <si>
    <t>512932 Laurids</t>
  </si>
  <si>
    <t>Bag 0771</t>
  </si>
  <si>
    <t>771</t>
  </si>
  <si>
    <t>34/207/2</t>
  </si>
  <si>
    <t>B4D9DA93</t>
  </si>
  <si>
    <t>25205 Christian</t>
  </si>
  <si>
    <t>507675 Rasmus</t>
  </si>
  <si>
    <t>Bag 1189</t>
  </si>
  <si>
    <t>1189</t>
  </si>
  <si>
    <t>34/207/3</t>
  </si>
  <si>
    <t>B43BE993</t>
  </si>
  <si>
    <t>Bag 0329</t>
  </si>
  <si>
    <t>329</t>
  </si>
  <si>
    <t>34/208/1</t>
  </si>
  <si>
    <t>24723494</t>
  </si>
  <si>
    <t>25304 Axel</t>
  </si>
  <si>
    <t>375305 Lennart</t>
  </si>
  <si>
    <t>Bag 0586</t>
  </si>
  <si>
    <t>586</t>
  </si>
  <si>
    <t>34/208/2</t>
  </si>
  <si>
    <t>9430EB93</t>
  </si>
  <si>
    <t>25305 Gustav</t>
  </si>
  <si>
    <t>822116 Jean-David</t>
  </si>
  <si>
    <t>Bag 0757</t>
  </si>
  <si>
    <t>757</t>
  </si>
  <si>
    <t>34/208/3</t>
  </si>
  <si>
    <t>14C0E493</t>
  </si>
  <si>
    <t>167214 Kelton</t>
  </si>
  <si>
    <t>Bag 0526</t>
  </si>
  <si>
    <t>526</t>
  </si>
  <si>
    <t>34/209/1</t>
  </si>
  <si>
    <t>144DF193</t>
  </si>
  <si>
    <t xml:space="preserve">25307 Madeleine </t>
  </si>
  <si>
    <t>485800 Magnus</t>
  </si>
  <si>
    <t>Bag 0140</t>
  </si>
  <si>
    <t>34/209/2</t>
  </si>
  <si>
    <t>C44BE493</t>
  </si>
  <si>
    <t>25801 Klara</t>
  </si>
  <si>
    <t>477883 Martin</t>
  </si>
  <si>
    <t>Bag 0765</t>
  </si>
  <si>
    <t>765</t>
  </si>
  <si>
    <t>34/209/3</t>
  </si>
  <si>
    <t>54ACE393</t>
  </si>
  <si>
    <t>469176 Nicolaj</t>
  </si>
  <si>
    <t>Bag 0577</t>
  </si>
  <si>
    <t>577</t>
  </si>
  <si>
    <t>34/210/1</t>
  </si>
  <si>
    <t>C4A6E093</t>
  </si>
  <si>
    <t>25501 Martin</t>
  </si>
  <si>
    <t>Bag 0467</t>
  </si>
  <si>
    <t>467</t>
  </si>
  <si>
    <t>34/210/2</t>
  </si>
  <si>
    <t>54E0DF93</t>
  </si>
  <si>
    <t>25701 Rasmus</t>
  </si>
  <si>
    <t>509805 Anton</t>
  </si>
  <si>
    <t>Bag 0402</t>
  </si>
  <si>
    <t>402</t>
  </si>
  <si>
    <t>34/210/3</t>
  </si>
  <si>
    <t>F47EF393</t>
  </si>
  <si>
    <t>472724 Christoffer</t>
  </si>
  <si>
    <t>Bag 0013</t>
  </si>
  <si>
    <t>34/211/1</t>
  </si>
  <si>
    <t>54E2D893</t>
  </si>
  <si>
    <t>368211 Jean-Christophe</t>
  </si>
  <si>
    <t>Bag 0978</t>
  </si>
  <si>
    <t>978</t>
  </si>
  <si>
    <t>B485CE93</t>
  </si>
  <si>
    <t>34/211/2</t>
  </si>
  <si>
    <t>04B1D793</t>
  </si>
  <si>
    <t>Bag 0302</t>
  </si>
  <si>
    <t>302</t>
  </si>
  <si>
    <t>34/211/3</t>
  </si>
  <si>
    <t>482696 Bella</t>
  </si>
  <si>
    <t>Bag 0727</t>
  </si>
  <si>
    <t>727</t>
  </si>
  <si>
    <t>34/212/1</t>
  </si>
  <si>
    <t>8457E693</t>
  </si>
  <si>
    <t>25806 Martin</t>
  </si>
  <si>
    <t>157928 Peter</t>
  </si>
  <si>
    <t>Bag 0914</t>
  </si>
  <si>
    <t>914</t>
  </si>
  <si>
    <t>34/212/2</t>
  </si>
  <si>
    <t>7476E493</t>
  </si>
  <si>
    <t>25805 Julian</t>
  </si>
  <si>
    <t>Bag 0387</t>
  </si>
  <si>
    <t>387</t>
  </si>
  <si>
    <t>34/212/3</t>
  </si>
  <si>
    <t>C4F3DD93</t>
  </si>
  <si>
    <t>25807 Daniel</t>
  </si>
  <si>
    <t>Bag 0356</t>
  </si>
  <si>
    <t>356</t>
  </si>
  <si>
    <t>34/213/1</t>
  </si>
  <si>
    <t>C496F293</t>
  </si>
  <si>
    <t>25507 Markus</t>
  </si>
  <si>
    <t>160435 Claus</t>
  </si>
  <si>
    <t>Bag 0706</t>
  </si>
  <si>
    <t>706</t>
  </si>
  <si>
    <t>34/213/2</t>
  </si>
  <si>
    <t>6427E293</t>
  </si>
  <si>
    <t xml:space="preserve">25510 Joel </t>
  </si>
  <si>
    <t>319034 Charles</t>
  </si>
  <si>
    <t>Bag 0637</t>
  </si>
  <si>
    <t>637</t>
  </si>
  <si>
    <t>34/213/3</t>
  </si>
  <si>
    <t>B4D7F193</t>
  </si>
  <si>
    <t>492999 Lucas</t>
  </si>
  <si>
    <t>Bag 0651</t>
  </si>
  <si>
    <t>651</t>
  </si>
  <si>
    <t>34/214/1</t>
  </si>
  <si>
    <t>7439E893</t>
  </si>
  <si>
    <t>25401 Yasmine</t>
  </si>
  <si>
    <t>332759 Dan</t>
  </si>
  <si>
    <t>Bag 1029</t>
  </si>
  <si>
    <t>1029</t>
  </si>
  <si>
    <t>34/214/2</t>
  </si>
  <si>
    <t>E481E293</t>
  </si>
  <si>
    <t>24105 Maja</t>
  </si>
  <si>
    <t>476140 Frederik</t>
  </si>
  <si>
    <t>Bag 0710</t>
  </si>
  <si>
    <t>710</t>
  </si>
  <si>
    <t>34/214/3</t>
  </si>
  <si>
    <t>E4A4CC93</t>
  </si>
  <si>
    <t>436586 Patrick</t>
  </si>
  <si>
    <t>Bag 0781</t>
  </si>
  <si>
    <t>781</t>
  </si>
  <si>
    <t>34/215/1</t>
  </si>
  <si>
    <t>0452E293</t>
  </si>
  <si>
    <t>25402 Isabella</t>
  </si>
  <si>
    <t>Bag 0708</t>
  </si>
  <si>
    <t>708</t>
  </si>
  <si>
    <t>34/215/2</t>
  </si>
  <si>
    <t>E4DBE193</t>
  </si>
  <si>
    <t>25707 Elinor</t>
  </si>
  <si>
    <t>394693 Rasmus</t>
  </si>
  <si>
    <t>Bag 0274</t>
  </si>
  <si>
    <t>274</t>
  </si>
  <si>
    <t>34/215/3</t>
  </si>
  <si>
    <t>A458E093</t>
  </si>
  <si>
    <t>Bag 0362</t>
  </si>
  <si>
    <t>362</t>
  </si>
  <si>
    <t>34/216/1</t>
  </si>
  <si>
    <t>64AEE193</t>
  </si>
  <si>
    <t>25405 Theo</t>
  </si>
  <si>
    <t>Bag 0805</t>
  </si>
  <si>
    <t>805</t>
  </si>
  <si>
    <t>34/216/2</t>
  </si>
  <si>
    <t>A4CFF193</t>
  </si>
  <si>
    <t>25404 Isac</t>
  </si>
  <si>
    <t>Bag 0764</t>
  </si>
  <si>
    <t>764</t>
  </si>
  <si>
    <t>34/216/3</t>
  </si>
  <si>
    <t>4400E393</t>
  </si>
  <si>
    <t>519659 Thor</t>
  </si>
  <si>
    <t>Bag 1142</t>
  </si>
  <si>
    <t>1142</t>
  </si>
  <si>
    <t>34/217/1</t>
  </si>
  <si>
    <t>D47BD393</t>
  </si>
  <si>
    <t>25601 Ludwig</t>
  </si>
  <si>
    <t>432234 Kristopher</t>
  </si>
  <si>
    <t>Bag 0983</t>
  </si>
  <si>
    <t>983</t>
  </si>
  <si>
    <t>34/217/2</t>
  </si>
  <si>
    <t>B4ABEC93</t>
  </si>
  <si>
    <t>25608 Mattias</t>
  </si>
  <si>
    <t>Bag 0439</t>
  </si>
  <si>
    <t>439</t>
  </si>
  <si>
    <t>34/217/3</t>
  </si>
  <si>
    <t>04ADE193</t>
  </si>
  <si>
    <t>382243 Brian</t>
  </si>
  <si>
    <t>Bag 0588</t>
  </si>
  <si>
    <t>588</t>
  </si>
  <si>
    <t>34/218/1</t>
  </si>
  <si>
    <t>5413CC93</t>
  </si>
  <si>
    <t>25602 Martin</t>
  </si>
  <si>
    <t>481860 Kaare</t>
  </si>
  <si>
    <t>Bag 1170</t>
  </si>
  <si>
    <t>1170</t>
  </si>
  <si>
    <t>34/218/2</t>
  </si>
  <si>
    <t>C4CDDD93</t>
  </si>
  <si>
    <t>25607 Erik</t>
  </si>
  <si>
    <t>Bag 0985</t>
  </si>
  <si>
    <t>985</t>
  </si>
  <si>
    <t>34/218/3</t>
  </si>
  <si>
    <t>84B8D093</t>
  </si>
  <si>
    <t>482595 Oliver</t>
  </si>
  <si>
    <t>Bag 0716</t>
  </si>
  <si>
    <t>716</t>
  </si>
  <si>
    <t>34/219/1</t>
  </si>
  <si>
    <t>8496CC93</t>
  </si>
  <si>
    <t>25702 Fredrik</t>
  </si>
  <si>
    <t>432654 Michael</t>
  </si>
  <si>
    <t>Bag 0689</t>
  </si>
  <si>
    <t>689</t>
  </si>
  <si>
    <t>34/219/2</t>
  </si>
  <si>
    <t>A4A8E093</t>
  </si>
  <si>
    <t>25708 Melvin</t>
  </si>
  <si>
    <t>496187 Kasper</t>
  </si>
  <si>
    <t>Bag 0656</t>
  </si>
  <si>
    <t>656</t>
  </si>
  <si>
    <t>34/219/3</t>
  </si>
  <si>
    <t>E4DDE193</t>
  </si>
  <si>
    <t>Bag 0368</t>
  </si>
  <si>
    <t>368</t>
  </si>
  <si>
    <t>34/220/1</t>
  </si>
  <si>
    <t>A4FCE193</t>
  </si>
  <si>
    <t>25504 Hannes</t>
  </si>
  <si>
    <t>514159 Mikkel</t>
  </si>
  <si>
    <t>Bag 0505</t>
  </si>
  <si>
    <t>505</t>
  </si>
  <si>
    <t>34/220/2</t>
  </si>
  <si>
    <t>E4A8F493</t>
  </si>
  <si>
    <t>25509 Sam</t>
  </si>
  <si>
    <t>501025 Magnus</t>
  </si>
  <si>
    <t>Bag 1080</t>
  </si>
  <si>
    <t>1080</t>
  </si>
  <si>
    <t>34/220/3</t>
  </si>
  <si>
    <t>C406CB93</t>
  </si>
  <si>
    <t>455646 Rune</t>
  </si>
  <si>
    <t>Bag 0778</t>
  </si>
  <si>
    <t>778</t>
  </si>
  <si>
    <t>34/D1/1</t>
  </si>
  <si>
    <t>04FCCD93</t>
  </si>
  <si>
    <t>446999 Oliver</t>
  </si>
  <si>
    <t>Bag 0749</t>
  </si>
  <si>
    <t>749</t>
  </si>
  <si>
    <t>34/D1/2</t>
  </si>
  <si>
    <t>64FAF393</t>
  </si>
  <si>
    <t>192053 Stig</t>
  </si>
  <si>
    <t>Bag 0270</t>
  </si>
  <si>
    <t>270</t>
  </si>
  <si>
    <t>34/D1/3</t>
  </si>
  <si>
    <t>A44BDB93</t>
  </si>
  <si>
    <t>Bag 0607</t>
  </si>
  <si>
    <t>607</t>
  </si>
  <si>
    <t>34/D2/1</t>
  </si>
  <si>
    <t>040EE893</t>
  </si>
  <si>
    <t>Bag 1083</t>
  </si>
  <si>
    <t>1083</t>
  </si>
  <si>
    <t>34/D2/2</t>
  </si>
  <si>
    <t>C40ECD93</t>
  </si>
  <si>
    <t>173079 Louis-Philippe</t>
  </si>
  <si>
    <t>Bag 0589</t>
  </si>
  <si>
    <t>589</t>
  </si>
  <si>
    <t>34/D2/3</t>
  </si>
  <si>
    <t>7477DD93</t>
  </si>
  <si>
    <t>Bag 1042</t>
  </si>
  <si>
    <t>1042</t>
  </si>
  <si>
    <t>35/1/E1/1</t>
  </si>
  <si>
    <t>241FCF93</t>
  </si>
  <si>
    <t>Bag 0384</t>
  </si>
  <si>
    <t>384</t>
  </si>
  <si>
    <t>35/1/E1/2</t>
  </si>
  <si>
    <t>F457DB93</t>
  </si>
  <si>
    <t>124875 Jérémie</t>
  </si>
  <si>
    <t>Bag 0887</t>
  </si>
  <si>
    <t>887</t>
  </si>
  <si>
    <t>35/1/E1/3</t>
  </si>
  <si>
    <t>F491D993</t>
  </si>
  <si>
    <t>818087 Vincent</t>
  </si>
  <si>
    <t>Bag 0812</t>
  </si>
  <si>
    <t>812</t>
  </si>
  <si>
    <t>35/1/E2/1</t>
  </si>
  <si>
    <t>24B0CB93</t>
  </si>
  <si>
    <t>Bag 0371</t>
  </si>
  <si>
    <t>371</t>
  </si>
  <si>
    <t>35/1/E2/2</t>
  </si>
  <si>
    <t>1438CC93</t>
  </si>
  <si>
    <t>472826 Andreas</t>
  </si>
  <si>
    <t>Bag 0191</t>
  </si>
  <si>
    <t>191</t>
  </si>
  <si>
    <t>35/1/E2/3</t>
  </si>
  <si>
    <t>94E54594</t>
  </si>
  <si>
    <t>747089 Daniel</t>
  </si>
  <si>
    <t>Bag 0904</t>
  </si>
  <si>
    <t>904</t>
  </si>
  <si>
    <t>35/101/1</t>
  </si>
  <si>
    <t>44F7F393</t>
  </si>
  <si>
    <t>14001 JOHAN</t>
  </si>
  <si>
    <t>207432 Dan</t>
  </si>
  <si>
    <t>Bag 0239</t>
  </si>
  <si>
    <t>239</t>
  </si>
  <si>
    <t>35/101/2</t>
  </si>
  <si>
    <t>546A3694</t>
  </si>
  <si>
    <t>450360 Kevin</t>
  </si>
  <si>
    <t>Bag 0850</t>
  </si>
  <si>
    <t>850</t>
  </si>
  <si>
    <t>35/101/3</t>
  </si>
  <si>
    <t>34F8D593</t>
  </si>
  <si>
    <t>112004 Jonathan</t>
  </si>
  <si>
    <t>Bag 1021</t>
  </si>
  <si>
    <t>1021</t>
  </si>
  <si>
    <t>35/102/1</t>
  </si>
  <si>
    <t>04BCD593</t>
  </si>
  <si>
    <t>14103 ELIAS</t>
  </si>
  <si>
    <t>417007 Jonathan</t>
  </si>
  <si>
    <t>Bag 1017</t>
  </si>
  <si>
    <t>1017</t>
  </si>
  <si>
    <t>35/102/2</t>
  </si>
  <si>
    <t>A4FDDD93</t>
  </si>
  <si>
    <t>14105 CARL</t>
  </si>
  <si>
    <t>490907 Magnus</t>
  </si>
  <si>
    <t>Bag 0479</t>
  </si>
  <si>
    <t>479</t>
  </si>
  <si>
    <t>35/102/3</t>
  </si>
  <si>
    <t>64E0F393</t>
  </si>
  <si>
    <t>Bag 0621</t>
  </si>
  <si>
    <t>621</t>
  </si>
  <si>
    <t>35/103/1</t>
  </si>
  <si>
    <t>0418CE93</t>
  </si>
  <si>
    <t>14106 JESPER</t>
  </si>
  <si>
    <t>492074 Andreas</t>
  </si>
  <si>
    <t>Bag 0007</t>
  </si>
  <si>
    <t>35/103/2</t>
  </si>
  <si>
    <t>B4D3DC93</t>
  </si>
  <si>
    <t>14107 KARL</t>
  </si>
  <si>
    <t>Bag 0375</t>
  </si>
  <si>
    <t>375</t>
  </si>
  <si>
    <t>35/103/3</t>
  </si>
  <si>
    <t>74A0CB93</t>
  </si>
  <si>
    <t>500473 Malte</t>
  </si>
  <si>
    <t>Bag 0442</t>
  </si>
  <si>
    <t>442</t>
  </si>
  <si>
    <t>35/104/1</t>
  </si>
  <si>
    <t>846DDB93</t>
  </si>
  <si>
    <t>14204 AXEL</t>
  </si>
  <si>
    <t>186751 Jess</t>
  </si>
  <si>
    <t>Bag 0029</t>
  </si>
  <si>
    <t>35/104/2</t>
  </si>
  <si>
    <t>34D6E493</t>
  </si>
  <si>
    <t>14206 EMIL</t>
  </si>
  <si>
    <t>392991 Nikolaj</t>
  </si>
  <si>
    <t>Bag 0038</t>
  </si>
  <si>
    <t>A4EAD793</t>
  </si>
  <si>
    <t>35/104/3</t>
  </si>
  <si>
    <t>481195 Casper</t>
  </si>
  <si>
    <t>Bag 1171</t>
  </si>
  <si>
    <t>1171</t>
  </si>
  <si>
    <t>35/105/1</t>
  </si>
  <si>
    <t>F4D7E193</t>
  </si>
  <si>
    <t>14207 ADAM</t>
  </si>
  <si>
    <t>506865 Asger</t>
  </si>
  <si>
    <t>Bag 1164</t>
  </si>
  <si>
    <t>1164</t>
  </si>
  <si>
    <t>35/105/2</t>
  </si>
  <si>
    <t>34DBF093</t>
  </si>
  <si>
    <t>14208 VICTOR</t>
  </si>
  <si>
    <t>478435 Aksel</t>
  </si>
  <si>
    <t>Bag 0202</t>
  </si>
  <si>
    <t>202</t>
  </si>
  <si>
    <t>35/105/3</t>
  </si>
  <si>
    <t>24C3EF93</t>
  </si>
  <si>
    <t>330193 Mark</t>
  </si>
  <si>
    <t>Bag 0544</t>
  </si>
  <si>
    <t>544</t>
  </si>
  <si>
    <t>35/106/1</t>
  </si>
  <si>
    <t>C4D4D793</t>
  </si>
  <si>
    <t>14209 JESPER</t>
  </si>
  <si>
    <t>756229 Renaud</t>
  </si>
  <si>
    <t>Bag 1010</t>
  </si>
  <si>
    <t>1010</t>
  </si>
  <si>
    <t>35/106/2</t>
  </si>
  <si>
    <t>C4F8D193</t>
  </si>
  <si>
    <t>14210 ZACHARIAS</t>
  </si>
  <si>
    <t>Bag 0642</t>
  </si>
  <si>
    <t>642</t>
  </si>
  <si>
    <t>35/106/3</t>
  </si>
  <si>
    <t>3419F193</t>
  </si>
  <si>
    <t>486490 Marcus</t>
  </si>
  <si>
    <t>Bag 0563</t>
  </si>
  <si>
    <t>563</t>
  </si>
  <si>
    <t>35/107/1</t>
  </si>
  <si>
    <t>A43CD793</t>
  </si>
  <si>
    <t>14304 ARVID</t>
  </si>
  <si>
    <t>Bag 0312</t>
  </si>
  <si>
    <t>312</t>
  </si>
  <si>
    <t>35/107/2</t>
  </si>
  <si>
    <t>D4CAF293</t>
  </si>
  <si>
    <t>14308 ANDREAS</t>
  </si>
  <si>
    <t>476509 Simon</t>
  </si>
  <si>
    <t>Bag 1086</t>
  </si>
  <si>
    <t>1086</t>
  </si>
  <si>
    <t>35/107/3</t>
  </si>
  <si>
    <t>9443EE93</t>
  </si>
  <si>
    <t>427571 Mads</t>
  </si>
  <si>
    <t>Bag 0928</t>
  </si>
  <si>
    <t>928</t>
  </si>
  <si>
    <t>35/108/1</t>
  </si>
  <si>
    <t>D4FCD893</t>
  </si>
  <si>
    <t>14605 JESPER</t>
  </si>
  <si>
    <t>469262 Carlos</t>
  </si>
  <si>
    <t>Bag 0603</t>
  </si>
  <si>
    <t>603</t>
  </si>
  <si>
    <t>35/108/2</t>
  </si>
  <si>
    <t>046CCD93</t>
  </si>
  <si>
    <t>14307 JOHN</t>
  </si>
  <si>
    <t>Bag 0877</t>
  </si>
  <si>
    <t>877</t>
  </si>
  <si>
    <t>35/108/3</t>
  </si>
  <si>
    <t>949EF093</t>
  </si>
  <si>
    <t>884574 Jessica</t>
  </si>
  <si>
    <t>Bag 0500</t>
  </si>
  <si>
    <t>500</t>
  </si>
  <si>
    <t>35/109/1</t>
  </si>
  <si>
    <t>34D4CB93</t>
  </si>
  <si>
    <t>14501 FILIP</t>
  </si>
  <si>
    <t>518363 Gustav</t>
  </si>
  <si>
    <t>Bag 0659</t>
  </si>
  <si>
    <t>659</t>
  </si>
  <si>
    <t>35/109/2</t>
  </si>
  <si>
    <t>6421CF93</t>
  </si>
  <si>
    <t>14507 KRISTOFFER</t>
  </si>
  <si>
    <t>492009 Mikkel</t>
  </si>
  <si>
    <t>Bag 0935</t>
  </si>
  <si>
    <t>935</t>
  </si>
  <si>
    <t>35/109/3</t>
  </si>
  <si>
    <t>94EC3B94</t>
  </si>
  <si>
    <t>462738 Benjamin</t>
  </si>
  <si>
    <t>Bag 0292</t>
  </si>
  <si>
    <t>292</t>
  </si>
  <si>
    <t>35/110/1</t>
  </si>
  <si>
    <t>940B4894</t>
  </si>
  <si>
    <t>14503 ERIK</t>
  </si>
  <si>
    <t>Bag 0046</t>
  </si>
  <si>
    <t>35/110/2</t>
  </si>
  <si>
    <t>C452D193</t>
  </si>
  <si>
    <t xml:space="preserve">14505 DANIEL </t>
  </si>
  <si>
    <t>487143 Christoffer</t>
  </si>
  <si>
    <t>Bag 0713</t>
  </si>
  <si>
    <t>713</t>
  </si>
  <si>
    <t>35/110/3</t>
  </si>
  <si>
    <t>04C2CA93</t>
  </si>
  <si>
    <t>501022 Alexander</t>
  </si>
  <si>
    <t>Bag 0299</t>
  </si>
  <si>
    <t>299</t>
  </si>
  <si>
    <t>35/111/1</t>
  </si>
  <si>
    <t>F4B1CB93</t>
  </si>
  <si>
    <t>14701 JOHAN</t>
  </si>
  <si>
    <t>464572 Tobias</t>
  </si>
  <si>
    <t>Bag 1121</t>
  </si>
  <si>
    <t>1121</t>
  </si>
  <si>
    <t>35/111/2</t>
  </si>
  <si>
    <t>34BCD293</t>
  </si>
  <si>
    <t xml:space="preserve">14707 TIAM </t>
  </si>
  <si>
    <t>415170 Kristoffer</t>
  </si>
  <si>
    <t>Bag 0014</t>
  </si>
  <si>
    <t>35/111/3</t>
  </si>
  <si>
    <t>8452E193</t>
  </si>
  <si>
    <t>548990 Thomas</t>
  </si>
  <si>
    <t>Bag 1071</t>
  </si>
  <si>
    <t>1071</t>
  </si>
  <si>
    <t>35/112/1</t>
  </si>
  <si>
    <t>5414CF93</t>
  </si>
  <si>
    <t>14504 CARL</t>
  </si>
  <si>
    <t>469824 Nikolaj</t>
  </si>
  <si>
    <t>Bag 0022</t>
  </si>
  <si>
    <t>35/112/2</t>
  </si>
  <si>
    <t>F4DDDB93</t>
  </si>
  <si>
    <t>14508 WILLIAM</t>
  </si>
  <si>
    <t>486831 Mathias</t>
  </si>
  <si>
    <t>Bag 0190</t>
  </si>
  <si>
    <t>190</t>
  </si>
  <si>
    <t>35/112/3</t>
  </si>
  <si>
    <t>84B0DE93</t>
  </si>
  <si>
    <t>509045 Jonas</t>
  </si>
  <si>
    <t>Bag 0701</t>
  </si>
  <si>
    <t>701</t>
  </si>
  <si>
    <t>35/113/1</t>
  </si>
  <si>
    <t>24E9E793</t>
  </si>
  <si>
    <t>14705 DISA</t>
  </si>
  <si>
    <t>Bag 0323</t>
  </si>
  <si>
    <t>323</t>
  </si>
  <si>
    <t>35/113/2</t>
  </si>
  <si>
    <t>D40CCD93</t>
  </si>
  <si>
    <t>14706 AMANDA</t>
  </si>
  <si>
    <t>472684 Lucas</t>
  </si>
  <si>
    <t>Bag 0950</t>
  </si>
  <si>
    <t>950</t>
  </si>
  <si>
    <t>35/113/3</t>
  </si>
  <si>
    <t>84DDDF93</t>
  </si>
  <si>
    <t>355490 Poul</t>
  </si>
  <si>
    <t>Bag 0569</t>
  </si>
  <si>
    <t>569</t>
  </si>
  <si>
    <t>35/114/1</t>
  </si>
  <si>
    <t>C4103994</t>
  </si>
  <si>
    <t>14601 SAMUEL</t>
  </si>
  <si>
    <t>Bag 0310</t>
  </si>
  <si>
    <t>310</t>
  </si>
  <si>
    <t>35/114/2</t>
  </si>
  <si>
    <t>14B7D293</t>
  </si>
  <si>
    <t>14602 ISAK</t>
  </si>
  <si>
    <t>Bag 0761</t>
  </si>
  <si>
    <t>761</t>
  </si>
  <si>
    <t>35/114/3</t>
  </si>
  <si>
    <t>84F7E693</t>
  </si>
  <si>
    <t>Bag 0634</t>
  </si>
  <si>
    <t>634</t>
  </si>
  <si>
    <t>35/115/1</t>
  </si>
  <si>
    <t>54C4CA93</t>
  </si>
  <si>
    <t>14301 PONTUS</t>
  </si>
  <si>
    <t>317038 Brian</t>
  </si>
  <si>
    <t>Bag 0619</t>
  </si>
  <si>
    <t>619</t>
  </si>
  <si>
    <t>35/115/2</t>
  </si>
  <si>
    <t>C496CD93</t>
  </si>
  <si>
    <t>14305 ALEM</t>
  </si>
  <si>
    <t>476100 Tulle</t>
  </si>
  <si>
    <t>Bag 0158</t>
  </si>
  <si>
    <t>35/115/3</t>
  </si>
  <si>
    <t>6478CD93</t>
  </si>
  <si>
    <t>710142 Abraham</t>
  </si>
  <si>
    <t>Bag 0537</t>
  </si>
  <si>
    <t>537</t>
  </si>
  <si>
    <t>35/116/1</t>
  </si>
  <si>
    <t>B4B8E393</t>
  </si>
  <si>
    <t>14203 SIGRID</t>
  </si>
  <si>
    <t>392383 Jesper</t>
  </si>
  <si>
    <t>Bag 0003</t>
  </si>
  <si>
    <t>3</t>
  </si>
  <si>
    <t>35/116/2</t>
  </si>
  <si>
    <t>144E3594</t>
  </si>
  <si>
    <t>14615 VILMA</t>
  </si>
  <si>
    <t>418436 Anders</t>
  </si>
  <si>
    <t>Bag 0575</t>
  </si>
  <si>
    <t>575</t>
  </si>
  <si>
    <t>C416EA93</t>
  </si>
  <si>
    <t>35/116/3</t>
  </si>
  <si>
    <t>491873 Panepal</t>
  </si>
  <si>
    <t>Bag 0224</t>
  </si>
  <si>
    <t>224</t>
  </si>
  <si>
    <t>35/117/1</t>
  </si>
  <si>
    <t>8425E393</t>
  </si>
  <si>
    <t>14108 AGNES</t>
  </si>
  <si>
    <t>585051 Jacob</t>
  </si>
  <si>
    <t>Bag 0993</t>
  </si>
  <si>
    <t>993</t>
  </si>
  <si>
    <t>35/117/2</t>
  </si>
  <si>
    <t>5451F093</t>
  </si>
  <si>
    <t>14104 AMANDA</t>
  </si>
  <si>
    <t>513820 Magnus</t>
  </si>
  <si>
    <t>Bag 0958</t>
  </si>
  <si>
    <t>958</t>
  </si>
  <si>
    <t>35/117/3</t>
  </si>
  <si>
    <t>3418D793</t>
  </si>
  <si>
    <t>Bag 0811</t>
  </si>
  <si>
    <t>811</t>
  </si>
  <si>
    <t>35/118/1</t>
  </si>
  <si>
    <t>34B4E193</t>
  </si>
  <si>
    <t>14109 ALEXANDER</t>
  </si>
  <si>
    <t>797229 Antoine</t>
  </si>
  <si>
    <t>Bag 1160</t>
  </si>
  <si>
    <t>1160</t>
  </si>
  <si>
    <t>35/118/2</t>
  </si>
  <si>
    <t>74AAE893</t>
  </si>
  <si>
    <t>14111 SIMON</t>
  </si>
  <si>
    <t>406919 Mathias</t>
  </si>
  <si>
    <t>Bag 0216</t>
  </si>
  <si>
    <t>216</t>
  </si>
  <si>
    <t>35/118/3</t>
  </si>
  <si>
    <t>6447F493</t>
  </si>
  <si>
    <t>481043 Emma</t>
  </si>
  <si>
    <t>Bag 0016</t>
  </si>
  <si>
    <t>35/118/4</t>
  </si>
  <si>
    <t>3496D693</t>
  </si>
  <si>
    <t>35/119/1</t>
  </si>
  <si>
    <t>44E7E393</t>
  </si>
  <si>
    <t>14002 THOMAS</t>
  </si>
  <si>
    <t>35/119/2</t>
  </si>
  <si>
    <t>C4D0F293</t>
  </si>
  <si>
    <t>14205 RASMUS</t>
  </si>
  <si>
    <t>35/119/3</t>
  </si>
  <si>
    <t>B43CD093</t>
  </si>
  <si>
    <t>35/120/1</t>
  </si>
  <si>
    <t>74D8E993</t>
  </si>
  <si>
    <t>14401 WILIAM</t>
  </si>
  <si>
    <t>C40ADF93</t>
  </si>
  <si>
    <t>35/120/2</t>
  </si>
  <si>
    <t>54F5DC93</t>
  </si>
  <si>
    <t>14402 ANTON</t>
  </si>
  <si>
    <t>35/120/3</t>
  </si>
  <si>
    <t>14B6E593</t>
  </si>
  <si>
    <t>35/2/E1/1</t>
  </si>
  <si>
    <t>14B2D593</t>
  </si>
  <si>
    <t>35/2/E1/2</t>
  </si>
  <si>
    <t>4493D493</t>
  </si>
  <si>
    <t>35/2/E1/3</t>
  </si>
  <si>
    <t>2459CB93</t>
  </si>
  <si>
    <t>35/2/E2/1</t>
  </si>
  <si>
    <t>8403D693</t>
  </si>
  <si>
    <t>35/2/E2/2</t>
  </si>
  <si>
    <t>4409D793</t>
  </si>
  <si>
    <t>35/2/E2/3</t>
  </si>
  <si>
    <t>C4CFCA93</t>
  </si>
  <si>
    <t>35/201/1</t>
  </si>
  <si>
    <t>D431CC93</t>
  </si>
  <si>
    <t>11001 VIKTOR</t>
  </si>
  <si>
    <t>35/201/2</t>
  </si>
  <si>
    <t>4446F393</t>
  </si>
  <si>
    <t>35/201/3</t>
  </si>
  <si>
    <t>A4EADB93</t>
  </si>
  <si>
    <t>35/202/1</t>
  </si>
  <si>
    <t>8496F193</t>
  </si>
  <si>
    <t>11110 TOBIAS</t>
  </si>
  <si>
    <t>35/202/2</t>
  </si>
  <si>
    <t>34BDCB93</t>
  </si>
  <si>
    <t>11106 ANTON</t>
  </si>
  <si>
    <t>35/202/3</t>
  </si>
  <si>
    <t>7481D493</t>
  </si>
  <si>
    <t>35/203/1</t>
  </si>
  <si>
    <t>B4CBDA93</t>
  </si>
  <si>
    <t>11103 JACOB</t>
  </si>
  <si>
    <t>35/203/2</t>
  </si>
  <si>
    <t>3412CD93</t>
  </si>
  <si>
    <t>35/203/3</t>
  </si>
  <si>
    <t>044AE793</t>
  </si>
  <si>
    <t>35/204/1</t>
  </si>
  <si>
    <t>04D3D893</t>
  </si>
  <si>
    <t>11108 MILLE</t>
  </si>
  <si>
    <t>35/204/2</t>
  </si>
  <si>
    <t>B402E893</t>
  </si>
  <si>
    <t>11109 EDVIN</t>
  </si>
  <si>
    <t>35/204/3</t>
  </si>
  <si>
    <t>B42BD093</t>
  </si>
  <si>
    <t>35/205/1</t>
  </si>
  <si>
    <t>34ECD393</t>
  </si>
  <si>
    <t>11201 ELIAS</t>
  </si>
  <si>
    <t>35/205/2</t>
  </si>
  <si>
    <t>1468EB93</t>
  </si>
  <si>
    <t>11202 HUGO</t>
  </si>
  <si>
    <t>35/205/3</t>
  </si>
  <si>
    <t>34C0CB93</t>
  </si>
  <si>
    <t>35/206/1</t>
  </si>
  <si>
    <t>74A8E893</t>
  </si>
  <si>
    <t>11204 ISMAILA</t>
  </si>
  <si>
    <t>35/206/2</t>
  </si>
  <si>
    <t>D4CEF293</t>
  </si>
  <si>
    <t>11205 BENJAMIN</t>
  </si>
  <si>
    <t>35/206/3</t>
  </si>
  <si>
    <t>D4CC3B94</t>
  </si>
  <si>
    <t>35/207/1</t>
  </si>
  <si>
    <t>249FCF93</t>
  </si>
  <si>
    <t>11208 JACOB</t>
  </si>
  <si>
    <t>35/207/2</t>
  </si>
  <si>
    <t>44C53694</t>
  </si>
  <si>
    <t>11207 DAVID</t>
  </si>
  <si>
    <t>35/207/3</t>
  </si>
  <si>
    <t>E4A8E393</t>
  </si>
  <si>
    <t>35/208/1</t>
  </si>
  <si>
    <t>C460D193</t>
  </si>
  <si>
    <t>11208 ALBIN</t>
  </si>
  <si>
    <t>35/208/2</t>
  </si>
  <si>
    <t>7447D393</t>
  </si>
  <si>
    <t>11206 MATTIAS</t>
  </si>
  <si>
    <t>148ECD93</t>
  </si>
  <si>
    <t>35/208/3</t>
  </si>
  <si>
    <t>B401CB93</t>
  </si>
  <si>
    <t>35/209/1</t>
  </si>
  <si>
    <t>E44EF493</t>
  </si>
  <si>
    <t>11301 OLAUS</t>
  </si>
  <si>
    <t>35/209/2</t>
  </si>
  <si>
    <t>9441EE93</t>
  </si>
  <si>
    <t>11302 AUGUST</t>
  </si>
  <si>
    <t>35/209/3</t>
  </si>
  <si>
    <t>7455DA93</t>
  </si>
  <si>
    <t>35/210/1</t>
  </si>
  <si>
    <t>64CFD793</t>
  </si>
  <si>
    <t>11308 ALEXANDER</t>
  </si>
  <si>
    <t>35/210/2</t>
  </si>
  <si>
    <t>8400F393</t>
  </si>
  <si>
    <t xml:space="preserve">11307 LUDVIG </t>
  </si>
  <si>
    <t>35/210/3</t>
  </si>
  <si>
    <t>348CCC93</t>
  </si>
  <si>
    <t>35/211/1</t>
  </si>
  <si>
    <t>1417F193</t>
  </si>
  <si>
    <t>11002 FELIX</t>
  </si>
  <si>
    <t>35/211/2</t>
  </si>
  <si>
    <t>544D4194</t>
  </si>
  <si>
    <t>35/211/3</t>
  </si>
  <si>
    <t>1428CC93</t>
  </si>
  <si>
    <t>35/212/1</t>
  </si>
  <si>
    <t>B4464094</t>
  </si>
  <si>
    <t>14407 VICTOR</t>
  </si>
  <si>
    <t>35/212/2</t>
  </si>
  <si>
    <t>340FD593</t>
  </si>
  <si>
    <t>14405 LINUS</t>
  </si>
  <si>
    <t>35/212/3</t>
  </si>
  <si>
    <t>B424CF93</t>
  </si>
  <si>
    <t>35/213/1</t>
  </si>
  <si>
    <t>B4F5CC93</t>
  </si>
  <si>
    <t>11303 EMIL</t>
  </si>
  <si>
    <t>35/213/2</t>
  </si>
  <si>
    <t>54F9CA93</t>
  </si>
  <si>
    <t>11309 JONATHAN</t>
  </si>
  <si>
    <t>35/213/3</t>
  </si>
  <si>
    <t>C421D993</t>
  </si>
  <si>
    <t>35/214/1</t>
  </si>
  <si>
    <t>649FCE93</t>
  </si>
  <si>
    <t>11304 GUSTAV</t>
  </si>
  <si>
    <t>35/214/2</t>
  </si>
  <si>
    <t>4476EC93</t>
  </si>
  <si>
    <t>11305 GUSTAV</t>
  </si>
  <si>
    <t>35/214/3</t>
  </si>
  <si>
    <t>B46BF493</t>
  </si>
  <si>
    <t>35/215/1</t>
  </si>
  <si>
    <t>14E4DB93</t>
  </si>
  <si>
    <t>11310 LINUS</t>
  </si>
  <si>
    <t>35/215/2</t>
  </si>
  <si>
    <t>9403DC93</t>
  </si>
  <si>
    <t>11306 MAX</t>
  </si>
  <si>
    <t>35/215/3</t>
  </si>
  <si>
    <t>041CE293</t>
  </si>
  <si>
    <t>35/216/1</t>
  </si>
  <si>
    <t>34B6EC93</t>
  </si>
  <si>
    <t>11203 LUKAS</t>
  </si>
  <si>
    <t>35/216/2</t>
  </si>
  <si>
    <t>9462CB93</t>
  </si>
  <si>
    <t>11210 VIKTOR</t>
  </si>
  <si>
    <t>35/216/3</t>
  </si>
  <si>
    <t>944DDB93</t>
  </si>
  <si>
    <t>35/217/1</t>
  </si>
  <si>
    <t>F48FCD93</t>
  </si>
  <si>
    <t>11104  THEO</t>
  </si>
  <si>
    <t>35/217/2</t>
  </si>
  <si>
    <t>A4E43D94</t>
  </si>
  <si>
    <t>11105 ANTON</t>
  </si>
  <si>
    <t>35/217/3</t>
  </si>
  <si>
    <t>9418E793</t>
  </si>
  <si>
    <t>35/218/1</t>
  </si>
  <si>
    <t>04C73F94</t>
  </si>
  <si>
    <t>11111 LEO</t>
  </si>
  <si>
    <t>35/218/2</t>
  </si>
  <si>
    <t>C46DDC93</t>
  </si>
  <si>
    <t>11107 WILLIAM</t>
  </si>
  <si>
    <t>35/218/3</t>
  </si>
  <si>
    <t>84B0D993</t>
  </si>
  <si>
    <t>35/219/1</t>
  </si>
  <si>
    <t>54CEDE93</t>
  </si>
  <si>
    <t xml:space="preserve">11101 KENNY </t>
  </si>
  <si>
    <t>35/219/2</t>
  </si>
  <si>
    <t>D40FD093</t>
  </si>
  <si>
    <t>11102 JOSHUA</t>
  </si>
  <si>
    <t>35/219/3</t>
  </si>
  <si>
    <t>9420CB93</t>
  </si>
  <si>
    <t>35/220/1</t>
  </si>
  <si>
    <t>C4FFDC93</t>
  </si>
  <si>
    <t>10001 JOHAN</t>
  </si>
  <si>
    <t>35/220/2</t>
  </si>
  <si>
    <t>946B4694</t>
  </si>
  <si>
    <t>35/220/3</t>
  </si>
  <si>
    <t>948D3694</t>
  </si>
  <si>
    <t>35/D1/1</t>
  </si>
  <si>
    <t>B41ECB93</t>
  </si>
  <si>
    <t>35/D1/2</t>
  </si>
  <si>
    <t>54DAD093</t>
  </si>
  <si>
    <t>35/D1/3</t>
  </si>
  <si>
    <t>C486DB93</t>
  </si>
  <si>
    <t>35/D2/1</t>
  </si>
  <si>
    <t>548ACC93</t>
  </si>
  <si>
    <t>35/D2/2</t>
  </si>
  <si>
    <t>E45BDE93</t>
  </si>
  <si>
    <t>35/D2/3</t>
  </si>
  <si>
    <t>74DAE993</t>
  </si>
  <si>
    <t>36/1/E1/1</t>
  </si>
  <si>
    <t>6408F393</t>
  </si>
  <si>
    <t>36/1/E1/2</t>
  </si>
  <si>
    <t>1450DA93</t>
  </si>
  <si>
    <t>36/1/E1/3</t>
  </si>
  <si>
    <t>040ED793</t>
  </si>
  <si>
    <t>36/1/E2/1</t>
  </si>
  <si>
    <t>746FD493</t>
  </si>
  <si>
    <t>36/1/E2/2</t>
  </si>
  <si>
    <t>D4D0DD93</t>
  </si>
  <si>
    <t>36/1/E2/3</t>
  </si>
  <si>
    <t>8445F493</t>
  </si>
  <si>
    <t>36/101/1</t>
  </si>
  <si>
    <t>94A8E093</t>
  </si>
  <si>
    <t>71001 Henrik</t>
  </si>
  <si>
    <t>36/101/2</t>
  </si>
  <si>
    <t>0442E793</t>
  </si>
  <si>
    <t>36/101/3</t>
  </si>
  <si>
    <t>743BE893</t>
  </si>
  <si>
    <t>36/102/1</t>
  </si>
  <si>
    <t>949ACD93</t>
  </si>
  <si>
    <t>71003 Sven</t>
  </si>
  <si>
    <t>36/102/2</t>
  </si>
  <si>
    <t>0440E793</t>
  </si>
  <si>
    <t>36/102/3</t>
  </si>
  <si>
    <t>4404E193</t>
  </si>
  <si>
    <t>36/103/1</t>
  </si>
  <si>
    <t>F423E293</t>
  </si>
  <si>
    <t xml:space="preserve">71004 Per </t>
  </si>
  <si>
    <t>36/103/2</t>
  </si>
  <si>
    <t>649FE293</t>
  </si>
  <si>
    <t>36/103/3</t>
  </si>
  <si>
    <t>544BF093</t>
  </si>
  <si>
    <t>36/104/1</t>
  </si>
  <si>
    <t>44B3E293</t>
  </si>
  <si>
    <t>71036 Sabrina</t>
  </si>
  <si>
    <t>36/104/2</t>
  </si>
  <si>
    <t>244AD793</t>
  </si>
  <si>
    <t>36/104/3</t>
  </si>
  <si>
    <t>E42CE193</t>
  </si>
  <si>
    <t>36/105/1</t>
  </si>
  <si>
    <t>F4BAEA93</t>
  </si>
  <si>
    <t>71037 Sebastian</t>
  </si>
  <si>
    <t>36/105/2</t>
  </si>
  <si>
    <t>549FE293</t>
  </si>
  <si>
    <t>36/105/3</t>
  </si>
  <si>
    <t>9489F493</t>
  </si>
  <si>
    <t>36/106/1</t>
  </si>
  <si>
    <t>7416E593</t>
  </si>
  <si>
    <t>71038 Johan</t>
  </si>
  <si>
    <t>0436D593</t>
  </si>
  <si>
    <t>36/106/2</t>
  </si>
  <si>
    <t>C4ADE893</t>
  </si>
  <si>
    <t>36/106/3</t>
  </si>
  <si>
    <t>94C5E693</t>
  </si>
  <si>
    <t>36/107/1</t>
  </si>
  <si>
    <t>C47FE393</t>
  </si>
  <si>
    <t>71043 Adam</t>
  </si>
  <si>
    <t>36/107/2</t>
  </si>
  <si>
    <t>147DF393</t>
  </si>
  <si>
    <t>36/107/3</t>
  </si>
  <si>
    <t>7489E393</t>
  </si>
  <si>
    <t>36/108/1</t>
  </si>
  <si>
    <t>F495E493</t>
  </si>
  <si>
    <t xml:space="preserve">71041 Kim </t>
  </si>
  <si>
    <t>36/108/2</t>
  </si>
  <si>
    <t>D4DEDF93</t>
  </si>
  <si>
    <t>36/108/3</t>
  </si>
  <si>
    <t>248CEA93</t>
  </si>
  <si>
    <t>36/109/1</t>
  </si>
  <si>
    <t>24B4E193</t>
  </si>
  <si>
    <t>71042 Erik</t>
  </si>
  <si>
    <t>36/109/2</t>
  </si>
  <si>
    <t>F4BCEA93</t>
  </si>
  <si>
    <t>36/109/3</t>
  </si>
  <si>
    <t>94CFE293</t>
  </si>
  <si>
    <t>36/110/1</t>
  </si>
  <si>
    <t>641CE593</t>
  </si>
  <si>
    <t>71046 Anders</t>
  </si>
  <si>
    <t>36/110/2</t>
  </si>
  <si>
    <t>747AE493</t>
  </si>
  <si>
    <t>36/110/3</t>
  </si>
  <si>
    <t>B4E1E993</t>
  </si>
  <si>
    <t>36/111/1</t>
  </si>
  <si>
    <t>C447E493</t>
  </si>
  <si>
    <t xml:space="preserve">71048 Tony </t>
  </si>
  <si>
    <t>846CE993</t>
  </si>
  <si>
    <t>36/111/2</t>
  </si>
  <si>
    <t>64B8D093</t>
  </si>
  <si>
    <t>36/111/3</t>
  </si>
  <si>
    <t>36/112/1</t>
  </si>
  <si>
    <t>C452E393</t>
  </si>
  <si>
    <t>71026 Jessica</t>
  </si>
  <si>
    <t>36/113/1</t>
  </si>
  <si>
    <t>34933794</t>
  </si>
  <si>
    <t>71022 Danny</t>
  </si>
  <si>
    <t>36/114/1</t>
  </si>
  <si>
    <t>A49FD693</t>
  </si>
  <si>
    <t>71023 Oscar</t>
  </si>
  <si>
    <t>36/115/1</t>
  </si>
  <si>
    <t>D443E493</t>
  </si>
  <si>
    <t>71021 Alex</t>
  </si>
  <si>
    <t>36/116/1</t>
  </si>
  <si>
    <t>043EE793</t>
  </si>
  <si>
    <t>71034 Truls</t>
  </si>
  <si>
    <t>36/117/1</t>
  </si>
  <si>
    <t>847BEC93</t>
  </si>
  <si>
    <t>71033 Arvid</t>
  </si>
  <si>
    <t>36/118/1</t>
  </si>
  <si>
    <t>B498F293</t>
  </si>
  <si>
    <t>71032 Oskar</t>
  </si>
  <si>
    <t>36/119/1</t>
  </si>
  <si>
    <t>E499E793</t>
  </si>
  <si>
    <t>71031 Daniel</t>
  </si>
  <si>
    <t>36/120/1</t>
  </si>
  <si>
    <t>E428E193</t>
  </si>
  <si>
    <t>71002 Magnus</t>
  </si>
  <si>
    <t>36/112/2</t>
  </si>
  <si>
    <t>14E3E593</t>
  </si>
  <si>
    <t>36/112/3</t>
  </si>
  <si>
    <t>A4FEE193</t>
  </si>
  <si>
    <t>36/113/2</t>
  </si>
  <si>
    <t>9425E393</t>
  </si>
  <si>
    <t>36/113/3</t>
  </si>
  <si>
    <t>7431E293</t>
  </si>
  <si>
    <t>36/114/2</t>
  </si>
  <si>
    <t>1421F293</t>
  </si>
  <si>
    <t>36/114/3</t>
  </si>
  <si>
    <t>240EE493</t>
  </si>
  <si>
    <t>36/115/2</t>
  </si>
  <si>
    <t>6433E293</t>
  </si>
  <si>
    <t>36/115/3</t>
  </si>
  <si>
    <t>C47DE393</t>
  </si>
  <si>
    <t>36/116/2</t>
  </si>
  <si>
    <t>D439DE93</t>
  </si>
  <si>
    <t>36/116/3</t>
  </si>
  <si>
    <t>442AE293</t>
  </si>
  <si>
    <t>36/117/2</t>
  </si>
  <si>
    <t>3424E693</t>
  </si>
  <si>
    <t>36/117/3</t>
  </si>
  <si>
    <t>54A3E293</t>
  </si>
  <si>
    <t>36/118/2</t>
  </si>
  <si>
    <t>F4B5F493</t>
  </si>
  <si>
    <t>36/118/3</t>
  </si>
  <si>
    <t>B4DFE993</t>
  </si>
  <si>
    <t>36/119/2</t>
  </si>
  <si>
    <t>14B8E593</t>
  </si>
  <si>
    <t>36/119/3</t>
  </si>
  <si>
    <t>44FEE293</t>
  </si>
  <si>
    <t>36/120/2</t>
  </si>
  <si>
    <t>D445E493</t>
  </si>
  <si>
    <t>36/120/3</t>
  </si>
  <si>
    <t>04A3E093</t>
  </si>
  <si>
    <t>36/2/E1/1</t>
  </si>
  <si>
    <t>C414EA93</t>
  </si>
  <si>
    <t>36/2/E1/2</t>
  </si>
  <si>
    <t>E473D893</t>
  </si>
  <si>
    <t>36/2/E1/3</t>
  </si>
  <si>
    <t>342BCC93</t>
  </si>
  <si>
    <t>36/2/E2/1</t>
  </si>
  <si>
    <t>140CDF93</t>
  </si>
  <si>
    <t>36/2/E2/2</t>
  </si>
  <si>
    <t>547A4394</t>
  </si>
  <si>
    <t>36/2/E2/3</t>
  </si>
  <si>
    <t>F4C3E093</t>
  </si>
  <si>
    <t>36/201/1</t>
  </si>
  <si>
    <t>74C6D093</t>
  </si>
  <si>
    <t>71061 Anders</t>
  </si>
  <si>
    <t>36/201/2</t>
  </si>
  <si>
    <t>0454E293</t>
  </si>
  <si>
    <t>36/201/3</t>
  </si>
  <si>
    <t>6459E093</t>
  </si>
  <si>
    <t>36/202/1</t>
  </si>
  <si>
    <t>544FF093</t>
  </si>
  <si>
    <t>71062 Pia</t>
  </si>
  <si>
    <t>36/202/2</t>
  </si>
  <si>
    <t>F4C5E093</t>
  </si>
  <si>
    <t>36/202/3</t>
  </si>
  <si>
    <t>745FEB93</t>
  </si>
  <si>
    <t>36/203/1</t>
  </si>
  <si>
    <t>541AE093</t>
  </si>
  <si>
    <t>71063 Frederik</t>
  </si>
  <si>
    <t>36/203/2</t>
  </si>
  <si>
    <t>6473F493</t>
  </si>
  <si>
    <t>36/203/3</t>
  </si>
  <si>
    <t>7449E593</t>
  </si>
  <si>
    <t>36/204/1</t>
  </si>
  <si>
    <t>5449F493</t>
  </si>
  <si>
    <t>10001 NIKLAS</t>
  </si>
  <si>
    <t>36/204/2</t>
  </si>
  <si>
    <t>4404E393</t>
  </si>
  <si>
    <t>36/204/3</t>
  </si>
  <si>
    <t>F42AE193</t>
  </si>
  <si>
    <t>36/205/1</t>
  </si>
  <si>
    <t>A453E193</t>
  </si>
  <si>
    <t>36/205/2</t>
  </si>
  <si>
    <t>F485E593</t>
  </si>
  <si>
    <t>36/205/3</t>
  </si>
  <si>
    <t>4402E393</t>
  </si>
  <si>
    <t>36/206/1</t>
  </si>
  <si>
    <t>94A0F393</t>
  </si>
  <si>
    <t>36/206/2</t>
  </si>
  <si>
    <t>7447F493</t>
  </si>
  <si>
    <t>36/206/3</t>
  </si>
  <si>
    <t>B44DE193</t>
  </si>
  <si>
    <t>36/207/1</t>
  </si>
  <si>
    <t>B469E093</t>
  </si>
  <si>
    <t>36/207/2</t>
  </si>
  <si>
    <t>141DF293</t>
  </si>
  <si>
    <t>36/207/3</t>
  </si>
  <si>
    <t>3483CD93</t>
  </si>
  <si>
    <t>36/208/1</t>
  </si>
  <si>
    <t>941CE793</t>
  </si>
  <si>
    <t>36/208/2</t>
  </si>
  <si>
    <t>24F14894</t>
  </si>
  <si>
    <t>36/208/3</t>
  </si>
  <si>
    <t>C4B5E193</t>
  </si>
  <si>
    <t>36/209/1</t>
  </si>
  <si>
    <t>E48DCD93</t>
  </si>
  <si>
    <t>36/209/2</t>
  </si>
  <si>
    <t>0444E793</t>
  </si>
  <si>
    <t>36/209/3</t>
  </si>
  <si>
    <t>A44FE193</t>
  </si>
  <si>
    <t>36/210/1</t>
  </si>
  <si>
    <t>E495E793</t>
  </si>
  <si>
    <t>36/210/2</t>
  </si>
  <si>
    <t>747FD893</t>
  </si>
  <si>
    <t>36/210/3</t>
  </si>
  <si>
    <t>F40FCD93</t>
  </si>
  <si>
    <t>36/211/1</t>
  </si>
  <si>
    <t>541CD093</t>
  </si>
  <si>
    <t>36/211/2</t>
  </si>
  <si>
    <t>142FCC93</t>
  </si>
  <si>
    <t>36/211/3</t>
  </si>
  <si>
    <t>94C3E693</t>
  </si>
  <si>
    <t>36/212/1</t>
  </si>
  <si>
    <t>942CEB93</t>
  </si>
  <si>
    <t>36/212/2</t>
  </si>
  <si>
    <t>946F3B94</t>
  </si>
  <si>
    <t>36/212/3</t>
  </si>
  <si>
    <t>7471E193</t>
  </si>
  <si>
    <t>36/213/1</t>
  </si>
  <si>
    <t>C491D493</t>
  </si>
  <si>
    <t>36/213/2</t>
  </si>
  <si>
    <t>C402D293</t>
  </si>
  <si>
    <t>36/213/3</t>
  </si>
  <si>
    <t>24DDE393</t>
  </si>
  <si>
    <t>36/214/1</t>
  </si>
  <si>
    <t>44AFE293</t>
  </si>
  <si>
    <t>36/214/2</t>
  </si>
  <si>
    <t>B458E093</t>
  </si>
  <si>
    <t>36/214/3</t>
  </si>
  <si>
    <t>34C1CA93</t>
  </si>
  <si>
    <t>36/215/1</t>
  </si>
  <si>
    <t>C40ACB93</t>
  </si>
  <si>
    <t>36/215/2</t>
  </si>
  <si>
    <t>9451E193</t>
  </si>
  <si>
    <t>36/215/3</t>
  </si>
  <si>
    <t>9489CD93</t>
  </si>
  <si>
    <t>36/216/1</t>
  </si>
  <si>
    <t>7496CF93</t>
  </si>
  <si>
    <t>71072 Michael</t>
  </si>
  <si>
    <t>36/216/2</t>
  </si>
  <si>
    <t>64D2EB93</t>
  </si>
  <si>
    <t>36/216/3</t>
  </si>
  <si>
    <t>8404CF93</t>
  </si>
  <si>
    <t>36/217/1</t>
  </si>
  <si>
    <t>640AF393</t>
  </si>
  <si>
    <t>71076 Niklas</t>
  </si>
  <si>
    <t>36/217/2</t>
  </si>
  <si>
    <t>743FE893</t>
  </si>
  <si>
    <t>36/217/3</t>
  </si>
  <si>
    <t>8426D093</t>
  </si>
  <si>
    <t>36/218/1</t>
  </si>
  <si>
    <t>C493DF93</t>
  </si>
  <si>
    <t>71013 Magnus</t>
  </si>
  <si>
    <t>36/218/2</t>
  </si>
  <si>
    <t>949EF393</t>
  </si>
  <si>
    <t>36/218/3</t>
  </si>
  <si>
    <t>7494D493</t>
  </si>
  <si>
    <t>36/219/1</t>
  </si>
  <si>
    <t>942EEB93</t>
  </si>
  <si>
    <t>710012 Martina</t>
  </si>
  <si>
    <t>36/219/2</t>
  </si>
  <si>
    <t>341CE093</t>
  </si>
  <si>
    <t>36/219/3</t>
  </si>
  <si>
    <t>B467E093</t>
  </si>
  <si>
    <t>36/220/1</t>
  </si>
  <si>
    <t>E49BE793</t>
  </si>
  <si>
    <t>71011 Alvaro</t>
  </si>
  <si>
    <t>36/220/2</t>
  </si>
  <si>
    <t>A4CDF193</t>
  </si>
  <si>
    <t>36/220/3</t>
  </si>
  <si>
    <t>D47FDC93</t>
  </si>
  <si>
    <t>36/D1/1</t>
  </si>
  <si>
    <t>9428D293</t>
  </si>
  <si>
    <t>36/D1/2</t>
  </si>
  <si>
    <t>34D3CB93</t>
  </si>
  <si>
    <t>36/D1/3</t>
  </si>
  <si>
    <t>A469E093</t>
  </si>
  <si>
    <t>36/D2/1</t>
  </si>
  <si>
    <t>F4D23D94</t>
  </si>
  <si>
    <t>36/D2/2</t>
  </si>
  <si>
    <t>5400CB93</t>
  </si>
  <si>
    <t>36/D2/3</t>
  </si>
  <si>
    <t>9420E793</t>
  </si>
  <si>
    <t>#</t>
  </si>
  <si>
    <t>NAME, ID</t>
  </si>
  <si>
    <t>Nation</t>
  </si>
  <si>
    <t>Buil ding</t>
  </si>
  <si>
    <t>ROOM</t>
  </si>
  <si>
    <t>Placed Beds</t>
  </si>
  <si>
    <t>Date</t>
  </si>
  <si>
    <t>Remarks</t>
  </si>
  <si>
    <t>Planed accomodation</t>
  </si>
  <si>
    <t>Used</t>
  </si>
  <si>
    <t>Single</t>
  </si>
  <si>
    <t>Double</t>
  </si>
  <si>
    <t>Triple</t>
  </si>
  <si>
    <t>Quadre</t>
  </si>
  <si>
    <t>Empty</t>
  </si>
  <si>
    <t>ETA</t>
  </si>
  <si>
    <t>ETD</t>
  </si>
  <si>
    <t>L. Bag</t>
  </si>
  <si>
    <t>Accomodated</t>
  </si>
  <si>
    <t>Leaved</t>
  </si>
  <si>
    <t>beds/rooms</t>
  </si>
  <si>
    <t>Non correct date</t>
  </si>
  <si>
    <t>Changed on 18.08</t>
  </si>
  <si>
    <t>229827 Thomas, SIM 1, Checked out on 26.08/ MC0057/Bag0217 in the billeting</t>
  </si>
  <si>
    <t>212309 Chris, SIM 2 - Checked out on 25.08, MC0235/Bag 0113 in the billeting office</t>
  </si>
  <si>
    <t>MC0003, MC0282 IS LOST</t>
  </si>
  <si>
    <t>Replaced with 332830 Michael, took the MC and Laundry bag, MC0600 and Laundry bag 0046 is in the billeting oggice</t>
  </si>
  <si>
    <t>Temproary in the camp, had to be checked out on 29.08 but still no answer.</t>
  </si>
  <si>
    <t>169911 Kenneth, SIM 3 - Checked out on 26.08/MC0555/Bag0624 in the billeting office</t>
  </si>
  <si>
    <t>Previous data for 494372 Tobias - MC0718; Laundry Bag 718</t>
  </si>
  <si>
    <t>Table</t>
  </si>
  <si>
    <t>Invent</t>
  </si>
  <si>
    <t>496247 Niklas</t>
  </si>
  <si>
    <t>496313 Kristoffer</t>
  </si>
  <si>
    <t>490977 Jeppe</t>
  </si>
  <si>
    <t>4909771 Jeppe</t>
  </si>
  <si>
    <t>NSPA - Duran</t>
  </si>
  <si>
    <t>NSPA - George</t>
  </si>
  <si>
    <t>NSPA - Henri</t>
  </si>
  <si>
    <t>NSPA - Matthew</t>
  </si>
  <si>
    <t>8408E493</t>
  </si>
  <si>
    <t>A4B2E193</t>
  </si>
  <si>
    <t>A4AEF493</t>
  </si>
  <si>
    <t>6429E393</t>
  </si>
  <si>
    <t>27/216/1</t>
  </si>
  <si>
    <t>D4F3DB93</t>
  </si>
  <si>
    <t>Bag 1003</t>
  </si>
  <si>
    <t>1003</t>
  </si>
  <si>
    <t>23101 Ludvig</t>
  </si>
  <si>
    <t xml:space="preserve">23102 Joel </t>
  </si>
  <si>
    <t>94A6D293</t>
  </si>
  <si>
    <t>32/1/E2/3</t>
  </si>
  <si>
    <t>B466CB93</t>
  </si>
  <si>
    <t>D4F8DA93</t>
  </si>
  <si>
    <t>Hugo LINDSTRÖM</t>
  </si>
  <si>
    <t xml:space="preserve">55115 Leo </t>
  </si>
  <si>
    <t>25203 Albin</t>
  </si>
  <si>
    <t>25407 Edvin</t>
  </si>
  <si>
    <t>11209 ALBIN</t>
  </si>
  <si>
    <t>80001 NIKLAS</t>
  </si>
  <si>
    <t>Bag</t>
  </si>
  <si>
    <t>0158</t>
  </si>
  <si>
    <t>0174</t>
  </si>
  <si>
    <t>0124</t>
  </si>
  <si>
    <t>0239</t>
  </si>
  <si>
    <t>0301</t>
  </si>
  <si>
    <t>0233</t>
  </si>
  <si>
    <t>0667</t>
  </si>
  <si>
    <t>0032</t>
  </si>
  <si>
    <t>0166</t>
  </si>
  <si>
    <t>0562</t>
  </si>
  <si>
    <t>155449 Rene</t>
  </si>
  <si>
    <t>1011</t>
  </si>
  <si>
    <t>0693</t>
  </si>
  <si>
    <t>0223</t>
  </si>
  <si>
    <t>211628/Karsten Falck</t>
  </si>
  <si>
    <t>0145</t>
  </si>
  <si>
    <t>0735</t>
  </si>
  <si>
    <t>0098</t>
  </si>
  <si>
    <t>0193</t>
  </si>
  <si>
    <t>0728</t>
  </si>
  <si>
    <t>0001</t>
  </si>
  <si>
    <t>0213</t>
  </si>
  <si>
    <t>0954</t>
  </si>
  <si>
    <t>0123</t>
  </si>
  <si>
    <t>1024</t>
  </si>
  <si>
    <t>0031</t>
  </si>
  <si>
    <t>0683</t>
  </si>
  <si>
    <t>0654</t>
  </si>
  <si>
    <t>0408</t>
  </si>
  <si>
    <t>0647</t>
  </si>
  <si>
    <t>0238</t>
  </si>
  <si>
    <t>0209</t>
  </si>
  <si>
    <t>0961</t>
  </si>
  <si>
    <t>0696</t>
  </si>
  <si>
    <t>0222</t>
  </si>
  <si>
    <t>0960</t>
  </si>
  <si>
    <t>0211</t>
  </si>
  <si>
    <t>0208</t>
  </si>
  <si>
    <t>0480</t>
  </si>
  <si>
    <t>0675</t>
  </si>
  <si>
    <t>0473</t>
  </si>
  <si>
    <t>0037</t>
  </si>
  <si>
    <t>0609</t>
  </si>
  <si>
    <t>1046</t>
  </si>
  <si>
    <t>0470</t>
  </si>
  <si>
    <t>0216</t>
  </si>
  <si>
    <t>0188</t>
  </si>
  <si>
    <t>`</t>
  </si>
  <si>
    <t>0184</t>
  </si>
  <si>
    <t>0990</t>
  </si>
  <si>
    <t>1051</t>
  </si>
  <si>
    <t>0231</t>
  </si>
  <si>
    <t>0306</t>
  </si>
  <si>
    <t>0964</t>
  </si>
  <si>
    <t>0170</t>
  </si>
  <si>
    <t>0988</t>
  </si>
  <si>
    <t>0711</t>
  </si>
  <si>
    <t>0010</t>
  </si>
  <si>
    <t>0168</t>
  </si>
  <si>
    <t>0172</t>
  </si>
  <si>
    <t>0218</t>
  </si>
  <si>
    <t>1066</t>
  </si>
  <si>
    <t>0225</t>
  </si>
  <si>
    <t>0076</t>
  </si>
  <si>
    <t>0221</t>
  </si>
  <si>
    <t>0236</t>
  </si>
  <si>
    <t>0241</t>
  </si>
  <si>
    <t>0240</t>
  </si>
  <si>
    <t>0403</t>
  </si>
  <si>
    <t>0206</t>
  </si>
  <si>
    <t>0103</t>
  </si>
  <si>
    <t>0270</t>
  </si>
  <si>
    <t>0273</t>
  </si>
  <si>
    <t>0466</t>
  </si>
  <si>
    <t>0950</t>
  </si>
  <si>
    <t>0443</t>
  </si>
  <si>
    <t>0984</t>
  </si>
  <si>
    <t>1084</t>
  </si>
  <si>
    <t>0476</t>
  </si>
  <si>
    <t>0154</t>
  </si>
  <si>
    <t>0200</t>
  </si>
  <si>
    <t>0451</t>
  </si>
  <si>
    <t>0267</t>
  </si>
  <si>
    <t>0661</t>
  </si>
  <si>
    <t>0229</t>
  </si>
  <si>
    <t>0405</t>
  </si>
  <si>
    <t>0948</t>
  </si>
  <si>
    <t>0407</t>
  </si>
  <si>
    <t>0099</t>
  </si>
  <si>
    <t>0941</t>
  </si>
  <si>
    <t>0663</t>
  </si>
  <si>
    <t>0109</t>
  </si>
  <si>
    <t>0132</t>
  </si>
  <si>
    <t>0676</t>
  </si>
  <si>
    <t>0435</t>
  </si>
  <si>
    <t>0951</t>
  </si>
  <si>
    <t>1104</t>
  </si>
  <si>
    <t>0992</t>
  </si>
  <si>
    <t>0965</t>
  </si>
  <si>
    <t>0447</t>
  </si>
  <si>
    <t>0945</t>
  </si>
  <si>
    <t>0035</t>
  </si>
  <si>
    <t>0660</t>
  </si>
  <si>
    <t>0243</t>
  </si>
  <si>
    <t>0698</t>
  </si>
  <si>
    <t>1115</t>
  </si>
  <si>
    <t>0732</t>
  </si>
  <si>
    <t>0952</t>
  </si>
  <si>
    <t>0415</t>
  </si>
  <si>
    <t>0181</t>
  </si>
  <si>
    <t>0471</t>
  </si>
  <si>
    <t>0939</t>
  </si>
  <si>
    <t>0057</t>
  </si>
  <si>
    <t>0271</t>
  </si>
  <si>
    <t>0433</t>
  </si>
  <si>
    <t>0991</t>
  </si>
  <si>
    <t>0701</t>
  </si>
  <si>
    <t>0054</t>
  </si>
  <si>
    <t>0413</t>
  </si>
  <si>
    <t>0227</t>
  </si>
  <si>
    <t>0656</t>
  </si>
  <si>
    <t>0183</t>
  </si>
  <si>
    <t>0953</t>
  </si>
  <si>
    <t>0180</t>
  </si>
  <si>
    <t>0175</t>
  </si>
  <si>
    <t>0256</t>
  </si>
  <si>
    <t>0044</t>
  </si>
  <si>
    <t>0033</t>
  </si>
  <si>
    <t>0444</t>
  </si>
  <si>
    <t>0266</t>
  </si>
  <si>
    <t>0478</t>
  </si>
  <si>
    <t>0291</t>
  </si>
  <si>
    <t>0697</t>
  </si>
  <si>
    <t>0665</t>
  </si>
  <si>
    <t>0204</t>
  </si>
  <si>
    <t>0151</t>
  </si>
  <si>
    <t>0997</t>
  </si>
  <si>
    <t>0091</t>
  </si>
  <si>
    <t>0671</t>
  </si>
  <si>
    <t>0005</t>
  </si>
  <si>
    <t>0012</t>
  </si>
  <si>
    <t>0483</t>
  </si>
  <si>
    <t>0412</t>
  </si>
  <si>
    <t>0434</t>
  </si>
  <si>
    <t>0715</t>
  </si>
  <si>
    <t>0069</t>
  </si>
  <si>
    <t>0212</t>
  </si>
  <si>
    <t>0422</t>
  </si>
  <si>
    <t>0684</t>
  </si>
  <si>
    <t>0195</t>
  </si>
  <si>
    <t>0674</t>
  </si>
  <si>
    <t>0703</t>
  </si>
  <si>
    <t>0722</t>
  </si>
  <si>
    <t>0149</t>
  </si>
  <si>
    <t>0996</t>
  </si>
  <si>
    <t>0274</t>
  </si>
  <si>
    <t>0662</t>
  </si>
  <si>
    <t>0023</t>
  </si>
  <si>
    <t>0126</t>
  </si>
  <si>
    <t>0036</t>
  </si>
  <si>
    <t>0137</t>
  </si>
  <si>
    <t>0718</t>
  </si>
  <si>
    <t>0140</t>
  </si>
  <si>
    <t>0655</t>
  </si>
  <si>
    <t>0746</t>
  </si>
  <si>
    <t>1186</t>
  </si>
  <si>
    <t>0688</t>
  </si>
  <si>
    <t>0650</t>
  </si>
  <si>
    <t>0045</t>
  </si>
  <si>
    <t>0689</t>
  </si>
  <si>
    <t>0117</t>
  </si>
  <si>
    <t>0649</t>
  </si>
  <si>
    <t>0690</t>
  </si>
  <si>
    <t>unknown1</t>
  </si>
  <si>
    <t>unknown2</t>
  </si>
  <si>
    <t>unknown3</t>
  </si>
  <si>
    <t>1201</t>
  </si>
  <si>
    <t>0141</t>
  </si>
  <si>
    <t>unknown4</t>
  </si>
  <si>
    <t>1202</t>
  </si>
  <si>
    <t>0704</t>
  </si>
  <si>
    <t>unknown5</t>
  </si>
  <si>
    <t>1203</t>
  </si>
  <si>
    <t>0695</t>
  </si>
  <si>
    <t>unknown6</t>
  </si>
  <si>
    <t>1204</t>
  </si>
  <si>
    <t>0713</t>
  </si>
  <si>
    <t>unknown7</t>
  </si>
  <si>
    <t>1205</t>
  </si>
  <si>
    <t>0285</t>
  </si>
  <si>
    <t>unknown8</t>
  </si>
  <si>
    <t>1206</t>
  </si>
  <si>
    <t>0724</t>
  </si>
  <si>
    <t>1207</t>
  </si>
  <si>
    <t>0135</t>
  </si>
  <si>
    <t>1208</t>
  </si>
  <si>
    <t>0268</t>
  </si>
  <si>
    <t>1209</t>
  </si>
  <si>
    <t>0234</t>
  </si>
  <si>
    <t>1210</t>
  </si>
  <si>
    <t>0658</t>
  </si>
  <si>
    <t>1211</t>
  </si>
  <si>
    <t>0108</t>
  </si>
  <si>
    <t>1212</t>
  </si>
  <si>
    <t>1213</t>
  </si>
  <si>
    <t>0716</t>
  </si>
  <si>
    <t>1214</t>
  </si>
  <si>
    <t>0645</t>
  </si>
  <si>
    <t>1215</t>
  </si>
  <si>
    <t>1216</t>
  </si>
  <si>
    <t>0725</t>
  </si>
  <si>
    <t>1217</t>
  </si>
  <si>
    <t>0748</t>
  </si>
  <si>
    <t>1218</t>
  </si>
  <si>
    <t>0729</t>
  </si>
  <si>
    <t>1219</t>
  </si>
  <si>
    <t>0085</t>
  </si>
  <si>
    <t>1220</t>
  </si>
  <si>
    <t>0186</t>
  </si>
  <si>
    <t>1221</t>
  </si>
  <si>
    <t>0699</t>
  </si>
  <si>
    <t>1222</t>
  </si>
  <si>
    <t>0694</t>
  </si>
  <si>
    <t>1223</t>
  </si>
  <si>
    <t>0744</t>
  </si>
  <si>
    <t>1224</t>
  </si>
  <si>
    <t>0090</t>
  </si>
  <si>
    <t>1225</t>
  </si>
  <si>
    <t>0089</t>
  </si>
  <si>
    <t>1226</t>
  </si>
  <si>
    <t>1227</t>
  </si>
  <si>
    <t>0669</t>
  </si>
  <si>
    <t>1228</t>
  </si>
  <si>
    <t>0742</t>
  </si>
  <si>
    <t>1229</t>
  </si>
  <si>
    <t>0691</t>
  </si>
  <si>
    <t>1230</t>
  </si>
  <si>
    <t>0686</t>
  </si>
  <si>
    <t>1231</t>
  </si>
  <si>
    <t>1232</t>
  </si>
  <si>
    <t>1233</t>
  </si>
  <si>
    <t>0712</t>
  </si>
  <si>
    <t>1234</t>
  </si>
  <si>
    <t>0401</t>
  </si>
  <si>
    <t>1235</t>
  </si>
  <si>
    <t>0730</t>
  </si>
  <si>
    <t>1236</t>
  </si>
  <si>
    <t>0056</t>
  </si>
  <si>
    <t>unknown9</t>
  </si>
  <si>
    <t>1237</t>
  </si>
  <si>
    <t>0269</t>
  </si>
  <si>
    <t>unknown10</t>
  </si>
  <si>
    <t>1238</t>
  </si>
  <si>
    <t>0681</t>
  </si>
  <si>
    <t>unknown11</t>
  </si>
  <si>
    <t>1239</t>
  </si>
  <si>
    <t>0740</t>
  </si>
  <si>
    <t>unknown12</t>
  </si>
  <si>
    <t>1240</t>
  </si>
  <si>
    <t>0402</t>
  </si>
  <si>
    <t>unknown13</t>
  </si>
  <si>
    <t>1241</t>
  </si>
  <si>
    <t>0179</t>
  </si>
  <si>
    <t>unknown14</t>
  </si>
  <si>
    <t>1242</t>
  </si>
  <si>
    <t>unknown15</t>
  </si>
  <si>
    <t>1243</t>
  </si>
  <si>
    <t>0148</t>
  </si>
  <si>
    <t>unknown16</t>
  </si>
  <si>
    <t>1244</t>
  </si>
  <si>
    <t>0169</t>
  </si>
  <si>
    <t>unknown17</t>
  </si>
  <si>
    <t>1245</t>
  </si>
  <si>
    <t>0944</t>
  </si>
  <si>
    <t>unknown18</t>
  </si>
  <si>
    <t>1246</t>
  </si>
  <si>
    <t>0970</t>
  </si>
  <si>
    <t>unknown19</t>
  </si>
  <si>
    <t>1247</t>
  </si>
  <si>
    <t>0946</t>
  </si>
  <si>
    <t>unknown20</t>
  </si>
  <si>
    <t>1248</t>
  </si>
  <si>
    <t>0947</t>
  </si>
  <si>
    <t>1250</t>
  </si>
  <si>
    <t>0116</t>
  </si>
  <si>
    <t>1251</t>
  </si>
  <si>
    <t>0087</t>
  </si>
  <si>
    <t>1252</t>
  </si>
  <si>
    <t>0014</t>
  </si>
  <si>
    <t>1253</t>
  </si>
  <si>
    <t>0146</t>
  </si>
  <si>
    <t>1254</t>
  </si>
  <si>
    <t>0086</t>
  </si>
  <si>
    <t>1255</t>
  </si>
  <si>
    <t>0160</t>
  </si>
  <si>
    <t>1256</t>
  </si>
  <si>
    <t>0736</t>
  </si>
  <si>
    <t>1257</t>
  </si>
  <si>
    <t>0131</t>
  </si>
  <si>
    <t>1258</t>
  </si>
  <si>
    <t>1259</t>
  </si>
  <si>
    <t>0710</t>
  </si>
  <si>
    <t>1249</t>
  </si>
  <si>
    <t>1269</t>
  </si>
  <si>
    <t>0851</t>
  </si>
  <si>
    <t>1260</t>
  </si>
  <si>
    <t>0664</t>
  </si>
  <si>
    <t>1261</t>
  </si>
  <si>
    <t>0016</t>
  </si>
  <si>
    <t>1262</t>
  </si>
  <si>
    <t>0199</t>
  </si>
  <si>
    <t>1263</t>
  </si>
  <si>
    <t>0093</t>
  </si>
  <si>
    <t>1264</t>
  </si>
  <si>
    <t>0081</t>
  </si>
  <si>
    <t>1265</t>
  </si>
  <si>
    <t>1266</t>
  </si>
  <si>
    <t>1267</t>
  </si>
  <si>
    <t>1268</t>
  </si>
  <si>
    <t>0998</t>
  </si>
  <si>
    <t>1270</t>
  </si>
  <si>
    <t>1271</t>
  </si>
  <si>
    <t>0252</t>
  </si>
  <si>
    <t>1272</t>
  </si>
  <si>
    <t>1273</t>
  </si>
  <si>
    <t>0918</t>
  </si>
  <si>
    <t>1274</t>
  </si>
  <si>
    <t>unknown21</t>
  </si>
  <si>
    <t>1275</t>
  </si>
  <si>
    <t>unknown22</t>
  </si>
  <si>
    <t>1276</t>
  </si>
  <si>
    <t>0290</t>
  </si>
  <si>
    <t>1277</t>
  </si>
  <si>
    <t>0247</t>
  </si>
  <si>
    <t>1278</t>
  </si>
  <si>
    <t>0294</t>
  </si>
  <si>
    <t>1279</t>
  </si>
  <si>
    <t>0768</t>
  </si>
  <si>
    <t>1280</t>
  </si>
  <si>
    <t>0895</t>
  </si>
  <si>
    <t>1281</t>
  </si>
  <si>
    <t>0875</t>
  </si>
  <si>
    <t>1282</t>
  </si>
  <si>
    <t>0855</t>
  </si>
  <si>
    <t>1283</t>
  </si>
  <si>
    <t>0862</t>
  </si>
  <si>
    <t>1284</t>
  </si>
  <si>
    <t>0880</t>
  </si>
  <si>
    <t>1285</t>
  </si>
  <si>
    <t>0883</t>
  </si>
  <si>
    <t>1286</t>
  </si>
  <si>
    <t>0916</t>
  </si>
  <si>
    <t>1287</t>
  </si>
  <si>
    <t>0836</t>
  </si>
  <si>
    <t>1288</t>
  </si>
  <si>
    <t>0890</t>
  </si>
  <si>
    <t>1289</t>
  </si>
  <si>
    <t>0924</t>
  </si>
  <si>
    <t>1290</t>
  </si>
  <si>
    <t>1291</t>
  </si>
  <si>
    <t>0876</t>
  </si>
  <si>
    <t>1292</t>
  </si>
  <si>
    <t>0922</t>
  </si>
  <si>
    <t>1293</t>
  </si>
  <si>
    <t>0845</t>
  </si>
  <si>
    <t>1294</t>
  </si>
  <si>
    <t>0896</t>
  </si>
  <si>
    <t>1295</t>
  </si>
  <si>
    <t>0912</t>
  </si>
  <si>
    <t>1296</t>
  </si>
  <si>
    <t>0837</t>
  </si>
  <si>
    <t>1297</t>
  </si>
  <si>
    <t>0913</t>
  </si>
  <si>
    <t>1298</t>
  </si>
  <si>
    <t>0787</t>
  </si>
  <si>
    <t>1299</t>
  </si>
  <si>
    <t>0751</t>
  </si>
  <si>
    <t>1300</t>
  </si>
  <si>
    <t>0928</t>
  </si>
  <si>
    <t>1301</t>
  </si>
  <si>
    <t>1302</t>
  </si>
  <si>
    <t>0798</t>
  </si>
  <si>
    <t>1303</t>
  </si>
  <si>
    <t>0750</t>
  </si>
  <si>
    <t>1304</t>
  </si>
  <si>
    <t>1305</t>
  </si>
  <si>
    <t>0781</t>
  </si>
  <si>
    <t>1306</t>
  </si>
  <si>
    <t>0263</t>
  </si>
  <si>
    <t>1307</t>
  </si>
  <si>
    <t>0891</t>
  </si>
  <si>
    <t>1308</t>
  </si>
  <si>
    <t>0297</t>
  </si>
  <si>
    <t>1309</t>
  </si>
  <si>
    <t>0930</t>
  </si>
  <si>
    <t>1310</t>
  </si>
  <si>
    <t>0833</t>
  </si>
  <si>
    <t>1311</t>
  </si>
  <si>
    <t>0253</t>
  </si>
  <si>
    <t>1312</t>
  </si>
  <si>
    <t>0785</t>
  </si>
  <si>
    <t>1313</t>
  </si>
  <si>
    <t>0752</t>
  </si>
  <si>
    <t>1314</t>
  </si>
  <si>
    <t>0779</t>
  </si>
  <si>
    <t>1315</t>
  </si>
  <si>
    <t>0898</t>
  </si>
  <si>
    <t>1316</t>
  </si>
  <si>
    <t>1317</t>
  </si>
  <si>
    <t>0280</t>
  </si>
  <si>
    <t>1318</t>
  </si>
  <si>
    <t>0788</t>
  </si>
  <si>
    <t>1319</t>
  </si>
  <si>
    <t>unknown23</t>
  </si>
  <si>
    <t>1320</t>
  </si>
  <si>
    <t>0286</t>
  </si>
  <si>
    <t>1321</t>
  </si>
  <si>
    <t>0259</t>
  </si>
  <si>
    <t>1322</t>
  </si>
  <si>
    <t>0279</t>
  </si>
  <si>
    <t>1323</t>
  </si>
  <si>
    <t>0299</t>
  </si>
  <si>
    <t>1324</t>
  </si>
  <si>
    <t>0265</t>
  </si>
  <si>
    <t>1325</t>
  </si>
  <si>
    <t>0879</t>
  </si>
  <si>
    <t>1326</t>
  </si>
  <si>
    <t>0171</t>
  </si>
  <si>
    <t>1327</t>
  </si>
  <si>
    <t>0935</t>
  </si>
  <si>
    <t>1328</t>
  </si>
  <si>
    <t>0934</t>
  </si>
  <si>
    <t>1329</t>
  </si>
  <si>
    <t>0251</t>
  </si>
  <si>
    <t>1330</t>
  </si>
  <si>
    <t>0262</t>
  </si>
  <si>
    <t>1331</t>
  </si>
  <si>
    <t>0138</t>
  </si>
  <si>
    <t>1332</t>
  </si>
  <si>
    <t>0242</t>
  </si>
  <si>
    <t>1333</t>
  </si>
  <si>
    <t>1334</t>
  </si>
  <si>
    <t>0053</t>
  </si>
  <si>
    <t>1335</t>
  </si>
  <si>
    <t>0003</t>
  </si>
  <si>
    <t>1336</t>
  </si>
  <si>
    <t>0096</t>
  </si>
  <si>
    <t>1337</t>
  </si>
  <si>
    <t>0989</t>
  </si>
  <si>
    <t>1338</t>
  </si>
  <si>
    <t>0956</t>
  </si>
  <si>
    <t>1339</t>
  </si>
  <si>
    <t>0034</t>
  </si>
  <si>
    <t>1340</t>
  </si>
  <si>
    <t>1341</t>
  </si>
  <si>
    <t>1342</t>
  </si>
  <si>
    <t>0030</t>
  </si>
  <si>
    <t>1343</t>
  </si>
  <si>
    <t>1344</t>
  </si>
  <si>
    <t>0130</t>
  </si>
  <si>
    <t>1345</t>
  </si>
  <si>
    <t>0201</t>
  </si>
  <si>
    <t>1346</t>
  </si>
  <si>
    <t>0977</t>
  </si>
  <si>
    <t>1347</t>
  </si>
  <si>
    <t>0203</t>
  </si>
  <si>
    <t>1348</t>
  </si>
  <si>
    <t>0232</t>
  </si>
  <si>
    <t>1349</t>
  </si>
  <si>
    <t>0189</t>
  </si>
  <si>
    <t>1350</t>
  </si>
  <si>
    <t>0177</t>
  </si>
  <si>
    <t>1351</t>
  </si>
  <si>
    <t>0055</t>
  </si>
  <si>
    <t>1352</t>
  </si>
  <si>
    <t>0237</t>
  </si>
  <si>
    <t>1353</t>
  </si>
  <si>
    <t>0047</t>
  </si>
  <si>
    <t>1354</t>
  </si>
  <si>
    <t>0230</t>
  </si>
  <si>
    <t>1355</t>
  </si>
  <si>
    <t>1356</t>
  </si>
  <si>
    <t>0185</t>
  </si>
  <si>
    <t>1357</t>
  </si>
  <si>
    <t>0226</t>
  </si>
  <si>
    <t>1358</t>
  </si>
  <si>
    <t>0220</t>
  </si>
  <si>
    <t>1359</t>
  </si>
  <si>
    <t>1360</t>
  </si>
  <si>
    <t>0167</t>
  </si>
  <si>
    <t>1361</t>
  </si>
  <si>
    <t>0058</t>
  </si>
  <si>
    <t>1362</t>
  </si>
  <si>
    <t>0685</t>
  </si>
  <si>
    <t>1363</t>
  </si>
  <si>
    <t>1364</t>
  </si>
  <si>
    <t>0006</t>
  </si>
  <si>
    <t>1365</t>
  </si>
  <si>
    <t>0679</t>
  </si>
  <si>
    <t>1366</t>
  </si>
  <si>
    <t>0207</t>
  </si>
  <si>
    <t>1367</t>
  </si>
  <si>
    <t>0133</t>
  </si>
  <si>
    <t>1368</t>
  </si>
  <si>
    <t>0198</t>
  </si>
  <si>
    <t>1369</t>
  </si>
  <si>
    <t>0995</t>
  </si>
  <si>
    <t>1370</t>
  </si>
  <si>
    <t>1371</t>
  </si>
  <si>
    <t>1372</t>
  </si>
  <si>
    <t>0210</t>
  </si>
  <si>
    <t>1373</t>
  </si>
  <si>
    <t>0176</t>
  </si>
  <si>
    <t>1374</t>
  </si>
  <si>
    <t>1375</t>
  </si>
  <si>
    <t>1376</t>
  </si>
  <si>
    <t>0042</t>
  </si>
  <si>
    <t>1377</t>
  </si>
  <si>
    <t>0068</t>
  </si>
  <si>
    <t>1378</t>
  </si>
  <si>
    <t>0102</t>
  </si>
  <si>
    <t>1379</t>
  </si>
  <si>
    <t>1380</t>
  </si>
  <si>
    <t>0731</t>
  </si>
  <si>
    <t>1381</t>
  </si>
  <si>
    <t>0191</t>
  </si>
  <si>
    <t>1382</t>
  </si>
  <si>
    <t>0100</t>
  </si>
  <si>
    <t>1383</t>
  </si>
  <si>
    <t>0144</t>
  </si>
  <si>
    <t>1384</t>
  </si>
  <si>
    <t>0700</t>
  </si>
  <si>
    <t>1385</t>
  </si>
  <si>
    <t>0013</t>
  </si>
  <si>
    <t>1386</t>
  </si>
  <si>
    <t>1387</t>
  </si>
  <si>
    <t>1388</t>
  </si>
  <si>
    <t>0999</t>
  </si>
  <si>
    <t>1389</t>
  </si>
  <si>
    <t>1390</t>
  </si>
  <si>
    <t>0963</t>
  </si>
  <si>
    <t>1391</t>
  </si>
  <si>
    <t>0219</t>
  </si>
  <si>
    <t>1392</t>
  </si>
  <si>
    <t>1393</t>
  </si>
  <si>
    <t>0041</t>
  </si>
  <si>
    <t>1394</t>
  </si>
  <si>
    <t>0159</t>
  </si>
  <si>
    <t>1395</t>
  </si>
  <si>
    <t>0119</t>
  </si>
  <si>
    <t>1396</t>
  </si>
  <si>
    <t>0707</t>
  </si>
  <si>
    <t>1397</t>
  </si>
  <si>
    <t>0727</t>
  </si>
  <si>
    <t>1398</t>
  </si>
  <si>
    <t>0192</t>
  </si>
  <si>
    <t>1399</t>
  </si>
  <si>
    <t>0122</t>
  </si>
  <si>
    <t>1400</t>
  </si>
  <si>
    <t>1401</t>
  </si>
  <si>
    <t>0190</t>
  </si>
  <si>
    <t>1402</t>
  </si>
  <si>
    <t>0295</t>
  </si>
  <si>
    <t>1403</t>
  </si>
  <si>
    <t>1404</t>
  </si>
  <si>
    <t>0196</t>
  </si>
  <si>
    <t>1405</t>
  </si>
  <si>
    <t>0125</t>
  </si>
  <si>
    <t>1406</t>
  </si>
  <si>
    <t>0215</t>
  </si>
  <si>
    <t>1407</t>
  </si>
  <si>
    <t>0648</t>
  </si>
  <si>
    <t>1408</t>
  </si>
  <si>
    <t>1409</t>
  </si>
  <si>
    <t>0024</t>
  </si>
  <si>
    <t>1410</t>
  </si>
  <si>
    <t>0749</t>
  </si>
  <si>
    <t>1411</t>
  </si>
  <si>
    <t>0120</t>
  </si>
  <si>
    <t>1412</t>
  </si>
  <si>
    <t>1413</t>
  </si>
  <si>
    <t>0575</t>
  </si>
  <si>
    <t>1414</t>
  </si>
  <si>
    <t>0687</t>
  </si>
  <si>
    <t>1415</t>
  </si>
  <si>
    <t>0743</t>
  </si>
  <si>
    <t>1416</t>
  </si>
  <si>
    <t>0705</t>
  </si>
  <si>
    <t>1417</t>
  </si>
  <si>
    <t>0250</t>
  </si>
  <si>
    <t>1418</t>
  </si>
  <si>
    <t>0025</t>
  </si>
  <si>
    <t>1419</t>
  </si>
  <si>
    <t>0680</t>
  </si>
  <si>
    <t>1420</t>
  </si>
  <si>
    <t>0726</t>
  </si>
  <si>
    <t>1421</t>
  </si>
  <si>
    <t>0008</t>
  </si>
  <si>
    <t>1422</t>
  </si>
  <si>
    <t>1423</t>
  </si>
  <si>
    <t>0111</t>
  </si>
  <si>
    <t>1424</t>
  </si>
  <si>
    <t>1426</t>
  </si>
  <si>
    <t>0088</t>
  </si>
  <si>
    <t>1427</t>
  </si>
  <si>
    <t>0714</t>
  </si>
  <si>
    <t>1428</t>
  </si>
  <si>
    <t>0652</t>
  </si>
  <si>
    <t>1429</t>
  </si>
  <si>
    <t>0706</t>
  </si>
  <si>
    <t>1430</t>
  </si>
  <si>
    <t>0202</t>
  </si>
  <si>
    <t>1431</t>
  </si>
  <si>
    <t>0115</t>
  </si>
  <si>
    <t>1432</t>
  </si>
  <si>
    <t>0573</t>
  </si>
  <si>
    <t>1433</t>
  </si>
  <si>
    <t>1434</t>
  </si>
  <si>
    <t>1435</t>
  </si>
  <si>
    <t>0288</t>
  </si>
  <si>
    <t>1436</t>
  </si>
  <si>
    <t>0015</t>
  </si>
  <si>
    <t>1437</t>
  </si>
  <si>
    <t>0020</t>
  </si>
  <si>
    <t>1438</t>
  </si>
  <si>
    <t>0129</t>
  </si>
  <si>
    <t>1439</t>
  </si>
  <si>
    <t>1440</t>
  </si>
  <si>
    <t>0543</t>
  </si>
  <si>
    <t>1441</t>
  </si>
  <si>
    <t>0112</t>
  </si>
  <si>
    <t>1442</t>
  </si>
  <si>
    <t>0668</t>
  </si>
  <si>
    <t>1443</t>
  </si>
  <si>
    <t>1444</t>
  </si>
  <si>
    <t>0657</t>
  </si>
  <si>
    <t>1445</t>
  </si>
  <si>
    <t>0205</t>
  </si>
  <si>
    <t>1446</t>
  </si>
  <si>
    <t>0157</t>
  </si>
  <si>
    <t>1447</t>
  </si>
  <si>
    <t>0797</t>
  </si>
  <si>
    <t>1448</t>
  </si>
  <si>
    <t>1449</t>
  </si>
  <si>
    <t>0702</t>
  </si>
  <si>
    <t>1450</t>
  </si>
  <si>
    <t>0106</t>
  </si>
  <si>
    <t>1451</t>
  </si>
  <si>
    <t>0659</t>
  </si>
  <si>
    <t>1452</t>
  </si>
  <si>
    <t>0187</t>
  </si>
  <si>
    <t>1453</t>
  </si>
  <si>
    <t>0134</t>
  </si>
  <si>
    <t>1454</t>
  </si>
  <si>
    <t>0289</t>
  </si>
  <si>
    <t>1455</t>
  </si>
  <si>
    <t>0197</t>
  </si>
  <si>
    <t>1456</t>
  </si>
  <si>
    <t>0272</t>
  </si>
  <si>
    <t>1457</t>
  </si>
  <si>
    <t>0284</t>
  </si>
  <si>
    <t>1458</t>
  </si>
  <si>
    <t>0745</t>
  </si>
  <si>
    <t>1459</t>
  </si>
  <si>
    <t>0074</t>
  </si>
  <si>
    <t>1460</t>
  </si>
  <si>
    <t>0165</t>
  </si>
  <si>
    <t>1461</t>
  </si>
  <si>
    <t>0147</t>
  </si>
  <si>
    <t>1462</t>
  </si>
  <si>
    <t>0114</t>
  </si>
  <si>
    <t>1463</t>
  </si>
  <si>
    <t>0173</t>
  </si>
  <si>
    <t>1464</t>
  </si>
  <si>
    <t>0672</t>
  </si>
  <si>
    <t>1465</t>
  </si>
  <si>
    <t>0678</t>
  </si>
  <si>
    <t>1466</t>
  </si>
  <si>
    <t>0127</t>
  </si>
  <si>
    <t>1467</t>
  </si>
  <si>
    <t>0011</t>
  </si>
  <si>
    <t>1468</t>
  </si>
  <si>
    <t>0128</t>
  </si>
  <si>
    <t>1469</t>
  </si>
  <si>
    <t>0275</t>
  </si>
  <si>
    <t>1470</t>
  </si>
  <si>
    <t>0574</t>
  </si>
  <si>
    <t>1471</t>
  </si>
  <si>
    <t>0082</t>
  </si>
  <si>
    <t>1472</t>
  </si>
  <si>
    <t>0110</t>
  </si>
  <si>
    <t>1473</t>
  </si>
  <si>
    <t>0101</t>
  </si>
  <si>
    <t>1474</t>
  </si>
  <si>
    <t>0061</t>
  </si>
  <si>
    <t>1475</t>
  </si>
  <si>
    <t>0092</t>
  </si>
  <si>
    <t>1476</t>
  </si>
  <si>
    <t>0406</t>
  </si>
  <si>
    <t>1477</t>
  </si>
  <si>
    <t>0152</t>
  </si>
  <si>
    <t>1478</t>
  </si>
  <si>
    <t>0224</t>
  </si>
  <si>
    <t>1479</t>
  </si>
  <si>
    <t>0094</t>
  </si>
  <si>
    <t>1480</t>
  </si>
  <si>
    <t>0139</t>
  </si>
  <si>
    <t>1481</t>
  </si>
  <si>
    <t>0854</t>
  </si>
  <si>
    <t>1482</t>
  </si>
  <si>
    <t>1483</t>
  </si>
  <si>
    <t>1484</t>
  </si>
  <si>
    <t>0040</t>
  </si>
  <si>
    <t>1485</t>
  </si>
  <si>
    <t>1486</t>
  </si>
  <si>
    <t>0794</t>
  </si>
  <si>
    <t>1487</t>
  </si>
  <si>
    <t>1488</t>
  </si>
  <si>
    <t>0107</t>
  </si>
  <si>
    <t>1489</t>
  </si>
  <si>
    <t>0723</t>
  </si>
  <si>
    <t>1490</t>
  </si>
  <si>
    <t>1491</t>
  </si>
  <si>
    <t>0105</t>
  </si>
  <si>
    <t>1492</t>
  </si>
  <si>
    <t>0017</t>
  </si>
  <si>
    <t>1493</t>
  </si>
  <si>
    <t>0783</t>
  </si>
  <si>
    <t>1494</t>
  </si>
  <si>
    <t>1495</t>
  </si>
  <si>
    <t>0850</t>
  </si>
  <si>
    <t>1496</t>
  </si>
  <si>
    <t>0245</t>
  </si>
  <si>
    <t>1497</t>
  </si>
  <si>
    <t>0786</t>
  </si>
  <si>
    <t>1498</t>
  </si>
  <si>
    <t>0287</t>
  </si>
  <si>
    <t>1499</t>
  </si>
  <si>
    <t>0028</t>
  </si>
  <si>
    <t>1500</t>
  </si>
  <si>
    <t>0892</t>
  </si>
  <si>
    <t>1501</t>
  </si>
  <si>
    <t>0296</t>
  </si>
  <si>
    <t>1502</t>
  </si>
  <si>
    <t>0966</t>
  </si>
  <si>
    <t>1503</t>
  </si>
  <si>
    <t>0021</t>
  </si>
  <si>
    <t>1504</t>
  </si>
  <si>
    <t>0018</t>
  </si>
  <si>
    <t>1505</t>
  </si>
  <si>
    <t>0104</t>
  </si>
  <si>
    <t>1506</t>
  </si>
  <si>
    <t>0248</t>
  </si>
  <si>
    <t>1507</t>
  </si>
  <si>
    <t>0651</t>
  </si>
  <si>
    <t>1508</t>
  </si>
  <si>
    <t>0150</t>
  </si>
  <si>
    <t>1509</t>
  </si>
  <si>
    <t>1511</t>
  </si>
  <si>
    <t>0771</t>
  </si>
  <si>
    <t>1512</t>
  </si>
  <si>
    <t>0278</t>
  </si>
  <si>
    <t>1510</t>
  </si>
  <si>
    <t>0484</t>
  </si>
  <si>
    <t>1514</t>
  </si>
  <si>
    <t>0778</t>
  </si>
  <si>
    <t>1515</t>
  </si>
  <si>
    <t>0782</t>
  </si>
  <si>
    <t>1516</t>
  </si>
  <si>
    <t>0258</t>
  </si>
  <si>
    <t>1517</t>
  </si>
  <si>
    <t>0894</t>
  </si>
  <si>
    <t>1518</t>
  </si>
  <si>
    <t>0217</t>
  </si>
  <si>
    <t>1519</t>
  </si>
  <si>
    <t>0929</t>
  </si>
  <si>
    <t>1520</t>
  </si>
  <si>
    <t>0863</t>
  </si>
  <si>
    <t>1521</t>
  </si>
  <si>
    <t>0907</t>
  </si>
  <si>
    <t>1522</t>
  </si>
  <si>
    <t>1523</t>
  </si>
  <si>
    <t>0849</t>
  </si>
  <si>
    <t>1524</t>
  </si>
  <si>
    <t>0547</t>
  </si>
  <si>
    <t>1525</t>
  </si>
  <si>
    <t>0853</t>
  </si>
  <si>
    <t>1526</t>
  </si>
  <si>
    <t>0565</t>
  </si>
  <si>
    <t>1527</t>
  </si>
  <si>
    <t>0260</t>
  </si>
  <si>
    <t>1528</t>
  </si>
  <si>
    <t>0900</t>
  </si>
  <si>
    <t>1529</t>
  </si>
  <si>
    <t>0776</t>
  </si>
  <si>
    <t>1530</t>
  </si>
  <si>
    <t>0796</t>
  </si>
  <si>
    <t>/</t>
  </si>
  <si>
    <t>Building</t>
  </si>
  <si>
    <t>Password: 12</t>
  </si>
  <si>
    <t>Building 27 - 1st floor</t>
  </si>
  <si>
    <t>Rooms</t>
  </si>
  <si>
    <t>b/r</t>
  </si>
  <si>
    <t xml:space="preserve"> Changed on 18.08</t>
  </si>
  <si>
    <t>DNK</t>
  </si>
  <si>
    <t>0002</t>
  </si>
  <si>
    <t>0004</t>
  </si>
  <si>
    <t>0007</t>
  </si>
  <si>
    <t>0009</t>
  </si>
  <si>
    <t>Drying room</t>
  </si>
  <si>
    <t>0019</t>
  </si>
  <si>
    <t>0022</t>
  </si>
  <si>
    <t>0026</t>
  </si>
  <si>
    <t>0027</t>
  </si>
  <si>
    <t>0029</t>
  </si>
  <si>
    <t>Building 27 - 2nd floor</t>
  </si>
  <si>
    <t>0039</t>
  </si>
  <si>
    <t>0038</t>
  </si>
  <si>
    <t>0043</t>
  </si>
  <si>
    <t>0046</t>
  </si>
  <si>
    <t>0048</t>
  </si>
  <si>
    <t>0049</t>
  </si>
  <si>
    <t>0050</t>
  </si>
  <si>
    <t>0052</t>
  </si>
  <si>
    <t>0051</t>
  </si>
  <si>
    <t>0878</t>
  </si>
  <si>
    <t>MC 0055 - lost, replaced with 0878</t>
  </si>
  <si>
    <t>0059</t>
  </si>
  <si>
    <t>0060</t>
  </si>
  <si>
    <t>0062</t>
  </si>
  <si>
    <t>0063</t>
  </si>
  <si>
    <t>0065</t>
  </si>
  <si>
    <t>0064</t>
  </si>
  <si>
    <t>0066</t>
  </si>
  <si>
    <t>0067</t>
  </si>
  <si>
    <t>0070</t>
  </si>
  <si>
    <t>0071</t>
  </si>
  <si>
    <t>0072</t>
  </si>
  <si>
    <t>0073</t>
  </si>
  <si>
    <t>0075</t>
  </si>
  <si>
    <t>0077</t>
  </si>
  <si>
    <t>0842</t>
  </si>
  <si>
    <t>0078</t>
  </si>
  <si>
    <t>0079</t>
  </si>
  <si>
    <t>0080</t>
  </si>
  <si>
    <t>0083</t>
  </si>
  <si>
    <t>0084</t>
  </si>
  <si>
    <t>0871</t>
  </si>
  <si>
    <t>MC 0085 - lost, replaced with 0871</t>
  </si>
  <si>
    <t>Building 28 - 1st floor</t>
  </si>
  <si>
    <t>0095</t>
  </si>
  <si>
    <t>0847</t>
  </si>
  <si>
    <t>0113</t>
  </si>
  <si>
    <t>0118</t>
  </si>
  <si>
    <t>0121</t>
  </si>
  <si>
    <t>Building 28 - 2nd floor</t>
  </si>
  <si>
    <t>0848</t>
  </si>
  <si>
    <t>0142</t>
  </si>
  <si>
    <t>0143</t>
  </si>
  <si>
    <t>0153</t>
  </si>
  <si>
    <t>0155</t>
  </si>
  <si>
    <t>0156</t>
  </si>
  <si>
    <t>0869</t>
  </si>
  <si>
    <t>0870</t>
  </si>
  <si>
    <t>0163</t>
  </si>
  <si>
    <t>0164</t>
  </si>
  <si>
    <t>0872</t>
  </si>
  <si>
    <t>MC 0168 lost - replaced with 0872</t>
  </si>
  <si>
    <t>0178</t>
  </si>
  <si>
    <t>0182</t>
  </si>
  <si>
    <t>Bag 1131 lost - replaced with 1047</t>
  </si>
  <si>
    <t>Building 29 - 1st floor</t>
  </si>
  <si>
    <t>0194</t>
  </si>
  <si>
    <t>0214</t>
  </si>
  <si>
    <t>0228</t>
  </si>
  <si>
    <t>Building 29 - 2nd floor</t>
  </si>
  <si>
    <t>0244</t>
  </si>
  <si>
    <t>0246</t>
  </si>
  <si>
    <t>0249</t>
  </si>
  <si>
    <t>0254</t>
  </si>
  <si>
    <t>0255</t>
  </si>
  <si>
    <t>0257</t>
  </si>
  <si>
    <t>0261</t>
  </si>
  <si>
    <t>0264</t>
  </si>
  <si>
    <t>0276</t>
  </si>
  <si>
    <t>0277</t>
  </si>
  <si>
    <t>0281</t>
  </si>
  <si>
    <t>0283</t>
  </si>
  <si>
    <t>0292</t>
  </si>
  <si>
    <t>0293</t>
  </si>
  <si>
    <t>Building 30 - 1st floor</t>
  </si>
  <si>
    <t>0298</t>
  </si>
  <si>
    <t>0300</t>
  </si>
  <si>
    <t>0302</t>
  </si>
  <si>
    <t>0303</t>
  </si>
  <si>
    <t>0304</t>
  </si>
  <si>
    <t>0305</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</si>
  <si>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</si>
  <si>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</si>
  <si>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</si>
  <si>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</si>
  <si>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</si>
  <si>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</si>
  <si>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</si>
  <si>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</si>
  <si>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</si>
  <si>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</si>
  <si>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</si>
  <si>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</si>
  <si>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</si>
  <si>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</si>
  <si>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</si>
  <si>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</si>
  <si>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</si>
  <si>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</si>
  <si>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</si>
  <si>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</si>
  <si>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</si>
  <si>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</si>
  <si>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</si>
  <si>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</si>
  <si>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</si>
  <si>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</si>
  <si>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</si>
  <si>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</si>
  <si>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</si>
  <si>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</si>
  <si>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</si>
  <si>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</si>
  <si>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</si>
  <si>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</si>
  <si>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Building 30 - 2nd floor</t>
  </si>
  <si>
    <t>0341</t>
  </si>
  <si>
    <t>0342</t>
  </si>
  <si>
    <t>0343</t>
  </si>
  <si>
    <t>0344</t>
  </si>
  <si>
    <t>0345</t>
  </si>
  <si>
    <t>0346</t>
  </si>
  <si>
    <t>0347</t>
  </si>
  <si>
    <t>0846</t>
  </si>
  <si>
    <t>0349</t>
  </si>
  <si>
    <t>0350</t>
  </si>
  <si>
    <t>0351</t>
  </si>
  <si>
    <t>0352</t>
  </si>
  <si>
    <t>0353</t>
  </si>
  <si>
    <t>0354</t>
  </si>
  <si>
    <t>0355</t>
  </si>
  <si>
    <t>0356</t>
  </si>
  <si>
    <t>0357</t>
  </si>
  <si>
    <t>0358</t>
  </si>
  <si>
    <t>0359</t>
  </si>
  <si>
    <t>0360</t>
  </si>
  <si>
    <t>0361</t>
  </si>
  <si>
    <t>0362</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</si>
  <si>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</si>
  <si>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</si>
  <si>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</si>
  <si>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</si>
  <si>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</si>
  <si>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</si>
  <si>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</si>
  <si>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</si>
  <si>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</si>
  <si>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</si>
  <si>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</si>
  <si>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</si>
  <si>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</si>
  <si>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</si>
  <si>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</si>
  <si>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</si>
  <si>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</si>
  <si>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</si>
  <si>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</si>
  <si>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</si>
  <si>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</si>
  <si>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</si>
  <si>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</si>
  <si>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</si>
  <si>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Left on 02/10 - 492834 Phillip</t>
  </si>
  <si>
    <t>0394</t>
  </si>
  <si>
    <t>0395</t>
  </si>
  <si>
    <t>0396</t>
  </si>
  <si>
    <t>0397</t>
  </si>
  <si>
    <t>0398</t>
  </si>
  <si>
    <t>0399</t>
  </si>
  <si>
    <t>0400</t>
  </si>
  <si>
    <t>0404</t>
  </si>
  <si>
    <t>0409</t>
  </si>
  <si>
    <t>0410</t>
  </si>
  <si>
    <t>Building 31 - 1st floor</t>
  </si>
  <si>
    <t>0411</t>
  </si>
  <si>
    <t>0414</t>
  </si>
  <si>
    <t>0416</t>
  </si>
  <si>
    <t>0417</t>
  </si>
  <si>
    <t>0418</t>
  </si>
  <si>
    <t>0419</t>
  </si>
  <si>
    <t>0420</t>
  </si>
  <si>
    <t>0421</t>
  </si>
  <si>
    <t>0423</t>
  </si>
  <si>
    <t>0424</t>
  </si>
  <si>
    <t>0425</t>
  </si>
  <si>
    <t>0426</t>
  </si>
  <si>
    <t>0427</t>
  </si>
  <si>
    <t>0428</t>
  </si>
  <si>
    <t>0429</t>
  </si>
  <si>
    <t>0430</t>
  </si>
  <si>
    <t>0431</t>
  </si>
  <si>
    <t>0432</t>
  </si>
  <si>
    <t>0436</t>
  </si>
  <si>
    <t>0437</t>
  </si>
  <si>
    <t>0438</t>
  </si>
  <si>
    <t>0439</t>
  </si>
  <si>
    <t>0440</t>
  </si>
  <si>
    <t>0441</t>
  </si>
  <si>
    <t>0442</t>
  </si>
  <si>
    <t>0448</t>
  </si>
  <si>
    <t>0445</t>
  </si>
  <si>
    <t>0446</t>
  </si>
  <si>
    <t>0449</t>
  </si>
  <si>
    <t>0450</t>
  </si>
  <si>
    <t>0452</t>
  </si>
  <si>
    <t>Building 31 - 2nd floor</t>
  </si>
  <si>
    <t>0453</t>
  </si>
  <si>
    <t>0454</t>
  </si>
  <si>
    <t>0455</t>
  </si>
  <si>
    <t>0456</t>
  </si>
  <si>
    <t>0457</t>
  </si>
  <si>
    <t>0458</t>
  </si>
  <si>
    <t>0459</t>
  </si>
  <si>
    <t>0460</t>
  </si>
  <si>
    <t>0461</t>
  </si>
  <si>
    <t>0462</t>
  </si>
  <si>
    <t>0463</t>
  </si>
  <si>
    <t>0464</t>
  </si>
  <si>
    <t>0465</t>
  </si>
  <si>
    <t>0467</t>
  </si>
  <si>
    <t>0468</t>
  </si>
  <si>
    <t>0469</t>
  </si>
  <si>
    <t>0472</t>
  </si>
  <si>
    <t>0474</t>
  </si>
  <si>
    <t>0475</t>
  </si>
  <si>
    <t>0477</t>
  </si>
  <si>
    <t>0479</t>
  </si>
  <si>
    <t>0481</t>
  </si>
  <si>
    <t>0482</t>
  </si>
  <si>
    <t>0485</t>
  </si>
  <si>
    <t>0486</t>
  </si>
  <si>
    <t>0487</t>
  </si>
  <si>
    <t>0488</t>
  </si>
  <si>
    <t>0489</t>
  </si>
  <si>
    <t>0490</t>
  </si>
  <si>
    <t>0491</t>
  </si>
  <si>
    <t>0492</t>
  </si>
  <si>
    <t>0493</t>
  </si>
  <si>
    <t>0494</t>
  </si>
  <si>
    <t>0495</t>
  </si>
  <si>
    <t>0496</t>
  </si>
  <si>
    <t>0497</t>
  </si>
  <si>
    <t>0498</t>
  </si>
  <si>
    <t>0499</t>
  </si>
  <si>
    <t>0500</t>
  </si>
  <si>
    <t>0501</t>
  </si>
  <si>
    <t>0502</t>
  </si>
  <si>
    <t>0503</t>
  </si>
  <si>
    <t>0504</t>
  </si>
  <si>
    <t>0507</t>
  </si>
  <si>
    <t>0508</t>
  </si>
  <si>
    <t>ROOMS</t>
  </si>
  <si>
    <t>Building 32 - 1st floor</t>
  </si>
  <si>
    <t>beds / rooms</t>
  </si>
  <si>
    <t>CAF</t>
  </si>
  <si>
    <t>Building 32 - 2nd floor</t>
  </si>
  <si>
    <t>left on 21.11 - 732211 Renaud</t>
  </si>
  <si>
    <t>left on 21.11 - 345010 Simon</t>
  </si>
  <si>
    <t>Left on 03.10 - 940280 Xavier</t>
  </si>
  <si>
    <t>Left on 01.10 - 144482 Charles-Antoine</t>
  </si>
  <si>
    <t>Left on 21.11 - 332014 Julien</t>
  </si>
  <si>
    <t>left on 21.11 - 724439 Pierre-Oliver</t>
  </si>
  <si>
    <t>left on 01.10 - 113320 Pierre-Oliver</t>
  </si>
  <si>
    <t>Left on 01.10 - 348294 Justin</t>
  </si>
  <si>
    <t>Left on 30.09 - 729655 Francis</t>
  </si>
  <si>
    <t>left on 21.11 - 797224 Antoine</t>
  </si>
  <si>
    <t>Building 33 - 1st floor</t>
  </si>
  <si>
    <t>0509</t>
  </si>
  <si>
    <t>0510</t>
  </si>
  <si>
    <t>0511</t>
  </si>
  <si>
    <t>0512</t>
  </si>
  <si>
    <t>0513</t>
  </si>
  <si>
    <t>0514</t>
  </si>
  <si>
    <t>0515</t>
  </si>
  <si>
    <t>0516</t>
  </si>
  <si>
    <t>0517</t>
  </si>
  <si>
    <t>0518</t>
  </si>
  <si>
    <t>0235</t>
  </si>
  <si>
    <t>0519</t>
  </si>
  <si>
    <t>0520</t>
  </si>
  <si>
    <t>0522</t>
  </si>
  <si>
    <t>0801</t>
  </si>
  <si>
    <t>0523</t>
  </si>
  <si>
    <t>0524</t>
  </si>
  <si>
    <t>0525</t>
  </si>
  <si>
    <t>0526</t>
  </si>
  <si>
    <t xml:space="preserve">Left - 476117 Ditte </t>
  </si>
  <si>
    <t>0528</t>
  </si>
  <si>
    <t>Building 33 - 2nd floor</t>
  </si>
  <si>
    <t>0529</t>
  </si>
  <si>
    <t>0531</t>
  </si>
  <si>
    <t>Accommodated on 04/10 - 486819 Elias</t>
  </si>
  <si>
    <t>0532</t>
  </si>
  <si>
    <t>0533</t>
  </si>
  <si>
    <t>0534</t>
  </si>
  <si>
    <t>0535</t>
  </si>
  <si>
    <t>0536</t>
  </si>
  <si>
    <t>0537</t>
  </si>
  <si>
    <t>0538</t>
  </si>
  <si>
    <t>0539</t>
  </si>
  <si>
    <t>0540</t>
  </si>
  <si>
    <t>0541</t>
  </si>
  <si>
    <t>0542</t>
  </si>
  <si>
    <t>0544</t>
  </si>
  <si>
    <t>0545</t>
  </si>
  <si>
    <t>0546</t>
  </si>
  <si>
    <t>0548</t>
  </si>
  <si>
    <t>0549</t>
  </si>
  <si>
    <t>0550</t>
  </si>
  <si>
    <t>0551</t>
  </si>
  <si>
    <t>0552</t>
  </si>
  <si>
    <t>0553</t>
  </si>
  <si>
    <t>0554</t>
  </si>
  <si>
    <t>17/11/24</t>
  </si>
  <si>
    <t>21/11/24</t>
  </si>
  <si>
    <t>0556</t>
  </si>
  <si>
    <t>0557</t>
  </si>
  <si>
    <t>0558</t>
  </si>
  <si>
    <t>0559</t>
  </si>
  <si>
    <t>0560</t>
  </si>
  <si>
    <t>0561</t>
  </si>
  <si>
    <t>0563</t>
  </si>
  <si>
    <t>0564</t>
  </si>
  <si>
    <t>Building 34 - 1st floor</t>
  </si>
  <si>
    <t>0566</t>
  </si>
  <si>
    <t>0567</t>
  </si>
  <si>
    <t>0568</t>
  </si>
  <si>
    <t>0569</t>
  </si>
  <si>
    <t>0570</t>
  </si>
  <si>
    <t>0571</t>
  </si>
  <si>
    <t>0572</t>
  </si>
  <si>
    <t>0576</t>
  </si>
  <si>
    <t>0577</t>
  </si>
  <si>
    <t>0578</t>
  </si>
  <si>
    <t>0580</t>
  </si>
  <si>
    <t>0581</t>
  </si>
  <si>
    <t>0582</t>
  </si>
  <si>
    <t>0583</t>
  </si>
  <si>
    <t>0584</t>
  </si>
  <si>
    <t>0585</t>
  </si>
  <si>
    <t>0586</t>
  </si>
  <si>
    <t>0587</t>
  </si>
  <si>
    <t>0588</t>
  </si>
  <si>
    <t>0589</t>
  </si>
  <si>
    <t>0590</t>
  </si>
  <si>
    <t>0591</t>
  </si>
  <si>
    <t>0592</t>
  </si>
  <si>
    <t>0593</t>
  </si>
  <si>
    <t>0595</t>
  </si>
  <si>
    <t>0596</t>
  </si>
  <si>
    <t>0597</t>
  </si>
  <si>
    <t>0598</t>
  </si>
  <si>
    <t>0599</t>
  </si>
  <si>
    <t>0601</t>
  </si>
  <si>
    <t>0602</t>
  </si>
  <si>
    <t>0603</t>
  </si>
  <si>
    <t>0604</t>
  </si>
  <si>
    <t>0605</t>
  </si>
  <si>
    <t>0606</t>
  </si>
  <si>
    <t>0607</t>
  </si>
  <si>
    <t>0608</t>
  </si>
  <si>
    <t>Building 34 - 2nd floor</t>
  </si>
  <si>
    <t>0610</t>
  </si>
  <si>
    <t>0611</t>
  </si>
  <si>
    <t>0612</t>
  </si>
  <si>
    <t>Left on 22.11 - 496832 Magnus</t>
  </si>
  <si>
    <t>0613</t>
  </si>
  <si>
    <t>0614</t>
  </si>
  <si>
    <t>0615</t>
  </si>
  <si>
    <t>0616</t>
  </si>
  <si>
    <t>0617</t>
  </si>
  <si>
    <t>0618</t>
  </si>
  <si>
    <t>0619</t>
  </si>
  <si>
    <t>0620</t>
  </si>
  <si>
    <t>0621</t>
  </si>
  <si>
    <t>0622</t>
  </si>
  <si>
    <t>0623</t>
  </si>
  <si>
    <t>0625</t>
  </si>
  <si>
    <t>0629</t>
  </si>
  <si>
    <t>0630</t>
  </si>
  <si>
    <t>0631</t>
  </si>
  <si>
    <t>0632</t>
  </si>
  <si>
    <t>0633</t>
  </si>
  <si>
    <t>0634</t>
  </si>
  <si>
    <t>0646</t>
  </si>
  <si>
    <t>0637</t>
  </si>
  <si>
    <t>0638</t>
  </si>
  <si>
    <t>0639</t>
  </si>
  <si>
    <t>0640</t>
  </si>
  <si>
    <t>0641</t>
  </si>
  <si>
    <t>0642</t>
  </si>
  <si>
    <t>0643</t>
  </si>
  <si>
    <t>0644</t>
  </si>
  <si>
    <t>0635</t>
  </si>
  <si>
    <t>0636</t>
  </si>
  <si>
    <t>0666</t>
  </si>
  <si>
    <t>0627</t>
  </si>
  <si>
    <t>0628</t>
  </si>
  <si>
    <t>Building 35 - 1st floor</t>
  </si>
  <si>
    <t>0670</t>
  </si>
  <si>
    <t>0673</t>
  </si>
  <si>
    <t>0677</t>
  </si>
  <si>
    <t>0682</t>
  </si>
  <si>
    <t>0692</t>
  </si>
  <si>
    <t>0708</t>
  </si>
  <si>
    <t>0709</t>
  </si>
  <si>
    <t>Building 35 - 2nd floor</t>
  </si>
  <si>
    <t>0717</t>
  </si>
  <si>
    <t>bag 1069 ???</t>
  </si>
  <si>
    <t>0719</t>
  </si>
  <si>
    <t>0720</t>
  </si>
  <si>
    <t>0721</t>
  </si>
  <si>
    <t>0733</t>
  </si>
  <si>
    <t>0734</t>
  </si>
  <si>
    <t>0737</t>
  </si>
  <si>
    <t>0738</t>
  </si>
  <si>
    <t>0739</t>
  </si>
  <si>
    <t>0741</t>
  </si>
  <si>
    <t>0747</t>
  </si>
  <si>
    <t>0753</t>
  </si>
  <si>
    <t>0754</t>
  </si>
  <si>
    <t>0755</t>
  </si>
  <si>
    <t>0756</t>
  </si>
  <si>
    <t>0757</t>
  </si>
  <si>
    <t>0758</t>
  </si>
  <si>
    <t>0759</t>
  </si>
  <si>
    <t>0760</t>
  </si>
  <si>
    <t>0761</t>
  </si>
  <si>
    <t>0762</t>
  </si>
  <si>
    <t>0763</t>
  </si>
  <si>
    <t>0764</t>
  </si>
  <si>
    <t>0765</t>
  </si>
  <si>
    <t>0766</t>
  </si>
  <si>
    <t>0767</t>
  </si>
  <si>
    <t>0772</t>
  </si>
  <si>
    <t>Building 36 - 1st floor</t>
  </si>
  <si>
    <t>0773</t>
  </si>
  <si>
    <t>0775</t>
  </si>
  <si>
    <t>0780</t>
  </si>
  <si>
    <t>0799</t>
  </si>
  <si>
    <t>0784</t>
  </si>
  <si>
    <t>0802</t>
  </si>
  <si>
    <t>0805</t>
  </si>
  <si>
    <t>0789</t>
  </si>
  <si>
    <t>0806</t>
  </si>
  <si>
    <t>0791</t>
  </si>
  <si>
    <t>0594</t>
  </si>
  <si>
    <t>0873</t>
  </si>
  <si>
    <t>LEFT ON 11/10</t>
  </si>
  <si>
    <t>0790</t>
  </si>
  <si>
    <t>0803</t>
  </si>
  <si>
    <t>0804</t>
  </si>
  <si>
    <t>Building 36 - 2nd floor</t>
  </si>
  <si>
    <t>0807</t>
  </si>
  <si>
    <t>0808</t>
  </si>
  <si>
    <t>0809</t>
  </si>
  <si>
    <t>0810</t>
  </si>
  <si>
    <t>0811</t>
  </si>
  <si>
    <t>0813</t>
  </si>
  <si>
    <t>0814</t>
  </si>
  <si>
    <t>0815</t>
  </si>
  <si>
    <t>0816</t>
  </si>
  <si>
    <t>0812</t>
  </si>
  <si>
    <t>0818</t>
  </si>
  <si>
    <t>0819</t>
  </si>
  <si>
    <t>0824</t>
  </si>
  <si>
    <t>0821</t>
  </si>
  <si>
    <t>0829</t>
  </si>
  <si>
    <t>0820</t>
  </si>
  <si>
    <t>0823</t>
  </si>
  <si>
    <t>0826</t>
  </si>
  <si>
    <t>0865</t>
  </si>
  <si>
    <t>0866</t>
  </si>
  <si>
    <t>0868</t>
  </si>
  <si>
    <t>0830</t>
  </si>
  <si>
    <t>0822</t>
  </si>
  <si>
    <t>0832</t>
  </si>
  <si>
    <t>0827</t>
  </si>
  <si>
    <t>0834</t>
  </si>
  <si>
    <t>0835</t>
  </si>
  <si>
    <t>0839</t>
  </si>
  <si>
    <t>0843</t>
  </si>
  <si>
    <t>0555</t>
  </si>
  <si>
    <t>0579</t>
  </si>
  <si>
    <t>0774</t>
  </si>
  <si>
    <t>0858</t>
  </si>
  <si>
    <t>0856</t>
  </si>
  <si>
    <t>0857</t>
  </si>
  <si>
    <t>0859</t>
  </si>
  <si>
    <t>0860</t>
  </si>
  <si>
    <t>0861</t>
  </si>
  <si>
    <t>0864</t>
  </si>
  <si>
    <t>0825</t>
  </si>
  <si>
    <t>0828</t>
  </si>
  <si>
    <t>0867</t>
  </si>
  <si>
    <t>0831</t>
  </si>
  <si>
    <t/>
  </si>
  <si>
    <t>229827 Thomas, SIM 1</t>
  </si>
  <si>
    <t>475842 Peter</t>
  </si>
  <si>
    <t>511006 Thomas</t>
  </si>
  <si>
    <t>0161</t>
  </si>
  <si>
    <t>0162</t>
  </si>
  <si>
    <t>502070 Alexander</t>
  </si>
  <si>
    <t>492834 Philip</t>
  </si>
  <si>
    <t>0393</t>
  </si>
  <si>
    <t>482078 Patrick</t>
  </si>
  <si>
    <t>505534 Sebastian</t>
  </si>
  <si>
    <t>417332 Nicolaj, SIM 4</t>
  </si>
  <si>
    <t>186714 Kenn, Arrive week 47</t>
  </si>
  <si>
    <t>221785 Finn, SIM 5</t>
  </si>
  <si>
    <t>359361 Rasmus, Arrive week 41</t>
  </si>
  <si>
    <t>175778 Johnny Egon, Arrive week 43</t>
  </si>
  <si>
    <t>341369 Devan</t>
  </si>
  <si>
    <t>0505</t>
  </si>
  <si>
    <t>455338 Tim</t>
  </si>
  <si>
    <t>0506</t>
  </si>
  <si>
    <t>ISOLATION</t>
  </si>
  <si>
    <t>144482 Charles-Antoine</t>
  </si>
  <si>
    <t>940280 Xavier</t>
  </si>
  <si>
    <t>113320 Pierre-Oliver</t>
  </si>
  <si>
    <t>729655 Francis</t>
  </si>
  <si>
    <t>348294 Justin</t>
  </si>
  <si>
    <t>977770 Roberto</t>
  </si>
  <si>
    <t>372621 Rasmus</t>
  </si>
  <si>
    <t>151808 Nicolas</t>
  </si>
  <si>
    <t>0521</t>
  </si>
  <si>
    <t>447007 Oliver</t>
  </si>
  <si>
    <t>0530</t>
  </si>
  <si>
    <t>483792 Daniel, Arrive october</t>
  </si>
  <si>
    <t>493242 Alexander, Arrive october</t>
  </si>
  <si>
    <t>381655 Michael</t>
  </si>
  <si>
    <t>476117 Ditte</t>
  </si>
  <si>
    <t>0527</t>
  </si>
  <si>
    <t>184621 Thomas</t>
  </si>
  <si>
    <t>496167 Benjamin</t>
  </si>
  <si>
    <t>459263 Emil</t>
  </si>
  <si>
    <t>495874 Mille</t>
  </si>
  <si>
    <t>ISOLATION ROOM</t>
  </si>
  <si>
    <t>465273 Patrick</t>
  </si>
  <si>
    <t>485262 René</t>
  </si>
  <si>
    <t>473484 Sebastian</t>
  </si>
  <si>
    <t>455193 Anders</t>
  </si>
  <si>
    <t xml:space="preserve">450753 Natascha </t>
  </si>
  <si>
    <t>485233 Daniel</t>
  </si>
  <si>
    <t>0769</t>
  </si>
  <si>
    <t>0770</t>
  </si>
  <si>
    <t>504729 Frederikke</t>
  </si>
  <si>
    <t>0777</t>
  </si>
  <si>
    <t>UNKNOWN, IA</t>
  </si>
  <si>
    <t>216540 Brian</t>
  </si>
  <si>
    <t>0792</t>
  </si>
  <si>
    <t>465360 Morten</t>
  </si>
  <si>
    <t>189774 Bjarne</t>
  </si>
  <si>
    <t>0793</t>
  </si>
  <si>
    <t>0795</t>
  </si>
  <si>
    <t>UNKNOWN, LEJRGRP</t>
  </si>
  <si>
    <t>528030 Trine</t>
  </si>
  <si>
    <t>528031 Thomas</t>
  </si>
  <si>
    <t>304622 Johnny</t>
  </si>
  <si>
    <t>224912 Henning</t>
  </si>
  <si>
    <t>0817</t>
  </si>
  <si>
    <t>225567 Mette</t>
  </si>
  <si>
    <t>301804 Sven</t>
  </si>
  <si>
    <t>300979 Poul</t>
  </si>
  <si>
    <t>0838</t>
  </si>
  <si>
    <t>0840</t>
  </si>
  <si>
    <t>512882 Daniel</t>
  </si>
  <si>
    <t>309971 Kaare</t>
  </si>
  <si>
    <t>223980 Ingrid</t>
  </si>
  <si>
    <t>495383 Anette</t>
  </si>
  <si>
    <t>197436 Gitte</t>
  </si>
  <si>
    <t>0841</t>
  </si>
  <si>
    <t>511218 Lena</t>
  </si>
  <si>
    <t>504290 Rikke</t>
  </si>
  <si>
    <t>0852</t>
  </si>
  <si>
    <t>IA</t>
  </si>
  <si>
    <t>IG</t>
  </si>
  <si>
    <t>ILST</t>
  </si>
  <si>
    <t>SIM1</t>
  </si>
  <si>
    <t>SIM2</t>
  </si>
  <si>
    <t>SIM3</t>
  </si>
  <si>
    <t>STOFF</t>
  </si>
  <si>
    <t>First Floor</t>
  </si>
  <si>
    <t>Dr</t>
  </si>
  <si>
    <t>Second Floor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</si>
</sst>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6]d\.\ mmmm\ yyyy;@"/>
    <numFmt numFmtId="179" formatCode="dd/mm/yyyy\ &quot;г.&quot;;@"/>
    <numFmt numFmtId="180" formatCode="dd\.mm\.yyyy\ &quot;г.&quot;;@"/>
  </numFmts>
  <fonts count="42">
    <font>
      <sz val="11"/>
      <color theme="1"/>
      <name val="Calibri"/>
      <charset val="204"/>
      <scheme val="minor"/>
    </font>
    <font>
      <b/>
      <sz val="11"/>
      <color theme="1"/>
      <name val="Calibri"/>
      <charset val="134"/>
      <scheme val="minor"/>
    </font>
    <font>
      <b/>
      <sz val="16"/>
      <color theme="1"/>
      <name val="Calibri"/>
      <charset val="204"/>
      <scheme val="minor"/>
    </font>
    <font>
      <sz val="10"/>
      <color theme="1"/>
      <name val="Arial"/>
      <charset val="204"/>
    </font>
    <font>
      <b/>
      <sz val="10"/>
      <color theme="1"/>
      <name val="Arial"/>
      <charset val="204"/>
    </font>
    <font>
      <b/>
      <sz val="14"/>
      <color theme="1"/>
      <name val="Calibri"/>
      <charset val="134"/>
      <scheme val="minor"/>
    </font>
    <font>
      <b/>
      <sz val="11"/>
      <color theme="1"/>
      <name val="Calibri"/>
      <charset val="204"/>
      <scheme val="minor"/>
    </font>
    <font>
      <b/>
      <sz val="9"/>
      <color theme="1"/>
      <name val="Arial"/>
      <charset val="204"/>
    </font>
    <font>
      <b/>
      <sz val="10"/>
      <color theme="1"/>
      <name val="Arial"/>
      <charset val="134"/>
    </font>
    <font>
      <sz val="11"/>
      <color theme="1"/>
      <name val="Calibri"/>
      <charset val="134"/>
      <scheme val="minor"/>
    </font>
    <font>
      <b/>
      <sz val="12"/>
      <color theme="1"/>
      <name val="Calibri"/>
      <charset val="134"/>
      <scheme val="minor"/>
    </font>
    <font>
      <sz val="11"/>
      <color theme="1"/>
      <name val="Calibri"/>
      <charset val="134"/>
      <scheme val="minor"/>
    </font>
    <font>
      <sz val="11"/>
      <color theme="1" tint="0.0499893185216834"/>
      <name val="Calibri"/>
      <charset val="134"/>
      <scheme val="minor"/>
    </font>
    <font>
      <sz val="11"/>
      <name val="Calibri"/>
      <charset val="204"/>
      <scheme val="minor"/>
    </font>
    <font>
      <sz val="11"/>
      <name val="Calibri"/>
      <charset val="134"/>
      <scheme val="minor"/>
    </font>
    <font>
      <sz val="11"/>
      <name val="Calibri"/>
      <charset val="134"/>
    </font>
    <font>
      <sz val="9"/>
      <color theme="1"/>
      <name val="Arial"/>
      <charset val="134"/>
    </font>
    <font>
      <sz val="11"/>
      <color rgb="FF000000"/>
      <name val="Calibri"/>
      <charset val="134"/>
      <scheme val="minor"/>
    </font>
    <font>
      <b/>
      <sz val="18"/>
      <color theme="1"/>
      <name val="Calibri"/>
      <charset val="204"/>
      <scheme val="minor"/>
    </font>
    <font>
      <sz val="11"/>
      <color rgb="FFFF0000"/>
      <name val="Calibri"/>
      <charset val="134"/>
      <scheme val="minor"/>
    </font>
    <font>
      <sz val="11"/>
      <color rgb="FFFF0000"/>
      <name val="Calibri"/>
      <charset val="20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134"/>
      <scheme val="minor"/>
    </font>
    <font>
      <sz val="11"/>
      <color rgb="FF9C0006"/>
      <name val="Calibri"/>
      <charset val="134"/>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b/>
      <sz val="9"/>
      <name val="Tahoma"/>
      <charset val="204"/>
    </font>
  </fonts>
  <fills count="45">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0" tint="-0.249977111117893"/>
        <bgColor indexed="64"/>
      </patternFill>
    </fill>
    <fill>
      <patternFill patternType="solid">
        <fgColor theme="5" tint="0.399975585192419"/>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theme="5" tint="0.799981688894314"/>
        <bgColor indexed="64"/>
      </patternFill>
    </fill>
    <fill>
      <patternFill patternType="solid">
        <fgColor rgb="FFFF0000"/>
        <bgColor indexed="64"/>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diagonal/>
    </border>
    <border>
      <left/>
      <right style="thin">
        <color auto="1"/>
      </right>
      <top/>
      <bottom/>
      <diagonal/>
    </border>
    <border>
      <left style="thin">
        <color auto="1"/>
      </left>
      <right/>
      <top/>
      <bottom style="medium">
        <color auto="1"/>
      </bottom>
      <diagonal/>
    </border>
    <border>
      <left/>
      <right style="thin">
        <color auto="1"/>
      </right>
      <top/>
      <bottom style="medium">
        <color auto="1"/>
      </bottom>
      <diagonal/>
    </border>
    <border>
      <left/>
      <right style="thin">
        <color auto="1"/>
      </right>
      <top style="medium">
        <color auto="1"/>
      </top>
      <bottom style="thin">
        <color auto="1"/>
      </bottom>
      <diagonal/>
    </border>
    <border>
      <left style="thin">
        <color rgb="FF2C3E50"/>
      </left>
      <right style="thin">
        <color rgb="FF2C3E50"/>
      </right>
      <top style="thin">
        <color rgb="FF2C3E50"/>
      </top>
      <bottom style="thin">
        <color rgb="FF2C3E5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rgb="FF2C3E50"/>
      </right>
      <top style="thin">
        <color rgb="FF2C3E50"/>
      </top>
      <bottom style="thin">
        <color rgb="FF2C3E50"/>
      </bottom>
      <diagonal/>
    </border>
    <border>
      <left/>
      <right style="thin">
        <color auto="1"/>
      </right>
      <top style="thin">
        <color auto="1"/>
      </top>
      <bottom style="thin">
        <color auto="1"/>
      </bottom>
      <diagonal/>
    </border>
    <border>
      <left style="thin">
        <color rgb="FF2C3E50"/>
      </left>
      <right style="thin">
        <color rgb="FF2C3E50"/>
      </right>
      <top style="thin">
        <color rgb="FF2C3E50"/>
      </top>
      <bottom/>
      <diagonal/>
    </border>
    <border>
      <left style="thin">
        <color auto="1"/>
      </left>
      <right style="thin">
        <color auto="1"/>
      </right>
      <top style="thin">
        <color rgb="FF2C3E50"/>
      </top>
      <bottom style="thin">
        <color auto="1"/>
      </bottom>
      <diagonal/>
    </border>
    <border>
      <left style="thin">
        <color rgb="FF2C3E50"/>
      </left>
      <right style="thin">
        <color rgb="FF2C3E50"/>
      </right>
      <top/>
      <bottom style="thin">
        <color rgb="FF2C3E5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1"/>
      </left>
      <right style="thin">
        <color theme="1"/>
      </right>
      <top style="thin">
        <color theme="1"/>
      </top>
      <bottom style="thin">
        <color theme="1"/>
      </bottom>
      <diagonal/>
    </border>
    <border>
      <left/>
      <right style="medium">
        <color auto="1"/>
      </right>
      <top style="thin">
        <color theme="0" tint="-0.249946592608417"/>
      </top>
      <bottom style="thin">
        <color theme="0" tint="-0.249946592608417"/>
      </bottom>
      <diagonal/>
    </border>
    <border>
      <left style="medium">
        <color auto="1"/>
      </left>
      <right style="thin">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1" fillId="14" borderId="56"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57" applyNumberFormat="0" applyFill="0" applyAlignment="0" applyProtection="0">
      <alignment vertical="center"/>
    </xf>
    <xf numFmtId="0" fontId="27" fillId="0" borderId="57" applyNumberFormat="0" applyFill="0" applyAlignment="0" applyProtection="0">
      <alignment vertical="center"/>
    </xf>
    <xf numFmtId="0" fontId="28" fillId="0" borderId="58" applyNumberFormat="0" applyFill="0" applyAlignment="0" applyProtection="0">
      <alignment vertical="center"/>
    </xf>
    <xf numFmtId="0" fontId="28" fillId="0" borderId="0" applyNumberFormat="0" applyFill="0" applyBorder="0" applyAlignment="0" applyProtection="0">
      <alignment vertical="center"/>
    </xf>
    <xf numFmtId="0" fontId="29" fillId="15" borderId="59" applyNumberFormat="0" applyAlignment="0" applyProtection="0">
      <alignment vertical="center"/>
    </xf>
    <xf numFmtId="0" fontId="30" fillId="16" borderId="60" applyNumberFormat="0" applyAlignment="0" applyProtection="0">
      <alignment vertical="center"/>
    </xf>
    <xf numFmtId="0" fontId="31" fillId="16" borderId="59" applyNumberFormat="0" applyAlignment="0" applyProtection="0">
      <alignment vertical="center"/>
    </xf>
    <xf numFmtId="0" fontId="32" fillId="17" borderId="61" applyNumberFormat="0" applyAlignment="0" applyProtection="0">
      <alignment vertical="center"/>
    </xf>
    <xf numFmtId="0" fontId="33" fillId="0" borderId="62" applyNumberFormat="0" applyFill="0" applyAlignment="0" applyProtection="0">
      <alignment vertical="center"/>
    </xf>
    <xf numFmtId="0" fontId="34" fillId="0" borderId="63" applyNumberFormat="0" applyFill="0" applyAlignment="0" applyProtection="0">
      <alignment vertical="center"/>
    </xf>
    <xf numFmtId="0" fontId="35" fillId="18" borderId="0" applyNumberFormat="0" applyBorder="0" applyAlignment="0" applyProtection="0"/>
    <xf numFmtId="0" fontId="36" fillId="19" borderId="0" applyNumberFormat="0" applyBorder="0" applyAlignment="0" applyProtection="0"/>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9" fillId="31" borderId="0" applyNumberFormat="0" applyBorder="0" applyAlignment="0" applyProtection="0"/>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9" fillId="42" borderId="0" applyNumberFormat="0" applyBorder="0" applyAlignment="0" applyProtection="0">
      <alignment vertical="center"/>
    </xf>
    <xf numFmtId="0" fontId="39" fillId="43" borderId="0" applyNumberFormat="0" applyBorder="0" applyAlignment="0" applyProtection="0">
      <alignment vertical="center"/>
    </xf>
    <xf numFmtId="0" fontId="38" fillId="44" borderId="0" applyNumberFormat="0" applyBorder="0" applyAlignment="0" applyProtection="0">
      <alignment vertical="center"/>
    </xf>
    <xf numFmtId="178" fontId="9" fillId="0" borderId="0"/>
    <xf numFmtId="0" fontId="9" fillId="0" borderId="0">
      <alignment wrapText="1"/>
    </xf>
    <xf numFmtId="0" fontId="9" fillId="0" borderId="0">
      <alignment wrapText="1"/>
    </xf>
    <xf numFmtId="0" fontId="9" fillId="0" borderId="0">
      <alignment wrapText="1"/>
    </xf>
    <xf numFmtId="0" fontId="9" fillId="0" borderId="0"/>
    <xf numFmtId="178" fontId="9" fillId="0" borderId="0"/>
    <xf numFmtId="0" fontId="9" fillId="0" borderId="0">
      <alignment wrapText="1"/>
    </xf>
    <xf numFmtId="0" fontId="40" fillId="0" borderId="0" applyNumberFormat="0" applyFill="0" applyBorder="0" applyAlignment="0" applyProtection="0"/>
  </cellStyleXfs>
  <cellXfs count="317">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2" xfId="0" applyBorder="1" applyAlignment="1">
      <alignment horizontal="center" vertical="center"/>
    </xf>
    <xf numFmtId="0" fontId="1" fillId="0" borderId="3" xfId="0" applyFont="1" applyBorder="1" applyAlignment="1">
      <alignment horizontal="center" vertical="center" textRotation="90"/>
    </xf>
    <xf numFmtId="0" fontId="0" fillId="0" borderId="4" xfId="0" applyBorder="1" applyAlignment="1">
      <alignment horizontal="center" vertical="center"/>
    </xf>
    <xf numFmtId="0" fontId="2" fillId="0" borderId="5"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2" fillId="0" borderId="8"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2" fillId="0" borderId="13" xfId="0" applyFont="1" applyBorder="1" applyAlignment="1">
      <alignment horizontal="center" vertical="center"/>
    </xf>
    <xf numFmtId="0" fontId="0" fillId="0" borderId="14" xfId="0" applyBorder="1" applyAlignment="1">
      <alignment horizontal="center" vertical="center"/>
    </xf>
    <xf numFmtId="16" fontId="0" fillId="0" borderId="0" xfId="0" applyNumberFormat="1" applyAlignment="1">
      <alignment vertical="center"/>
    </xf>
    <xf numFmtId="0" fontId="0" fillId="0" borderId="0" xfId="0" applyAlignment="1">
      <alignment vertical="center"/>
    </xf>
    <xf numFmtId="0" fontId="1" fillId="0" borderId="15" xfId="0" applyFont="1" applyBorder="1" applyAlignment="1">
      <alignment horizontal="center" vertical="center" textRotation="90"/>
    </xf>
    <xf numFmtId="0" fontId="0" fillId="0" borderId="16" xfId="0" applyBorder="1" applyAlignment="1">
      <alignment horizontal="center" vertical="center"/>
    </xf>
    <xf numFmtId="0" fontId="2" fillId="0" borderId="16" xfId="0" applyFont="1" applyBorder="1" applyAlignment="1">
      <alignment horizontal="center" vertical="center"/>
    </xf>
    <xf numFmtId="0" fontId="1" fillId="0" borderId="0" xfId="0" applyFont="1" applyAlignment="1">
      <alignment horizontal="center" vertical="center" textRotation="90"/>
    </xf>
    <xf numFmtId="0" fontId="2" fillId="0" borderId="0" xfId="0" applyFont="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1" fillId="0" borderId="15"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vertical="center"/>
    </xf>
    <xf numFmtId="0" fontId="0" fillId="0" borderId="18" xfId="0" applyBorder="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3" fillId="0" borderId="18"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8" xfId="0" applyFont="1" applyBorder="1" applyAlignment="1">
      <alignment vertical="center" wrapText="1"/>
    </xf>
    <xf numFmtId="179" fontId="0" fillId="0" borderId="0" xfId="0" applyNumberFormat="1" applyAlignment="1">
      <alignment vertical="center"/>
    </xf>
    <xf numFmtId="180" fontId="0" fillId="0" borderId="0" xfId="0" applyNumberFormat="1" applyAlignment="1">
      <alignment horizontal="center" vertical="center"/>
    </xf>
    <xf numFmtId="49" fontId="0" fillId="0" borderId="0" xfId="0" applyNumberFormat="1" applyAlignment="1">
      <alignment horizontal="center" vertical="center"/>
    </xf>
    <xf numFmtId="0" fontId="0" fillId="0" borderId="0" xfId="0" applyAlignment="1">
      <alignment horizontal="left" vertical="center"/>
    </xf>
    <xf numFmtId="179" fontId="0" fillId="0" borderId="0" xfId="0" applyNumberFormat="1" applyAlignment="1">
      <alignment horizontal="left" vertical="center"/>
    </xf>
    <xf numFmtId="0" fontId="5" fillId="0" borderId="0" xfId="0" applyFont="1" applyAlignment="1">
      <alignment horizontal="center" vertical="center"/>
    </xf>
    <xf numFmtId="0" fontId="1" fillId="0" borderId="16"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7" xfId="0" applyBorder="1" applyAlignment="1">
      <alignment vertical="center"/>
    </xf>
    <xf numFmtId="0" fontId="0" fillId="2" borderId="18" xfId="0" applyFill="1" applyBorder="1" applyAlignment="1">
      <alignment horizontal="left" vertical="center"/>
    </xf>
    <xf numFmtId="180" fontId="0" fillId="0" borderId="18" xfId="0" applyNumberFormat="1" applyBorder="1" applyAlignment="1">
      <alignment horizontal="center" vertical="center"/>
    </xf>
    <xf numFmtId="180" fontId="0" fillId="0" borderId="9" xfId="0" applyNumberFormat="1" applyBorder="1" applyAlignment="1">
      <alignment horizontal="center" vertical="center"/>
    </xf>
    <xf numFmtId="179" fontId="0" fillId="2" borderId="18" xfId="0" applyNumberFormat="1" applyFill="1" applyBorder="1" applyAlignment="1">
      <alignment horizontal="center" vertical="center"/>
    </xf>
    <xf numFmtId="179" fontId="0" fillId="2" borderId="9" xfId="0" applyNumberFormat="1" applyFill="1" applyBorder="1" applyAlignment="1">
      <alignment horizontal="center" vertical="center"/>
    </xf>
    <xf numFmtId="179" fontId="0" fillId="2" borderId="19" xfId="0" applyNumberFormat="1" applyFill="1" applyBorder="1" applyAlignment="1">
      <alignment horizontal="center" vertical="center"/>
    </xf>
    <xf numFmtId="179" fontId="0" fillId="2" borderId="14" xfId="0" applyNumberFormat="1" applyFill="1" applyBorder="1" applyAlignment="1">
      <alignment horizontal="center" vertical="center"/>
    </xf>
    <xf numFmtId="0" fontId="0" fillId="0" borderId="12" xfId="0" applyBorder="1" applyAlignment="1">
      <alignment vertical="center"/>
    </xf>
    <xf numFmtId="0" fontId="0" fillId="2" borderId="19" xfId="0" applyFill="1" applyBorder="1" applyAlignment="1">
      <alignment horizontal="left" vertical="center"/>
    </xf>
    <xf numFmtId="0" fontId="6" fillId="0" borderId="4" xfId="0" applyFont="1" applyBorder="1" applyAlignment="1">
      <alignment horizontal="center" vertical="center"/>
    </xf>
    <xf numFmtId="0" fontId="6" fillId="0" borderId="17" xfId="0" applyFont="1" applyBorder="1" applyAlignment="1">
      <alignment horizontal="center" vertical="center"/>
    </xf>
    <xf numFmtId="0" fontId="0" fillId="0" borderId="17" xfId="0"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0" xfId="0" applyFont="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179" fontId="5" fillId="0" borderId="0" xfId="0" applyNumberFormat="1" applyFont="1" applyAlignment="1">
      <alignment vertical="center"/>
    </xf>
    <xf numFmtId="0" fontId="3" fillId="0" borderId="29"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1" xfId="0" applyFont="1" applyBorder="1" applyAlignment="1">
      <alignment vertical="center" wrapText="1"/>
    </xf>
    <xf numFmtId="0" fontId="0" fillId="0" borderId="17" xfId="0" applyBorder="1" applyAlignment="1">
      <alignment vertical="center"/>
    </xf>
    <xf numFmtId="0" fontId="0" fillId="2" borderId="17" xfId="0" applyFill="1" applyBorder="1" applyAlignment="1">
      <alignment horizontal="center" vertical="center"/>
    </xf>
    <xf numFmtId="0" fontId="3" fillId="0" borderId="17" xfId="0" applyFont="1" applyBorder="1" applyAlignment="1">
      <alignment horizontal="center" vertical="center" wrapText="1"/>
    </xf>
    <xf numFmtId="0" fontId="0" fillId="2" borderId="18" xfId="0" applyFill="1" applyBorder="1" applyAlignment="1">
      <alignment horizontal="center" vertical="center"/>
    </xf>
    <xf numFmtId="0" fontId="0" fillId="0" borderId="19" xfId="0" applyBorder="1" applyAlignment="1">
      <alignment vertical="center"/>
    </xf>
    <xf numFmtId="0" fontId="0" fillId="2" borderId="19" xfId="0" applyFill="1" applyBorder="1" applyAlignment="1">
      <alignment horizontal="center" vertical="center"/>
    </xf>
    <xf numFmtId="0" fontId="3" fillId="0" borderId="19"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179" fontId="1" fillId="0" borderId="0" xfId="0" applyNumberFormat="1" applyFont="1" applyAlignment="1">
      <alignment vertical="center"/>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180" fontId="4" fillId="0" borderId="30" xfId="0" applyNumberFormat="1" applyFont="1" applyBorder="1" applyAlignment="1">
      <alignment horizontal="center" vertical="center" wrapText="1"/>
    </xf>
    <xf numFmtId="0" fontId="7" fillId="0" borderId="29" xfId="0" applyFont="1" applyBorder="1" applyAlignment="1">
      <alignment horizontal="center" vertical="center" wrapText="1"/>
    </xf>
    <xf numFmtId="0" fontId="4" fillId="0" borderId="34" xfId="0" applyFont="1" applyBorder="1" applyAlignment="1">
      <alignment horizontal="center" vertical="center" wrapText="1"/>
    </xf>
    <xf numFmtId="180" fontId="4" fillId="0" borderId="29" xfId="0" applyNumberFormat="1" applyFont="1" applyBorder="1" applyAlignment="1">
      <alignment horizontal="center" vertical="center" wrapText="1"/>
    </xf>
    <xf numFmtId="0" fontId="7" fillId="0" borderId="31" xfId="0" applyFont="1" applyBorder="1" applyAlignment="1">
      <alignment horizontal="center" vertical="center" wrapText="1"/>
    </xf>
    <xf numFmtId="1" fontId="4" fillId="0" borderId="29" xfId="0" applyNumberFormat="1" applyFont="1" applyBorder="1" applyAlignment="1">
      <alignment horizontal="center" vertical="center" wrapText="1"/>
    </xf>
    <xf numFmtId="0" fontId="4" fillId="3" borderId="29" xfId="0" applyFont="1" applyFill="1" applyBorder="1" applyAlignment="1">
      <alignment horizontal="center" vertical="center" wrapText="1"/>
    </xf>
    <xf numFmtId="180" fontId="4" fillId="0" borderId="31" xfId="0" applyNumberFormat="1" applyFont="1" applyBorder="1" applyAlignment="1">
      <alignment horizontal="center" vertical="center" wrapText="1"/>
    </xf>
    <xf numFmtId="0" fontId="3" fillId="0" borderId="35" xfId="0" applyFont="1" applyBorder="1" applyAlignment="1">
      <alignment horizontal="center" vertical="center" wrapText="1"/>
    </xf>
    <xf numFmtId="0" fontId="3" fillId="0" borderId="36" xfId="0" applyFont="1" applyBorder="1" applyAlignment="1">
      <alignment horizontal="center" vertical="center" wrapText="1"/>
    </xf>
    <xf numFmtId="180" fontId="0" fillId="0" borderId="17" xfId="0" applyNumberFormat="1" applyBorder="1" applyAlignment="1">
      <alignment horizontal="center" vertical="center"/>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180" fontId="0" fillId="0" borderId="19" xfId="0" applyNumberFormat="1" applyBorder="1" applyAlignment="1">
      <alignment horizontal="center" vertical="center"/>
    </xf>
    <xf numFmtId="180" fontId="3" fillId="0" borderId="17" xfId="0" applyNumberFormat="1" applyFont="1" applyBorder="1" applyAlignment="1">
      <alignment horizontal="center" vertical="center" wrapText="1"/>
    </xf>
    <xf numFmtId="180" fontId="3" fillId="0" borderId="18" xfId="0" applyNumberFormat="1" applyFont="1" applyBorder="1" applyAlignment="1">
      <alignment horizontal="center" vertical="center" wrapText="1"/>
    </xf>
    <xf numFmtId="0" fontId="0" fillId="0" borderId="19" xfId="0" applyBorder="1" applyAlignment="1">
      <alignment horizontal="center" vertical="center"/>
    </xf>
    <xf numFmtId="180" fontId="3" fillId="0" borderId="19" xfId="0" applyNumberFormat="1" applyFont="1" applyBorder="1" applyAlignment="1">
      <alignment horizontal="center" vertical="center" wrapText="1"/>
    </xf>
    <xf numFmtId="180" fontId="4" fillId="0" borderId="33" xfId="0" applyNumberFormat="1" applyFont="1" applyBorder="1" applyAlignment="1">
      <alignment horizontal="center" vertical="center" wrapText="1"/>
    </xf>
    <xf numFmtId="49" fontId="4" fillId="0" borderId="29" xfId="0" applyNumberFormat="1" applyFont="1" applyBorder="1" applyAlignment="1">
      <alignment vertical="center" wrapText="1"/>
    </xf>
    <xf numFmtId="49" fontId="4" fillId="0" borderId="29" xfId="0" applyNumberFormat="1" applyFont="1" applyBorder="1" applyAlignment="1">
      <alignment horizontal="center" vertical="center" wrapText="1"/>
    </xf>
    <xf numFmtId="0" fontId="8" fillId="0" borderId="29" xfId="0" applyFont="1" applyBorder="1" applyAlignment="1">
      <alignment horizontal="center" vertical="center" wrapText="1"/>
    </xf>
    <xf numFmtId="0" fontId="8" fillId="2" borderId="29" xfId="0" applyFont="1" applyFill="1" applyBorder="1" applyAlignment="1">
      <alignment horizontal="center" vertical="center" wrapText="1"/>
    </xf>
    <xf numFmtId="49" fontId="3" fillId="0" borderId="31" xfId="0" applyNumberFormat="1" applyFont="1" applyBorder="1" applyAlignment="1">
      <alignment horizontal="center" vertical="center" wrapText="1"/>
    </xf>
    <xf numFmtId="0" fontId="8" fillId="0" borderId="31" xfId="0" applyFont="1" applyBorder="1" applyAlignment="1">
      <alignment horizontal="center" vertical="center" wrapText="1"/>
    </xf>
    <xf numFmtId="0" fontId="8" fillId="2" borderId="31" xfId="0" applyFont="1" applyFill="1" applyBorder="1" applyAlignment="1">
      <alignment horizontal="left" vertical="center" wrapText="1"/>
    </xf>
    <xf numFmtId="49" fontId="3" fillId="2" borderId="17" xfId="0" applyNumberFormat="1" applyFont="1" applyFill="1" applyBorder="1" applyAlignment="1">
      <alignment horizontal="center" vertical="center" wrapText="1"/>
    </xf>
    <xf numFmtId="0" fontId="0" fillId="2" borderId="6" xfId="0" applyFill="1" applyBorder="1" applyAlignment="1">
      <alignment horizontal="center" vertical="center"/>
    </xf>
    <xf numFmtId="0" fontId="0" fillId="2" borderId="6" xfId="0" applyFill="1" applyBorder="1" applyAlignment="1">
      <alignment horizontal="left" vertical="center"/>
    </xf>
    <xf numFmtId="49" fontId="3" fillId="2" borderId="18" xfId="0" applyNumberFormat="1" applyFont="1" applyFill="1" applyBorder="1" applyAlignment="1">
      <alignment horizontal="center" vertical="center" wrapText="1"/>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14" xfId="0" applyFill="1" applyBorder="1" applyAlignment="1">
      <alignment horizontal="left" vertical="center"/>
    </xf>
    <xf numFmtId="49" fontId="3" fillId="2" borderId="19" xfId="0" applyNumberFormat="1" applyFont="1" applyFill="1" applyBorder="1" applyAlignment="1">
      <alignment horizontal="center" vertical="center" wrapText="1"/>
    </xf>
    <xf numFmtId="0" fontId="0" fillId="2" borderId="14" xfId="0" applyFill="1" applyBorder="1" applyAlignment="1">
      <alignment horizontal="center" vertical="center"/>
    </xf>
    <xf numFmtId="179" fontId="0" fillId="0" borderId="0" xfId="0" applyNumberFormat="1" applyAlignment="1">
      <alignment horizontal="center" vertical="center"/>
    </xf>
    <xf numFmtId="0" fontId="1" fillId="0" borderId="0" xfId="0" applyFont="1" applyAlignment="1">
      <alignment vertical="center"/>
    </xf>
    <xf numFmtId="0" fontId="1" fillId="0" borderId="16" xfId="0" applyFont="1" applyBorder="1" applyAlignment="1">
      <alignment vertical="center"/>
    </xf>
    <xf numFmtId="0" fontId="6" fillId="0" borderId="41" xfId="0" applyFont="1" applyBorder="1" applyAlignment="1">
      <alignment horizontal="center" vertical="center"/>
    </xf>
    <xf numFmtId="0" fontId="0" fillId="0" borderId="7" xfId="0" applyBorder="1" applyAlignment="1" applyProtection="1">
      <alignment vertical="center"/>
      <protection locked="0"/>
    </xf>
    <xf numFmtId="0" fontId="0" fillId="2" borderId="18" xfId="0" applyFill="1" applyBorder="1" applyAlignment="1" applyProtection="1">
      <alignment horizontal="left" vertical="center"/>
      <protection locked="0"/>
    </xf>
    <xf numFmtId="180" fontId="0" fillId="0" borderId="18" xfId="0" applyNumberFormat="1" applyBorder="1" applyAlignment="1" applyProtection="1">
      <alignment horizontal="center" vertical="center"/>
      <protection locked="0"/>
    </xf>
    <xf numFmtId="180" fontId="0" fillId="0" borderId="9" xfId="0" applyNumberFormat="1" applyBorder="1" applyAlignment="1" applyProtection="1">
      <alignment horizontal="center" vertical="center"/>
      <protection locked="0"/>
    </xf>
    <xf numFmtId="179" fontId="0" fillId="2" borderId="18" xfId="0" applyNumberFormat="1" applyFill="1" applyBorder="1" applyAlignment="1" applyProtection="1">
      <alignment horizontal="center" vertical="center"/>
      <protection locked="0"/>
    </xf>
    <xf numFmtId="179" fontId="0" fillId="2" borderId="9" xfId="0" applyNumberFormat="1" applyFill="1" applyBorder="1" applyAlignment="1" applyProtection="1">
      <alignment horizontal="center" vertical="center"/>
      <protection locked="0"/>
    </xf>
    <xf numFmtId="0" fontId="0" fillId="0" borderId="12" xfId="0" applyBorder="1" applyAlignment="1" applyProtection="1">
      <alignment vertical="center"/>
      <protection locked="0"/>
    </xf>
    <xf numFmtId="179" fontId="0" fillId="2" borderId="19" xfId="0" applyNumberFormat="1" applyFill="1" applyBorder="1" applyAlignment="1" applyProtection="1">
      <alignment horizontal="center" vertical="center"/>
      <protection locked="0"/>
    </xf>
    <xf numFmtId="179" fontId="0" fillId="2" borderId="14" xfId="0" applyNumberFormat="1" applyFill="1" applyBorder="1" applyAlignment="1" applyProtection="1">
      <alignment horizontal="center" vertical="center"/>
      <protection locked="0"/>
    </xf>
    <xf numFmtId="0" fontId="0" fillId="2" borderId="19" xfId="0" applyFill="1" applyBorder="1" applyAlignment="1" applyProtection="1">
      <alignment horizontal="left" vertical="center"/>
      <protection locked="0"/>
    </xf>
    <xf numFmtId="0" fontId="0" fillId="2" borderId="17" xfId="0" applyFill="1" applyBorder="1" applyAlignment="1" applyProtection="1">
      <alignment horizontal="center" vertical="center"/>
      <protection locked="0"/>
    </xf>
    <xf numFmtId="0" fontId="0" fillId="2" borderId="18" xfId="0" applyFill="1" applyBorder="1" applyAlignment="1" applyProtection="1">
      <alignment horizontal="center" vertical="center"/>
      <protection locked="0"/>
    </xf>
    <xf numFmtId="0" fontId="0" fillId="2" borderId="19" xfId="0" applyFill="1" applyBorder="1" applyAlignment="1" applyProtection="1">
      <alignment horizontal="center" vertical="center"/>
      <protection locked="0"/>
    </xf>
    <xf numFmtId="0" fontId="7" fillId="4" borderId="31" xfId="0" applyFont="1" applyFill="1" applyBorder="1" applyAlignment="1">
      <alignment horizontal="center" vertical="center" wrapText="1"/>
    </xf>
    <xf numFmtId="0" fontId="7" fillId="5" borderId="31" xfId="0" applyFont="1" applyFill="1" applyBorder="1" applyAlignment="1">
      <alignment horizontal="center" vertical="center" wrapText="1"/>
    </xf>
    <xf numFmtId="0" fontId="7" fillId="6" borderId="31" xfId="0" applyFont="1" applyFill="1" applyBorder="1" applyAlignment="1">
      <alignment horizontal="center" vertical="center" wrapText="1"/>
    </xf>
    <xf numFmtId="0" fontId="7" fillId="7" borderId="31" xfId="0" applyFont="1" applyFill="1" applyBorder="1" applyAlignment="1">
      <alignment horizontal="center" vertical="center" wrapText="1"/>
    </xf>
    <xf numFmtId="0" fontId="4" fillId="4" borderId="34"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4" fillId="6" borderId="34" xfId="0" applyFont="1" applyFill="1" applyBorder="1" applyAlignment="1">
      <alignment horizontal="center" vertical="center" wrapText="1"/>
    </xf>
    <xf numFmtId="0" fontId="4" fillId="4" borderId="29" xfId="0" applyFont="1" applyFill="1" applyBorder="1" applyAlignment="1">
      <alignment horizontal="center" vertical="center" wrapText="1"/>
    </xf>
    <xf numFmtId="0" fontId="4" fillId="5" borderId="29" xfId="0" applyFont="1" applyFill="1" applyBorder="1" applyAlignment="1">
      <alignment horizontal="center" vertical="center" wrapText="1"/>
    </xf>
    <xf numFmtId="0" fontId="4" fillId="6" borderId="29"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3" fillId="0" borderId="16" xfId="0" applyFont="1" applyBorder="1" applyAlignment="1">
      <alignment horizontal="center" vertical="center" wrapText="1"/>
    </xf>
    <xf numFmtId="0" fontId="4" fillId="7" borderId="34" xfId="0" applyFont="1" applyFill="1" applyBorder="1" applyAlignment="1">
      <alignment horizontal="center" vertical="center" wrapText="1"/>
    </xf>
    <xf numFmtId="0" fontId="4" fillId="7" borderId="29" xfId="0" applyFont="1" applyFill="1" applyBorder="1" applyAlignment="1">
      <alignment horizontal="center" vertical="center" wrapText="1"/>
    </xf>
    <xf numFmtId="49" fontId="3" fillId="2" borderId="17" xfId="0" applyNumberFormat="1" applyFont="1" applyFill="1" applyBorder="1" applyAlignment="1" applyProtection="1">
      <alignment horizontal="center" vertical="center" wrapText="1"/>
      <protection locked="0"/>
    </xf>
    <xf numFmtId="0" fontId="0" fillId="2" borderId="6" xfId="0" applyFill="1" applyBorder="1" applyAlignment="1" applyProtection="1">
      <alignment horizontal="left" vertical="center"/>
      <protection locked="0"/>
    </xf>
    <xf numFmtId="49" fontId="3" fillId="2" borderId="18" xfId="0" applyNumberFormat="1" applyFont="1" applyFill="1" applyBorder="1" applyAlignment="1" applyProtection="1">
      <alignment horizontal="center" vertical="center" wrapText="1"/>
      <protection locked="0"/>
    </xf>
    <xf numFmtId="0" fontId="0" fillId="2" borderId="9" xfId="0" applyFill="1" applyBorder="1" applyAlignment="1" applyProtection="1">
      <alignment horizontal="left" vertical="center"/>
      <protection locked="0"/>
    </xf>
    <xf numFmtId="49" fontId="3" fillId="2" borderId="19" xfId="0" applyNumberFormat="1" applyFont="1" applyFill="1" applyBorder="1" applyAlignment="1" applyProtection="1">
      <alignment horizontal="center" vertical="center" wrapText="1"/>
      <protection locked="0"/>
    </xf>
    <xf numFmtId="0" fontId="0" fillId="2" borderId="14" xfId="0" applyFill="1" applyBorder="1" applyAlignment="1" applyProtection="1">
      <alignment horizontal="left" vertical="center"/>
      <protection locked="0"/>
    </xf>
    <xf numFmtId="49" fontId="9" fillId="0" borderId="42" xfId="52" applyNumberFormat="1" applyBorder="1" applyAlignment="1"/>
    <xf numFmtId="0" fontId="0" fillId="0" borderId="43" xfId="0" applyBorder="1" applyAlignment="1">
      <alignment horizontal="center"/>
    </xf>
    <xf numFmtId="0" fontId="0" fillId="0" borderId="44" xfId="0" applyBorder="1" applyAlignment="1">
      <alignment horizontal="center"/>
    </xf>
    <xf numFmtId="49" fontId="10" fillId="0" borderId="42" xfId="52" applyNumberFormat="1" applyFont="1" applyBorder="1" applyAlignment="1">
      <alignment vertical="center"/>
    </xf>
    <xf numFmtId="49" fontId="1" fillId="0" borderId="42" xfId="52" applyNumberFormat="1" applyFont="1" applyBorder="1" applyAlignment="1">
      <alignment vertical="center"/>
    </xf>
    <xf numFmtId="0" fontId="9" fillId="0" borderId="18" xfId="0" applyFont="1" applyBorder="1" applyAlignment="1">
      <alignment horizontal="center"/>
    </xf>
    <xf numFmtId="49" fontId="9" fillId="0" borderId="18" xfId="0" applyNumberFormat="1" applyFont="1" applyBorder="1" applyAlignment="1">
      <alignment horizontal="center"/>
    </xf>
    <xf numFmtId="0" fontId="11" fillId="0" borderId="0" xfId="0" applyFont="1" applyFill="1" applyAlignment="1">
      <alignment vertical="center"/>
    </xf>
    <xf numFmtId="49" fontId="9" fillId="0" borderId="42" xfId="52" applyNumberFormat="1" applyFont="1" applyBorder="1" applyAlignment="1"/>
    <xf numFmtId="49" fontId="9" fillId="0" borderId="45" xfId="52" applyNumberFormat="1" applyFont="1" applyBorder="1" applyAlignment="1"/>
    <xf numFmtId="49" fontId="9" fillId="0" borderId="18" xfId="52" applyNumberFormat="1" applyBorder="1" applyAlignment="1"/>
    <xf numFmtId="49" fontId="0" fillId="0" borderId="18" xfId="0" applyNumberFormat="1" applyBorder="1"/>
    <xf numFmtId="0" fontId="0" fillId="0" borderId="18" xfId="0" applyBorder="1"/>
    <xf numFmtId="49" fontId="9" fillId="0" borderId="18" xfId="52" applyNumberFormat="1" applyFont="1" applyBorder="1" applyAlignment="1"/>
    <xf numFmtId="0" fontId="0" fillId="0" borderId="46" xfId="0" applyBorder="1" applyAlignment="1">
      <alignment horizontal="center"/>
    </xf>
    <xf numFmtId="49" fontId="0" fillId="0" borderId="18" xfId="0" applyNumberFormat="1" applyBorder="1" applyAlignment="1">
      <alignment horizontal="center"/>
    </xf>
    <xf numFmtId="0" fontId="9" fillId="0" borderId="18" xfId="0" applyFont="1" applyBorder="1" applyAlignment="1">
      <alignment horizontal="center" vertical="center"/>
    </xf>
    <xf numFmtId="49" fontId="9" fillId="0" borderId="18" xfId="0" applyNumberFormat="1" applyFont="1" applyBorder="1" applyAlignment="1">
      <alignment horizontal="center" vertical="center"/>
    </xf>
    <xf numFmtId="0" fontId="0" fillId="0" borderId="18" xfId="0" applyBorder="1" applyAlignment="1">
      <alignment horizontal="center"/>
    </xf>
    <xf numFmtId="49" fontId="9" fillId="0" borderId="47" xfId="52" applyNumberFormat="1" applyFont="1" applyBorder="1" applyAlignment="1">
      <alignment horizontal="center"/>
    </xf>
    <xf numFmtId="49" fontId="9" fillId="0" borderId="48" xfId="52" applyNumberFormat="1" applyFont="1" applyBorder="1" applyAlignment="1">
      <alignment horizontal="center"/>
    </xf>
    <xf numFmtId="0" fontId="0" fillId="8" borderId="0" xfId="0" applyFill="1"/>
    <xf numFmtId="0" fontId="0" fillId="0" borderId="9" xfId="0" applyBorder="1"/>
    <xf numFmtId="49" fontId="9" fillId="0" borderId="47" xfId="52" applyNumberFormat="1" applyBorder="1" applyAlignment="1"/>
    <xf numFmtId="49" fontId="9" fillId="0" borderId="47" xfId="52" applyNumberFormat="1" applyFont="1" applyBorder="1" applyAlignment="1"/>
    <xf numFmtId="49" fontId="9" fillId="0" borderId="18" xfId="52" applyNumberFormat="1" applyFill="1" applyBorder="1" applyAlignment="1"/>
    <xf numFmtId="49" fontId="9" fillId="0" borderId="18" xfId="52" applyNumberFormat="1" applyFont="1" applyFill="1" applyBorder="1" applyAlignment="1"/>
    <xf numFmtId="0" fontId="9" fillId="0" borderId="18" xfId="52" applyFill="1" applyBorder="1" applyAlignment="1"/>
    <xf numFmtId="49" fontId="9" fillId="0" borderId="49" xfId="52" applyNumberFormat="1" applyBorder="1" applyAlignment="1"/>
    <xf numFmtId="49" fontId="9" fillId="0" borderId="49" xfId="52" applyNumberFormat="1" applyFont="1" applyBorder="1" applyAlignment="1"/>
    <xf numFmtId="49" fontId="9" fillId="0" borderId="42" xfId="52" applyNumberFormat="1" applyFill="1" applyBorder="1" applyAlignment="1"/>
    <xf numFmtId="49" fontId="9" fillId="0" borderId="42" xfId="52" applyNumberFormat="1" applyFont="1" applyFill="1" applyBorder="1" applyAlignment="1"/>
    <xf numFmtId="49" fontId="12" fillId="0" borderId="42" xfId="52" applyNumberFormat="1" applyFont="1" applyBorder="1" applyAlignment="1"/>
    <xf numFmtId="49" fontId="9" fillId="9" borderId="42" xfId="52" applyNumberFormat="1" applyFill="1" applyBorder="1" applyAlignment="1"/>
    <xf numFmtId="49" fontId="9" fillId="9" borderId="42" xfId="52" applyNumberFormat="1" applyFont="1" applyFill="1" applyBorder="1" applyAlignment="1"/>
    <xf numFmtId="0" fontId="0" fillId="0" borderId="18" xfId="0" applyFill="1" applyBorder="1"/>
    <xf numFmtId="0" fontId="1" fillId="0" borderId="18" xfId="0" applyFont="1" applyBorder="1"/>
    <xf numFmtId="0" fontId="0" fillId="0" borderId="18" xfId="0" applyBorder="1" applyAlignment="1">
      <alignment horizontal="left"/>
    </xf>
    <xf numFmtId="0" fontId="0" fillId="10" borderId="9" xfId="0" applyFill="1" applyBorder="1"/>
    <xf numFmtId="0" fontId="13" fillId="10" borderId="9" xfId="0" applyFont="1" applyFill="1" applyBorder="1"/>
    <xf numFmtId="0" fontId="0" fillId="0" borderId="9" xfId="0" applyFill="1" applyBorder="1"/>
    <xf numFmtId="0" fontId="14" fillId="0" borderId="18" xfId="0" applyFont="1" applyBorder="1" applyAlignment="1">
      <alignment horizontal="left"/>
    </xf>
    <xf numFmtId="0" fontId="14" fillId="0" borderId="50" xfId="0" applyFont="1" applyBorder="1" applyAlignment="1">
      <alignment horizontal="left"/>
    </xf>
    <xf numFmtId="0" fontId="14" fillId="0" borderId="51" xfId="0" applyFont="1" applyBorder="1" applyAlignment="1">
      <alignment horizontal="left"/>
    </xf>
    <xf numFmtId="0" fontId="9" fillId="0" borderId="10" xfId="22" applyFont="1" applyFill="1" applyBorder="1" applyAlignment="1">
      <alignment horizontal="left"/>
    </xf>
    <xf numFmtId="0" fontId="9" fillId="0" borderId="10" xfId="35" applyFill="1" applyBorder="1" applyAlignment="1">
      <alignment horizontal="left"/>
    </xf>
    <xf numFmtId="0" fontId="9" fillId="0" borderId="10" xfId="0" applyFont="1" applyBorder="1" applyAlignment="1">
      <alignment horizontal="left"/>
    </xf>
    <xf numFmtId="0" fontId="9" fillId="0" borderId="10" xfId="23" applyFont="1" applyFill="1" applyBorder="1" applyAlignment="1">
      <alignment horizontal="left"/>
    </xf>
    <xf numFmtId="0" fontId="14" fillId="0" borderId="9" xfId="0" applyFont="1" applyBorder="1" applyAlignment="1">
      <alignment horizontal="left"/>
    </xf>
    <xf numFmtId="0" fontId="9" fillId="0" borderId="10" xfId="35" applyFont="1" applyFill="1" applyBorder="1" applyAlignment="1">
      <alignment horizontal="left"/>
    </xf>
    <xf numFmtId="0" fontId="9" fillId="0" borderId="10" xfId="0" applyFont="1" applyFill="1" applyBorder="1" applyAlignment="1">
      <alignment horizontal="left"/>
    </xf>
    <xf numFmtId="0" fontId="14" fillId="0" borderId="10" xfId="0" applyFont="1" applyBorder="1" applyAlignment="1">
      <alignment horizontal="left"/>
    </xf>
    <xf numFmtId="0" fontId="9" fillId="0" borderId="10" xfId="0" applyFont="1" applyBorder="1" applyAlignment="1">
      <alignment horizontal="left" indent="1"/>
    </xf>
    <xf numFmtId="0" fontId="14" fillId="0" borderId="52" xfId="0" applyFont="1" applyBorder="1" applyAlignment="1">
      <alignment horizontal="left"/>
    </xf>
    <xf numFmtId="0" fontId="9" fillId="0" borderId="9" xfId="0" applyFont="1" applyBorder="1"/>
    <xf numFmtId="0" fontId="15" fillId="0" borderId="18" xfId="56" applyFont="1" applyFill="1" applyBorder="1" applyAlignment="1">
      <alignment horizontal="left" vertical="center"/>
    </xf>
    <xf numFmtId="0" fontId="0" fillId="10" borderId="9" xfId="0" applyFill="1" applyBorder="1" applyAlignment="1">
      <alignment horizontal="left"/>
    </xf>
    <xf numFmtId="49" fontId="15" fillId="0" borderId="53" xfId="56" applyNumberFormat="1" applyFont="1" applyFill="1" applyBorder="1" applyAlignment="1">
      <alignment horizontal="left" vertical="center"/>
    </xf>
    <xf numFmtId="0" fontId="16" fillId="0" borderId="18" xfId="0" applyFont="1" applyBorder="1"/>
    <xf numFmtId="0" fontId="16" fillId="0" borderId="0" xfId="0" applyFont="1"/>
    <xf numFmtId="0" fontId="15" fillId="0" borderId="53" xfId="56" applyFont="1" applyFill="1" applyBorder="1" applyAlignment="1">
      <alignment horizontal="left" vertical="center"/>
    </xf>
    <xf numFmtId="0" fontId="0" fillId="0" borderId="9" xfId="0" applyBorder="1" applyAlignment="1">
      <alignment wrapText="1"/>
    </xf>
    <xf numFmtId="0" fontId="0" fillId="0" borderId="9" xfId="0" applyBorder="1" applyAlignment="1">
      <alignment horizontal="left"/>
    </xf>
    <xf numFmtId="0" fontId="0" fillId="9" borderId="18" xfId="0" applyFill="1" applyBorder="1"/>
    <xf numFmtId="0" fontId="0" fillId="0" borderId="14" xfId="0" applyBorder="1"/>
    <xf numFmtId="0" fontId="14" fillId="0" borderId="10" xfId="35" applyFont="1" applyFill="1" applyBorder="1" applyAlignment="1">
      <alignment horizontal="left"/>
    </xf>
    <xf numFmtId="0" fontId="15" fillId="0" borderId="9" xfId="0" applyFont="1" applyBorder="1" applyAlignment="1">
      <alignment horizontal="left" vertical="center" wrapText="1"/>
    </xf>
    <xf numFmtId="0" fontId="14" fillId="0" borderId="54" xfId="0" applyFont="1" applyBorder="1" applyAlignment="1">
      <alignment horizontal="left"/>
    </xf>
    <xf numFmtId="0" fontId="14" fillId="0" borderId="28" xfId="0" applyFont="1" applyBorder="1"/>
    <xf numFmtId="0" fontId="9" fillId="0" borderId="9" xfId="0" applyFont="1" applyBorder="1" applyAlignment="1">
      <alignment horizontal="left"/>
    </xf>
    <xf numFmtId="0" fontId="14" fillId="9" borderId="9" xfId="0" applyFont="1" applyFill="1" applyBorder="1" applyAlignment="1">
      <alignment horizontal="left"/>
    </xf>
    <xf numFmtId="0" fontId="9" fillId="0" borderId="9" xfId="22" applyFont="1" applyFill="1" applyBorder="1" applyAlignment="1">
      <alignment horizontal="left"/>
    </xf>
    <xf numFmtId="0" fontId="9" fillId="0" borderId="9" xfId="23" applyFont="1" applyFill="1" applyBorder="1" applyAlignment="1">
      <alignment horizontal="left"/>
    </xf>
    <xf numFmtId="0" fontId="9" fillId="9" borderId="9" xfId="0" applyFont="1" applyFill="1" applyBorder="1" applyAlignment="1">
      <alignment horizontal="left"/>
    </xf>
    <xf numFmtId="0" fontId="9" fillId="0" borderId="9" xfId="35" applyFill="1" applyBorder="1" applyAlignment="1">
      <alignment horizontal="left"/>
    </xf>
    <xf numFmtId="0" fontId="14" fillId="0" borderId="22" xfId="0" applyFont="1" applyBorder="1"/>
    <xf numFmtId="0" fontId="14" fillId="0" borderId="9" xfId="35" applyFont="1" applyFill="1" applyBorder="1" applyAlignment="1">
      <alignment horizontal="left"/>
    </xf>
    <xf numFmtId="0" fontId="0" fillId="0" borderId="21" xfId="0" applyBorder="1"/>
    <xf numFmtId="0" fontId="17" fillId="0" borderId="9" xfId="0" applyFont="1" applyBorder="1" applyAlignment="1" applyProtection="1">
      <alignment vertical="center"/>
      <protection locked="0"/>
    </xf>
    <xf numFmtId="0" fontId="9" fillId="0" borderId="9" xfId="0" applyFont="1" applyBorder="1" applyAlignment="1" applyProtection="1">
      <alignment vertical="center"/>
      <protection locked="0"/>
    </xf>
    <xf numFmtId="0" fontId="9" fillId="0" borderId="9" xfId="0" applyFont="1" applyFill="1" applyBorder="1"/>
    <xf numFmtId="0" fontId="17" fillId="0" borderId="9" xfId="0" applyFont="1" applyFill="1" applyBorder="1"/>
    <xf numFmtId="0" fontId="9" fillId="0" borderId="21" xfId="0" applyFont="1" applyFill="1" applyBorder="1" applyAlignment="1" applyProtection="1">
      <alignment vertical="center"/>
      <protection locked="0"/>
    </xf>
    <xf numFmtId="0" fontId="17" fillId="0" borderId="9" xfId="0" applyFont="1" applyFill="1" applyBorder="1" applyAlignment="1" applyProtection="1">
      <alignment vertical="center"/>
      <protection locked="0"/>
    </xf>
    <xf numFmtId="0" fontId="9" fillId="0" borderId="9" xfId="0" applyFont="1" applyFill="1" applyBorder="1" applyAlignment="1" applyProtection="1">
      <alignment vertical="center"/>
      <protection locked="0"/>
    </xf>
    <xf numFmtId="0" fontId="14" fillId="0" borderId="9" xfId="0" applyFont="1" applyFill="1" applyBorder="1" applyProtection="1">
      <protection locked="0"/>
    </xf>
    <xf numFmtId="0" fontId="14" fillId="0" borderId="9" xfId="0" applyFont="1" applyBorder="1" applyProtection="1">
      <protection locked="0"/>
    </xf>
    <xf numFmtId="0" fontId="14" fillId="0" borderId="9" xfId="0" applyFont="1" applyBorder="1" applyAlignment="1" applyProtection="1">
      <alignment horizontal="left" vertical="center"/>
      <protection locked="0"/>
    </xf>
    <xf numFmtId="0" fontId="14" fillId="9" borderId="9" xfId="0" applyFont="1" applyFill="1" applyBorder="1" applyAlignment="1" applyProtection="1">
      <alignment horizontal="left" vertical="center"/>
      <protection locked="0"/>
    </xf>
    <xf numFmtId="0" fontId="18" fillId="0" borderId="0" xfId="0" applyFont="1" applyAlignment="1">
      <alignment horizontal="center"/>
    </xf>
    <xf numFmtId="0" fontId="0" fillId="0" borderId="18" xfId="0" applyBorder="1" applyAlignment="1">
      <alignment wrapText="1"/>
    </xf>
    <xf numFmtId="0" fontId="0" fillId="0" borderId="18" xfId="0" applyBorder="1" applyAlignment="1">
      <alignment horizontal="center" wrapText="1"/>
    </xf>
    <xf numFmtId="0" fontId="0" fillId="0" borderId="0" xfId="0" applyProtection="1">
      <protection locked="0"/>
    </xf>
    <xf numFmtId="0" fontId="4" fillId="0" borderId="29" xfId="0" applyFont="1" applyBorder="1" applyAlignment="1">
      <alignment vertical="center" wrapText="1"/>
    </xf>
    <xf numFmtId="0" fontId="0" fillId="0" borderId="4"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2" borderId="7" xfId="0" applyFill="1" applyBorder="1" applyProtection="1">
      <protection locked="0"/>
    </xf>
    <xf numFmtId="0" fontId="0" fillId="2" borderId="18" xfId="0" applyFill="1" applyBorder="1" applyProtection="1">
      <protection locked="0"/>
    </xf>
    <xf numFmtId="0" fontId="0" fillId="2" borderId="9" xfId="0" applyFill="1" applyBorder="1" applyProtection="1">
      <protection locked="0"/>
    </xf>
    <xf numFmtId="0" fontId="0" fillId="11" borderId="18" xfId="0" applyFill="1" applyBorder="1"/>
    <xf numFmtId="0" fontId="0" fillId="4" borderId="18" xfId="0" applyFill="1" applyBorder="1"/>
    <xf numFmtId="0" fontId="0" fillId="2" borderId="12" xfId="0" applyFill="1" applyBorder="1" applyProtection="1">
      <protection locked="0"/>
    </xf>
    <xf numFmtId="0" fontId="0" fillId="2" borderId="19" xfId="0" applyFill="1" applyBorder="1" applyProtection="1">
      <protection locked="0"/>
    </xf>
    <xf numFmtId="0" fontId="0" fillId="2" borderId="14" xfId="0" applyFill="1" applyBorder="1" applyProtection="1">
      <protection locked="0"/>
    </xf>
    <xf numFmtId="0" fontId="0" fillId="12" borderId="18" xfId="0" applyFill="1" applyBorder="1"/>
    <xf numFmtId="0" fontId="0" fillId="2" borderId="51" xfId="0" applyFill="1" applyBorder="1" applyProtection="1">
      <protection locked="0"/>
    </xf>
    <xf numFmtId="58" fontId="0" fillId="0" borderId="0" xfId="0" applyNumberFormat="1" applyAlignment="1">
      <alignment horizontal="left"/>
    </xf>
    <xf numFmtId="0" fontId="0" fillId="0" borderId="0" xfId="0" applyAlignment="1">
      <alignment horizontal="left"/>
    </xf>
    <xf numFmtId="0" fontId="0" fillId="0" borderId="55" xfId="0" applyBorder="1" applyAlignment="1">
      <alignment horizontal="center" vertical="center"/>
    </xf>
    <xf numFmtId="0" fontId="0" fillId="0" borderId="50" xfId="0" applyBorder="1" applyAlignment="1">
      <alignment vertical="center"/>
    </xf>
    <xf numFmtId="0" fontId="0" fillId="0" borderId="50" xfId="0" applyBorder="1" applyAlignment="1">
      <alignment horizontal="center" vertical="center"/>
    </xf>
    <xf numFmtId="0" fontId="3" fillId="0" borderId="50" xfId="0" applyFont="1" applyBorder="1" applyAlignment="1">
      <alignment horizontal="center" vertical="center" wrapText="1"/>
    </xf>
    <xf numFmtId="180" fontId="0" fillId="0" borderId="50" xfId="0" applyNumberFormat="1" applyBorder="1" applyAlignment="1">
      <alignment horizontal="center" vertical="center"/>
    </xf>
    <xf numFmtId="180" fontId="3" fillId="0" borderId="50" xfId="0" applyNumberFormat="1" applyFont="1" applyBorder="1" applyAlignment="1">
      <alignment horizontal="center" vertical="center" wrapText="1"/>
    </xf>
    <xf numFmtId="0" fontId="0" fillId="2" borderId="50" xfId="0" applyFill="1" applyBorder="1" applyProtection="1">
      <protection locked="0"/>
    </xf>
    <xf numFmtId="0" fontId="0" fillId="2" borderId="17" xfId="0" applyFill="1" applyBorder="1" applyProtection="1">
      <protection locked="0"/>
    </xf>
    <xf numFmtId="0" fontId="0" fillId="2" borderId="6" xfId="0" applyFill="1" applyBorder="1" applyProtection="1">
      <protection locked="0"/>
    </xf>
    <xf numFmtId="0" fontId="0" fillId="9" borderId="0" xfId="0" applyFill="1"/>
    <xf numFmtId="49" fontId="0" fillId="0" borderId="0" xfId="0" applyNumberFormat="1"/>
    <xf numFmtId="11" fontId="0" fillId="0" borderId="0" xfId="0" applyNumberFormat="1"/>
    <xf numFmtId="49" fontId="0" fillId="13" borderId="0" xfId="0" applyNumberFormat="1" applyFill="1"/>
    <xf numFmtId="0" fontId="9" fillId="0" borderId="18" xfId="0" applyFont="1" applyBorder="1"/>
    <xf numFmtId="49" fontId="9" fillId="0" borderId="18" xfId="0" applyNumberFormat="1" applyFont="1" applyBorder="1"/>
    <xf numFmtId="0" fontId="9" fillId="0" borderId="18" xfId="0" applyFont="1" applyBorder="1" applyAlignment="1">
      <alignment horizontal="left" vertical="center"/>
    </xf>
    <xf numFmtId="49" fontId="9" fillId="0" borderId="18" xfId="0" applyNumberFormat="1" applyFont="1" applyBorder="1" applyAlignment="1">
      <alignment horizontal="left" vertical="center"/>
    </xf>
    <xf numFmtId="0" fontId="2" fillId="0" borderId="8" xfId="0" applyFont="1" applyBorder="1" applyAlignment="1">
      <alignment vertical="center"/>
    </xf>
    <xf numFmtId="0" fontId="2" fillId="0" borderId="0" xfId="0" applyFont="1" applyAlignment="1">
      <alignment vertical="center"/>
    </xf>
    <xf numFmtId="0" fontId="9" fillId="9" borderId="10" xfId="35" applyFont="1" applyFill="1" applyBorder="1" applyAlignment="1">
      <alignment horizontal="left"/>
    </xf>
    <xf numFmtId="49" fontId="19" fillId="0" borderId="42" xfId="52" applyNumberFormat="1" applyFont="1" applyBorder="1" applyAlignment="1"/>
    <xf numFmtId="49" fontId="20" fillId="0" borderId="0" xfId="0" applyNumberFormat="1" applyFont="1"/>
    <xf numFmtId="0" fontId="0" fillId="9" borderId="9" xfId="0" applyFill="1" applyBorder="1"/>
    <xf numFmtId="49" fontId="0" fillId="9" borderId="0" xfId="0" applyNumberFormat="1" applyFill="1"/>
    <xf numFmtId="49" fontId="19" fillId="0" borderId="0" xfId="0" applyNumberFormat="1" applyFont="1"/>
    <xf numFmtId="0" fontId="20" fillId="0" borderId="0" xfId="0" applyFont="1"/>
    <xf numFmtId="49" fontId="13" fillId="0" borderId="0" xfId="0" applyNumberFormat="1" applyFont="1"/>
    <xf numFmtId="49" fontId="14" fillId="0" borderId="42" xfId="52" applyNumberFormat="1" applyFont="1" applyBorder="1" applyAlignment="1"/>
    <xf numFmtId="49" fontId="14" fillId="0" borderId="0" xfId="0" applyNumberFormat="1" applyFont="1"/>
    <xf numFmtId="0" fontId="19" fillId="0" borderId="0" xfId="0" applyFont="1"/>
    <xf numFmtId="0" fontId="17" fillId="0" borderId="9" xfId="0" applyFont="1" applyBorder="1"/>
    <xf numFmtId="49" fontId="9" fillId="9" borderId="18" xfId="52" applyNumberFormat="1" applyFont="1" applyFill="1" applyBorder="1" applyAlignment="1"/>
    <xf numFmtId="0" fontId="9" fillId="9" borderId="21" xfId="0" applyFont="1" applyFill="1" applyBorder="1" applyAlignment="1" applyProtection="1">
      <alignment vertical="center"/>
      <protection locked="0"/>
    </xf>
    <xf numFmtId="49" fontId="9" fillId="9" borderId="18" xfId="52" applyNumberFormat="1" applyFill="1" applyBorder="1" applyAlignment="1"/>
    <xf numFmtId="0" fontId="17" fillId="9" borderId="9" xfId="0" applyFont="1" applyFill="1" applyBorder="1" applyAlignment="1" applyProtection="1">
      <alignment vertical="center"/>
      <protection locked="0"/>
    </xf>
    <xf numFmtId="0" fontId="9" fillId="9" borderId="9" xfId="0" applyFont="1" applyFill="1" applyBorder="1" applyAlignment="1" applyProtection="1">
      <alignment vertical="center"/>
      <protection locked="0"/>
    </xf>
    <xf numFmtId="0" fontId="9" fillId="9" borderId="9" xfId="0" applyFont="1" applyFill="1" applyBorder="1"/>
    <xf numFmtId="0" fontId="14" fillId="9" borderId="9" xfId="0" applyFont="1" applyFill="1" applyBorder="1" applyProtection="1">
      <protection locked="0"/>
    </xf>
    <xf numFmtId="49" fontId="3" fillId="2" borderId="18" xfId="0" applyNumberFormat="1" applyFont="1" applyFill="1" applyBorder="1" applyAlignment="1" quotePrefix="1">
      <alignment horizontal="center" vertical="center" wrapText="1"/>
    </xf>
    <xf numFmtId="49" fontId="3" fillId="2" borderId="17" xfId="0" applyNumberFormat="1" applyFont="1" applyFill="1" applyBorder="1" applyAlignment="1" quotePrefix="1">
      <alignment horizontal="center" vertical="center" wrapText="1"/>
    </xf>
    <xf numFmtId="49" fontId="3" fillId="2" borderId="19" xfId="0" applyNumberFormat="1" applyFont="1" applyFill="1" applyBorder="1" applyAlignment="1" quotePrefix="1">
      <alignment horizontal="center" vertical="center" wrapText="1"/>
    </xf>
  </cellXfs>
  <cellStyles count="57">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 107" xfId="50"/>
    <cellStyle name="Normal 108" xfId="51"/>
    <cellStyle name="Normal 2" xfId="52"/>
    <cellStyle name="Normal 3" xfId="53"/>
    <cellStyle name="Normal 395" xfId="54"/>
    <cellStyle name="Normal 4" xfId="55"/>
    <cellStyle name="Normal 5" xfId="56"/>
  </cellStyles>
  <dxfs count="31">
    <dxf>
      <font>
        <color rgb="FF9C0006"/>
      </font>
      <fill>
        <patternFill patternType="solid">
          <bgColor rgb="FFFFC7CE"/>
        </patternFill>
      </fill>
    </dxf>
    <dxf>
      <fill>
        <patternFill patternType="solid">
          <bgColor theme="9" tint="0.799981688894314"/>
        </patternFill>
      </fill>
    </dxf>
    <dxf>
      <fill>
        <patternFill patternType="solid">
          <bgColor theme="5" tint="0.599963377788629"/>
        </patternFill>
      </fill>
    </dxf>
    <dxf>
      <fill>
        <patternFill patternType="solid">
          <fgColor rgb="FFE06666"/>
          <bgColor rgb="FFE06666"/>
        </patternFill>
      </fill>
    </dxf>
    <dxf>
      <fill>
        <patternFill patternType="solid">
          <fgColor rgb="FFEA9999"/>
          <bgColor rgb="FFEA9999"/>
        </patternFill>
      </fill>
    </dxf>
    <dxf>
      <fill>
        <patternFill patternType="solid">
          <fgColor rgb="FFF4CCCC"/>
          <bgColor rgb="FFF4CCCC"/>
        </patternFill>
      </fill>
    </dxf>
    <dxf>
      <fill>
        <patternFill patternType="solid">
          <fgColor rgb="FFFFF2CC"/>
          <bgColor rgb="FFFFF2CC"/>
        </patternFill>
      </fill>
    </dxf>
    <dxf>
      <fill>
        <patternFill patternType="solid">
          <fgColor rgb="FFB7B7B7"/>
          <bgColor rgb="FFB7B7B7"/>
        </patternFill>
      </fill>
    </dxf>
    <dxf>
      <font>
        <color theme="0"/>
      </font>
      <fill>
        <patternFill patternType="solid">
          <fgColor rgb="FF0000FF"/>
          <bgColor rgb="FF0000FF"/>
        </patternFill>
      </fill>
    </dxf>
    <dxf>
      <fill>
        <patternFill patternType="solid">
          <fgColor rgb="FFD9EAD3"/>
          <bgColor rgb="FFD9EAD3"/>
        </patternFill>
      </fill>
    </dxf>
    <dxf>
      <fill>
        <patternFill patternType="solid">
          <fgColor rgb="FFB6D7A8"/>
          <bgColor rgb="FFB6D7A8"/>
        </patternFill>
      </fill>
    </dxf>
    <dxf>
      <fill>
        <patternFill patternType="solid">
          <fgColor rgb="FF93C47D"/>
          <bgColor rgb="FF93C47D"/>
        </patternFill>
      </fill>
    </dxf>
    <dxf>
      <font>
        <color theme="0"/>
      </font>
    </dxf>
    <dxf>
      <fill>
        <patternFill patternType="solid">
          <bgColor theme="8" tint="0.599963377788629"/>
        </patternFill>
      </fill>
    </dxf>
    <dxf>
      <fill>
        <patternFill patternType="solid">
          <bgColor theme="5" tint="0.799981688894314"/>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theme="5" tint="0.399945066682943"/>
        </patternFill>
      </fill>
    </dxf>
    <dxf>
      <fill>
        <patternFill patternType="solid">
          <bgColor theme="0" tint="-0.249946592608417"/>
        </patternFill>
      </fill>
    </dxf>
    <dxf>
      <fill>
        <patternFill patternType="solid">
          <bgColor theme="9" tint="0.599963377788629"/>
        </patternFill>
      </fill>
    </dxf>
    <dxf>
      <fill>
        <patternFill patternType="solid">
          <bgColor theme="8" tint="0.599963377788629"/>
        </patternFill>
      </fill>
    </dxf>
    <dxf>
      <fill>
        <patternFill patternType="solid">
          <bgColor theme="0"/>
        </patternFill>
      </fill>
    </dxf>
    <dxf>
      <fill>
        <patternFill patternType="solid">
          <bgColor theme="8" tint="0.399945066682943"/>
        </patternFill>
      </fill>
    </dxf>
    <dxf>
      <font>
        <color theme="8" tint="0.599963377788629"/>
      </font>
    </dxf>
    <dxf>
      <font>
        <color rgb="FFFFFF00"/>
      </font>
    </dxf>
    <dxf>
      <fill>
        <patternFill patternType="solid">
          <bgColor theme="7" tint="0.599963377788629"/>
        </patternFill>
      </fill>
    </dxf>
    <dxf>
      <fill>
        <patternFill patternType="none"/>
      </fill>
    </dxf>
    <dxf>
      <fill>
        <patternFill patternType="solid">
          <bgColor rgb="FFFFFF00"/>
        </patternFill>
      </fill>
    </dxf>
    <dxf>
      <font>
        <color auto="1"/>
      </font>
      <fill>
        <patternFill patternType="solid">
          <bgColor rgb="FFFF0000"/>
        </patternFill>
      </fill>
    </dxf>
    <dxf>
      <fill>
        <patternFill patternType="solid">
          <bgColor rgb="FFFFFF00"/>
        </patternFill>
      </fill>
    </dxf>
  </dxfs>
  <tableStyles count="0" defaultTableStyle="TableStyleMedium2" defaultPivotStyle="PivotStyleLight16"/>
  <colors>
    <mruColors>
      <color rgb="00FF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2.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1437"/>
  <sheetViews>
    <sheetView zoomScale="115" zoomScaleNormal="115" topLeftCell="A1091" workbookViewId="0">
      <selection activeCell="C1115" sqref="C1115"/>
    </sheetView>
  </sheetViews>
  <sheetFormatPr defaultColWidth="9" defaultRowHeight="14.5"/>
  <cols>
    <col min="1" max="1" width="10" customWidth="1"/>
    <col min="2" max="2" width="10.2818181818182" customWidth="1"/>
    <col min="3" max="3" width="36" customWidth="1"/>
    <col min="4" max="4" width="16.1363636363636" customWidth="1"/>
    <col min="5" max="5" width="20.2818181818182" customWidth="1"/>
    <col min="7" max="7" width="9" hidden="1" customWidth="1"/>
    <col min="8" max="8" width="19.7090909090909" hidden="1" customWidth="1"/>
    <col min="9" max="9" width="36" hidden="1" customWidth="1"/>
    <col min="10" max="10" width="9.13636363636364" hidden="1" customWidth="1"/>
    <col min="11" max="11" width="13.8545454545455" hidden="1" customWidth="1"/>
    <col min="12" max="12" width="21.8545454545455" hidden="1" customWidth="1"/>
    <col min="13" max="13" width="9" style="289"/>
    <col min="17" max="17" width="11" customWidth="1"/>
    <col min="18" max="18" width="10.2818181818182" style="289" customWidth="1"/>
    <col min="19" max="19" width="20.2818181818182" customWidth="1"/>
    <col min="20" max="20" width="20.2818181818182" style="289" customWidth="1"/>
  </cols>
  <sheetData>
    <row r="1" ht="24" customHeight="1" spans="1:21">
      <c r="A1" s="174" t="s">
        <v>0</v>
      </c>
      <c r="B1" s="174" t="s">
        <v>1</v>
      </c>
      <c r="C1" s="174" t="s">
        <v>2</v>
      </c>
      <c r="D1" s="174" t="s">
        <v>3</v>
      </c>
      <c r="E1" s="174" t="s">
        <v>4</v>
      </c>
      <c r="H1" s="206" t="s">
        <v>0</v>
      </c>
      <c r="I1" s="206" t="s">
        <v>2</v>
      </c>
      <c r="J1" s="206" t="s">
        <v>1</v>
      </c>
      <c r="K1" s="206" t="s">
        <v>3</v>
      </c>
      <c r="L1" s="206" t="s">
        <v>4</v>
      </c>
      <c r="Q1" s="171" t="s">
        <v>5</v>
      </c>
      <c r="R1" s="172"/>
      <c r="S1" s="184"/>
      <c r="T1" s="181" t="s">
        <v>6</v>
      </c>
      <c r="U1" s="182" t="s">
        <v>7</v>
      </c>
    </row>
    <row r="2" spans="1:20">
      <c r="A2" s="170" t="s">
        <v>8</v>
      </c>
      <c r="B2" s="170" t="s">
        <v>9</v>
      </c>
      <c r="C2" t="s">
        <v>10</v>
      </c>
      <c r="D2" s="170" t="s">
        <v>11</v>
      </c>
      <c r="E2" s="170" t="s">
        <v>12</v>
      </c>
      <c r="H2" s="207">
        <v>452127</v>
      </c>
      <c r="I2" s="182" t="s">
        <v>13</v>
      </c>
      <c r="J2" s="182" t="s">
        <v>14</v>
      </c>
      <c r="K2" s="207">
        <v>189</v>
      </c>
      <c r="L2" s="207" t="s">
        <v>15</v>
      </c>
      <c r="M2"/>
      <c r="R2"/>
      <c r="T2"/>
    </row>
    <row r="3" spans="1:20">
      <c r="A3" s="170" t="s">
        <v>16</v>
      </c>
      <c r="B3" s="170" t="s">
        <v>17</v>
      </c>
      <c r="C3" s="178" t="s">
        <v>10</v>
      </c>
      <c r="D3" s="170" t="s">
        <v>11</v>
      </c>
      <c r="E3" s="170" t="s">
        <v>12</v>
      </c>
      <c r="H3" s="207" t="s">
        <v>18</v>
      </c>
      <c r="I3" s="182" t="s">
        <v>10</v>
      </c>
      <c r="J3" s="182" t="s">
        <v>18</v>
      </c>
      <c r="K3" s="207">
        <v>824</v>
      </c>
      <c r="L3" s="207" t="s">
        <v>19</v>
      </c>
      <c r="M3"/>
      <c r="R3"/>
      <c r="T3"/>
    </row>
    <row r="4" spans="1:20">
      <c r="A4" s="170" t="s">
        <v>20</v>
      </c>
      <c r="B4" s="170" t="s">
        <v>21</v>
      </c>
      <c r="C4" s="178" t="s">
        <v>10</v>
      </c>
      <c r="D4" s="170" t="s">
        <v>11</v>
      </c>
      <c r="E4" s="170" t="s">
        <v>12</v>
      </c>
      <c r="H4" s="207">
        <v>506372</v>
      </c>
      <c r="I4" s="182" t="s">
        <v>22</v>
      </c>
      <c r="J4" s="182" t="s">
        <v>23</v>
      </c>
      <c r="K4" s="207">
        <v>447</v>
      </c>
      <c r="L4" s="207" t="s">
        <v>15</v>
      </c>
      <c r="M4"/>
      <c r="R4"/>
      <c r="T4"/>
    </row>
    <row r="5" spans="1:20">
      <c r="A5" s="170" t="s">
        <v>24</v>
      </c>
      <c r="B5" s="170" t="s">
        <v>25</v>
      </c>
      <c r="C5" s="178" t="s">
        <v>10</v>
      </c>
      <c r="D5" s="170" t="s">
        <v>11</v>
      </c>
      <c r="E5" s="170" t="s">
        <v>12</v>
      </c>
      <c r="H5" s="207">
        <v>472536</v>
      </c>
      <c r="I5" s="182" t="s">
        <v>26</v>
      </c>
      <c r="J5" s="182" t="s">
        <v>27</v>
      </c>
      <c r="K5" s="207">
        <v>455</v>
      </c>
      <c r="L5" s="207" t="s">
        <v>15</v>
      </c>
      <c r="M5"/>
      <c r="R5"/>
      <c r="T5"/>
    </row>
    <row r="6" spans="1:20">
      <c r="A6" s="170" t="s">
        <v>28</v>
      </c>
      <c r="B6" s="170" t="s">
        <v>29</v>
      </c>
      <c r="C6" s="178" t="s">
        <v>10</v>
      </c>
      <c r="D6" s="170" t="s">
        <v>11</v>
      </c>
      <c r="E6" s="170" t="s">
        <v>12</v>
      </c>
      <c r="H6" s="207">
        <v>508884</v>
      </c>
      <c r="I6" s="182" t="s">
        <v>30</v>
      </c>
      <c r="J6" s="182" t="s">
        <v>31</v>
      </c>
      <c r="K6" s="207">
        <v>232</v>
      </c>
      <c r="L6" s="207" t="s">
        <v>15</v>
      </c>
      <c r="M6"/>
      <c r="R6"/>
      <c r="T6"/>
    </row>
    <row r="7" spans="1:20">
      <c r="A7" s="170" t="s">
        <v>32</v>
      </c>
      <c r="B7" s="170" t="s">
        <v>33</v>
      </c>
      <c r="C7" s="178" t="s">
        <v>10</v>
      </c>
      <c r="D7" s="170" t="s">
        <v>11</v>
      </c>
      <c r="E7" s="170" t="s">
        <v>12</v>
      </c>
      <c r="H7" s="207">
        <v>410103</v>
      </c>
      <c r="I7" s="182" t="s">
        <v>34</v>
      </c>
      <c r="J7" s="182" t="s">
        <v>35</v>
      </c>
      <c r="K7" s="207">
        <v>615</v>
      </c>
      <c r="L7" s="207" t="s">
        <v>15</v>
      </c>
      <c r="M7"/>
      <c r="R7"/>
      <c r="T7"/>
    </row>
    <row r="8" spans="1:21">
      <c r="A8" s="170" t="s">
        <v>36</v>
      </c>
      <c r="B8" t="s">
        <v>37</v>
      </c>
      <c r="C8" s="208" t="s">
        <v>38</v>
      </c>
      <c r="D8" s="170" t="s">
        <v>11</v>
      </c>
      <c r="E8" s="170" t="s">
        <v>12</v>
      </c>
      <c r="H8" s="207">
        <v>393712</v>
      </c>
      <c r="I8" s="182" t="s">
        <v>39</v>
      </c>
      <c r="J8" s="182" t="s">
        <v>40</v>
      </c>
      <c r="K8" s="207">
        <v>620</v>
      </c>
      <c r="L8" s="207" t="s">
        <v>15</v>
      </c>
      <c r="M8" s="289" t="s">
        <v>37</v>
      </c>
      <c r="Q8" s="292" t="s">
        <v>41</v>
      </c>
      <c r="R8" s="293" t="s">
        <v>42</v>
      </c>
      <c r="S8" s="294" t="s">
        <v>43</v>
      </c>
      <c r="T8" s="295" t="s">
        <v>44</v>
      </c>
      <c r="U8" s="182">
        <v>893</v>
      </c>
    </row>
    <row r="9" ht="21" spans="1:20">
      <c r="A9" s="170" t="s">
        <v>45</v>
      </c>
      <c r="B9" s="170" t="s">
        <v>46</v>
      </c>
      <c r="C9" s="170"/>
      <c r="D9" s="170" t="s">
        <v>11</v>
      </c>
      <c r="E9" s="170" t="s">
        <v>12</v>
      </c>
      <c r="H9" s="207">
        <v>534522</v>
      </c>
      <c r="I9" s="182" t="s">
        <v>47</v>
      </c>
      <c r="J9" s="182" t="s">
        <v>48</v>
      </c>
      <c r="K9" s="207">
        <v>641</v>
      </c>
      <c r="L9" s="207" t="s">
        <v>15</v>
      </c>
      <c r="M9"/>
      <c r="R9"/>
      <c r="S9" s="296" t="s">
        <v>49</v>
      </c>
      <c r="T9" s="297"/>
    </row>
    <row r="10" ht="21" spans="1:20">
      <c r="A10" s="170" t="s">
        <v>50</v>
      </c>
      <c r="B10" s="170" t="s">
        <v>51</v>
      </c>
      <c r="C10" s="170"/>
      <c r="D10" s="170" t="s">
        <v>11</v>
      </c>
      <c r="E10" s="170" t="s">
        <v>12</v>
      </c>
      <c r="H10" s="207" t="s">
        <v>52</v>
      </c>
      <c r="I10" s="182" t="s">
        <v>10</v>
      </c>
      <c r="J10" s="182" t="s">
        <v>52</v>
      </c>
      <c r="K10" s="207">
        <v>305</v>
      </c>
      <c r="L10" s="207" t="s">
        <v>53</v>
      </c>
      <c r="M10"/>
      <c r="R10"/>
      <c r="S10" s="296" t="s">
        <v>54</v>
      </c>
      <c r="T10" s="297"/>
    </row>
    <row r="11" spans="1:21">
      <c r="A11" s="170" t="s">
        <v>55</v>
      </c>
      <c r="B11" s="170" t="s">
        <v>56</v>
      </c>
      <c r="C11" s="208" t="s">
        <v>57</v>
      </c>
      <c r="D11" s="170" t="s">
        <v>11</v>
      </c>
      <c r="E11" s="170" t="s">
        <v>12</v>
      </c>
      <c r="H11" s="207">
        <v>439367</v>
      </c>
      <c r="I11" s="182" t="s">
        <v>58</v>
      </c>
      <c r="J11" s="182" t="s">
        <v>59</v>
      </c>
      <c r="K11" s="207">
        <v>724</v>
      </c>
      <c r="L11" s="207" t="s">
        <v>15</v>
      </c>
      <c r="M11" s="289" t="s">
        <v>56</v>
      </c>
      <c r="Q11" s="292" t="s">
        <v>60</v>
      </c>
      <c r="R11" s="293" t="s">
        <v>61</v>
      </c>
      <c r="S11" s="294" t="s">
        <v>49</v>
      </c>
      <c r="T11" s="295"/>
      <c r="U11" s="182"/>
    </row>
    <row r="12" ht="21" spans="1:20">
      <c r="A12" s="170" t="s">
        <v>62</v>
      </c>
      <c r="B12" s="170" t="s">
        <v>37</v>
      </c>
      <c r="C12" s="170"/>
      <c r="D12" s="170" t="s">
        <v>11</v>
      </c>
      <c r="E12" s="170" t="s">
        <v>12</v>
      </c>
      <c r="H12" s="207">
        <v>478336</v>
      </c>
      <c r="I12" s="182" t="s">
        <v>63</v>
      </c>
      <c r="J12" s="182" t="s">
        <v>64</v>
      </c>
      <c r="K12" s="207">
        <v>59</v>
      </c>
      <c r="L12" s="207" t="s">
        <v>15</v>
      </c>
      <c r="M12"/>
      <c r="R12"/>
      <c r="S12" s="296" t="s">
        <v>49</v>
      </c>
      <c r="T12" s="297"/>
    </row>
    <row r="13" ht="21" spans="1:20">
      <c r="A13" s="170" t="s">
        <v>65</v>
      </c>
      <c r="B13" s="170" t="s">
        <v>66</v>
      </c>
      <c r="C13" s="170"/>
      <c r="D13" s="170" t="s">
        <v>11</v>
      </c>
      <c r="E13" s="170" t="s">
        <v>12</v>
      </c>
      <c r="H13" s="207" t="s">
        <v>67</v>
      </c>
      <c r="I13" s="182" t="s">
        <v>10</v>
      </c>
      <c r="J13" s="182" t="s">
        <v>67</v>
      </c>
      <c r="K13" s="207">
        <v>394</v>
      </c>
      <c r="L13" s="207" t="s">
        <v>53</v>
      </c>
      <c r="M13"/>
      <c r="R13"/>
      <c r="S13" s="296" t="s">
        <v>54</v>
      </c>
      <c r="T13" s="297"/>
    </row>
    <row r="14" spans="1:21">
      <c r="A14" s="170" t="s">
        <v>68</v>
      </c>
      <c r="B14" t="s">
        <v>69</v>
      </c>
      <c r="C14" s="209" t="s">
        <v>70</v>
      </c>
      <c r="D14" s="170" t="s">
        <v>11</v>
      </c>
      <c r="E14" s="170" t="s">
        <v>12</v>
      </c>
      <c r="H14" s="207">
        <v>307201</v>
      </c>
      <c r="I14" s="182" t="s">
        <v>71</v>
      </c>
      <c r="J14" s="182" t="s">
        <v>72</v>
      </c>
      <c r="K14" s="207">
        <v>909</v>
      </c>
      <c r="L14" s="207" t="s">
        <v>15</v>
      </c>
      <c r="M14" s="289" t="s">
        <v>69</v>
      </c>
      <c r="Q14" s="292" t="s">
        <v>73</v>
      </c>
      <c r="R14" s="293" t="s">
        <v>74</v>
      </c>
      <c r="S14" s="294" t="s">
        <v>54</v>
      </c>
      <c r="T14" s="295"/>
      <c r="U14" s="182"/>
    </row>
    <row r="15" ht="21" spans="1:20">
      <c r="A15" s="170" t="s">
        <v>75</v>
      </c>
      <c r="B15" s="170" t="s">
        <v>76</v>
      </c>
      <c r="C15" s="170"/>
      <c r="D15" s="170" t="s">
        <v>11</v>
      </c>
      <c r="E15" s="170" t="s">
        <v>12</v>
      </c>
      <c r="H15" s="207" t="s">
        <v>77</v>
      </c>
      <c r="I15" s="182" t="s">
        <v>10</v>
      </c>
      <c r="J15" s="182" t="s">
        <v>77</v>
      </c>
      <c r="K15" s="207">
        <v>838</v>
      </c>
      <c r="L15" s="207" t="s">
        <v>19</v>
      </c>
      <c r="M15"/>
      <c r="R15"/>
      <c r="S15" s="296" t="s">
        <v>49</v>
      </c>
      <c r="T15" s="297"/>
    </row>
    <row r="16" ht="21" spans="1:20">
      <c r="A16" s="170" t="s">
        <v>78</v>
      </c>
      <c r="B16" s="170" t="s">
        <v>79</v>
      </c>
      <c r="C16" s="170"/>
      <c r="D16" s="170" t="s">
        <v>11</v>
      </c>
      <c r="E16" s="170" t="s">
        <v>12</v>
      </c>
      <c r="H16" s="207">
        <v>193022</v>
      </c>
      <c r="I16" s="182" t="s">
        <v>80</v>
      </c>
      <c r="J16" s="182" t="s">
        <v>81</v>
      </c>
      <c r="K16" s="207">
        <v>974</v>
      </c>
      <c r="L16" s="207" t="s">
        <v>15</v>
      </c>
      <c r="M16"/>
      <c r="R16"/>
      <c r="S16" s="296" t="s">
        <v>54</v>
      </c>
      <c r="T16" s="297"/>
    </row>
    <row r="17" spans="1:21">
      <c r="A17" s="170" t="s">
        <v>82</v>
      </c>
      <c r="B17" s="170" t="s">
        <v>83</v>
      </c>
      <c r="C17" s="209" t="s">
        <v>84</v>
      </c>
      <c r="D17" s="170" t="s">
        <v>11</v>
      </c>
      <c r="E17" s="170" t="s">
        <v>12</v>
      </c>
      <c r="H17" s="207">
        <v>194935</v>
      </c>
      <c r="I17" s="182" t="s">
        <v>85</v>
      </c>
      <c r="J17" s="182" t="s">
        <v>86</v>
      </c>
      <c r="K17" s="207">
        <v>47</v>
      </c>
      <c r="L17" s="207" t="s">
        <v>15</v>
      </c>
      <c r="M17" s="289" t="s">
        <v>83</v>
      </c>
      <c r="Q17" s="292" t="s">
        <v>87</v>
      </c>
      <c r="R17" s="293" t="s">
        <v>88</v>
      </c>
      <c r="S17" s="294" t="s">
        <v>89</v>
      </c>
      <c r="T17" s="295"/>
      <c r="U17" s="182"/>
    </row>
    <row r="18" spans="1:20">
      <c r="A18" s="170" t="s">
        <v>90</v>
      </c>
      <c r="B18" s="170" t="s">
        <v>91</v>
      </c>
      <c r="C18" s="170"/>
      <c r="D18" s="170" t="s">
        <v>11</v>
      </c>
      <c r="E18" s="170" t="s">
        <v>12</v>
      </c>
      <c r="H18" s="207">
        <v>397279</v>
      </c>
      <c r="I18" s="182" t="s">
        <v>92</v>
      </c>
      <c r="J18" s="182" t="s">
        <v>93</v>
      </c>
      <c r="K18" s="207">
        <v>545</v>
      </c>
      <c r="L18" s="207" t="s">
        <v>15</v>
      </c>
      <c r="M18"/>
      <c r="R18"/>
      <c r="T18"/>
    </row>
    <row r="19" spans="1:20">
      <c r="A19" s="170" t="s">
        <v>94</v>
      </c>
      <c r="B19" s="170" t="s">
        <v>95</v>
      </c>
      <c r="C19" s="170"/>
      <c r="D19" s="170" t="s">
        <v>11</v>
      </c>
      <c r="E19" s="170" t="s">
        <v>12</v>
      </c>
      <c r="H19" s="207" t="s">
        <v>96</v>
      </c>
      <c r="I19" s="182" t="s">
        <v>10</v>
      </c>
      <c r="J19" s="182" t="s">
        <v>96</v>
      </c>
      <c r="K19" s="207">
        <v>847</v>
      </c>
      <c r="L19" s="207" t="s">
        <v>19</v>
      </c>
      <c r="M19"/>
      <c r="R19"/>
      <c r="T19"/>
    </row>
    <row r="20" spans="1:21">
      <c r="A20" s="170" t="s">
        <v>97</v>
      </c>
      <c r="B20" t="s">
        <v>98</v>
      </c>
      <c r="C20" s="209" t="s">
        <v>99</v>
      </c>
      <c r="D20" s="170" t="s">
        <v>11</v>
      </c>
      <c r="E20" s="170" t="s">
        <v>12</v>
      </c>
      <c r="H20" s="207">
        <v>511788</v>
      </c>
      <c r="I20" s="182" t="s">
        <v>100</v>
      </c>
      <c r="J20" s="182" t="s">
        <v>101</v>
      </c>
      <c r="K20" s="207">
        <v>1011</v>
      </c>
      <c r="L20" s="207" t="s">
        <v>15</v>
      </c>
      <c r="M20" s="289" t="s">
        <v>98</v>
      </c>
      <c r="Q20" s="292" t="s">
        <v>102</v>
      </c>
      <c r="R20" s="293" t="s">
        <v>103</v>
      </c>
      <c r="S20" s="294" t="s">
        <v>104</v>
      </c>
      <c r="T20" s="295"/>
      <c r="U20" s="182"/>
    </row>
    <row r="21" spans="1:20">
      <c r="A21" s="170" t="s">
        <v>105</v>
      </c>
      <c r="B21" s="170" t="s">
        <v>98</v>
      </c>
      <c r="C21" s="170"/>
      <c r="D21" s="170" t="s">
        <v>11</v>
      </c>
      <c r="E21" s="170" t="s">
        <v>12</v>
      </c>
      <c r="H21" s="207" t="s">
        <v>106</v>
      </c>
      <c r="I21" s="182" t="s">
        <v>10</v>
      </c>
      <c r="J21" s="182" t="s">
        <v>106</v>
      </c>
      <c r="K21" s="207">
        <v>848</v>
      </c>
      <c r="L21" s="207" t="s">
        <v>19</v>
      </c>
      <c r="M21"/>
      <c r="R21"/>
      <c r="T21"/>
    </row>
    <row r="22" spans="1:20">
      <c r="A22" s="170" t="s">
        <v>107</v>
      </c>
      <c r="B22" s="170" t="s">
        <v>108</v>
      </c>
      <c r="C22" s="170"/>
      <c r="D22" s="170" t="s">
        <v>11</v>
      </c>
      <c r="E22" s="170" t="s">
        <v>12</v>
      </c>
      <c r="H22" s="207">
        <v>431628</v>
      </c>
      <c r="I22" s="182" t="s">
        <v>109</v>
      </c>
      <c r="J22" s="182" t="s">
        <v>110</v>
      </c>
      <c r="K22" s="207">
        <v>1000</v>
      </c>
      <c r="L22" s="207" t="s">
        <v>15</v>
      </c>
      <c r="M22"/>
      <c r="R22"/>
      <c r="T22"/>
    </row>
    <row r="23" spans="1:13">
      <c r="A23" s="170" t="s">
        <v>111</v>
      </c>
      <c r="B23" s="170" t="s">
        <v>112</v>
      </c>
      <c r="C23" s="208" t="s">
        <v>113</v>
      </c>
      <c r="D23" s="170" t="s">
        <v>11</v>
      </c>
      <c r="E23" s="170" t="s">
        <v>12</v>
      </c>
      <c r="H23" s="207">
        <v>494353</v>
      </c>
      <c r="I23" s="182" t="s">
        <v>114</v>
      </c>
      <c r="J23" s="182" t="s">
        <v>115</v>
      </c>
      <c r="K23" s="207">
        <v>768</v>
      </c>
      <c r="L23" s="207" t="s">
        <v>15</v>
      </c>
      <c r="M23" s="289" t="s">
        <v>112</v>
      </c>
    </row>
    <row r="24" spans="1:20">
      <c r="A24" s="170" t="s">
        <v>116</v>
      </c>
      <c r="B24" s="170" t="s">
        <v>117</v>
      </c>
      <c r="C24" s="170"/>
      <c r="D24" s="170" t="s">
        <v>11</v>
      </c>
      <c r="E24" s="170" t="s">
        <v>12</v>
      </c>
      <c r="H24" s="207">
        <v>495997</v>
      </c>
      <c r="I24" s="182" t="s">
        <v>118</v>
      </c>
      <c r="J24" s="182" t="s">
        <v>119</v>
      </c>
      <c r="K24" s="207">
        <v>1104</v>
      </c>
      <c r="L24" s="207" t="s">
        <v>15</v>
      </c>
      <c r="M24"/>
      <c r="R24"/>
      <c r="T24"/>
    </row>
    <row r="25" spans="1:20">
      <c r="A25" s="170" t="s">
        <v>120</v>
      </c>
      <c r="B25" s="170" t="s">
        <v>121</v>
      </c>
      <c r="C25" s="170"/>
      <c r="D25" s="170" t="s">
        <v>11</v>
      </c>
      <c r="E25" s="170" t="s">
        <v>12</v>
      </c>
      <c r="H25" s="207">
        <v>495475</v>
      </c>
      <c r="I25" s="182" t="s">
        <v>122</v>
      </c>
      <c r="J25" s="182" t="s">
        <v>123</v>
      </c>
      <c r="K25" s="207">
        <v>1024</v>
      </c>
      <c r="L25" s="207" t="s">
        <v>15</v>
      </c>
      <c r="M25"/>
      <c r="R25"/>
      <c r="T25"/>
    </row>
    <row r="26" spans="1:13">
      <c r="A26" s="170" t="s">
        <v>124</v>
      </c>
      <c r="B26" s="170" t="s">
        <v>125</v>
      </c>
      <c r="C26" s="208" t="s">
        <v>126</v>
      </c>
      <c r="D26" s="170" t="s">
        <v>11</v>
      </c>
      <c r="E26" s="170" t="s">
        <v>12</v>
      </c>
      <c r="H26" s="207">
        <v>456552</v>
      </c>
      <c r="I26" s="182" t="s">
        <v>127</v>
      </c>
      <c r="J26" s="182" t="s">
        <v>128</v>
      </c>
      <c r="K26" s="207">
        <v>513</v>
      </c>
      <c r="L26" s="207" t="s">
        <v>15</v>
      </c>
      <c r="M26" s="289" t="s">
        <v>125</v>
      </c>
    </row>
    <row r="27" spans="1:20">
      <c r="A27" s="170" t="s">
        <v>129</v>
      </c>
      <c r="B27" s="170" t="s">
        <v>130</v>
      </c>
      <c r="C27" s="170"/>
      <c r="D27" s="170" t="s">
        <v>11</v>
      </c>
      <c r="E27" s="170" t="s">
        <v>12</v>
      </c>
      <c r="H27" s="207">
        <v>303575</v>
      </c>
      <c r="I27" s="182" t="s">
        <v>131</v>
      </c>
      <c r="J27" s="182" t="s">
        <v>132</v>
      </c>
      <c r="K27" s="207">
        <v>243</v>
      </c>
      <c r="L27" s="207" t="s">
        <v>15</v>
      </c>
      <c r="M27"/>
      <c r="R27"/>
      <c r="T27"/>
    </row>
    <row r="28" spans="1:20">
      <c r="A28" s="170" t="s">
        <v>133</v>
      </c>
      <c r="B28" s="170" t="s">
        <v>134</v>
      </c>
      <c r="C28" s="170"/>
      <c r="D28" s="170" t="s">
        <v>11</v>
      </c>
      <c r="E28" s="170" t="s">
        <v>12</v>
      </c>
      <c r="H28" s="207">
        <v>197679</v>
      </c>
      <c r="I28" s="182" t="s">
        <v>135</v>
      </c>
      <c r="J28" s="182" t="s">
        <v>136</v>
      </c>
      <c r="K28" s="207">
        <v>674</v>
      </c>
      <c r="L28" s="207" t="s">
        <v>15</v>
      </c>
      <c r="M28"/>
      <c r="R28"/>
      <c r="T28"/>
    </row>
    <row r="29" spans="1:13">
      <c r="A29" s="170" t="s">
        <v>137</v>
      </c>
      <c r="B29" s="170" t="s">
        <v>138</v>
      </c>
      <c r="C29" s="209" t="s">
        <v>139</v>
      </c>
      <c r="D29" s="170" t="s">
        <v>11</v>
      </c>
      <c r="E29" s="170" t="s">
        <v>12</v>
      </c>
      <c r="H29" s="207">
        <v>171119</v>
      </c>
      <c r="I29" s="182" t="s">
        <v>140</v>
      </c>
      <c r="J29" s="182" t="s">
        <v>141</v>
      </c>
      <c r="K29" s="207">
        <v>820</v>
      </c>
      <c r="L29" s="207" t="s">
        <v>15</v>
      </c>
      <c r="M29" s="289" t="s">
        <v>138</v>
      </c>
    </row>
    <row r="30" spans="1:20">
      <c r="A30" s="170" t="s">
        <v>142</v>
      </c>
      <c r="B30" s="170" t="s">
        <v>143</v>
      </c>
      <c r="C30" s="170"/>
      <c r="D30" s="170" t="s">
        <v>11</v>
      </c>
      <c r="E30" s="170" t="s">
        <v>12</v>
      </c>
      <c r="H30" s="207">
        <v>485435</v>
      </c>
      <c r="I30" s="182" t="s">
        <v>144</v>
      </c>
      <c r="J30" s="182" t="s">
        <v>145</v>
      </c>
      <c r="K30" s="207">
        <v>654</v>
      </c>
      <c r="L30" s="207" t="s">
        <v>15</v>
      </c>
      <c r="M30"/>
      <c r="R30"/>
      <c r="T30"/>
    </row>
    <row r="31" spans="1:20">
      <c r="A31" s="170" t="s">
        <v>146</v>
      </c>
      <c r="B31" s="170" t="s">
        <v>147</v>
      </c>
      <c r="C31" s="170"/>
      <c r="D31" s="170" t="s">
        <v>11</v>
      </c>
      <c r="E31" s="170" t="s">
        <v>12</v>
      </c>
      <c r="H31" s="207">
        <v>456401</v>
      </c>
      <c r="I31" s="182" t="s">
        <v>148</v>
      </c>
      <c r="J31" s="182" t="s">
        <v>149</v>
      </c>
      <c r="K31" s="207">
        <v>740</v>
      </c>
      <c r="L31" s="207" t="s">
        <v>15</v>
      </c>
      <c r="M31"/>
      <c r="R31"/>
      <c r="T31"/>
    </row>
    <row r="32" spans="1:13">
      <c r="A32" s="170" t="s">
        <v>150</v>
      </c>
      <c r="B32" s="170" t="s">
        <v>151</v>
      </c>
      <c r="C32" s="209" t="s">
        <v>152</v>
      </c>
      <c r="D32" s="170" t="s">
        <v>11</v>
      </c>
      <c r="E32" s="170" t="s">
        <v>12</v>
      </c>
      <c r="H32" s="207" t="s">
        <v>153</v>
      </c>
      <c r="I32" s="182" t="s">
        <v>10</v>
      </c>
      <c r="J32" s="182" t="s">
        <v>153</v>
      </c>
      <c r="K32" s="207">
        <v>822</v>
      </c>
      <c r="L32" s="207" t="s">
        <v>19</v>
      </c>
      <c r="M32" s="289" t="s">
        <v>151</v>
      </c>
    </row>
    <row r="33" spans="1:20">
      <c r="A33" s="170" t="s">
        <v>154</v>
      </c>
      <c r="B33" s="170" t="s">
        <v>155</v>
      </c>
      <c r="C33" s="170"/>
      <c r="D33" s="170" t="s">
        <v>11</v>
      </c>
      <c r="E33" s="170" t="s">
        <v>12</v>
      </c>
      <c r="H33" s="207">
        <v>459106</v>
      </c>
      <c r="I33" s="182" t="s">
        <v>156</v>
      </c>
      <c r="J33" s="182" t="s">
        <v>157</v>
      </c>
      <c r="K33" s="207">
        <v>15</v>
      </c>
      <c r="L33" s="207" t="s">
        <v>15</v>
      </c>
      <c r="M33"/>
      <c r="R33"/>
      <c r="T33"/>
    </row>
    <row r="34" spans="1:20">
      <c r="A34" s="170" t="s">
        <v>158</v>
      </c>
      <c r="B34" s="170" t="s">
        <v>159</v>
      </c>
      <c r="C34" s="170"/>
      <c r="D34" s="170" t="s">
        <v>11</v>
      </c>
      <c r="E34" s="170" t="s">
        <v>12</v>
      </c>
      <c r="H34" s="207">
        <v>509424</v>
      </c>
      <c r="I34" s="182" t="s">
        <v>160</v>
      </c>
      <c r="J34" s="182" t="s">
        <v>161</v>
      </c>
      <c r="K34" s="207">
        <v>84</v>
      </c>
      <c r="L34" s="207" t="s">
        <v>15</v>
      </c>
      <c r="M34"/>
      <c r="R34"/>
      <c r="T34"/>
    </row>
    <row r="35" spans="1:13">
      <c r="A35" s="170" t="s">
        <v>162</v>
      </c>
      <c r="B35" s="170" t="s">
        <v>163</v>
      </c>
      <c r="C35" s="209" t="s">
        <v>164</v>
      </c>
      <c r="D35" s="170" t="s">
        <v>11</v>
      </c>
      <c r="E35" s="170" t="s">
        <v>12</v>
      </c>
      <c r="H35" s="207" t="s">
        <v>165</v>
      </c>
      <c r="I35" s="182" t="s">
        <v>10</v>
      </c>
      <c r="J35" s="182" t="s">
        <v>165</v>
      </c>
      <c r="K35" s="207">
        <v>454</v>
      </c>
      <c r="L35" s="207" t="s">
        <v>19</v>
      </c>
      <c r="M35" s="289" t="s">
        <v>163</v>
      </c>
    </row>
    <row r="36" spans="1:20">
      <c r="A36" s="170" t="s">
        <v>166</v>
      </c>
      <c r="B36" s="170" t="s">
        <v>167</v>
      </c>
      <c r="C36" s="170"/>
      <c r="D36" s="170" t="s">
        <v>11</v>
      </c>
      <c r="E36" s="170" t="s">
        <v>12</v>
      </c>
      <c r="H36" s="207" t="s">
        <v>168</v>
      </c>
      <c r="I36" s="182" t="s">
        <v>10</v>
      </c>
      <c r="J36" s="182" t="s">
        <v>168</v>
      </c>
      <c r="K36" s="207">
        <v>357</v>
      </c>
      <c r="L36" s="207" t="s">
        <v>53</v>
      </c>
      <c r="M36"/>
      <c r="R36"/>
      <c r="T36"/>
    </row>
    <row r="37" spans="1:20">
      <c r="A37" s="170" t="s">
        <v>169</v>
      </c>
      <c r="B37" s="170" t="s">
        <v>170</v>
      </c>
      <c r="C37" s="170"/>
      <c r="D37" s="170" t="s">
        <v>11</v>
      </c>
      <c r="E37" s="170" t="s">
        <v>12</v>
      </c>
      <c r="H37" s="207" t="s">
        <v>171</v>
      </c>
      <c r="I37" s="182" t="s">
        <v>10</v>
      </c>
      <c r="J37" s="182" t="s">
        <v>171</v>
      </c>
      <c r="K37" s="207">
        <v>381</v>
      </c>
      <c r="L37" s="207" t="s">
        <v>53</v>
      </c>
      <c r="M37"/>
      <c r="R37"/>
      <c r="T37"/>
    </row>
    <row r="38" spans="1:13">
      <c r="A38" s="170" t="s">
        <v>172</v>
      </c>
      <c r="B38" s="170" t="s">
        <v>173</v>
      </c>
      <c r="C38" s="208" t="s">
        <v>174</v>
      </c>
      <c r="D38" s="170" t="s">
        <v>11</v>
      </c>
      <c r="E38" s="170" t="s">
        <v>12</v>
      </c>
      <c r="H38" s="207" t="s">
        <v>175</v>
      </c>
      <c r="I38" s="182" t="s">
        <v>10</v>
      </c>
      <c r="J38" s="182" t="s">
        <v>175</v>
      </c>
      <c r="K38" s="207">
        <v>63</v>
      </c>
      <c r="L38" s="207" t="s">
        <v>53</v>
      </c>
      <c r="M38" s="289" t="s">
        <v>173</v>
      </c>
    </row>
    <row r="39" spans="1:20">
      <c r="A39" s="170" t="s">
        <v>176</v>
      </c>
      <c r="B39" s="170" t="s">
        <v>177</v>
      </c>
      <c r="C39" s="170"/>
      <c r="D39" s="170" t="s">
        <v>11</v>
      </c>
      <c r="E39" s="170" t="s">
        <v>12</v>
      </c>
      <c r="H39" s="207">
        <v>425459</v>
      </c>
      <c r="I39" s="182" t="s">
        <v>178</v>
      </c>
      <c r="J39" s="182" t="s">
        <v>179</v>
      </c>
      <c r="K39" s="207">
        <v>885</v>
      </c>
      <c r="L39" s="207" t="s">
        <v>15</v>
      </c>
      <c r="M39"/>
      <c r="R39"/>
      <c r="T39"/>
    </row>
    <row r="40" spans="1:20">
      <c r="A40" s="170" t="s">
        <v>180</v>
      </c>
      <c r="B40" s="170" t="s">
        <v>181</v>
      </c>
      <c r="C40" s="170"/>
      <c r="D40" s="170" t="s">
        <v>11</v>
      </c>
      <c r="E40" s="170" t="s">
        <v>12</v>
      </c>
      <c r="H40" s="207">
        <v>501115</v>
      </c>
      <c r="I40" s="182" t="s">
        <v>182</v>
      </c>
      <c r="J40" s="182" t="s">
        <v>183</v>
      </c>
      <c r="K40" s="207">
        <v>696</v>
      </c>
      <c r="L40" s="207" t="s">
        <v>15</v>
      </c>
      <c r="M40"/>
      <c r="R40"/>
      <c r="T40"/>
    </row>
    <row r="41" spans="1:13">
      <c r="A41" s="170" t="s">
        <v>184</v>
      </c>
      <c r="B41" s="170" t="s">
        <v>185</v>
      </c>
      <c r="C41" s="208" t="s">
        <v>186</v>
      </c>
      <c r="D41" s="170" t="s">
        <v>11</v>
      </c>
      <c r="E41" s="170" t="s">
        <v>12</v>
      </c>
      <c r="H41" s="207">
        <v>669595</v>
      </c>
      <c r="I41" s="182" t="s">
        <v>187</v>
      </c>
      <c r="J41" s="182" t="s">
        <v>188</v>
      </c>
      <c r="K41" s="207">
        <v>1046</v>
      </c>
      <c r="L41" s="207" t="s">
        <v>15</v>
      </c>
      <c r="M41" s="289" t="s">
        <v>185</v>
      </c>
    </row>
    <row r="42" spans="1:20">
      <c r="A42" s="170" t="s">
        <v>189</v>
      </c>
      <c r="B42" s="170" t="s">
        <v>190</v>
      </c>
      <c r="C42" s="170"/>
      <c r="D42" s="170" t="s">
        <v>11</v>
      </c>
      <c r="E42" s="170" t="s">
        <v>12</v>
      </c>
      <c r="H42" s="207">
        <v>505536</v>
      </c>
      <c r="I42" s="182" t="s">
        <v>191</v>
      </c>
      <c r="J42" s="182" t="s">
        <v>192</v>
      </c>
      <c r="K42" s="207">
        <v>404</v>
      </c>
      <c r="L42" s="207" t="s">
        <v>15</v>
      </c>
      <c r="M42"/>
      <c r="R42"/>
      <c r="T42"/>
    </row>
    <row r="43" spans="1:20">
      <c r="A43" s="170" t="s">
        <v>193</v>
      </c>
      <c r="B43" s="170" t="s">
        <v>194</v>
      </c>
      <c r="C43" s="170"/>
      <c r="D43" s="170" t="s">
        <v>11</v>
      </c>
      <c r="E43" s="170" t="s">
        <v>12</v>
      </c>
      <c r="H43" s="207" t="s">
        <v>195</v>
      </c>
      <c r="I43" s="182" t="s">
        <v>10</v>
      </c>
      <c r="J43" s="182" t="s">
        <v>195</v>
      </c>
      <c r="K43" s="207">
        <v>626</v>
      </c>
      <c r="L43" s="207" t="s">
        <v>19</v>
      </c>
      <c r="M43"/>
      <c r="R43"/>
      <c r="T43"/>
    </row>
    <row r="44" spans="1:13">
      <c r="A44" s="170" t="s">
        <v>196</v>
      </c>
      <c r="B44" s="170" t="s">
        <v>197</v>
      </c>
      <c r="C44" s="208" t="s">
        <v>198</v>
      </c>
      <c r="D44" s="170" t="s">
        <v>11</v>
      </c>
      <c r="E44" s="170" t="s">
        <v>12</v>
      </c>
      <c r="H44" s="207">
        <v>229537</v>
      </c>
      <c r="I44" s="182" t="s">
        <v>199</v>
      </c>
      <c r="J44" s="182" t="s">
        <v>200</v>
      </c>
      <c r="K44" s="207">
        <v>161</v>
      </c>
      <c r="L44" s="207" t="s">
        <v>15</v>
      </c>
      <c r="M44" s="291">
        <v>44254194</v>
      </c>
    </row>
    <row r="45" spans="1:20">
      <c r="A45" s="170" t="s">
        <v>201</v>
      </c>
      <c r="B45" s="170" t="s">
        <v>202</v>
      </c>
      <c r="C45" s="170"/>
      <c r="D45" s="170" t="s">
        <v>11</v>
      </c>
      <c r="E45" s="170" t="s">
        <v>12</v>
      </c>
      <c r="H45" s="207">
        <v>500801</v>
      </c>
      <c r="I45" s="182" t="s">
        <v>203</v>
      </c>
      <c r="J45" s="182" t="s">
        <v>204</v>
      </c>
      <c r="K45" s="207">
        <v>1186</v>
      </c>
      <c r="L45" s="207" t="s">
        <v>15</v>
      </c>
      <c r="M45"/>
      <c r="R45"/>
      <c r="T45"/>
    </row>
    <row r="46" spans="1:20">
      <c r="A46" s="170" t="s">
        <v>205</v>
      </c>
      <c r="B46" s="170" t="s">
        <v>206</v>
      </c>
      <c r="C46" s="170"/>
      <c r="D46" s="170" t="s">
        <v>11</v>
      </c>
      <c r="E46" s="170" t="s">
        <v>12</v>
      </c>
      <c r="H46" s="207">
        <v>424712</v>
      </c>
      <c r="I46" s="182" t="s">
        <v>207</v>
      </c>
      <c r="J46" s="182" t="s">
        <v>208</v>
      </c>
      <c r="K46" s="207">
        <v>273</v>
      </c>
      <c r="L46" s="207" t="s">
        <v>15</v>
      </c>
      <c r="M46"/>
      <c r="R46"/>
      <c r="T46"/>
    </row>
    <row r="47" spans="1:13">
      <c r="A47" s="170" t="s">
        <v>209</v>
      </c>
      <c r="B47" s="170" t="s">
        <v>210</v>
      </c>
      <c r="C47" s="209" t="s">
        <v>211</v>
      </c>
      <c r="D47" s="170" t="s">
        <v>11</v>
      </c>
      <c r="E47" s="170" t="s">
        <v>12</v>
      </c>
      <c r="H47" s="207">
        <v>508348</v>
      </c>
      <c r="I47" s="182" t="s">
        <v>212</v>
      </c>
      <c r="J47" s="182" t="s">
        <v>213</v>
      </c>
      <c r="K47" s="207">
        <v>134</v>
      </c>
      <c r="L47" s="207" t="s">
        <v>15</v>
      </c>
      <c r="M47" s="289" t="s">
        <v>210</v>
      </c>
    </row>
    <row r="48" spans="1:20">
      <c r="A48" s="170" t="s">
        <v>214</v>
      </c>
      <c r="B48" s="170" t="s">
        <v>215</v>
      </c>
      <c r="C48" s="170"/>
      <c r="D48" s="170" t="s">
        <v>11</v>
      </c>
      <c r="E48" s="170" t="s">
        <v>12</v>
      </c>
      <c r="H48" s="207">
        <v>514411</v>
      </c>
      <c r="I48" s="182" t="s">
        <v>216</v>
      </c>
      <c r="J48" s="182" t="s">
        <v>217</v>
      </c>
      <c r="K48" s="207">
        <v>452</v>
      </c>
      <c r="L48" s="207" t="s">
        <v>15</v>
      </c>
      <c r="M48"/>
      <c r="R48"/>
      <c r="T48"/>
    </row>
    <row r="49" spans="1:20">
      <c r="A49" s="170" t="s">
        <v>218</v>
      </c>
      <c r="B49" s="170" t="s">
        <v>219</v>
      </c>
      <c r="C49" s="170"/>
      <c r="D49" s="170" t="s">
        <v>11</v>
      </c>
      <c r="E49" s="170" t="s">
        <v>12</v>
      </c>
      <c r="H49" s="207">
        <v>373817</v>
      </c>
      <c r="I49" s="182" t="s">
        <v>220</v>
      </c>
      <c r="J49" s="182" t="s">
        <v>221</v>
      </c>
      <c r="K49" s="207">
        <v>590</v>
      </c>
      <c r="L49" s="207" t="s">
        <v>15</v>
      </c>
      <c r="M49"/>
      <c r="R49"/>
      <c r="T49"/>
    </row>
    <row r="50" spans="1:13">
      <c r="A50" s="170" t="s">
        <v>222</v>
      </c>
      <c r="B50" s="170" t="s">
        <v>223</v>
      </c>
      <c r="C50" s="208" t="s">
        <v>224</v>
      </c>
      <c r="D50" s="170" t="s">
        <v>11</v>
      </c>
      <c r="E50" s="170" t="s">
        <v>12</v>
      </c>
      <c r="H50" s="207">
        <v>507538</v>
      </c>
      <c r="I50" s="182" t="s">
        <v>225</v>
      </c>
      <c r="J50" s="182" t="s">
        <v>226</v>
      </c>
      <c r="K50" s="207">
        <v>23</v>
      </c>
      <c r="L50" s="207" t="s">
        <v>15</v>
      </c>
      <c r="M50" s="289" t="s">
        <v>223</v>
      </c>
    </row>
    <row r="51" spans="1:20">
      <c r="A51" s="170" t="s">
        <v>227</v>
      </c>
      <c r="B51" s="170" t="s">
        <v>228</v>
      </c>
      <c r="C51" s="170"/>
      <c r="D51" s="170" t="s">
        <v>11</v>
      </c>
      <c r="E51" s="170" t="s">
        <v>12</v>
      </c>
      <c r="H51" s="207">
        <v>501406</v>
      </c>
      <c r="I51" s="182" t="s">
        <v>229</v>
      </c>
      <c r="J51" s="182" t="s">
        <v>230</v>
      </c>
      <c r="K51" s="207">
        <v>698</v>
      </c>
      <c r="L51" s="207" t="s">
        <v>15</v>
      </c>
      <c r="M51"/>
      <c r="R51"/>
      <c r="T51"/>
    </row>
    <row r="52" spans="1:20">
      <c r="A52" s="170" t="s">
        <v>231</v>
      </c>
      <c r="B52" s="170" t="s">
        <v>232</v>
      </c>
      <c r="C52" s="170"/>
      <c r="D52" s="170" t="s">
        <v>11</v>
      </c>
      <c r="E52" s="170" t="s">
        <v>12</v>
      </c>
      <c r="H52" s="207">
        <v>493372</v>
      </c>
      <c r="I52" s="182" t="s">
        <v>233</v>
      </c>
      <c r="J52" s="182" t="s">
        <v>234</v>
      </c>
      <c r="K52" s="207">
        <v>234</v>
      </c>
      <c r="L52" s="207" t="s">
        <v>15</v>
      </c>
      <c r="M52"/>
      <c r="R52"/>
      <c r="T52"/>
    </row>
    <row r="53" spans="1:13">
      <c r="A53" s="170" t="s">
        <v>235</v>
      </c>
      <c r="B53" s="290" t="s">
        <v>236</v>
      </c>
      <c r="C53" s="208" t="s">
        <v>237</v>
      </c>
      <c r="D53" s="170" t="s">
        <v>11</v>
      </c>
      <c r="E53" s="170" t="s">
        <v>12</v>
      </c>
      <c r="H53" s="207">
        <v>473689</v>
      </c>
      <c r="I53" s="182" t="s">
        <v>238</v>
      </c>
      <c r="J53" s="182" t="s">
        <v>239</v>
      </c>
      <c r="K53" s="207">
        <v>1115</v>
      </c>
      <c r="L53" s="207" t="s">
        <v>15</v>
      </c>
      <c r="M53" s="289" t="s">
        <v>236</v>
      </c>
    </row>
    <row r="54" spans="1:20">
      <c r="A54" s="170" t="s">
        <v>240</v>
      </c>
      <c r="B54" s="170" t="s">
        <v>241</v>
      </c>
      <c r="C54" s="170"/>
      <c r="D54" s="170" t="s">
        <v>11</v>
      </c>
      <c r="E54" s="170" t="s">
        <v>12</v>
      </c>
      <c r="H54" s="207">
        <v>483759</v>
      </c>
      <c r="I54" s="182" t="s">
        <v>242</v>
      </c>
      <c r="J54" s="182" t="s">
        <v>243</v>
      </c>
      <c r="K54" s="207">
        <v>786</v>
      </c>
      <c r="L54" s="207" t="s">
        <v>15</v>
      </c>
      <c r="M54"/>
      <c r="R54"/>
      <c r="T54"/>
    </row>
    <row r="55" spans="1:20">
      <c r="A55" s="170" t="s">
        <v>244</v>
      </c>
      <c r="B55" s="170" t="s">
        <v>236</v>
      </c>
      <c r="C55" s="170"/>
      <c r="D55" s="170" t="s">
        <v>11</v>
      </c>
      <c r="E55" s="170" t="s">
        <v>12</v>
      </c>
      <c r="H55" s="207">
        <v>492162</v>
      </c>
      <c r="I55" s="182" t="s">
        <v>245</v>
      </c>
      <c r="J55" s="182" t="s">
        <v>246</v>
      </c>
      <c r="K55" s="207">
        <v>504</v>
      </c>
      <c r="L55" s="207" t="s">
        <v>15</v>
      </c>
      <c r="M55"/>
      <c r="R55"/>
      <c r="T55"/>
    </row>
    <row r="56" spans="1:13">
      <c r="A56" s="170" t="s">
        <v>247</v>
      </c>
      <c r="B56" s="170" t="s">
        <v>248</v>
      </c>
      <c r="C56" s="208" t="s">
        <v>249</v>
      </c>
      <c r="D56" s="170" t="s">
        <v>11</v>
      </c>
      <c r="E56" s="170" t="s">
        <v>12</v>
      </c>
      <c r="H56" s="207">
        <v>202347</v>
      </c>
      <c r="I56" s="182" t="s">
        <v>250</v>
      </c>
      <c r="J56" s="182" t="s">
        <v>251</v>
      </c>
      <c r="K56" s="207">
        <v>916</v>
      </c>
      <c r="L56" s="207" t="s">
        <v>15</v>
      </c>
      <c r="M56" s="289" t="s">
        <v>248</v>
      </c>
    </row>
    <row r="57" spans="1:20">
      <c r="A57" s="170" t="s">
        <v>252</v>
      </c>
      <c r="B57" s="170" t="s">
        <v>253</v>
      </c>
      <c r="C57" s="170"/>
      <c r="D57" s="170" t="s">
        <v>11</v>
      </c>
      <c r="E57" s="170" t="s">
        <v>12</v>
      </c>
      <c r="H57" s="207" t="s">
        <v>254</v>
      </c>
      <c r="I57" s="182" t="s">
        <v>10</v>
      </c>
      <c r="J57" s="182" t="s">
        <v>254</v>
      </c>
      <c r="K57" s="207">
        <v>318</v>
      </c>
      <c r="L57" s="207" t="s">
        <v>53</v>
      </c>
      <c r="M57"/>
      <c r="R57"/>
      <c r="T57"/>
    </row>
    <row r="58" spans="1:20">
      <c r="A58" s="170" t="s">
        <v>255</v>
      </c>
      <c r="B58" s="170" t="s">
        <v>256</v>
      </c>
      <c r="C58" s="170"/>
      <c r="D58" s="170" t="s">
        <v>11</v>
      </c>
      <c r="E58" s="170" t="s">
        <v>12</v>
      </c>
      <c r="H58" s="207" t="s">
        <v>257</v>
      </c>
      <c r="I58" s="182" t="s">
        <v>10</v>
      </c>
      <c r="J58" s="182" t="s">
        <v>257</v>
      </c>
      <c r="K58" s="207">
        <v>1066</v>
      </c>
      <c r="L58" s="207" t="s">
        <v>19</v>
      </c>
      <c r="M58"/>
      <c r="R58"/>
      <c r="T58"/>
    </row>
    <row r="59" spans="1:13">
      <c r="A59" s="170" t="s">
        <v>258</v>
      </c>
      <c r="B59" s="170" t="s">
        <v>259</v>
      </c>
      <c r="C59" s="208" t="s">
        <v>260</v>
      </c>
      <c r="D59" s="170" t="s">
        <v>11</v>
      </c>
      <c r="E59" s="170" t="s">
        <v>12</v>
      </c>
      <c r="H59" s="207">
        <v>469660</v>
      </c>
      <c r="I59" s="182" t="s">
        <v>261</v>
      </c>
      <c r="J59" s="182" t="s">
        <v>262</v>
      </c>
      <c r="K59" s="207">
        <v>925</v>
      </c>
      <c r="L59" s="207" t="s">
        <v>15</v>
      </c>
      <c r="M59" s="289" t="s">
        <v>259</v>
      </c>
    </row>
    <row r="60" spans="1:20">
      <c r="A60" s="170" t="s">
        <v>263</v>
      </c>
      <c r="B60" s="170" t="s">
        <v>264</v>
      </c>
      <c r="C60" s="170"/>
      <c r="D60" s="170" t="s">
        <v>11</v>
      </c>
      <c r="E60" s="170" t="s">
        <v>12</v>
      </c>
      <c r="H60" s="207">
        <v>492840</v>
      </c>
      <c r="I60" s="182" t="s">
        <v>265</v>
      </c>
      <c r="J60" s="182" t="s">
        <v>266</v>
      </c>
      <c r="K60" s="207">
        <v>923</v>
      </c>
      <c r="L60" s="207" t="s">
        <v>15</v>
      </c>
      <c r="M60"/>
      <c r="R60"/>
      <c r="T60"/>
    </row>
    <row r="61" spans="1:20">
      <c r="A61" s="170" t="s">
        <v>267</v>
      </c>
      <c r="B61" s="170" t="s">
        <v>268</v>
      </c>
      <c r="C61" s="170"/>
      <c r="D61" s="170" t="s">
        <v>11</v>
      </c>
      <c r="E61" s="170" t="s">
        <v>12</v>
      </c>
      <c r="H61" s="207">
        <v>495752</v>
      </c>
      <c r="I61" s="182" t="s">
        <v>269</v>
      </c>
      <c r="J61" s="182" t="s">
        <v>270</v>
      </c>
      <c r="K61" s="207">
        <v>650</v>
      </c>
      <c r="L61" s="207" t="s">
        <v>15</v>
      </c>
      <c r="M61"/>
      <c r="R61"/>
      <c r="T61"/>
    </row>
    <row r="62" spans="1:13">
      <c r="A62" s="170" t="s">
        <v>271</v>
      </c>
      <c r="B62" s="170" t="s">
        <v>272</v>
      </c>
      <c r="C62" s="208" t="s">
        <v>273</v>
      </c>
      <c r="D62" s="170" t="s">
        <v>11</v>
      </c>
      <c r="E62" s="170" t="s">
        <v>12</v>
      </c>
      <c r="H62" s="207">
        <v>498325</v>
      </c>
      <c r="I62" s="182" t="s">
        <v>274</v>
      </c>
      <c r="J62" s="182" t="s">
        <v>275</v>
      </c>
      <c r="K62" s="207">
        <v>509</v>
      </c>
      <c r="L62" s="207" t="s">
        <v>15</v>
      </c>
      <c r="M62" s="289" t="s">
        <v>272</v>
      </c>
    </row>
    <row r="63" spans="1:20">
      <c r="A63" s="170" t="s">
        <v>276</v>
      </c>
      <c r="B63" s="170" t="s">
        <v>277</v>
      </c>
      <c r="C63" s="170"/>
      <c r="D63" s="170" t="s">
        <v>11</v>
      </c>
      <c r="E63" s="170" t="s">
        <v>12</v>
      </c>
      <c r="H63" s="207">
        <v>23055</v>
      </c>
      <c r="I63" s="182" t="s">
        <v>278</v>
      </c>
      <c r="J63" s="182" t="s">
        <v>279</v>
      </c>
      <c r="K63" s="207">
        <v>1051</v>
      </c>
      <c r="L63" s="207" t="s">
        <v>15</v>
      </c>
      <c r="M63"/>
      <c r="R63"/>
      <c r="T63"/>
    </row>
    <row r="64" spans="1:20">
      <c r="A64" s="170" t="s">
        <v>280</v>
      </c>
      <c r="B64" s="170" t="s">
        <v>281</v>
      </c>
      <c r="C64" s="170"/>
      <c r="D64" s="170" t="s">
        <v>11</v>
      </c>
      <c r="E64" s="170" t="s">
        <v>12</v>
      </c>
      <c r="H64" s="207">
        <v>465035</v>
      </c>
      <c r="I64" s="182" t="s">
        <v>282</v>
      </c>
      <c r="J64" s="182" t="s">
        <v>283</v>
      </c>
      <c r="K64" s="207">
        <v>1084</v>
      </c>
      <c r="L64" s="207" t="s">
        <v>15</v>
      </c>
      <c r="M64"/>
      <c r="R64"/>
      <c r="T64"/>
    </row>
    <row r="65" spans="1:13">
      <c r="A65" s="170" t="s">
        <v>284</v>
      </c>
      <c r="B65" s="170" t="s">
        <v>285</v>
      </c>
      <c r="C65" s="208" t="s">
        <v>286</v>
      </c>
      <c r="D65" s="170" t="s">
        <v>11</v>
      </c>
      <c r="E65" s="170" t="s">
        <v>12</v>
      </c>
      <c r="H65" s="207" t="s">
        <v>287</v>
      </c>
      <c r="I65" s="182" t="s">
        <v>10</v>
      </c>
      <c r="J65" s="182" t="s">
        <v>287</v>
      </c>
      <c r="K65" s="207">
        <v>424</v>
      </c>
      <c r="L65" s="207" t="s">
        <v>19</v>
      </c>
      <c r="M65" s="289" t="s">
        <v>285</v>
      </c>
    </row>
    <row r="66" spans="1:20">
      <c r="A66" s="170" t="s">
        <v>288</v>
      </c>
      <c r="B66" s="170" t="s">
        <v>289</v>
      </c>
      <c r="C66" s="170"/>
      <c r="D66" s="170" t="s">
        <v>11</v>
      </c>
      <c r="E66" s="170" t="s">
        <v>12</v>
      </c>
      <c r="H66" s="207">
        <v>496167</v>
      </c>
      <c r="I66" s="182" t="s">
        <v>290</v>
      </c>
      <c r="J66" s="182" t="s">
        <v>291</v>
      </c>
      <c r="K66" s="182"/>
      <c r="L66" s="182" t="s">
        <v>15</v>
      </c>
      <c r="M66"/>
      <c r="R66"/>
      <c r="T66"/>
    </row>
    <row r="67" spans="1:20">
      <c r="A67" s="170" t="s">
        <v>292</v>
      </c>
      <c r="B67" s="170" t="s">
        <v>293</v>
      </c>
      <c r="C67" s="170"/>
      <c r="D67" s="170" t="s">
        <v>11</v>
      </c>
      <c r="E67" s="170" t="s">
        <v>12</v>
      </c>
      <c r="H67" s="207">
        <v>301281</v>
      </c>
      <c r="I67" s="182" t="s">
        <v>294</v>
      </c>
      <c r="J67" s="182" t="s">
        <v>295</v>
      </c>
      <c r="K67" s="182" t="s">
        <v>296</v>
      </c>
      <c r="L67" s="182" t="s">
        <v>15</v>
      </c>
      <c r="M67"/>
      <c r="R67"/>
      <c r="T67"/>
    </row>
    <row r="68" spans="1:20">
      <c r="A68" s="170" t="s">
        <v>297</v>
      </c>
      <c r="B68" s="170" t="s">
        <v>298</v>
      </c>
      <c r="C68" s="178" t="s">
        <v>10</v>
      </c>
      <c r="D68" s="170" t="s">
        <v>11</v>
      </c>
      <c r="E68" s="170" t="s">
        <v>12</v>
      </c>
      <c r="H68" s="207">
        <v>473040</v>
      </c>
      <c r="I68" s="182" t="s">
        <v>299</v>
      </c>
      <c r="J68" s="182" t="s">
        <v>300</v>
      </c>
      <c r="K68" s="182" t="s">
        <v>301</v>
      </c>
      <c r="L68" s="182" t="s">
        <v>15</v>
      </c>
      <c r="M68"/>
      <c r="R68"/>
      <c r="T68"/>
    </row>
    <row r="69" spans="1:20">
      <c r="A69" s="170" t="s">
        <v>302</v>
      </c>
      <c r="B69" s="170" t="s">
        <v>303</v>
      </c>
      <c r="C69" s="178" t="s">
        <v>10</v>
      </c>
      <c r="D69" s="170" t="s">
        <v>11</v>
      </c>
      <c r="E69" s="170" t="s">
        <v>12</v>
      </c>
      <c r="H69" s="207">
        <v>486075</v>
      </c>
      <c r="I69" s="182" t="s">
        <v>304</v>
      </c>
      <c r="J69" s="182" t="s">
        <v>305</v>
      </c>
      <c r="K69" s="182" t="s">
        <v>306</v>
      </c>
      <c r="L69" s="182" t="s">
        <v>15</v>
      </c>
      <c r="M69"/>
      <c r="R69"/>
      <c r="T69"/>
    </row>
    <row r="70" spans="1:20">
      <c r="A70" s="170" t="s">
        <v>307</v>
      </c>
      <c r="B70" s="170" t="s">
        <v>308</v>
      </c>
      <c r="C70" s="178" t="s">
        <v>10</v>
      </c>
      <c r="D70" s="170" t="s">
        <v>11</v>
      </c>
      <c r="E70" s="170" t="s">
        <v>12</v>
      </c>
      <c r="H70" s="207">
        <v>971109</v>
      </c>
      <c r="I70" s="182" t="s">
        <v>309</v>
      </c>
      <c r="J70" s="182" t="s">
        <v>310</v>
      </c>
      <c r="K70" s="182" t="s">
        <v>311</v>
      </c>
      <c r="L70" s="182" t="s">
        <v>15</v>
      </c>
      <c r="M70"/>
      <c r="R70"/>
      <c r="T70"/>
    </row>
    <row r="71" spans="1:20">
      <c r="A71" s="170" t="s">
        <v>312</v>
      </c>
      <c r="B71" s="170" t="s">
        <v>313</v>
      </c>
      <c r="C71" s="178" t="s">
        <v>10</v>
      </c>
      <c r="D71" s="170" t="s">
        <v>11</v>
      </c>
      <c r="E71" s="170" t="s">
        <v>12</v>
      </c>
      <c r="H71" s="207">
        <v>519406</v>
      </c>
      <c r="I71" s="182" t="s">
        <v>314</v>
      </c>
      <c r="J71" s="182" t="s">
        <v>315</v>
      </c>
      <c r="K71" s="182" t="s">
        <v>316</v>
      </c>
      <c r="L71" s="182" t="s">
        <v>15</v>
      </c>
      <c r="M71"/>
      <c r="R71"/>
      <c r="T71"/>
    </row>
    <row r="72" spans="1:20">
      <c r="A72" s="170" t="s">
        <v>317</v>
      </c>
      <c r="B72" s="170" t="s">
        <v>318</v>
      </c>
      <c r="C72" s="178" t="s">
        <v>10</v>
      </c>
      <c r="D72" s="170" t="s">
        <v>11</v>
      </c>
      <c r="E72" s="170" t="s">
        <v>12</v>
      </c>
      <c r="H72" s="207">
        <v>224340</v>
      </c>
      <c r="I72" s="182" t="s">
        <v>319</v>
      </c>
      <c r="J72" s="182" t="s">
        <v>320</v>
      </c>
      <c r="K72" s="182" t="s">
        <v>321</v>
      </c>
      <c r="L72" s="182" t="s">
        <v>15</v>
      </c>
      <c r="M72"/>
      <c r="R72"/>
      <c r="T72"/>
    </row>
    <row r="73" spans="1:20">
      <c r="A73" s="170" t="s">
        <v>322</v>
      </c>
      <c r="B73" s="170" t="s">
        <v>323</v>
      </c>
      <c r="C73" s="178" t="s">
        <v>10</v>
      </c>
      <c r="D73" s="170" t="s">
        <v>11</v>
      </c>
      <c r="E73" s="170" t="s">
        <v>12</v>
      </c>
      <c r="H73" s="207" t="s">
        <v>324</v>
      </c>
      <c r="I73" s="182" t="s">
        <v>10</v>
      </c>
      <c r="J73" s="182" t="s">
        <v>324</v>
      </c>
      <c r="K73" s="182" t="s">
        <v>325</v>
      </c>
      <c r="L73" s="182" t="s">
        <v>53</v>
      </c>
      <c r="M73"/>
      <c r="R73"/>
      <c r="T73"/>
    </row>
    <row r="74" spans="1:13">
      <c r="A74" s="170" t="s">
        <v>326</v>
      </c>
      <c r="B74" s="170" t="s">
        <v>327</v>
      </c>
      <c r="C74" s="208" t="s">
        <v>328</v>
      </c>
      <c r="D74" s="170" t="s">
        <v>11</v>
      </c>
      <c r="E74" s="170" t="s">
        <v>12</v>
      </c>
      <c r="H74" s="207">
        <v>497202</v>
      </c>
      <c r="I74" s="182" t="s">
        <v>329</v>
      </c>
      <c r="J74" s="182" t="s">
        <v>330</v>
      </c>
      <c r="K74" s="182" t="s">
        <v>331</v>
      </c>
      <c r="L74" s="182" t="s">
        <v>15</v>
      </c>
      <c r="M74" s="289" t="s">
        <v>327</v>
      </c>
    </row>
    <row r="75" spans="1:20">
      <c r="A75" s="170" t="s">
        <v>332</v>
      </c>
      <c r="B75" s="170" t="s">
        <v>333</v>
      </c>
      <c r="C75" s="170"/>
      <c r="D75" s="170" t="s">
        <v>11</v>
      </c>
      <c r="E75" s="170" t="s">
        <v>12</v>
      </c>
      <c r="H75" s="207">
        <v>497124</v>
      </c>
      <c r="I75" s="182" t="s">
        <v>334</v>
      </c>
      <c r="J75" s="182" t="s">
        <v>335</v>
      </c>
      <c r="K75" s="182" t="s">
        <v>336</v>
      </c>
      <c r="L75" s="182" t="s">
        <v>15</v>
      </c>
      <c r="M75"/>
      <c r="R75"/>
      <c r="T75"/>
    </row>
    <row r="76" spans="1:20">
      <c r="A76" s="170" t="s">
        <v>337</v>
      </c>
      <c r="B76" s="170" t="s">
        <v>338</v>
      </c>
      <c r="C76" s="170"/>
      <c r="D76" s="170" t="s">
        <v>11</v>
      </c>
      <c r="E76" s="170" t="s">
        <v>12</v>
      </c>
      <c r="H76" s="207">
        <v>544064</v>
      </c>
      <c r="I76" s="182" t="s">
        <v>339</v>
      </c>
      <c r="J76" s="182" t="s">
        <v>340</v>
      </c>
      <c r="K76" s="182" t="s">
        <v>341</v>
      </c>
      <c r="L76" s="182" t="s">
        <v>15</v>
      </c>
      <c r="M76"/>
      <c r="R76"/>
      <c r="T76"/>
    </row>
    <row r="77" spans="1:13">
      <c r="A77" s="170" t="s">
        <v>342</v>
      </c>
      <c r="B77" s="170" t="s">
        <v>343</v>
      </c>
      <c r="C77" s="208" t="s">
        <v>344</v>
      </c>
      <c r="D77" s="170" t="s">
        <v>11</v>
      </c>
      <c r="E77" s="170" t="s">
        <v>12</v>
      </c>
      <c r="H77" s="207" t="s">
        <v>345</v>
      </c>
      <c r="I77" s="182" t="s">
        <v>10</v>
      </c>
      <c r="J77" s="182" t="s">
        <v>345</v>
      </c>
      <c r="K77" s="182" t="s">
        <v>346</v>
      </c>
      <c r="L77" s="182" t="s">
        <v>53</v>
      </c>
      <c r="M77" s="289" t="s">
        <v>343</v>
      </c>
    </row>
    <row r="78" spans="1:20">
      <c r="A78" s="170" t="s">
        <v>347</v>
      </c>
      <c r="B78" s="170" t="s">
        <v>348</v>
      </c>
      <c r="C78" s="170"/>
      <c r="D78" s="170" t="s">
        <v>11</v>
      </c>
      <c r="E78" s="170" t="s">
        <v>12</v>
      </c>
      <c r="H78" s="207">
        <v>490977</v>
      </c>
      <c r="I78" s="182" t="s">
        <v>349</v>
      </c>
      <c r="J78" s="182" t="s">
        <v>350</v>
      </c>
      <c r="K78" s="182" t="s">
        <v>351</v>
      </c>
      <c r="L78" s="182" t="s">
        <v>15</v>
      </c>
      <c r="M78"/>
      <c r="R78"/>
      <c r="T78"/>
    </row>
    <row r="79" spans="1:20">
      <c r="A79" s="170" t="s">
        <v>352</v>
      </c>
      <c r="B79" s="170" t="s">
        <v>353</v>
      </c>
      <c r="C79" s="170"/>
      <c r="D79" s="170" t="s">
        <v>11</v>
      </c>
      <c r="E79" s="170" t="s">
        <v>12</v>
      </c>
      <c r="H79" s="207">
        <v>496720</v>
      </c>
      <c r="I79" s="182" t="s">
        <v>354</v>
      </c>
      <c r="J79" s="182" t="s">
        <v>355</v>
      </c>
      <c r="K79" s="182" t="s">
        <v>356</v>
      </c>
      <c r="L79" s="182" t="s">
        <v>15</v>
      </c>
      <c r="M79"/>
      <c r="R79"/>
      <c r="T79"/>
    </row>
    <row r="80" spans="1:13">
      <c r="A80" s="170" t="s">
        <v>357</v>
      </c>
      <c r="B80" s="170" t="s">
        <v>358</v>
      </c>
      <c r="C80" s="208" t="s">
        <v>359</v>
      </c>
      <c r="D80" s="170" t="s">
        <v>11</v>
      </c>
      <c r="E80" s="170" t="s">
        <v>12</v>
      </c>
      <c r="H80" s="207">
        <v>370004</v>
      </c>
      <c r="I80" s="182" t="s">
        <v>360</v>
      </c>
      <c r="J80" s="182" t="s">
        <v>361</v>
      </c>
      <c r="K80" s="182" t="s">
        <v>362</v>
      </c>
      <c r="L80" s="182" t="s">
        <v>15</v>
      </c>
      <c r="M80" s="289" t="s">
        <v>358</v>
      </c>
    </row>
    <row r="81" spans="1:13">
      <c r="A81" s="170" t="s">
        <v>363</v>
      </c>
      <c r="B81" s="170" t="s">
        <v>364</v>
      </c>
      <c r="C81" s="208" t="s">
        <v>365</v>
      </c>
      <c r="D81" s="170" t="s">
        <v>11</v>
      </c>
      <c r="E81" s="170" t="s">
        <v>12</v>
      </c>
      <c r="H81" s="207">
        <v>40874</v>
      </c>
      <c r="I81" s="182" t="s">
        <v>366</v>
      </c>
      <c r="J81" s="182" t="s">
        <v>367</v>
      </c>
      <c r="K81" s="182" t="s">
        <v>368</v>
      </c>
      <c r="L81" s="182" t="s">
        <v>369</v>
      </c>
      <c r="M81" s="289" t="s">
        <v>364</v>
      </c>
    </row>
    <row r="82" spans="1:20">
      <c r="A82" s="170" t="s">
        <v>370</v>
      </c>
      <c r="B82" s="170" t="s">
        <v>371</v>
      </c>
      <c r="C82" s="170"/>
      <c r="D82" s="170" t="s">
        <v>11</v>
      </c>
      <c r="E82" s="170" t="s">
        <v>12</v>
      </c>
      <c r="H82" s="207">
        <v>486003</v>
      </c>
      <c r="I82" s="182" t="s">
        <v>372</v>
      </c>
      <c r="J82" s="182" t="s">
        <v>373</v>
      </c>
      <c r="K82" s="182" t="s">
        <v>374</v>
      </c>
      <c r="L82" s="182" t="s">
        <v>15</v>
      </c>
      <c r="M82"/>
      <c r="R82"/>
      <c r="T82"/>
    </row>
    <row r="83" spans="1:13">
      <c r="A83" s="170" t="s">
        <v>375</v>
      </c>
      <c r="B83" s="170" t="s">
        <v>376</v>
      </c>
      <c r="C83" s="208" t="s">
        <v>377</v>
      </c>
      <c r="D83" s="170" t="s">
        <v>11</v>
      </c>
      <c r="E83" s="170" t="s">
        <v>12</v>
      </c>
      <c r="H83" s="207">
        <v>411408</v>
      </c>
      <c r="I83" s="182" t="s">
        <v>378</v>
      </c>
      <c r="J83" s="182" t="s">
        <v>379</v>
      </c>
      <c r="K83" s="182" t="s">
        <v>380</v>
      </c>
      <c r="L83" s="182" t="s">
        <v>15</v>
      </c>
      <c r="M83" s="289" t="s">
        <v>381</v>
      </c>
    </row>
    <row r="84" spans="1:13">
      <c r="A84" s="170" t="s">
        <v>382</v>
      </c>
      <c r="B84" t="s">
        <v>376</v>
      </c>
      <c r="C84" s="208" t="s">
        <v>383</v>
      </c>
      <c r="D84" s="170" t="s">
        <v>11</v>
      </c>
      <c r="E84" s="170" t="s">
        <v>12</v>
      </c>
      <c r="H84" s="207">
        <v>496672</v>
      </c>
      <c r="I84" s="182" t="s">
        <v>384</v>
      </c>
      <c r="J84" s="182" t="s">
        <v>385</v>
      </c>
      <c r="K84" s="182" t="s">
        <v>386</v>
      </c>
      <c r="L84" s="182" t="s">
        <v>15</v>
      </c>
      <c r="M84" s="289" t="s">
        <v>376</v>
      </c>
    </row>
    <row r="85" spans="1:20">
      <c r="A85" s="170" t="s">
        <v>387</v>
      </c>
      <c r="B85" s="170" t="s">
        <v>388</v>
      </c>
      <c r="C85" s="170"/>
      <c r="D85" s="170" t="s">
        <v>11</v>
      </c>
      <c r="E85" s="170" t="s">
        <v>12</v>
      </c>
      <c r="H85" s="207">
        <v>481627</v>
      </c>
      <c r="I85" s="182" t="s">
        <v>389</v>
      </c>
      <c r="J85" s="182" t="s">
        <v>390</v>
      </c>
      <c r="K85" s="182" t="s">
        <v>391</v>
      </c>
      <c r="L85" s="182" t="s">
        <v>15</v>
      </c>
      <c r="M85"/>
      <c r="R85"/>
      <c r="T85"/>
    </row>
    <row r="86" spans="1:20">
      <c r="A86" s="170" t="s">
        <v>392</v>
      </c>
      <c r="B86" s="170" t="s">
        <v>393</v>
      </c>
      <c r="C86" s="170" t="s">
        <v>394</v>
      </c>
      <c r="D86" s="170" t="s">
        <v>11</v>
      </c>
      <c r="E86" s="170" t="s">
        <v>12</v>
      </c>
      <c r="H86" s="207">
        <v>513520</v>
      </c>
      <c r="I86" s="182" t="s">
        <v>395</v>
      </c>
      <c r="J86" s="182" t="s">
        <v>396</v>
      </c>
      <c r="K86" s="182" t="s">
        <v>397</v>
      </c>
      <c r="L86" s="182" t="s">
        <v>15</v>
      </c>
      <c r="M86" s="170" t="s">
        <v>393</v>
      </c>
      <c r="R86"/>
      <c r="T86"/>
    </row>
    <row r="87" spans="1:20">
      <c r="A87" s="170" t="s">
        <v>398</v>
      </c>
      <c r="B87" s="170" t="s">
        <v>399</v>
      </c>
      <c r="C87" s="170" t="s">
        <v>400</v>
      </c>
      <c r="D87" s="170" t="s">
        <v>11</v>
      </c>
      <c r="E87" s="170" t="s">
        <v>12</v>
      </c>
      <c r="H87" s="207">
        <v>501415</v>
      </c>
      <c r="I87" s="182" t="s">
        <v>401</v>
      </c>
      <c r="J87" s="182" t="s">
        <v>402</v>
      </c>
      <c r="K87" s="182" t="s">
        <v>403</v>
      </c>
      <c r="L87" s="182" t="s">
        <v>15</v>
      </c>
      <c r="M87" s="170" t="s">
        <v>399</v>
      </c>
      <c r="R87"/>
      <c r="T87"/>
    </row>
    <row r="88" spans="1:20">
      <c r="A88" s="170" t="s">
        <v>404</v>
      </c>
      <c r="B88" s="170" t="s">
        <v>405</v>
      </c>
      <c r="C88" s="170"/>
      <c r="D88" s="170" t="s">
        <v>11</v>
      </c>
      <c r="E88" s="170" t="s">
        <v>12</v>
      </c>
      <c r="H88" s="207">
        <v>508766</v>
      </c>
      <c r="I88" s="182" t="s">
        <v>406</v>
      </c>
      <c r="J88" s="182" t="s">
        <v>407</v>
      </c>
      <c r="K88" s="182" t="s">
        <v>408</v>
      </c>
      <c r="L88" s="182" t="s">
        <v>15</v>
      </c>
      <c r="M88"/>
      <c r="R88"/>
      <c r="T88"/>
    </row>
    <row r="89" spans="1:20">
      <c r="A89" s="170" t="s">
        <v>409</v>
      </c>
      <c r="B89" s="170" t="s">
        <v>410</v>
      </c>
      <c r="C89" s="170" t="s">
        <v>411</v>
      </c>
      <c r="D89" s="170" t="s">
        <v>11</v>
      </c>
      <c r="E89" s="170" t="s">
        <v>12</v>
      </c>
      <c r="F89" s="170"/>
      <c r="H89" s="207">
        <v>213926</v>
      </c>
      <c r="I89" s="182" t="s">
        <v>412</v>
      </c>
      <c r="J89" s="182" t="s">
        <v>413</v>
      </c>
      <c r="K89" s="182" t="s">
        <v>414</v>
      </c>
      <c r="L89" s="182" t="s">
        <v>415</v>
      </c>
      <c r="M89" s="170" t="s">
        <v>410</v>
      </c>
      <c r="R89"/>
      <c r="T89"/>
    </row>
    <row r="90" spans="1:20">
      <c r="A90" s="170" t="s">
        <v>416</v>
      </c>
      <c r="B90" s="170" t="s">
        <v>417</v>
      </c>
      <c r="C90" s="170"/>
      <c r="D90" s="170" t="s">
        <v>11</v>
      </c>
      <c r="E90" s="170" t="s">
        <v>12</v>
      </c>
      <c r="H90" s="207">
        <v>177841</v>
      </c>
      <c r="I90" s="182" t="s">
        <v>418</v>
      </c>
      <c r="J90" s="182" t="s">
        <v>419</v>
      </c>
      <c r="K90" s="182" t="s">
        <v>420</v>
      </c>
      <c r="L90" s="182" t="s">
        <v>15</v>
      </c>
      <c r="M90"/>
      <c r="R90"/>
      <c r="T90"/>
    </row>
    <row r="91" spans="1:20">
      <c r="A91" s="170" t="s">
        <v>421</v>
      </c>
      <c r="B91" s="170" t="s">
        <v>422</v>
      </c>
      <c r="C91" s="170"/>
      <c r="D91" s="170" t="s">
        <v>11</v>
      </c>
      <c r="E91" s="170" t="s">
        <v>12</v>
      </c>
      <c r="H91" s="207">
        <v>693439</v>
      </c>
      <c r="I91" s="182" t="s">
        <v>423</v>
      </c>
      <c r="J91" s="182" t="s">
        <v>424</v>
      </c>
      <c r="K91" s="182" t="s">
        <v>425</v>
      </c>
      <c r="L91" s="182" t="s">
        <v>369</v>
      </c>
      <c r="M91"/>
      <c r="R91"/>
      <c r="T91"/>
    </row>
    <row r="92" spans="1:20">
      <c r="A92" s="170" t="s">
        <v>426</v>
      </c>
      <c r="B92" s="170" t="s">
        <v>427</v>
      </c>
      <c r="C92" s="170" t="s">
        <v>428</v>
      </c>
      <c r="D92" s="170" t="s">
        <v>11</v>
      </c>
      <c r="E92" s="170" t="s">
        <v>12</v>
      </c>
      <c r="H92" s="207">
        <v>486517</v>
      </c>
      <c r="I92" s="182" t="s">
        <v>429</v>
      </c>
      <c r="J92" s="182" t="s">
        <v>430</v>
      </c>
      <c r="K92" s="182" t="s">
        <v>431</v>
      </c>
      <c r="L92" s="182" t="s">
        <v>15</v>
      </c>
      <c r="M92" s="170" t="s">
        <v>427</v>
      </c>
      <c r="R92"/>
      <c r="T92"/>
    </row>
    <row r="93" spans="1:20">
      <c r="A93" s="170" t="s">
        <v>432</v>
      </c>
      <c r="B93" s="170" t="s">
        <v>433</v>
      </c>
      <c r="C93" s="170"/>
      <c r="D93" s="170" t="s">
        <v>11</v>
      </c>
      <c r="E93" s="170" t="s">
        <v>12</v>
      </c>
      <c r="H93" s="207">
        <v>477832</v>
      </c>
      <c r="I93" s="182" t="s">
        <v>434</v>
      </c>
      <c r="J93" s="182" t="s">
        <v>435</v>
      </c>
      <c r="K93" s="182" t="s">
        <v>436</v>
      </c>
      <c r="L93" s="182" t="s">
        <v>15</v>
      </c>
      <c r="M93"/>
      <c r="R93"/>
      <c r="T93"/>
    </row>
    <row r="94" spans="1:20">
      <c r="A94" s="170" t="s">
        <v>437</v>
      </c>
      <c r="B94" s="170" t="s">
        <v>438</v>
      </c>
      <c r="C94" s="170"/>
      <c r="D94" s="170" t="s">
        <v>11</v>
      </c>
      <c r="E94" s="170" t="s">
        <v>12</v>
      </c>
      <c r="H94" s="207">
        <v>219455</v>
      </c>
      <c r="I94" s="182" t="s">
        <v>439</v>
      </c>
      <c r="J94" s="182" t="s">
        <v>440</v>
      </c>
      <c r="K94" s="182" t="s">
        <v>441</v>
      </c>
      <c r="L94" s="182" t="s">
        <v>15</v>
      </c>
      <c r="M94"/>
      <c r="R94"/>
      <c r="T94"/>
    </row>
    <row r="95" spans="1:20">
      <c r="A95" s="170" t="s">
        <v>442</v>
      </c>
      <c r="B95" s="170" t="s">
        <v>443</v>
      </c>
      <c r="C95" s="170" t="s">
        <v>444</v>
      </c>
      <c r="D95" s="170" t="s">
        <v>11</v>
      </c>
      <c r="E95" s="170" t="s">
        <v>12</v>
      </c>
      <c r="H95" s="207" t="s">
        <v>445</v>
      </c>
      <c r="I95" s="182" t="s">
        <v>10</v>
      </c>
      <c r="J95" s="182" t="s">
        <v>445</v>
      </c>
      <c r="K95" s="182" t="s">
        <v>446</v>
      </c>
      <c r="L95" s="182" t="s">
        <v>447</v>
      </c>
      <c r="M95" s="170" t="s">
        <v>443</v>
      </c>
      <c r="R95"/>
      <c r="T95"/>
    </row>
    <row r="96" spans="1:20">
      <c r="A96" s="170" t="s">
        <v>448</v>
      </c>
      <c r="B96" s="170" t="s">
        <v>449</v>
      </c>
      <c r="C96" s="170" t="s">
        <v>450</v>
      </c>
      <c r="D96" s="170" t="s">
        <v>11</v>
      </c>
      <c r="E96" s="170" t="s">
        <v>12</v>
      </c>
      <c r="H96" s="207" t="s">
        <v>451</v>
      </c>
      <c r="I96" s="182" t="s">
        <v>10</v>
      </c>
      <c r="J96" s="182" t="s">
        <v>451</v>
      </c>
      <c r="K96" s="182" t="s">
        <v>452</v>
      </c>
      <c r="L96" s="182" t="s">
        <v>53</v>
      </c>
      <c r="M96" s="170" t="s">
        <v>449</v>
      </c>
      <c r="R96"/>
      <c r="T96"/>
    </row>
    <row r="97" spans="1:20">
      <c r="A97" s="170" t="s">
        <v>453</v>
      </c>
      <c r="B97" s="170" t="s">
        <v>454</v>
      </c>
      <c r="C97" s="170"/>
      <c r="D97" s="170" t="s">
        <v>11</v>
      </c>
      <c r="E97" s="170" t="s">
        <v>12</v>
      </c>
      <c r="H97" s="207" t="s">
        <v>10</v>
      </c>
      <c r="I97" s="182" t="s">
        <v>10</v>
      </c>
      <c r="J97" s="182" t="s">
        <v>455</v>
      </c>
      <c r="K97" s="182" t="s">
        <v>456</v>
      </c>
      <c r="L97" s="182" t="s">
        <v>53</v>
      </c>
      <c r="M97"/>
      <c r="R97"/>
      <c r="T97"/>
    </row>
    <row r="98" spans="1:20">
      <c r="A98" s="170" t="s">
        <v>457</v>
      </c>
      <c r="B98" s="170" t="s">
        <v>458</v>
      </c>
      <c r="C98" s="170" t="s">
        <v>459</v>
      </c>
      <c r="D98" s="170" t="s">
        <v>11</v>
      </c>
      <c r="E98" s="170" t="s">
        <v>12</v>
      </c>
      <c r="H98" s="207">
        <v>469354</v>
      </c>
      <c r="I98" s="182" t="s">
        <v>460</v>
      </c>
      <c r="J98" s="182" t="s">
        <v>461</v>
      </c>
      <c r="K98" s="182" t="s">
        <v>462</v>
      </c>
      <c r="L98" s="182" t="s">
        <v>15</v>
      </c>
      <c r="M98" s="170" t="s">
        <v>458</v>
      </c>
      <c r="R98"/>
      <c r="T98"/>
    </row>
    <row r="99" spans="1:20">
      <c r="A99" s="170" t="s">
        <v>463</v>
      </c>
      <c r="B99" s="170" t="s">
        <v>464</v>
      </c>
      <c r="C99" s="170" t="s">
        <v>465</v>
      </c>
      <c r="D99" s="170" t="s">
        <v>11</v>
      </c>
      <c r="E99" s="170" t="s">
        <v>12</v>
      </c>
      <c r="H99" s="207">
        <v>222374</v>
      </c>
      <c r="I99" s="182" t="s">
        <v>466</v>
      </c>
      <c r="J99" s="182" t="s">
        <v>467</v>
      </c>
      <c r="K99" s="182" t="s">
        <v>468</v>
      </c>
      <c r="L99" s="182" t="s">
        <v>15</v>
      </c>
      <c r="M99" s="170" t="s">
        <v>464</v>
      </c>
      <c r="R99"/>
      <c r="T99"/>
    </row>
    <row r="100" spans="1:20">
      <c r="A100" s="170" t="s">
        <v>469</v>
      </c>
      <c r="B100" s="170" t="s">
        <v>470</v>
      </c>
      <c r="C100" s="170"/>
      <c r="D100" s="170" t="s">
        <v>11</v>
      </c>
      <c r="E100" s="170" t="s">
        <v>12</v>
      </c>
      <c r="H100" s="207">
        <v>466321</v>
      </c>
      <c r="I100" s="182" t="s">
        <v>471</v>
      </c>
      <c r="J100" s="182" t="s">
        <v>472</v>
      </c>
      <c r="K100" s="182" t="s">
        <v>473</v>
      </c>
      <c r="L100" s="182" t="s">
        <v>15</v>
      </c>
      <c r="M100"/>
      <c r="R100"/>
      <c r="T100"/>
    </row>
    <row r="101" spans="1:20">
      <c r="A101" s="170" t="s">
        <v>474</v>
      </c>
      <c r="B101" s="170" t="s">
        <v>475</v>
      </c>
      <c r="C101" s="170" t="s">
        <v>476</v>
      </c>
      <c r="D101" s="170" t="s">
        <v>11</v>
      </c>
      <c r="E101" s="170" t="s">
        <v>12</v>
      </c>
      <c r="H101" s="207">
        <v>481705</v>
      </c>
      <c r="I101" s="182" t="s">
        <v>477</v>
      </c>
      <c r="J101" s="182" t="s">
        <v>478</v>
      </c>
      <c r="K101" s="182" t="s">
        <v>479</v>
      </c>
      <c r="L101" s="182" t="s">
        <v>15</v>
      </c>
      <c r="M101" s="170" t="s">
        <v>475</v>
      </c>
      <c r="R101"/>
      <c r="T101"/>
    </row>
    <row r="102" spans="1:20">
      <c r="A102" s="170" t="s">
        <v>480</v>
      </c>
      <c r="B102" s="170" t="s">
        <v>481</v>
      </c>
      <c r="C102" s="170" t="s">
        <v>482</v>
      </c>
      <c r="D102" s="170" t="s">
        <v>11</v>
      </c>
      <c r="E102" s="170" t="s">
        <v>12</v>
      </c>
      <c r="H102" s="207" t="s">
        <v>483</v>
      </c>
      <c r="I102" s="182" t="s">
        <v>10</v>
      </c>
      <c r="J102" s="182" t="s">
        <v>483</v>
      </c>
      <c r="K102" s="182" t="s">
        <v>484</v>
      </c>
      <c r="L102" s="182" t="s">
        <v>19</v>
      </c>
      <c r="M102" s="170" t="s">
        <v>481</v>
      </c>
      <c r="R102"/>
      <c r="T102"/>
    </row>
    <row r="103" spans="1:20">
      <c r="A103" s="170" t="s">
        <v>485</v>
      </c>
      <c r="B103" s="170" t="s">
        <v>486</v>
      </c>
      <c r="C103" s="170"/>
      <c r="D103" s="170" t="s">
        <v>11</v>
      </c>
      <c r="E103" s="170" t="s">
        <v>12</v>
      </c>
      <c r="H103" s="207">
        <v>198788</v>
      </c>
      <c r="I103" s="182" t="s">
        <v>487</v>
      </c>
      <c r="J103" s="182" t="s">
        <v>488</v>
      </c>
      <c r="K103" s="182" t="s">
        <v>489</v>
      </c>
      <c r="L103" s="182" t="s">
        <v>15</v>
      </c>
      <c r="M103"/>
      <c r="R103"/>
      <c r="T103"/>
    </row>
    <row r="104" spans="1:20">
      <c r="A104" s="170" t="s">
        <v>490</v>
      </c>
      <c r="B104" s="170" t="s">
        <v>491</v>
      </c>
      <c r="C104" s="170" t="s">
        <v>492</v>
      </c>
      <c r="D104" s="170" t="s">
        <v>11</v>
      </c>
      <c r="E104" s="170" t="s">
        <v>12</v>
      </c>
      <c r="H104" s="207" t="s">
        <v>493</v>
      </c>
      <c r="I104" s="182" t="s">
        <v>10</v>
      </c>
      <c r="J104" s="182" t="s">
        <v>493</v>
      </c>
      <c r="K104" s="182" t="s">
        <v>494</v>
      </c>
      <c r="L104" s="182" t="s">
        <v>447</v>
      </c>
      <c r="M104" s="170" t="s">
        <v>491</v>
      </c>
      <c r="R104"/>
      <c r="T104"/>
    </row>
    <row r="105" spans="1:20">
      <c r="A105" s="170" t="s">
        <v>495</v>
      </c>
      <c r="B105" s="170" t="s">
        <v>496</v>
      </c>
      <c r="C105" s="170"/>
      <c r="D105" s="170" t="s">
        <v>11</v>
      </c>
      <c r="E105" s="170" t="s">
        <v>12</v>
      </c>
      <c r="H105" s="207">
        <v>486934</v>
      </c>
      <c r="I105" s="182" t="s">
        <v>497</v>
      </c>
      <c r="J105" s="182" t="s">
        <v>498</v>
      </c>
      <c r="K105" s="182" t="s">
        <v>499</v>
      </c>
      <c r="L105" s="182" t="s">
        <v>15</v>
      </c>
      <c r="M105"/>
      <c r="R105"/>
      <c r="T105"/>
    </row>
    <row r="106" spans="1:20">
      <c r="A106" s="170" t="s">
        <v>500</v>
      </c>
      <c r="B106" s="170" t="s">
        <v>501</v>
      </c>
      <c r="C106" s="170"/>
      <c r="D106" s="170" t="s">
        <v>11</v>
      </c>
      <c r="E106" s="170" t="s">
        <v>12</v>
      </c>
      <c r="H106" s="207">
        <v>500852</v>
      </c>
      <c r="I106" s="182" t="s">
        <v>502</v>
      </c>
      <c r="J106" s="182" t="s">
        <v>503</v>
      </c>
      <c r="K106" s="182" t="s">
        <v>504</v>
      </c>
      <c r="L106" s="182" t="s">
        <v>15</v>
      </c>
      <c r="M106"/>
      <c r="R106"/>
      <c r="T106"/>
    </row>
    <row r="107" spans="1:20">
      <c r="A107" s="170" t="s">
        <v>505</v>
      </c>
      <c r="B107" s="170" t="s">
        <v>506</v>
      </c>
      <c r="C107" s="170"/>
      <c r="D107" s="170" t="s">
        <v>11</v>
      </c>
      <c r="E107" s="170" t="s">
        <v>12</v>
      </c>
      <c r="H107" s="207">
        <v>496380</v>
      </c>
      <c r="I107" s="182" t="s">
        <v>507</v>
      </c>
      <c r="J107" s="182" t="s">
        <v>508</v>
      </c>
      <c r="K107" s="182" t="s">
        <v>509</v>
      </c>
      <c r="L107" s="182" t="s">
        <v>15</v>
      </c>
      <c r="M107"/>
      <c r="R107"/>
      <c r="T107"/>
    </row>
    <row r="108" spans="1:20">
      <c r="A108" s="170" t="s">
        <v>510</v>
      </c>
      <c r="B108" s="170" t="s">
        <v>511</v>
      </c>
      <c r="C108" s="170"/>
      <c r="D108" s="170" t="s">
        <v>11</v>
      </c>
      <c r="E108" s="170" t="s">
        <v>12</v>
      </c>
      <c r="H108" s="207">
        <v>492346</v>
      </c>
      <c r="I108" s="182" t="s">
        <v>512</v>
      </c>
      <c r="J108" s="182" t="s">
        <v>513</v>
      </c>
      <c r="K108" s="182"/>
      <c r="L108" s="182" t="s">
        <v>15</v>
      </c>
      <c r="M108"/>
      <c r="R108"/>
      <c r="T108"/>
    </row>
    <row r="109" spans="1:20">
      <c r="A109" s="170" t="s">
        <v>514</v>
      </c>
      <c r="B109" s="170" t="s">
        <v>515</v>
      </c>
      <c r="C109" s="170"/>
      <c r="D109" s="170" t="s">
        <v>11</v>
      </c>
      <c r="E109" s="170" t="s">
        <v>12</v>
      </c>
      <c r="H109" s="207">
        <v>464936</v>
      </c>
      <c r="I109" s="182" t="s">
        <v>516</v>
      </c>
      <c r="J109" s="182" t="s">
        <v>517</v>
      </c>
      <c r="K109" s="182" t="s">
        <v>518</v>
      </c>
      <c r="L109" s="182" t="s">
        <v>15</v>
      </c>
      <c r="M109"/>
      <c r="R109"/>
      <c r="T109"/>
    </row>
    <row r="110" spans="1:20">
      <c r="A110" s="170" t="s">
        <v>519</v>
      </c>
      <c r="B110" s="170" t="s">
        <v>520</v>
      </c>
      <c r="C110" s="170" t="s">
        <v>521</v>
      </c>
      <c r="D110" s="170" t="s">
        <v>11</v>
      </c>
      <c r="E110" s="170" t="s">
        <v>12</v>
      </c>
      <c r="H110" s="207">
        <v>454269</v>
      </c>
      <c r="I110" s="182" t="s">
        <v>522</v>
      </c>
      <c r="J110" s="182" t="s">
        <v>523</v>
      </c>
      <c r="K110" s="182" t="s">
        <v>524</v>
      </c>
      <c r="L110" s="182" t="s">
        <v>15</v>
      </c>
      <c r="M110" s="170" t="s">
        <v>520</v>
      </c>
      <c r="R110"/>
      <c r="T110"/>
    </row>
    <row r="111" spans="1:20">
      <c r="A111" s="170" t="s">
        <v>525</v>
      </c>
      <c r="B111" s="170" t="s">
        <v>526</v>
      </c>
      <c r="C111" s="170" t="s">
        <v>527</v>
      </c>
      <c r="D111" s="170" t="s">
        <v>11</v>
      </c>
      <c r="E111" s="170" t="s">
        <v>12</v>
      </c>
      <c r="H111" s="207" t="s">
        <v>528</v>
      </c>
      <c r="I111" s="182" t="s">
        <v>10</v>
      </c>
      <c r="J111" s="182" t="s">
        <v>528</v>
      </c>
      <c r="K111" s="182" t="s">
        <v>529</v>
      </c>
      <c r="L111" s="182" t="s">
        <v>53</v>
      </c>
      <c r="M111" s="170" t="s">
        <v>526</v>
      </c>
      <c r="R111"/>
      <c r="T111"/>
    </row>
    <row r="112" spans="1:20">
      <c r="A112" s="170" t="s">
        <v>530</v>
      </c>
      <c r="B112" s="170" t="s">
        <v>531</v>
      </c>
      <c r="C112" s="170"/>
      <c r="D112" s="170" t="s">
        <v>11</v>
      </c>
      <c r="E112" s="170" t="s">
        <v>12</v>
      </c>
      <c r="H112" s="207">
        <v>514024</v>
      </c>
      <c r="I112" s="182" t="s">
        <v>532</v>
      </c>
      <c r="J112" s="182" t="s">
        <v>533</v>
      </c>
      <c r="K112" s="182"/>
      <c r="L112" s="182" t="s">
        <v>15</v>
      </c>
      <c r="M112"/>
      <c r="R112"/>
      <c r="T112"/>
    </row>
    <row r="113" spans="1:20">
      <c r="A113" s="170" t="s">
        <v>534</v>
      </c>
      <c r="B113" s="170" t="s">
        <v>535</v>
      </c>
      <c r="C113" s="170" t="s">
        <v>536</v>
      </c>
      <c r="D113" s="170" t="s">
        <v>11</v>
      </c>
      <c r="E113" s="170" t="s">
        <v>12</v>
      </c>
      <c r="H113" s="207">
        <v>181283</v>
      </c>
      <c r="I113" s="182" t="s">
        <v>537</v>
      </c>
      <c r="J113" s="182" t="s">
        <v>538</v>
      </c>
      <c r="K113" s="182" t="s">
        <v>539</v>
      </c>
      <c r="L113" s="182" t="s">
        <v>15</v>
      </c>
      <c r="M113" s="170" t="s">
        <v>535</v>
      </c>
      <c r="R113"/>
      <c r="T113"/>
    </row>
    <row r="114" spans="1:20">
      <c r="A114" s="170" t="s">
        <v>540</v>
      </c>
      <c r="B114" s="170" t="s">
        <v>541</v>
      </c>
      <c r="C114" s="170" t="s">
        <v>542</v>
      </c>
      <c r="D114" s="170" t="s">
        <v>11</v>
      </c>
      <c r="E114" s="170" t="s">
        <v>12</v>
      </c>
      <c r="H114" s="207" t="s">
        <v>543</v>
      </c>
      <c r="I114" s="182" t="s">
        <v>10</v>
      </c>
      <c r="J114" s="182" t="s">
        <v>543</v>
      </c>
      <c r="K114" s="182" t="s">
        <v>544</v>
      </c>
      <c r="L114" s="182" t="s">
        <v>53</v>
      </c>
      <c r="M114" s="170" t="s">
        <v>541</v>
      </c>
      <c r="R114"/>
      <c r="T114"/>
    </row>
    <row r="115" spans="1:20">
      <c r="A115" s="170" t="s">
        <v>545</v>
      </c>
      <c r="B115" s="170" t="s">
        <v>546</v>
      </c>
      <c r="C115" s="170"/>
      <c r="D115" s="170" t="s">
        <v>11</v>
      </c>
      <c r="E115" s="170" t="s">
        <v>12</v>
      </c>
      <c r="H115" s="207">
        <v>155205</v>
      </c>
      <c r="I115" s="182" t="s">
        <v>547</v>
      </c>
      <c r="J115" s="182" t="s">
        <v>548</v>
      </c>
      <c r="K115" s="182" t="s">
        <v>549</v>
      </c>
      <c r="L115" s="182" t="s">
        <v>15</v>
      </c>
      <c r="M115"/>
      <c r="R115"/>
      <c r="T115"/>
    </row>
    <row r="116" spans="1:20">
      <c r="A116" s="170" t="s">
        <v>550</v>
      </c>
      <c r="B116" s="170" t="s">
        <v>551</v>
      </c>
      <c r="C116" s="170" t="s">
        <v>552</v>
      </c>
      <c r="D116" s="170" t="s">
        <v>11</v>
      </c>
      <c r="E116" s="170" t="s">
        <v>12</v>
      </c>
      <c r="H116" s="207">
        <v>503410</v>
      </c>
      <c r="I116" s="182" t="s">
        <v>553</v>
      </c>
      <c r="J116" s="182" t="s">
        <v>554</v>
      </c>
      <c r="K116" s="182" t="s">
        <v>555</v>
      </c>
      <c r="L116" s="182" t="s">
        <v>15</v>
      </c>
      <c r="M116" s="170" t="s">
        <v>551</v>
      </c>
      <c r="R116"/>
      <c r="T116"/>
    </row>
    <row r="117" spans="1:20">
      <c r="A117" s="170" t="s">
        <v>556</v>
      </c>
      <c r="B117" s="170" t="s">
        <v>557</v>
      </c>
      <c r="C117" s="170" t="s">
        <v>558</v>
      </c>
      <c r="D117" s="170" t="s">
        <v>11</v>
      </c>
      <c r="E117" s="170" t="s">
        <v>12</v>
      </c>
      <c r="H117" s="207">
        <v>477301</v>
      </c>
      <c r="I117" s="182" t="s">
        <v>559</v>
      </c>
      <c r="J117" s="182" t="s">
        <v>560</v>
      </c>
      <c r="K117" s="182" t="s">
        <v>561</v>
      </c>
      <c r="L117" s="182" t="s">
        <v>15</v>
      </c>
      <c r="M117" s="170" t="s">
        <v>557</v>
      </c>
      <c r="R117"/>
      <c r="T117"/>
    </row>
    <row r="118" spans="1:20">
      <c r="A118" s="170" t="s">
        <v>562</v>
      </c>
      <c r="B118" s="170" t="s">
        <v>563</v>
      </c>
      <c r="C118" s="170"/>
      <c r="D118" s="170" t="s">
        <v>11</v>
      </c>
      <c r="E118" s="170" t="s">
        <v>12</v>
      </c>
      <c r="H118" s="207">
        <v>496832</v>
      </c>
      <c r="I118" s="182" t="s">
        <v>564</v>
      </c>
      <c r="J118" s="182" t="s">
        <v>565</v>
      </c>
      <c r="K118" s="182" t="s">
        <v>566</v>
      </c>
      <c r="L118" s="182" t="s">
        <v>15</v>
      </c>
      <c r="M118"/>
      <c r="R118"/>
      <c r="T118"/>
    </row>
    <row r="119" spans="1:20">
      <c r="A119" s="170" t="s">
        <v>567</v>
      </c>
      <c r="B119" s="170" t="s">
        <v>568</v>
      </c>
      <c r="C119" s="170"/>
      <c r="D119" s="170" t="s">
        <v>11</v>
      </c>
      <c r="E119" s="170" t="s">
        <v>12</v>
      </c>
      <c r="H119" s="207" t="s">
        <v>569</v>
      </c>
      <c r="I119" s="182" t="s">
        <v>10</v>
      </c>
      <c r="J119" s="182" t="s">
        <v>569</v>
      </c>
      <c r="K119" s="182" t="s">
        <v>570</v>
      </c>
      <c r="L119" s="182" t="s">
        <v>19</v>
      </c>
      <c r="M119"/>
      <c r="R119"/>
      <c r="T119"/>
    </row>
    <row r="120" spans="1:20">
      <c r="A120" s="170" t="s">
        <v>571</v>
      </c>
      <c r="B120" s="170" t="s">
        <v>572</v>
      </c>
      <c r="C120" s="170"/>
      <c r="D120" s="170" t="s">
        <v>11</v>
      </c>
      <c r="E120" s="170" t="s">
        <v>12</v>
      </c>
      <c r="H120" s="207">
        <v>501146</v>
      </c>
      <c r="I120" s="182" t="s">
        <v>573</v>
      </c>
      <c r="J120" s="182" t="s">
        <v>574</v>
      </c>
      <c r="K120" s="182" t="s">
        <v>575</v>
      </c>
      <c r="L120" s="182" t="s">
        <v>15</v>
      </c>
      <c r="M120"/>
      <c r="R120"/>
      <c r="T120"/>
    </row>
    <row r="121" spans="1:20">
      <c r="A121" s="170" t="s">
        <v>576</v>
      </c>
      <c r="B121" s="170" t="s">
        <v>577</v>
      </c>
      <c r="C121" s="178" t="s">
        <v>578</v>
      </c>
      <c r="D121" s="170" t="s">
        <v>11</v>
      </c>
      <c r="E121" s="170" t="s">
        <v>12</v>
      </c>
      <c r="H121" s="207" t="s">
        <v>579</v>
      </c>
      <c r="I121" s="182" t="s">
        <v>10</v>
      </c>
      <c r="J121" s="182" t="s">
        <v>579</v>
      </c>
      <c r="K121" s="182" t="s">
        <v>580</v>
      </c>
      <c r="L121" s="182" t="s">
        <v>19</v>
      </c>
      <c r="M121" s="170" t="s">
        <v>577</v>
      </c>
      <c r="R121"/>
      <c r="T121"/>
    </row>
    <row r="122" ht="15" customHeight="1" spans="1:20">
      <c r="A122" s="170" t="s">
        <v>581</v>
      </c>
      <c r="B122" s="170" t="s">
        <v>582</v>
      </c>
      <c r="C122" s="178" t="s">
        <v>583</v>
      </c>
      <c r="D122" s="170" t="s">
        <v>11</v>
      </c>
      <c r="E122" s="170" t="s">
        <v>12</v>
      </c>
      <c r="H122" s="207" t="s">
        <v>584</v>
      </c>
      <c r="I122" s="182" t="s">
        <v>10</v>
      </c>
      <c r="J122" s="182" t="s">
        <v>584</v>
      </c>
      <c r="K122" s="182" t="s">
        <v>585</v>
      </c>
      <c r="L122" s="182" t="s">
        <v>19</v>
      </c>
      <c r="M122" t="s">
        <v>582</v>
      </c>
      <c r="R122"/>
      <c r="T122"/>
    </row>
    <row r="123" ht="11.25" customHeight="1" spans="1:20">
      <c r="A123" s="170" t="s">
        <v>586</v>
      </c>
      <c r="B123" s="170" t="s">
        <v>587</v>
      </c>
      <c r="C123" s="170"/>
      <c r="D123" s="170" t="s">
        <v>11</v>
      </c>
      <c r="E123" s="170" t="s">
        <v>12</v>
      </c>
      <c r="H123" s="207">
        <v>431485</v>
      </c>
      <c r="I123" s="182" t="s">
        <v>588</v>
      </c>
      <c r="J123" s="182" t="s">
        <v>589</v>
      </c>
      <c r="K123" s="182" t="s">
        <v>590</v>
      </c>
      <c r="L123" s="182" t="s">
        <v>369</v>
      </c>
      <c r="M123"/>
      <c r="R123"/>
      <c r="T123"/>
    </row>
    <row r="124" spans="1:13">
      <c r="A124" s="170" t="s">
        <v>591</v>
      </c>
      <c r="B124" s="170" t="s">
        <v>592</v>
      </c>
      <c r="C124" s="208" t="s">
        <v>593</v>
      </c>
      <c r="D124" s="170" t="s">
        <v>11</v>
      </c>
      <c r="E124" s="170" t="s">
        <v>12</v>
      </c>
      <c r="H124" s="207">
        <v>127910</v>
      </c>
      <c r="I124" s="182" t="s">
        <v>594</v>
      </c>
      <c r="J124" s="182" t="s">
        <v>595</v>
      </c>
      <c r="K124" s="182" t="s">
        <v>596</v>
      </c>
      <c r="L124" s="182" t="s">
        <v>15</v>
      </c>
      <c r="M124" s="289" t="s">
        <v>592</v>
      </c>
    </row>
    <row r="125" spans="1:13">
      <c r="A125" s="170" t="s">
        <v>597</v>
      </c>
      <c r="B125" s="170" t="s">
        <v>598</v>
      </c>
      <c r="C125" s="208" t="s">
        <v>599</v>
      </c>
      <c r="D125" s="170" t="s">
        <v>11</v>
      </c>
      <c r="E125" s="170" t="s">
        <v>12</v>
      </c>
      <c r="H125" s="207">
        <v>487306</v>
      </c>
      <c r="I125" s="182" t="s">
        <v>600</v>
      </c>
      <c r="J125" s="182" t="s">
        <v>601</v>
      </c>
      <c r="K125" s="182" t="s">
        <v>602</v>
      </c>
      <c r="L125" s="182" t="s">
        <v>15</v>
      </c>
      <c r="M125" s="289" t="s">
        <v>598</v>
      </c>
    </row>
    <row r="126" spans="1:20">
      <c r="A126" s="170" t="s">
        <v>603</v>
      </c>
      <c r="B126" s="170" t="s">
        <v>604</v>
      </c>
      <c r="C126" s="170"/>
      <c r="D126" s="170" t="s">
        <v>11</v>
      </c>
      <c r="E126" s="170" t="s">
        <v>12</v>
      </c>
      <c r="H126" s="207">
        <v>324307</v>
      </c>
      <c r="I126" s="182" t="s">
        <v>605</v>
      </c>
      <c r="J126" s="182" t="s">
        <v>606</v>
      </c>
      <c r="K126" s="182" t="s">
        <v>607</v>
      </c>
      <c r="L126" s="182" t="s">
        <v>15</v>
      </c>
      <c r="M126"/>
      <c r="R126"/>
      <c r="T126"/>
    </row>
    <row r="127" spans="1:13">
      <c r="A127" s="170" t="s">
        <v>608</v>
      </c>
      <c r="B127" s="170" t="s">
        <v>609</v>
      </c>
      <c r="C127" s="208" t="s">
        <v>610</v>
      </c>
      <c r="D127" s="170" t="s">
        <v>11</v>
      </c>
      <c r="E127" s="170" t="s">
        <v>12</v>
      </c>
      <c r="H127" s="207">
        <v>497571</v>
      </c>
      <c r="I127" s="182" t="s">
        <v>611</v>
      </c>
      <c r="J127" s="182" t="s">
        <v>612</v>
      </c>
      <c r="K127" s="182" t="s">
        <v>613</v>
      </c>
      <c r="L127" s="182" t="s">
        <v>15</v>
      </c>
      <c r="M127" s="289" t="s">
        <v>609</v>
      </c>
    </row>
    <row r="128" spans="1:13">
      <c r="A128" s="170" t="s">
        <v>614</v>
      </c>
      <c r="B128" s="170" t="s">
        <v>615</v>
      </c>
      <c r="C128" s="208" t="s">
        <v>616</v>
      </c>
      <c r="D128" s="170" t="s">
        <v>11</v>
      </c>
      <c r="E128" s="170" t="s">
        <v>12</v>
      </c>
      <c r="H128" s="207">
        <v>328732</v>
      </c>
      <c r="I128" s="182" t="s">
        <v>617</v>
      </c>
      <c r="J128" s="182" t="s">
        <v>618</v>
      </c>
      <c r="K128" s="182" t="s">
        <v>619</v>
      </c>
      <c r="L128" s="182" t="s">
        <v>15</v>
      </c>
      <c r="M128" s="289" t="s">
        <v>615</v>
      </c>
    </row>
    <row r="129" spans="1:20">
      <c r="A129" s="170" t="s">
        <v>620</v>
      </c>
      <c r="B129" s="170" t="s">
        <v>621</v>
      </c>
      <c r="C129" s="170"/>
      <c r="D129" s="170" t="s">
        <v>11</v>
      </c>
      <c r="E129" s="170" t="s">
        <v>12</v>
      </c>
      <c r="H129" s="207" t="s">
        <v>622</v>
      </c>
      <c r="I129" s="182" t="s">
        <v>10</v>
      </c>
      <c r="J129" s="182" t="s">
        <v>622</v>
      </c>
      <c r="K129" s="182" t="s">
        <v>623</v>
      </c>
      <c r="L129" s="182" t="s">
        <v>19</v>
      </c>
      <c r="M129"/>
      <c r="R129"/>
      <c r="T129"/>
    </row>
    <row r="130" spans="1:13">
      <c r="A130" s="170" t="s">
        <v>624</v>
      </c>
      <c r="B130" s="170" t="s">
        <v>625</v>
      </c>
      <c r="C130" s="208" t="s">
        <v>626</v>
      </c>
      <c r="D130" s="170" t="s">
        <v>11</v>
      </c>
      <c r="E130" s="170" t="s">
        <v>12</v>
      </c>
      <c r="H130" s="207">
        <v>472482</v>
      </c>
      <c r="I130" s="182" t="s">
        <v>627</v>
      </c>
      <c r="J130" s="182" t="s">
        <v>628</v>
      </c>
      <c r="K130" s="182" t="s">
        <v>629</v>
      </c>
      <c r="L130" s="182" t="s">
        <v>15</v>
      </c>
      <c r="M130" s="289" t="s">
        <v>625</v>
      </c>
    </row>
    <row r="131" spans="1:20">
      <c r="A131" s="170" t="s">
        <v>630</v>
      </c>
      <c r="B131" s="170" t="s">
        <v>631</v>
      </c>
      <c r="C131" s="170"/>
      <c r="D131" s="170" t="s">
        <v>11</v>
      </c>
      <c r="E131" s="170" t="s">
        <v>12</v>
      </c>
      <c r="H131" s="207" t="s">
        <v>632</v>
      </c>
      <c r="I131" s="182" t="s">
        <v>10</v>
      </c>
      <c r="J131" s="182" t="s">
        <v>632</v>
      </c>
      <c r="K131" s="182" t="s">
        <v>633</v>
      </c>
      <c r="L131" s="182" t="s">
        <v>19</v>
      </c>
      <c r="M131"/>
      <c r="R131"/>
      <c r="T131"/>
    </row>
    <row r="132" spans="1:20">
      <c r="A132" s="170" t="s">
        <v>634</v>
      </c>
      <c r="B132" s="170" t="s">
        <v>635</v>
      </c>
      <c r="C132" s="170"/>
      <c r="D132" s="170" t="s">
        <v>11</v>
      </c>
      <c r="E132" s="170" t="s">
        <v>12</v>
      </c>
      <c r="H132" s="207">
        <v>148159</v>
      </c>
      <c r="I132" s="182" t="s">
        <v>636</v>
      </c>
      <c r="J132" s="182" t="s">
        <v>637</v>
      </c>
      <c r="K132" s="182" t="s">
        <v>638</v>
      </c>
      <c r="L132" s="182" t="s">
        <v>15</v>
      </c>
      <c r="M132"/>
      <c r="R132"/>
      <c r="T132"/>
    </row>
    <row r="133" spans="1:20">
      <c r="A133" s="170" t="s">
        <v>639</v>
      </c>
      <c r="B133" s="170" t="s">
        <v>640</v>
      </c>
      <c r="C133" s="178" t="s">
        <v>10</v>
      </c>
      <c r="D133" s="170" t="s">
        <v>11</v>
      </c>
      <c r="E133" s="170" t="s">
        <v>12</v>
      </c>
      <c r="H133" s="207">
        <v>359361</v>
      </c>
      <c r="I133" s="182" t="s">
        <v>641</v>
      </c>
      <c r="J133" s="182" t="s">
        <v>642</v>
      </c>
      <c r="K133" s="182" t="s">
        <v>643</v>
      </c>
      <c r="L133" s="182" t="s">
        <v>15</v>
      </c>
      <c r="M133"/>
      <c r="R133"/>
      <c r="T133"/>
    </row>
    <row r="134" spans="1:20">
      <c r="A134" s="170" t="s">
        <v>644</v>
      </c>
      <c r="B134" s="170" t="s">
        <v>645</v>
      </c>
      <c r="C134" s="178" t="s">
        <v>10</v>
      </c>
      <c r="D134" s="170" t="s">
        <v>11</v>
      </c>
      <c r="E134" s="170" t="s">
        <v>12</v>
      </c>
      <c r="H134" s="207" t="s">
        <v>646</v>
      </c>
      <c r="I134" s="182" t="s">
        <v>10</v>
      </c>
      <c r="J134" s="182" t="s">
        <v>646</v>
      </c>
      <c r="K134" s="182" t="s">
        <v>647</v>
      </c>
      <c r="L134" s="182" t="s">
        <v>19</v>
      </c>
      <c r="M134"/>
      <c r="R134"/>
      <c r="T134"/>
    </row>
    <row r="135" spans="1:20">
      <c r="A135" s="170" t="s">
        <v>648</v>
      </c>
      <c r="B135" s="170" t="s">
        <v>649</v>
      </c>
      <c r="C135" s="178" t="s">
        <v>10</v>
      </c>
      <c r="D135" s="170" t="s">
        <v>11</v>
      </c>
      <c r="E135" s="170" t="s">
        <v>12</v>
      </c>
      <c r="H135" s="207">
        <v>503306</v>
      </c>
      <c r="I135" s="182" t="s">
        <v>650</v>
      </c>
      <c r="J135" s="182" t="s">
        <v>651</v>
      </c>
      <c r="K135" s="182" t="s">
        <v>652</v>
      </c>
      <c r="L135" s="182" t="s">
        <v>15</v>
      </c>
      <c r="M135"/>
      <c r="R135"/>
      <c r="T135"/>
    </row>
    <row r="136" spans="1:20">
      <c r="A136" s="170" t="s">
        <v>653</v>
      </c>
      <c r="B136" s="170" t="s">
        <v>654</v>
      </c>
      <c r="C136" s="178" t="s">
        <v>10</v>
      </c>
      <c r="D136" s="170" t="s">
        <v>11</v>
      </c>
      <c r="E136" s="170" t="s">
        <v>12</v>
      </c>
      <c r="H136" s="207">
        <v>508682</v>
      </c>
      <c r="I136" s="182" t="s">
        <v>655</v>
      </c>
      <c r="J136" s="182" t="s">
        <v>656</v>
      </c>
      <c r="K136" s="182"/>
      <c r="L136" s="182" t="s">
        <v>15</v>
      </c>
      <c r="M136"/>
      <c r="R136"/>
      <c r="T136"/>
    </row>
    <row r="137" spans="1:20">
      <c r="A137" s="170" t="s">
        <v>657</v>
      </c>
      <c r="B137" s="170" t="s">
        <v>658</v>
      </c>
      <c r="C137" s="178" t="s">
        <v>10</v>
      </c>
      <c r="D137" s="170" t="s">
        <v>11</v>
      </c>
      <c r="E137" s="170" t="s">
        <v>12</v>
      </c>
      <c r="H137" s="207">
        <v>481384</v>
      </c>
      <c r="I137" s="182" t="s">
        <v>659</v>
      </c>
      <c r="J137" s="182" t="s">
        <v>660</v>
      </c>
      <c r="K137" s="182" t="s">
        <v>661</v>
      </c>
      <c r="L137" s="182" t="s">
        <v>15</v>
      </c>
      <c r="M137"/>
      <c r="R137"/>
      <c r="T137"/>
    </row>
    <row r="138" spans="1:20">
      <c r="A138" s="170" t="s">
        <v>662</v>
      </c>
      <c r="B138" s="170" t="s">
        <v>663</v>
      </c>
      <c r="C138" s="178" t="s">
        <v>10</v>
      </c>
      <c r="D138" s="170" t="s">
        <v>11</v>
      </c>
      <c r="E138" s="170" t="s">
        <v>12</v>
      </c>
      <c r="H138" s="207">
        <v>720859</v>
      </c>
      <c r="I138" s="182" t="s">
        <v>664</v>
      </c>
      <c r="J138" s="182" t="s">
        <v>665</v>
      </c>
      <c r="K138" s="182" t="s">
        <v>666</v>
      </c>
      <c r="L138" s="182" t="s">
        <v>369</v>
      </c>
      <c r="M138"/>
      <c r="R138"/>
      <c r="T138"/>
    </row>
    <row r="139" spans="1:20">
      <c r="A139" s="170" t="s">
        <v>667</v>
      </c>
      <c r="B139" s="170" t="s">
        <v>668</v>
      </c>
      <c r="C139" s="178" t="s">
        <v>10</v>
      </c>
      <c r="D139" s="170" t="s">
        <v>11</v>
      </c>
      <c r="E139" s="170" t="s">
        <v>12</v>
      </c>
      <c r="H139" s="207">
        <v>503509</v>
      </c>
      <c r="I139" s="182" t="s">
        <v>669</v>
      </c>
      <c r="J139" s="182" t="s">
        <v>670</v>
      </c>
      <c r="K139" s="182" t="s">
        <v>671</v>
      </c>
      <c r="L139" s="182" t="s">
        <v>15</v>
      </c>
      <c r="M139"/>
      <c r="R139"/>
      <c r="T139"/>
    </row>
    <row r="140" spans="1:20">
      <c r="A140" s="170" t="s">
        <v>672</v>
      </c>
      <c r="B140" s="170" t="s">
        <v>673</v>
      </c>
      <c r="C140" s="178" t="s">
        <v>10</v>
      </c>
      <c r="D140" s="170" t="s">
        <v>11</v>
      </c>
      <c r="E140" s="170" t="s">
        <v>12</v>
      </c>
      <c r="H140" s="207">
        <v>477089</v>
      </c>
      <c r="I140" s="182" t="s">
        <v>674</v>
      </c>
      <c r="J140" s="182" t="s">
        <v>675</v>
      </c>
      <c r="K140" s="182" t="s">
        <v>676</v>
      </c>
      <c r="L140" s="182" t="s">
        <v>15</v>
      </c>
      <c r="M140"/>
      <c r="R140"/>
      <c r="T140"/>
    </row>
    <row r="141" spans="1:20">
      <c r="A141" s="170" t="s">
        <v>677</v>
      </c>
      <c r="B141" s="170" t="s">
        <v>678</v>
      </c>
      <c r="C141" s="178" t="s">
        <v>10</v>
      </c>
      <c r="D141" s="170" t="s">
        <v>11</v>
      </c>
      <c r="E141" s="170" t="s">
        <v>12</v>
      </c>
      <c r="H141" s="207">
        <v>444115</v>
      </c>
      <c r="I141" s="182" t="s">
        <v>679</v>
      </c>
      <c r="J141" s="182" t="s">
        <v>680</v>
      </c>
      <c r="K141" s="182" t="s">
        <v>681</v>
      </c>
      <c r="L141" s="182" t="s">
        <v>15</v>
      </c>
      <c r="M141"/>
      <c r="R141"/>
      <c r="T141"/>
    </row>
    <row r="142" spans="1:20">
      <c r="A142" s="170" t="s">
        <v>682</v>
      </c>
      <c r="B142" s="170" t="s">
        <v>683</v>
      </c>
      <c r="C142" s="178" t="s">
        <v>10</v>
      </c>
      <c r="D142" s="170" t="s">
        <v>11</v>
      </c>
      <c r="E142" s="170" t="s">
        <v>12</v>
      </c>
      <c r="H142" s="207">
        <v>496309</v>
      </c>
      <c r="I142" s="182" t="s">
        <v>684</v>
      </c>
      <c r="J142" s="182" t="s">
        <v>685</v>
      </c>
      <c r="K142" s="182" t="s">
        <v>686</v>
      </c>
      <c r="L142" s="182" t="s">
        <v>15</v>
      </c>
      <c r="M142"/>
      <c r="R142"/>
      <c r="T142"/>
    </row>
    <row r="143" spans="1:20">
      <c r="A143" s="170" t="s">
        <v>687</v>
      </c>
      <c r="B143" s="170" t="s">
        <v>688</v>
      </c>
      <c r="C143" s="178" t="s">
        <v>10</v>
      </c>
      <c r="D143" s="170" t="s">
        <v>11</v>
      </c>
      <c r="E143" s="170" t="s">
        <v>12</v>
      </c>
      <c r="H143" s="207">
        <v>217166</v>
      </c>
      <c r="I143" s="182" t="s">
        <v>689</v>
      </c>
      <c r="J143" s="182" t="s">
        <v>690</v>
      </c>
      <c r="K143" s="182" t="s">
        <v>691</v>
      </c>
      <c r="L143" s="182" t="s">
        <v>15</v>
      </c>
      <c r="M143"/>
      <c r="R143"/>
      <c r="T143"/>
    </row>
    <row r="144" spans="1:20">
      <c r="A144" s="170" t="s">
        <v>692</v>
      </c>
      <c r="B144" s="170" t="s">
        <v>693</v>
      </c>
      <c r="C144" s="178" t="s">
        <v>10</v>
      </c>
      <c r="D144" s="170" t="s">
        <v>11</v>
      </c>
      <c r="E144" s="170" t="s">
        <v>12</v>
      </c>
      <c r="H144" s="207" t="s">
        <v>694</v>
      </c>
      <c r="I144" s="182" t="s">
        <v>10</v>
      </c>
      <c r="J144" s="182" t="s">
        <v>694</v>
      </c>
      <c r="K144" s="182" t="s">
        <v>695</v>
      </c>
      <c r="L144" s="182" t="s">
        <v>53</v>
      </c>
      <c r="M144"/>
      <c r="R144"/>
      <c r="T144"/>
    </row>
    <row r="145" spans="1:13">
      <c r="A145" s="170" t="s">
        <v>696</v>
      </c>
      <c r="B145" s="170" t="s">
        <v>697</v>
      </c>
      <c r="C145" s="211" t="s">
        <v>698</v>
      </c>
      <c r="D145" s="170" t="s">
        <v>11</v>
      </c>
      <c r="E145" s="170" t="s">
        <v>12</v>
      </c>
      <c r="H145" s="207" t="s">
        <v>699</v>
      </c>
      <c r="I145" s="182" t="s">
        <v>10</v>
      </c>
      <c r="J145" s="182" t="s">
        <v>699</v>
      </c>
      <c r="K145" s="182" t="s">
        <v>700</v>
      </c>
      <c r="L145" s="182" t="s">
        <v>19</v>
      </c>
      <c r="M145" s="289" t="s">
        <v>697</v>
      </c>
    </row>
    <row r="146" spans="1:20">
      <c r="A146" s="170" t="s">
        <v>701</v>
      </c>
      <c r="B146" s="170" t="s">
        <v>702</v>
      </c>
      <c r="C146" s="170"/>
      <c r="D146" s="170" t="s">
        <v>11</v>
      </c>
      <c r="E146" s="170" t="s">
        <v>12</v>
      </c>
      <c r="H146" s="207">
        <v>183569</v>
      </c>
      <c r="I146" s="182" t="s">
        <v>703</v>
      </c>
      <c r="J146" s="182" t="s">
        <v>704</v>
      </c>
      <c r="K146" s="182" t="s">
        <v>705</v>
      </c>
      <c r="L146" s="182" t="s">
        <v>15</v>
      </c>
      <c r="M146"/>
      <c r="R146"/>
      <c r="T146"/>
    </row>
    <row r="147" spans="1:20">
      <c r="A147" s="170" t="s">
        <v>706</v>
      </c>
      <c r="B147" s="170" t="s">
        <v>707</v>
      </c>
      <c r="C147" s="170"/>
      <c r="D147" s="170" t="s">
        <v>11</v>
      </c>
      <c r="E147" s="170" t="s">
        <v>12</v>
      </c>
      <c r="H147" s="207" t="s">
        <v>708</v>
      </c>
      <c r="I147" s="182" t="s">
        <v>10</v>
      </c>
      <c r="J147" s="182" t="s">
        <v>708</v>
      </c>
      <c r="K147" s="182" t="s">
        <v>709</v>
      </c>
      <c r="L147" s="182" t="s">
        <v>53</v>
      </c>
      <c r="M147"/>
      <c r="R147"/>
      <c r="T147"/>
    </row>
    <row r="148" spans="1:13">
      <c r="A148" s="170" t="s">
        <v>710</v>
      </c>
      <c r="B148" s="170" t="s">
        <v>711</v>
      </c>
      <c r="C148" s="212" t="s">
        <v>712</v>
      </c>
      <c r="D148" s="170" t="s">
        <v>11</v>
      </c>
      <c r="E148" s="170" t="s">
        <v>12</v>
      </c>
      <c r="H148" s="207">
        <v>493140</v>
      </c>
      <c r="I148" s="182" t="s">
        <v>713</v>
      </c>
      <c r="J148" s="182" t="s">
        <v>714</v>
      </c>
      <c r="K148" s="182" t="s">
        <v>715</v>
      </c>
      <c r="L148" s="182" t="s">
        <v>15</v>
      </c>
      <c r="M148" s="289" t="s">
        <v>711</v>
      </c>
    </row>
    <row r="149" spans="1:13">
      <c r="A149" s="170" t="s">
        <v>716</v>
      </c>
      <c r="B149" s="170" t="s">
        <v>717</v>
      </c>
      <c r="C149" s="213" t="s">
        <v>718</v>
      </c>
      <c r="D149" s="170" t="s">
        <v>11</v>
      </c>
      <c r="E149" s="170" t="s">
        <v>12</v>
      </c>
      <c r="H149" s="207">
        <v>415288</v>
      </c>
      <c r="I149" s="182" t="s">
        <v>719</v>
      </c>
      <c r="J149" s="182" t="s">
        <v>720</v>
      </c>
      <c r="K149" s="182" t="s">
        <v>721</v>
      </c>
      <c r="L149" s="182" t="s">
        <v>15</v>
      </c>
      <c r="M149" s="289" t="s">
        <v>717</v>
      </c>
    </row>
    <row r="150" spans="1:20">
      <c r="A150" s="170" t="s">
        <v>722</v>
      </c>
      <c r="B150" s="170" t="s">
        <v>723</v>
      </c>
      <c r="C150" s="170"/>
      <c r="D150" s="170" t="s">
        <v>11</v>
      </c>
      <c r="E150" s="170" t="s">
        <v>12</v>
      </c>
      <c r="H150" s="207" t="s">
        <v>724</v>
      </c>
      <c r="I150" s="182" t="s">
        <v>725</v>
      </c>
      <c r="J150" s="182" t="s">
        <v>726</v>
      </c>
      <c r="K150" s="182" t="s">
        <v>727</v>
      </c>
      <c r="L150" s="182" t="s">
        <v>15</v>
      </c>
      <c r="M150"/>
      <c r="R150"/>
      <c r="T150"/>
    </row>
    <row r="151" spans="1:13">
      <c r="A151" s="170" t="s">
        <v>728</v>
      </c>
      <c r="B151" s="170" t="s">
        <v>729</v>
      </c>
      <c r="C151" s="214" t="s">
        <v>730</v>
      </c>
      <c r="D151" s="170"/>
      <c r="E151" s="170" t="s">
        <v>12</v>
      </c>
      <c r="H151" s="207" t="s">
        <v>731</v>
      </c>
      <c r="I151" s="182" t="s">
        <v>10</v>
      </c>
      <c r="J151" s="182" t="s">
        <v>731</v>
      </c>
      <c r="K151" s="182" t="s">
        <v>732</v>
      </c>
      <c r="L151" s="182" t="s">
        <v>53</v>
      </c>
      <c r="M151" s="289" t="s">
        <v>729</v>
      </c>
    </row>
    <row r="152" spans="1:13">
      <c r="A152" s="170" t="s">
        <v>733</v>
      </c>
      <c r="B152" s="170" t="s">
        <v>734</v>
      </c>
      <c r="C152" s="215" t="s">
        <v>735</v>
      </c>
      <c r="D152" s="170" t="s">
        <v>11</v>
      </c>
      <c r="E152" s="170" t="s">
        <v>12</v>
      </c>
      <c r="H152" s="207">
        <v>512897</v>
      </c>
      <c r="I152" s="182" t="s">
        <v>736</v>
      </c>
      <c r="J152" s="182" t="s">
        <v>737</v>
      </c>
      <c r="K152" s="182" t="s">
        <v>738</v>
      </c>
      <c r="L152" s="182" t="s">
        <v>15</v>
      </c>
      <c r="M152" s="289" t="s">
        <v>734</v>
      </c>
    </row>
    <row r="153" spans="1:20">
      <c r="A153" s="170" t="s">
        <v>739</v>
      </c>
      <c r="B153" s="170" t="s">
        <v>740</v>
      </c>
      <c r="C153" s="170"/>
      <c r="D153" s="170" t="s">
        <v>11</v>
      </c>
      <c r="E153" s="170" t="s">
        <v>12</v>
      </c>
      <c r="H153" s="207">
        <v>467989</v>
      </c>
      <c r="I153" s="182" t="s">
        <v>741</v>
      </c>
      <c r="J153" s="182" t="s">
        <v>742</v>
      </c>
      <c r="K153" s="182" t="s">
        <v>743</v>
      </c>
      <c r="L153" s="182" t="s">
        <v>15</v>
      </c>
      <c r="M153"/>
      <c r="R153"/>
      <c r="T153"/>
    </row>
    <row r="154" spans="1:13">
      <c r="A154" s="170" t="s">
        <v>744</v>
      </c>
      <c r="B154" s="170" t="s">
        <v>745</v>
      </c>
      <c r="C154" s="215" t="s">
        <v>746</v>
      </c>
      <c r="D154" s="170" t="s">
        <v>11</v>
      </c>
      <c r="E154" s="170" t="s">
        <v>12</v>
      </c>
      <c r="H154" s="207">
        <v>469229</v>
      </c>
      <c r="I154" s="182" t="s">
        <v>747</v>
      </c>
      <c r="J154" s="182" t="s">
        <v>748</v>
      </c>
      <c r="K154" s="182"/>
      <c r="L154" s="182" t="s">
        <v>15</v>
      </c>
      <c r="M154" s="289" t="s">
        <v>745</v>
      </c>
    </row>
    <row r="155" spans="1:13">
      <c r="A155" s="170" t="s">
        <v>749</v>
      </c>
      <c r="B155" s="170" t="s">
        <v>750</v>
      </c>
      <c r="C155" s="215" t="s">
        <v>751</v>
      </c>
      <c r="D155" s="170" t="s">
        <v>11</v>
      </c>
      <c r="E155" s="170" t="s">
        <v>12</v>
      </c>
      <c r="H155" s="207">
        <v>513360</v>
      </c>
      <c r="I155" s="182" t="s">
        <v>752</v>
      </c>
      <c r="J155" s="182" t="s">
        <v>753</v>
      </c>
      <c r="K155" s="182" t="s">
        <v>754</v>
      </c>
      <c r="L155" s="182" t="s">
        <v>15</v>
      </c>
      <c r="M155" s="289" t="s">
        <v>750</v>
      </c>
    </row>
    <row r="156" spans="1:20">
      <c r="A156" s="170" t="s">
        <v>755</v>
      </c>
      <c r="B156" s="170" t="s">
        <v>756</v>
      </c>
      <c r="C156" s="170"/>
      <c r="D156" s="170" t="s">
        <v>11</v>
      </c>
      <c r="E156" s="170" t="s">
        <v>12</v>
      </c>
      <c r="H156" s="207">
        <v>478433</v>
      </c>
      <c r="I156" s="182" t="s">
        <v>757</v>
      </c>
      <c r="J156" s="182" t="s">
        <v>758</v>
      </c>
      <c r="K156" s="182" t="s">
        <v>759</v>
      </c>
      <c r="L156" s="182" t="s">
        <v>15</v>
      </c>
      <c r="M156"/>
      <c r="R156"/>
      <c r="T156"/>
    </row>
    <row r="157" spans="1:13">
      <c r="A157" s="170" t="s">
        <v>760</v>
      </c>
      <c r="B157" s="170" t="s">
        <v>761</v>
      </c>
      <c r="C157" s="215" t="s">
        <v>762</v>
      </c>
      <c r="D157" s="170" t="s">
        <v>11</v>
      </c>
      <c r="E157" s="170" t="s">
        <v>12</v>
      </c>
      <c r="H157" s="207">
        <v>447418</v>
      </c>
      <c r="I157" s="182" t="s">
        <v>763</v>
      </c>
      <c r="J157" s="182" t="s">
        <v>764</v>
      </c>
      <c r="K157" s="182" t="s">
        <v>765</v>
      </c>
      <c r="L157" s="182" t="s">
        <v>15</v>
      </c>
      <c r="M157" s="289" t="s">
        <v>761</v>
      </c>
    </row>
    <row r="158" spans="1:13">
      <c r="A158" s="170" t="s">
        <v>766</v>
      </c>
      <c r="B158" s="170" t="s">
        <v>767</v>
      </c>
      <c r="C158" s="215" t="s">
        <v>768</v>
      </c>
      <c r="D158" s="170" t="s">
        <v>11</v>
      </c>
      <c r="E158" s="170" t="s">
        <v>12</v>
      </c>
      <c r="H158" s="207">
        <v>486000</v>
      </c>
      <c r="I158" s="182" t="s">
        <v>769</v>
      </c>
      <c r="J158" s="182" t="s">
        <v>770</v>
      </c>
      <c r="K158" s="182"/>
      <c r="L158" s="182" t="s">
        <v>15</v>
      </c>
      <c r="M158" s="289" t="s">
        <v>767</v>
      </c>
    </row>
    <row r="159" spans="1:20">
      <c r="A159" s="170" t="s">
        <v>771</v>
      </c>
      <c r="B159" s="170" t="s">
        <v>772</v>
      </c>
      <c r="C159" s="170"/>
      <c r="D159" s="170" t="s">
        <v>11</v>
      </c>
      <c r="E159" s="170" t="s">
        <v>12</v>
      </c>
      <c r="H159" s="207" t="s">
        <v>773</v>
      </c>
      <c r="I159" s="182" t="s">
        <v>10</v>
      </c>
      <c r="J159" s="182" t="s">
        <v>773</v>
      </c>
      <c r="K159" s="182" t="s">
        <v>774</v>
      </c>
      <c r="L159" s="182" t="s">
        <v>53</v>
      </c>
      <c r="M159"/>
      <c r="R159"/>
      <c r="T159"/>
    </row>
    <row r="160" spans="1:13">
      <c r="A160" s="170" t="s">
        <v>775</v>
      </c>
      <c r="B160" s="170" t="s">
        <v>776</v>
      </c>
      <c r="C160" s="214" t="s">
        <v>777</v>
      </c>
      <c r="D160" s="170" t="s">
        <v>11</v>
      </c>
      <c r="E160" s="170" t="s">
        <v>12</v>
      </c>
      <c r="H160" s="207">
        <v>347528</v>
      </c>
      <c r="I160" s="182" t="s">
        <v>778</v>
      </c>
      <c r="J160" s="182" t="s">
        <v>779</v>
      </c>
      <c r="K160" s="182" t="s">
        <v>780</v>
      </c>
      <c r="L160" s="182" t="s">
        <v>15</v>
      </c>
      <c r="M160" s="289" t="s">
        <v>776</v>
      </c>
    </row>
    <row r="161" spans="1:13">
      <c r="A161" s="170" t="s">
        <v>781</v>
      </c>
      <c r="B161" s="170" t="s">
        <v>782</v>
      </c>
      <c r="C161" s="215" t="s">
        <v>783</v>
      </c>
      <c r="D161" s="170" t="s">
        <v>11</v>
      </c>
      <c r="E161" s="170" t="s">
        <v>12</v>
      </c>
      <c r="H161" s="207">
        <v>838661</v>
      </c>
      <c r="I161" s="182" t="s">
        <v>784</v>
      </c>
      <c r="J161" s="182" t="s">
        <v>785</v>
      </c>
      <c r="K161" s="182" t="s">
        <v>786</v>
      </c>
      <c r="L161" s="182" t="s">
        <v>15</v>
      </c>
      <c r="M161" s="289" t="s">
        <v>782</v>
      </c>
    </row>
    <row r="162" spans="1:20">
      <c r="A162" s="170" t="s">
        <v>787</v>
      </c>
      <c r="B162" s="170" t="s">
        <v>788</v>
      </c>
      <c r="C162" s="170"/>
      <c r="D162" s="170" t="s">
        <v>11</v>
      </c>
      <c r="E162" s="170" t="s">
        <v>12</v>
      </c>
      <c r="H162" s="207">
        <v>506165</v>
      </c>
      <c r="I162" s="182" t="s">
        <v>789</v>
      </c>
      <c r="J162" s="182" t="s">
        <v>790</v>
      </c>
      <c r="K162" s="182" t="s">
        <v>791</v>
      </c>
      <c r="L162" s="182" t="s">
        <v>15</v>
      </c>
      <c r="M162"/>
      <c r="R162"/>
      <c r="T162"/>
    </row>
    <row r="163" spans="1:13">
      <c r="A163" s="170" t="s">
        <v>792</v>
      </c>
      <c r="B163" s="170" t="s">
        <v>793</v>
      </c>
      <c r="C163" s="216" t="s">
        <v>794</v>
      </c>
      <c r="D163" s="170" t="s">
        <v>11</v>
      </c>
      <c r="E163" s="170" t="s">
        <v>12</v>
      </c>
      <c r="H163" s="207">
        <v>496504</v>
      </c>
      <c r="I163" s="182" t="s">
        <v>795</v>
      </c>
      <c r="J163" s="182" t="s">
        <v>796</v>
      </c>
      <c r="K163" s="182" t="s">
        <v>797</v>
      </c>
      <c r="L163" s="182" t="s">
        <v>15</v>
      </c>
      <c r="M163" s="289" t="s">
        <v>793</v>
      </c>
    </row>
    <row r="164" spans="1:13">
      <c r="A164" s="170" t="s">
        <v>798</v>
      </c>
      <c r="B164" s="170" t="s">
        <v>799</v>
      </c>
      <c r="C164" s="215" t="s">
        <v>800</v>
      </c>
      <c r="D164" s="170" t="s">
        <v>11</v>
      </c>
      <c r="E164" s="170" t="s">
        <v>12</v>
      </c>
      <c r="H164" s="207" t="s">
        <v>801</v>
      </c>
      <c r="I164" s="182" t="s">
        <v>10</v>
      </c>
      <c r="J164" s="182" t="s">
        <v>801</v>
      </c>
      <c r="K164" s="182" t="s">
        <v>802</v>
      </c>
      <c r="L164" s="182" t="s">
        <v>53</v>
      </c>
      <c r="M164" s="289" t="s">
        <v>799</v>
      </c>
    </row>
    <row r="165" spans="1:20">
      <c r="A165" s="170" t="s">
        <v>803</v>
      </c>
      <c r="B165" s="170" t="s">
        <v>804</v>
      </c>
      <c r="C165" s="170"/>
      <c r="D165" s="170" t="s">
        <v>11</v>
      </c>
      <c r="E165" s="170" t="s">
        <v>12</v>
      </c>
      <c r="H165" s="207">
        <v>485261</v>
      </c>
      <c r="I165" s="182" t="s">
        <v>805</v>
      </c>
      <c r="J165" s="182" t="s">
        <v>806</v>
      </c>
      <c r="K165" s="182" t="s">
        <v>807</v>
      </c>
      <c r="L165" s="182" t="s">
        <v>15</v>
      </c>
      <c r="M165"/>
      <c r="R165"/>
      <c r="T165"/>
    </row>
    <row r="166" spans="1:13">
      <c r="A166" s="170" t="s">
        <v>808</v>
      </c>
      <c r="B166" s="170" t="s">
        <v>809</v>
      </c>
      <c r="C166" s="215" t="s">
        <v>810</v>
      </c>
      <c r="D166" s="170" t="s">
        <v>11</v>
      </c>
      <c r="E166" s="170" t="s">
        <v>12</v>
      </c>
      <c r="H166" s="207">
        <v>493144</v>
      </c>
      <c r="I166" s="182" t="s">
        <v>811</v>
      </c>
      <c r="J166" s="182" t="s">
        <v>812</v>
      </c>
      <c r="K166" s="182" t="s">
        <v>813</v>
      </c>
      <c r="L166" s="182" t="s">
        <v>15</v>
      </c>
      <c r="M166" s="289">
        <v>54854194</v>
      </c>
    </row>
    <row r="167" spans="1:13">
      <c r="A167" s="170" t="s">
        <v>814</v>
      </c>
      <c r="B167" s="170" t="s">
        <v>815</v>
      </c>
      <c r="C167" s="215" t="s">
        <v>816</v>
      </c>
      <c r="D167" s="170" t="s">
        <v>11</v>
      </c>
      <c r="E167" s="170" t="s">
        <v>12</v>
      </c>
      <c r="H167" s="207" t="s">
        <v>817</v>
      </c>
      <c r="I167" s="182" t="s">
        <v>10</v>
      </c>
      <c r="J167" s="182" t="s">
        <v>817</v>
      </c>
      <c r="K167" s="182" t="s">
        <v>818</v>
      </c>
      <c r="L167" s="182" t="s">
        <v>19</v>
      </c>
      <c r="M167" s="289" t="s">
        <v>815</v>
      </c>
    </row>
    <row r="168" spans="1:20">
      <c r="A168" s="170" t="s">
        <v>819</v>
      </c>
      <c r="B168" s="170" t="s">
        <v>820</v>
      </c>
      <c r="C168" s="170"/>
      <c r="D168" s="170" t="s">
        <v>11</v>
      </c>
      <c r="E168" s="170" t="s">
        <v>12</v>
      </c>
      <c r="H168" s="207" t="s">
        <v>821</v>
      </c>
      <c r="I168" s="182" t="s">
        <v>10</v>
      </c>
      <c r="J168" s="182" t="s">
        <v>821</v>
      </c>
      <c r="K168" s="182"/>
      <c r="L168" s="182" t="s">
        <v>53</v>
      </c>
      <c r="M168"/>
      <c r="R168"/>
      <c r="T168"/>
    </row>
    <row r="169" spans="1:13">
      <c r="A169" s="170" t="s">
        <v>822</v>
      </c>
      <c r="B169" s="170" t="s">
        <v>823</v>
      </c>
      <c r="C169" s="215" t="s">
        <v>824</v>
      </c>
      <c r="D169" s="170" t="s">
        <v>11</v>
      </c>
      <c r="E169" s="170" t="s">
        <v>12</v>
      </c>
      <c r="H169" s="207">
        <v>303216</v>
      </c>
      <c r="I169" s="182" t="s">
        <v>825</v>
      </c>
      <c r="J169" s="182" t="s">
        <v>826</v>
      </c>
      <c r="K169" s="182" t="s">
        <v>827</v>
      </c>
      <c r="L169" s="182" t="s">
        <v>369</v>
      </c>
      <c r="M169" s="289" t="s">
        <v>823</v>
      </c>
    </row>
    <row r="170" spans="1:13">
      <c r="A170" s="170" t="s">
        <v>828</v>
      </c>
      <c r="B170" s="170" t="s">
        <v>829</v>
      </c>
      <c r="C170" s="215" t="s">
        <v>830</v>
      </c>
      <c r="D170" s="170" t="s">
        <v>11</v>
      </c>
      <c r="E170" s="170" t="s">
        <v>12</v>
      </c>
      <c r="H170" s="207">
        <v>181828</v>
      </c>
      <c r="I170" s="182" t="s">
        <v>831</v>
      </c>
      <c r="J170" s="182" t="s">
        <v>832</v>
      </c>
      <c r="K170" s="182" t="s">
        <v>833</v>
      </c>
      <c r="L170" s="182" t="s">
        <v>15</v>
      </c>
      <c r="M170" s="289" t="s">
        <v>829</v>
      </c>
    </row>
    <row r="171" spans="1:20">
      <c r="A171" s="170" t="s">
        <v>834</v>
      </c>
      <c r="B171" s="170" t="s">
        <v>835</v>
      </c>
      <c r="C171" s="170"/>
      <c r="D171" s="170" t="s">
        <v>11</v>
      </c>
      <c r="E171" s="170" t="s">
        <v>12</v>
      </c>
      <c r="H171" s="207">
        <v>502184</v>
      </c>
      <c r="I171" s="182" t="s">
        <v>836</v>
      </c>
      <c r="J171" s="182" t="s">
        <v>837</v>
      </c>
      <c r="K171" s="182" t="s">
        <v>838</v>
      </c>
      <c r="L171" s="182" t="s">
        <v>15</v>
      </c>
      <c r="M171"/>
      <c r="R171"/>
      <c r="T171"/>
    </row>
    <row r="172" spans="1:13">
      <c r="A172" s="170" t="s">
        <v>839</v>
      </c>
      <c r="B172" s="170" t="s">
        <v>840</v>
      </c>
      <c r="C172" s="215" t="s">
        <v>841</v>
      </c>
      <c r="D172" s="170" t="s">
        <v>11</v>
      </c>
      <c r="E172" s="170" t="s">
        <v>12</v>
      </c>
      <c r="H172" s="207">
        <v>473112</v>
      </c>
      <c r="I172" s="182" t="s">
        <v>842</v>
      </c>
      <c r="J172" s="182" t="s">
        <v>843</v>
      </c>
      <c r="K172" s="182" t="s">
        <v>844</v>
      </c>
      <c r="L172" s="182" t="s">
        <v>15</v>
      </c>
      <c r="M172" s="289" t="s">
        <v>840</v>
      </c>
    </row>
    <row r="173" spans="1:13">
      <c r="A173" s="170" t="s">
        <v>845</v>
      </c>
      <c r="B173" s="170" t="s">
        <v>846</v>
      </c>
      <c r="C173" s="217" t="s">
        <v>847</v>
      </c>
      <c r="D173" s="170" t="s">
        <v>11</v>
      </c>
      <c r="E173" s="170" t="s">
        <v>12</v>
      </c>
      <c r="H173" s="207">
        <v>496945</v>
      </c>
      <c r="I173" s="182" t="s">
        <v>848</v>
      </c>
      <c r="J173" s="182" t="s">
        <v>849</v>
      </c>
      <c r="K173" s="182" t="s">
        <v>850</v>
      </c>
      <c r="L173" s="182" t="s">
        <v>15</v>
      </c>
      <c r="M173" s="289" t="s">
        <v>846</v>
      </c>
    </row>
    <row r="174" spans="1:20">
      <c r="A174" s="170" t="s">
        <v>851</v>
      </c>
      <c r="B174" s="170" t="s">
        <v>852</v>
      </c>
      <c r="C174" s="170"/>
      <c r="D174" s="170" t="s">
        <v>11</v>
      </c>
      <c r="E174" s="170" t="s">
        <v>12</v>
      </c>
      <c r="H174" s="207">
        <v>495951</v>
      </c>
      <c r="I174" s="182" t="s">
        <v>853</v>
      </c>
      <c r="J174" s="182" t="s">
        <v>854</v>
      </c>
      <c r="K174" s="182"/>
      <c r="L174" s="182" t="s">
        <v>15</v>
      </c>
      <c r="M174"/>
      <c r="R174"/>
      <c r="T174"/>
    </row>
    <row r="175" spans="1:13">
      <c r="A175" s="170" t="s">
        <v>855</v>
      </c>
      <c r="B175" s="170" t="s">
        <v>856</v>
      </c>
      <c r="C175" s="211" t="s">
        <v>857</v>
      </c>
      <c r="D175" s="170" t="s">
        <v>11</v>
      </c>
      <c r="E175" s="170" t="s">
        <v>12</v>
      </c>
      <c r="H175" s="207">
        <v>512065</v>
      </c>
      <c r="I175" s="182" t="s">
        <v>858</v>
      </c>
      <c r="J175" s="182" t="s">
        <v>859</v>
      </c>
      <c r="K175" s="182" t="s">
        <v>860</v>
      </c>
      <c r="L175" s="182" t="s">
        <v>15</v>
      </c>
      <c r="M175" s="289" t="s">
        <v>856</v>
      </c>
    </row>
    <row r="176" spans="1:20">
      <c r="A176" s="170" t="s">
        <v>861</v>
      </c>
      <c r="B176" s="170" t="s">
        <v>862</v>
      </c>
      <c r="C176" s="170"/>
      <c r="D176" s="170" t="s">
        <v>11</v>
      </c>
      <c r="E176" s="170" t="s">
        <v>12</v>
      </c>
      <c r="H176" s="207">
        <v>492111</v>
      </c>
      <c r="I176" s="182" t="s">
        <v>863</v>
      </c>
      <c r="J176" s="182" t="s">
        <v>864</v>
      </c>
      <c r="K176" s="182" t="s">
        <v>865</v>
      </c>
      <c r="L176" s="182" t="s">
        <v>15</v>
      </c>
      <c r="M176"/>
      <c r="R176"/>
      <c r="T176"/>
    </row>
    <row r="177" spans="1:20">
      <c r="A177" s="170" t="s">
        <v>866</v>
      </c>
      <c r="B177" s="170" t="s">
        <v>867</v>
      </c>
      <c r="C177" s="170"/>
      <c r="D177" s="170" t="s">
        <v>11</v>
      </c>
      <c r="E177" s="170" t="s">
        <v>12</v>
      </c>
      <c r="H177" s="207">
        <v>180945</v>
      </c>
      <c r="I177" s="182" t="s">
        <v>868</v>
      </c>
      <c r="J177" s="182" t="s">
        <v>869</v>
      </c>
      <c r="K177" s="182"/>
      <c r="L177" s="182" t="s">
        <v>15</v>
      </c>
      <c r="M177"/>
      <c r="R177"/>
      <c r="T177"/>
    </row>
    <row r="178" spans="1:13">
      <c r="A178" s="170" t="s">
        <v>870</v>
      </c>
      <c r="B178" s="170" t="s">
        <v>871</v>
      </c>
      <c r="C178" s="218" t="s">
        <v>872</v>
      </c>
      <c r="D178" s="170" t="s">
        <v>11</v>
      </c>
      <c r="E178" s="170" t="s">
        <v>12</v>
      </c>
      <c r="H178" s="207">
        <v>250972</v>
      </c>
      <c r="I178" s="182" t="s">
        <v>873</v>
      </c>
      <c r="J178" s="182" t="s">
        <v>874</v>
      </c>
      <c r="K178" s="182" t="s">
        <v>875</v>
      </c>
      <c r="L178" s="182" t="s">
        <v>15</v>
      </c>
      <c r="M178" s="289" t="s">
        <v>871</v>
      </c>
    </row>
    <row r="179" spans="1:20">
      <c r="A179" s="170" t="s">
        <v>876</v>
      </c>
      <c r="B179" s="170" t="s">
        <v>877</v>
      </c>
      <c r="C179" s="170"/>
      <c r="D179" s="170" t="s">
        <v>11</v>
      </c>
      <c r="E179" s="170" t="s">
        <v>12</v>
      </c>
      <c r="H179" s="207">
        <v>468473</v>
      </c>
      <c r="I179" s="182" t="s">
        <v>878</v>
      </c>
      <c r="J179" s="182" t="s">
        <v>879</v>
      </c>
      <c r="K179" s="182" t="s">
        <v>880</v>
      </c>
      <c r="L179" s="182" t="s">
        <v>15</v>
      </c>
      <c r="M179"/>
      <c r="R179"/>
      <c r="T179"/>
    </row>
    <row r="180" spans="1:20">
      <c r="A180" s="170" t="s">
        <v>881</v>
      </c>
      <c r="B180" s="170" t="s">
        <v>882</v>
      </c>
      <c r="C180" s="170"/>
      <c r="D180" s="170" t="s">
        <v>11</v>
      </c>
      <c r="E180" s="170" t="s">
        <v>12</v>
      </c>
      <c r="H180" s="207">
        <v>493230</v>
      </c>
      <c r="I180" s="182" t="s">
        <v>883</v>
      </c>
      <c r="J180" s="182" t="s">
        <v>884</v>
      </c>
      <c r="K180" s="182" t="s">
        <v>885</v>
      </c>
      <c r="L180" s="182" t="s">
        <v>15</v>
      </c>
      <c r="M180"/>
      <c r="R180"/>
      <c r="T180"/>
    </row>
    <row r="181" spans="1:13">
      <c r="A181" s="170" t="s">
        <v>886</v>
      </c>
      <c r="B181" s="170" t="s">
        <v>887</v>
      </c>
      <c r="C181" s="215" t="s">
        <v>888</v>
      </c>
      <c r="D181" s="170" t="s">
        <v>11</v>
      </c>
      <c r="E181" s="170" t="s">
        <v>12</v>
      </c>
      <c r="H181" s="207">
        <v>426197</v>
      </c>
      <c r="I181" s="182" t="s">
        <v>889</v>
      </c>
      <c r="J181" s="182" t="s">
        <v>890</v>
      </c>
      <c r="K181" s="182" t="s">
        <v>891</v>
      </c>
      <c r="L181" s="182" t="s">
        <v>15</v>
      </c>
      <c r="M181" s="289" t="s">
        <v>887</v>
      </c>
    </row>
    <row r="182" spans="1:13">
      <c r="A182" s="170" t="s">
        <v>892</v>
      </c>
      <c r="B182" s="170" t="s">
        <v>893</v>
      </c>
      <c r="C182" s="215" t="s">
        <v>894</v>
      </c>
      <c r="D182" s="170" t="s">
        <v>11</v>
      </c>
      <c r="E182" s="170" t="s">
        <v>12</v>
      </c>
      <c r="H182" s="207">
        <v>450753</v>
      </c>
      <c r="I182" s="182" t="s">
        <v>895</v>
      </c>
      <c r="J182" s="182" t="s">
        <v>896</v>
      </c>
      <c r="K182" s="182" t="s">
        <v>897</v>
      </c>
      <c r="L182" s="182" t="s">
        <v>15</v>
      </c>
      <c r="M182" s="289" t="s">
        <v>893</v>
      </c>
    </row>
    <row r="183" spans="1:20">
      <c r="A183" s="170" t="s">
        <v>898</v>
      </c>
      <c r="B183" s="170" t="s">
        <v>899</v>
      </c>
      <c r="C183" s="170"/>
      <c r="D183" s="170" t="s">
        <v>11</v>
      </c>
      <c r="E183" s="170" t="s">
        <v>12</v>
      </c>
      <c r="H183" s="207">
        <v>472429</v>
      </c>
      <c r="I183" s="182" t="s">
        <v>900</v>
      </c>
      <c r="J183" s="182" t="s">
        <v>901</v>
      </c>
      <c r="K183" s="182" t="s">
        <v>902</v>
      </c>
      <c r="L183" s="182" t="s">
        <v>15</v>
      </c>
      <c r="M183"/>
      <c r="R183"/>
      <c r="T183"/>
    </row>
    <row r="184" spans="1:13">
      <c r="A184" s="170" t="s">
        <v>903</v>
      </c>
      <c r="B184" s="170" t="s">
        <v>904</v>
      </c>
      <c r="C184" s="215" t="s">
        <v>905</v>
      </c>
      <c r="D184" s="170" t="s">
        <v>11</v>
      </c>
      <c r="E184" s="170" t="s">
        <v>12</v>
      </c>
      <c r="H184" s="207" t="s">
        <v>724</v>
      </c>
      <c r="I184" s="182" t="s">
        <v>725</v>
      </c>
      <c r="J184" s="182" t="s">
        <v>906</v>
      </c>
      <c r="K184" s="182" t="s">
        <v>907</v>
      </c>
      <c r="L184" s="182" t="s">
        <v>15</v>
      </c>
      <c r="M184" s="289" t="s">
        <v>904</v>
      </c>
    </row>
    <row r="185" spans="1:13">
      <c r="A185" s="203" t="s">
        <v>908</v>
      </c>
      <c r="B185" s="203" t="s">
        <v>909</v>
      </c>
      <c r="C185" s="298" t="s">
        <v>910</v>
      </c>
      <c r="D185" s="203" t="s">
        <v>11</v>
      </c>
      <c r="E185" s="203" t="s">
        <v>12</v>
      </c>
      <c r="H185" s="207" t="s">
        <v>911</v>
      </c>
      <c r="I185" s="182" t="s">
        <v>10</v>
      </c>
      <c r="J185" s="182" t="s">
        <v>911</v>
      </c>
      <c r="K185" s="182" t="s">
        <v>912</v>
      </c>
      <c r="L185" s="182" t="s">
        <v>19</v>
      </c>
      <c r="M185" s="289" t="s">
        <v>909</v>
      </c>
    </row>
    <row r="186" spans="1:20">
      <c r="A186" s="170" t="s">
        <v>913</v>
      </c>
      <c r="B186" s="170" t="s">
        <v>914</v>
      </c>
      <c r="C186" s="170"/>
      <c r="D186" s="170" t="s">
        <v>11</v>
      </c>
      <c r="E186" s="170" t="s">
        <v>12</v>
      </c>
      <c r="H186" s="207">
        <v>486819</v>
      </c>
      <c r="I186" s="182" t="s">
        <v>915</v>
      </c>
      <c r="J186" s="182" t="s">
        <v>916</v>
      </c>
      <c r="K186" s="182"/>
      <c r="L186" s="182" t="s">
        <v>53</v>
      </c>
      <c r="M186"/>
      <c r="R186"/>
      <c r="T186"/>
    </row>
    <row r="187" spans="1:13">
      <c r="A187" s="170" t="s">
        <v>917</v>
      </c>
      <c r="B187" s="170" t="s">
        <v>918</v>
      </c>
      <c r="C187" s="215" t="s">
        <v>919</v>
      </c>
      <c r="D187" s="170" t="s">
        <v>11</v>
      </c>
      <c r="E187" s="170" t="s">
        <v>12</v>
      </c>
      <c r="H187" s="207">
        <v>455033</v>
      </c>
      <c r="I187" s="182" t="s">
        <v>920</v>
      </c>
      <c r="J187" s="182" t="s">
        <v>921</v>
      </c>
      <c r="K187" s="182" t="s">
        <v>922</v>
      </c>
      <c r="L187" s="182" t="s">
        <v>15</v>
      </c>
      <c r="M187" s="289" t="s">
        <v>918</v>
      </c>
    </row>
    <row r="188" spans="1:13">
      <c r="A188" s="170" t="s">
        <v>923</v>
      </c>
      <c r="B188" s="170" t="s">
        <v>924</v>
      </c>
      <c r="C188" s="216" t="s">
        <v>925</v>
      </c>
      <c r="D188" s="170" t="s">
        <v>11</v>
      </c>
      <c r="E188" s="170" t="s">
        <v>12</v>
      </c>
      <c r="H188" s="207">
        <v>497766</v>
      </c>
      <c r="I188" s="182" t="s">
        <v>926</v>
      </c>
      <c r="J188" s="182" t="s">
        <v>927</v>
      </c>
      <c r="K188" s="182" t="s">
        <v>928</v>
      </c>
      <c r="L188" s="182" t="s">
        <v>15</v>
      </c>
      <c r="M188" s="289" t="s">
        <v>924</v>
      </c>
    </row>
    <row r="189" spans="1:20">
      <c r="A189" s="170" t="s">
        <v>929</v>
      </c>
      <c r="B189" s="170" t="s">
        <v>930</v>
      </c>
      <c r="C189" s="170"/>
      <c r="D189" s="170" t="s">
        <v>11</v>
      </c>
      <c r="E189" s="170" t="s">
        <v>12</v>
      </c>
      <c r="H189" s="207">
        <v>299763</v>
      </c>
      <c r="I189" s="182" t="s">
        <v>931</v>
      </c>
      <c r="J189" s="182" t="s">
        <v>932</v>
      </c>
      <c r="K189" s="182" t="s">
        <v>933</v>
      </c>
      <c r="L189" s="182" t="s">
        <v>15</v>
      </c>
      <c r="M189"/>
      <c r="R189"/>
      <c r="T189"/>
    </row>
    <row r="190" spans="1:13">
      <c r="A190" s="170" t="s">
        <v>934</v>
      </c>
      <c r="B190" s="170" t="s">
        <v>935</v>
      </c>
      <c r="C190" s="215" t="s">
        <v>936</v>
      </c>
      <c r="D190" s="170" t="s">
        <v>11</v>
      </c>
      <c r="E190" s="170" t="s">
        <v>12</v>
      </c>
      <c r="H190" s="207">
        <v>507428</v>
      </c>
      <c r="I190" s="182" t="s">
        <v>937</v>
      </c>
      <c r="J190" s="182" t="s">
        <v>938</v>
      </c>
      <c r="K190" s="182" t="s">
        <v>939</v>
      </c>
      <c r="L190" s="182" t="s">
        <v>15</v>
      </c>
      <c r="M190" s="289" t="s">
        <v>935</v>
      </c>
    </row>
    <row r="191" spans="1:13">
      <c r="A191" s="170" t="s">
        <v>940</v>
      </c>
      <c r="B191" s="170" t="s">
        <v>941</v>
      </c>
      <c r="C191" s="215" t="s">
        <v>942</v>
      </c>
      <c r="D191" s="170" t="s">
        <v>11</v>
      </c>
      <c r="E191" s="170" t="s">
        <v>12</v>
      </c>
      <c r="H191" s="207">
        <v>464236</v>
      </c>
      <c r="I191" s="182" t="s">
        <v>943</v>
      </c>
      <c r="J191" s="182" t="s">
        <v>944</v>
      </c>
      <c r="K191" s="182" t="s">
        <v>945</v>
      </c>
      <c r="L191" s="182" t="s">
        <v>15</v>
      </c>
      <c r="M191" s="289" t="s">
        <v>941</v>
      </c>
    </row>
    <row r="192" spans="1:20">
      <c r="A192" s="170" t="s">
        <v>946</v>
      </c>
      <c r="B192" s="170" t="s">
        <v>947</v>
      </c>
      <c r="C192" s="170"/>
      <c r="D192" s="170" t="s">
        <v>11</v>
      </c>
      <c r="E192" s="170" t="s">
        <v>12</v>
      </c>
      <c r="H192" s="207">
        <v>422181</v>
      </c>
      <c r="I192" s="182" t="s">
        <v>948</v>
      </c>
      <c r="J192" s="182" t="s">
        <v>949</v>
      </c>
      <c r="K192" s="182" t="s">
        <v>950</v>
      </c>
      <c r="L192" s="182" t="s">
        <v>15</v>
      </c>
      <c r="M192"/>
      <c r="R192"/>
      <c r="T192"/>
    </row>
    <row r="193" spans="1:13">
      <c r="A193" s="170" t="s">
        <v>951</v>
      </c>
      <c r="B193" s="170" t="s">
        <v>952</v>
      </c>
      <c r="C193" s="215" t="s">
        <v>953</v>
      </c>
      <c r="D193" s="170" t="s">
        <v>11</v>
      </c>
      <c r="E193" s="170" t="s">
        <v>12</v>
      </c>
      <c r="H193" s="207" t="s">
        <v>10</v>
      </c>
      <c r="I193" s="182" t="s">
        <v>954</v>
      </c>
      <c r="J193" s="182" t="s">
        <v>955</v>
      </c>
      <c r="K193" s="182" t="s">
        <v>956</v>
      </c>
      <c r="L193" s="182" t="s">
        <v>15</v>
      </c>
      <c r="M193" s="289" t="s">
        <v>952</v>
      </c>
    </row>
    <row r="194" spans="1:13">
      <c r="A194" s="170" t="s">
        <v>957</v>
      </c>
      <c r="B194" s="170" t="s">
        <v>958</v>
      </c>
      <c r="C194" s="215" t="s">
        <v>959</v>
      </c>
      <c r="D194" s="170" t="s">
        <v>11</v>
      </c>
      <c r="E194" s="170" t="s">
        <v>12</v>
      </c>
      <c r="H194" s="207">
        <v>317256</v>
      </c>
      <c r="I194" s="182" t="s">
        <v>960</v>
      </c>
      <c r="J194" s="182" t="s">
        <v>961</v>
      </c>
      <c r="K194" s="182" t="s">
        <v>962</v>
      </c>
      <c r="L194" s="182" t="s">
        <v>15</v>
      </c>
      <c r="M194" s="289" t="s">
        <v>958</v>
      </c>
    </row>
    <row r="195" spans="1:20">
      <c r="A195" s="170" t="s">
        <v>963</v>
      </c>
      <c r="B195" s="170" t="s">
        <v>964</v>
      </c>
      <c r="C195" s="170"/>
      <c r="D195" s="170" t="s">
        <v>11</v>
      </c>
      <c r="E195" s="170" t="s">
        <v>12</v>
      </c>
      <c r="H195" s="207">
        <v>469641</v>
      </c>
      <c r="I195" s="182" t="s">
        <v>965</v>
      </c>
      <c r="J195" s="182" t="s">
        <v>966</v>
      </c>
      <c r="K195" s="182" t="s">
        <v>967</v>
      </c>
      <c r="L195" s="182" t="s">
        <v>15</v>
      </c>
      <c r="M195"/>
      <c r="R195"/>
      <c r="T195"/>
    </row>
    <row r="196" spans="1:13">
      <c r="A196" s="170" t="s">
        <v>968</v>
      </c>
      <c r="B196" s="170" t="s">
        <v>969</v>
      </c>
      <c r="C196" s="216" t="s">
        <v>970</v>
      </c>
      <c r="D196" s="170" t="s">
        <v>11</v>
      </c>
      <c r="E196" s="170" t="s">
        <v>12</v>
      </c>
      <c r="H196" s="207" t="s">
        <v>971</v>
      </c>
      <c r="I196" s="182" t="s">
        <v>10</v>
      </c>
      <c r="J196" s="182" t="s">
        <v>971</v>
      </c>
      <c r="K196" s="182" t="s">
        <v>972</v>
      </c>
      <c r="L196" s="182" t="s">
        <v>19</v>
      </c>
      <c r="M196" s="289" t="s">
        <v>969</v>
      </c>
    </row>
    <row r="197" spans="1:20">
      <c r="A197" s="170" t="s">
        <v>973</v>
      </c>
      <c r="B197" s="170" t="s">
        <v>974</v>
      </c>
      <c r="C197" s="170"/>
      <c r="D197" s="170" t="s">
        <v>11</v>
      </c>
      <c r="E197" s="170" t="s">
        <v>12</v>
      </c>
      <c r="H197" s="207">
        <v>501674</v>
      </c>
      <c r="I197" s="182" t="s">
        <v>975</v>
      </c>
      <c r="J197" s="182" t="s">
        <v>976</v>
      </c>
      <c r="K197" s="182" t="s">
        <v>977</v>
      </c>
      <c r="L197" s="182" t="s">
        <v>15</v>
      </c>
      <c r="M197"/>
      <c r="R197"/>
      <c r="T197"/>
    </row>
    <row r="198" spans="1:20">
      <c r="A198" s="170" t="s">
        <v>978</v>
      </c>
      <c r="B198" s="170" t="s">
        <v>979</v>
      </c>
      <c r="C198" s="170"/>
      <c r="D198" s="170" t="s">
        <v>11</v>
      </c>
      <c r="E198" s="170" t="s">
        <v>12</v>
      </c>
      <c r="H198" s="207">
        <v>454753</v>
      </c>
      <c r="I198" s="182" t="s">
        <v>980</v>
      </c>
      <c r="J198" s="182" t="s">
        <v>981</v>
      </c>
      <c r="K198" s="182"/>
      <c r="L198" s="182" t="s">
        <v>15</v>
      </c>
      <c r="M198"/>
      <c r="R198"/>
      <c r="T198"/>
    </row>
    <row r="199" spans="1:13">
      <c r="A199" s="170" t="s">
        <v>982</v>
      </c>
      <c r="B199" s="170" t="s">
        <v>983</v>
      </c>
      <c r="C199" s="217" t="s">
        <v>984</v>
      </c>
      <c r="D199" s="170" t="s">
        <v>11</v>
      </c>
      <c r="E199" s="170" t="s">
        <v>12</v>
      </c>
      <c r="H199" s="207">
        <v>507202</v>
      </c>
      <c r="I199" s="182" t="s">
        <v>985</v>
      </c>
      <c r="J199" s="182" t="s">
        <v>986</v>
      </c>
      <c r="K199" s="182" t="s">
        <v>987</v>
      </c>
      <c r="L199" s="182" t="s">
        <v>15</v>
      </c>
      <c r="M199" s="289" t="s">
        <v>983</v>
      </c>
    </row>
    <row r="200" spans="1:13">
      <c r="A200" s="170" t="s">
        <v>988</v>
      </c>
      <c r="B200" s="299" t="s">
        <v>989</v>
      </c>
      <c r="C200" s="215" t="s">
        <v>990</v>
      </c>
      <c r="D200" s="170" t="s">
        <v>11</v>
      </c>
      <c r="E200" s="170" t="s">
        <v>12</v>
      </c>
      <c r="H200" s="207" t="s">
        <v>991</v>
      </c>
      <c r="I200" s="182" t="s">
        <v>10</v>
      </c>
      <c r="J200" s="182" t="s">
        <v>991</v>
      </c>
      <c r="K200" s="182" t="s">
        <v>992</v>
      </c>
      <c r="L200" s="182" t="s">
        <v>53</v>
      </c>
      <c r="M200" s="300" t="s">
        <v>993</v>
      </c>
    </row>
    <row r="201" spans="1:20">
      <c r="A201" s="170" t="s">
        <v>994</v>
      </c>
      <c r="B201" s="170" t="s">
        <v>993</v>
      </c>
      <c r="C201" s="170"/>
      <c r="D201" s="170" t="s">
        <v>11</v>
      </c>
      <c r="E201" s="170" t="s">
        <v>12</v>
      </c>
      <c r="H201" s="207">
        <v>497971</v>
      </c>
      <c r="I201" s="182" t="s">
        <v>995</v>
      </c>
      <c r="J201" s="182" t="s">
        <v>996</v>
      </c>
      <c r="K201" s="182" t="s">
        <v>997</v>
      </c>
      <c r="L201" s="182" t="s">
        <v>15</v>
      </c>
      <c r="M201"/>
      <c r="R201"/>
      <c r="T201"/>
    </row>
    <row r="202" spans="1:13">
      <c r="A202" s="170" t="s">
        <v>998</v>
      </c>
      <c r="B202" s="170" t="s">
        <v>999</v>
      </c>
      <c r="C202" s="221" t="s">
        <v>1000</v>
      </c>
      <c r="D202" s="170" t="s">
        <v>11</v>
      </c>
      <c r="E202" s="170" t="s">
        <v>12</v>
      </c>
      <c r="H202" s="207">
        <v>392597</v>
      </c>
      <c r="I202" s="182" t="s">
        <v>1001</v>
      </c>
      <c r="J202" s="182" t="s">
        <v>1002</v>
      </c>
      <c r="K202" s="182" t="s">
        <v>1003</v>
      </c>
      <c r="L202" s="182" t="s">
        <v>15</v>
      </c>
      <c r="M202" s="289" t="s">
        <v>999</v>
      </c>
    </row>
    <row r="203" spans="1:20">
      <c r="A203" s="170" t="s">
        <v>1004</v>
      </c>
      <c r="B203" s="170" t="s">
        <v>1005</v>
      </c>
      <c r="C203" s="170"/>
      <c r="D203" s="170" t="s">
        <v>11</v>
      </c>
      <c r="E203" s="170" t="s">
        <v>12</v>
      </c>
      <c r="H203" s="207">
        <v>512995</v>
      </c>
      <c r="I203" s="182" t="s">
        <v>1006</v>
      </c>
      <c r="J203" s="182" t="s">
        <v>1007</v>
      </c>
      <c r="K203" s="182"/>
      <c r="L203" s="182" t="s">
        <v>15</v>
      </c>
      <c r="M203"/>
      <c r="R203"/>
      <c r="T203"/>
    </row>
    <row r="204" spans="1:20">
      <c r="A204" s="170" t="s">
        <v>1008</v>
      </c>
      <c r="B204" s="170" t="s">
        <v>1009</v>
      </c>
      <c r="C204" s="170"/>
      <c r="D204" s="170" t="s">
        <v>11</v>
      </c>
      <c r="E204" s="170" t="s">
        <v>12</v>
      </c>
      <c r="H204" s="207">
        <v>485221</v>
      </c>
      <c r="I204" s="182" t="s">
        <v>1010</v>
      </c>
      <c r="J204" s="182" t="s">
        <v>1011</v>
      </c>
      <c r="K204" s="182" t="s">
        <v>1012</v>
      </c>
      <c r="L204" s="182" t="s">
        <v>15</v>
      </c>
      <c r="M204"/>
      <c r="R204"/>
      <c r="T204"/>
    </row>
    <row r="205" spans="1:20">
      <c r="A205" s="170" t="s">
        <v>1013</v>
      </c>
      <c r="B205" s="170" t="s">
        <v>1014</v>
      </c>
      <c r="C205" s="178" t="s">
        <v>10</v>
      </c>
      <c r="D205" s="170" t="s">
        <v>11</v>
      </c>
      <c r="E205" s="170" t="s">
        <v>12</v>
      </c>
      <c r="H205" s="207">
        <v>174181</v>
      </c>
      <c r="I205" s="182" t="s">
        <v>1015</v>
      </c>
      <c r="J205" s="182" t="s">
        <v>1016</v>
      </c>
      <c r="K205" s="182" t="s">
        <v>1017</v>
      </c>
      <c r="L205" s="182" t="s">
        <v>15</v>
      </c>
      <c r="M205"/>
      <c r="R205"/>
      <c r="T205"/>
    </row>
    <row r="206" spans="1:20">
      <c r="A206" s="170" t="s">
        <v>1018</v>
      </c>
      <c r="B206" s="170" t="s">
        <v>1019</v>
      </c>
      <c r="C206" s="178" t="s">
        <v>10</v>
      </c>
      <c r="D206" s="170" t="s">
        <v>11</v>
      </c>
      <c r="E206" s="170" t="s">
        <v>12</v>
      </c>
      <c r="H206" s="207" t="s">
        <v>1020</v>
      </c>
      <c r="I206" s="182" t="s">
        <v>10</v>
      </c>
      <c r="J206" s="182" t="s">
        <v>1021</v>
      </c>
      <c r="K206" s="182" t="s">
        <v>1022</v>
      </c>
      <c r="L206" s="182" t="s">
        <v>53</v>
      </c>
      <c r="M206"/>
      <c r="R206"/>
      <c r="T206"/>
    </row>
    <row r="207" spans="1:20">
      <c r="A207" s="170" t="s">
        <v>1023</v>
      </c>
      <c r="B207" s="170" t="s">
        <v>1024</v>
      </c>
      <c r="C207" s="178" t="s">
        <v>10</v>
      </c>
      <c r="D207" s="170" t="s">
        <v>11</v>
      </c>
      <c r="E207" s="170" t="s">
        <v>12</v>
      </c>
      <c r="H207" s="207">
        <v>508845</v>
      </c>
      <c r="I207" s="182" t="s">
        <v>1025</v>
      </c>
      <c r="J207" s="182" t="s">
        <v>1026</v>
      </c>
      <c r="K207" s="182" t="s">
        <v>1027</v>
      </c>
      <c r="L207" s="182" t="s">
        <v>15</v>
      </c>
      <c r="M207"/>
      <c r="R207"/>
      <c r="T207"/>
    </row>
    <row r="208" spans="1:20">
      <c r="A208" s="170" t="s">
        <v>1028</v>
      </c>
      <c r="B208" s="170" t="s">
        <v>1029</v>
      </c>
      <c r="C208" s="178" t="s">
        <v>10</v>
      </c>
      <c r="D208" s="170" t="s">
        <v>11</v>
      </c>
      <c r="E208" s="170" t="s">
        <v>12</v>
      </c>
      <c r="H208" s="207">
        <v>486743</v>
      </c>
      <c r="I208" s="182" t="s">
        <v>1030</v>
      </c>
      <c r="J208" s="182" t="s">
        <v>1031</v>
      </c>
      <c r="K208" s="182" t="s">
        <v>1032</v>
      </c>
      <c r="L208" s="182" t="s">
        <v>15</v>
      </c>
      <c r="M208"/>
      <c r="R208"/>
      <c r="T208"/>
    </row>
    <row r="209" spans="1:20">
      <c r="A209" s="170" t="s">
        <v>1033</v>
      </c>
      <c r="B209" s="170" t="s">
        <v>1034</v>
      </c>
      <c r="C209" s="178" t="s">
        <v>10</v>
      </c>
      <c r="D209" s="170" t="s">
        <v>11</v>
      </c>
      <c r="E209" s="170" t="s">
        <v>12</v>
      </c>
      <c r="H209" s="207">
        <v>492234</v>
      </c>
      <c r="I209" s="182" t="s">
        <v>1035</v>
      </c>
      <c r="J209" s="182" t="s">
        <v>1036</v>
      </c>
      <c r="K209" s="182" t="s">
        <v>1037</v>
      </c>
      <c r="L209" s="182" t="s">
        <v>15</v>
      </c>
      <c r="M209"/>
      <c r="R209"/>
      <c r="T209"/>
    </row>
    <row r="210" spans="1:20">
      <c r="A210" s="170" t="s">
        <v>1038</v>
      </c>
      <c r="B210" s="170" t="s">
        <v>1039</v>
      </c>
      <c r="C210" s="178" t="s">
        <v>10</v>
      </c>
      <c r="D210" s="170" t="s">
        <v>11</v>
      </c>
      <c r="E210" s="170" t="s">
        <v>12</v>
      </c>
      <c r="H210" s="207">
        <v>477815</v>
      </c>
      <c r="I210" s="182" t="s">
        <v>1040</v>
      </c>
      <c r="J210" s="182" t="s">
        <v>1041</v>
      </c>
      <c r="K210" s="182" t="s">
        <v>1042</v>
      </c>
      <c r="L210" s="182" t="s">
        <v>15</v>
      </c>
      <c r="M210"/>
      <c r="R210"/>
      <c r="T210"/>
    </row>
    <row r="211" spans="1:13">
      <c r="A211" s="170" t="s">
        <v>1043</v>
      </c>
      <c r="B211" s="170" t="s">
        <v>1044</v>
      </c>
      <c r="C211" s="216" t="s">
        <v>1045</v>
      </c>
      <c r="D211" s="170" t="s">
        <v>11</v>
      </c>
      <c r="E211" s="170" t="s">
        <v>12</v>
      </c>
      <c r="H211" s="207">
        <v>502013</v>
      </c>
      <c r="I211" s="182" t="s">
        <v>1046</v>
      </c>
      <c r="J211" s="182" t="s">
        <v>1047</v>
      </c>
      <c r="K211" s="182" t="s">
        <v>1048</v>
      </c>
      <c r="L211" s="182" t="s">
        <v>15</v>
      </c>
      <c r="M211" s="289" t="s">
        <v>1044</v>
      </c>
    </row>
    <row r="212" spans="1:20">
      <c r="A212" s="170" t="s">
        <v>1049</v>
      </c>
      <c r="B212" s="170" t="s">
        <v>1050</v>
      </c>
      <c r="C212" s="170"/>
      <c r="D212" s="170" t="s">
        <v>11</v>
      </c>
      <c r="E212" s="170" t="s">
        <v>12</v>
      </c>
      <c r="H212" s="207">
        <v>617853</v>
      </c>
      <c r="I212" s="182" t="s">
        <v>1051</v>
      </c>
      <c r="J212" s="182" t="s">
        <v>1052</v>
      </c>
      <c r="K212" s="182" t="s">
        <v>1053</v>
      </c>
      <c r="L212" s="182" t="s">
        <v>15</v>
      </c>
      <c r="M212"/>
      <c r="R212"/>
      <c r="T212"/>
    </row>
    <row r="213" spans="1:20">
      <c r="A213" s="170" t="s">
        <v>1054</v>
      </c>
      <c r="B213" s="170" t="s">
        <v>1055</v>
      </c>
      <c r="C213" s="170"/>
      <c r="D213" s="170" t="s">
        <v>11</v>
      </c>
      <c r="E213" s="170" t="s">
        <v>12</v>
      </c>
      <c r="H213" s="207">
        <v>473159</v>
      </c>
      <c r="I213" s="182" t="s">
        <v>1056</v>
      </c>
      <c r="J213" s="182" t="s">
        <v>1057</v>
      </c>
      <c r="K213" s="182" t="s">
        <v>1058</v>
      </c>
      <c r="L213" s="182" t="s">
        <v>15</v>
      </c>
      <c r="M213"/>
      <c r="R213"/>
      <c r="T213"/>
    </row>
    <row r="214" spans="1:13">
      <c r="A214" s="170" t="s">
        <v>1059</v>
      </c>
      <c r="B214" s="170" t="s">
        <v>1060</v>
      </c>
      <c r="C214" s="216" t="s">
        <v>1061</v>
      </c>
      <c r="D214" s="170" t="s">
        <v>11</v>
      </c>
      <c r="E214" s="170" t="s">
        <v>12</v>
      </c>
      <c r="H214" s="207" t="s">
        <v>1062</v>
      </c>
      <c r="I214" s="182" t="s">
        <v>10</v>
      </c>
      <c r="J214" s="182" t="s">
        <v>1062</v>
      </c>
      <c r="K214" s="182" t="s">
        <v>1063</v>
      </c>
      <c r="L214" s="182" t="s">
        <v>53</v>
      </c>
      <c r="M214" s="289" t="s">
        <v>1060</v>
      </c>
    </row>
    <row r="215" spans="1:13">
      <c r="A215" s="170" t="s">
        <v>1064</v>
      </c>
      <c r="B215" s="170" t="s">
        <v>1065</v>
      </c>
      <c r="C215" s="216" t="s">
        <v>1066</v>
      </c>
      <c r="D215" s="170" t="s">
        <v>11</v>
      </c>
      <c r="E215" s="170" t="s">
        <v>12</v>
      </c>
      <c r="H215" s="207">
        <v>392173</v>
      </c>
      <c r="I215" s="182" t="s">
        <v>1067</v>
      </c>
      <c r="J215" s="182" t="s">
        <v>1068</v>
      </c>
      <c r="K215" s="182"/>
      <c r="L215" s="182" t="s">
        <v>15</v>
      </c>
      <c r="M215" s="289" t="s">
        <v>1065</v>
      </c>
    </row>
    <row r="216" spans="1:20">
      <c r="A216" s="170" t="s">
        <v>1069</v>
      </c>
      <c r="B216" s="170" t="s">
        <v>1070</v>
      </c>
      <c r="C216" s="170"/>
      <c r="D216" s="170" t="s">
        <v>11</v>
      </c>
      <c r="E216" s="170" t="s">
        <v>12</v>
      </c>
      <c r="H216" s="207">
        <v>481378</v>
      </c>
      <c r="I216" s="182" t="s">
        <v>1071</v>
      </c>
      <c r="J216" s="182" t="s">
        <v>1072</v>
      </c>
      <c r="K216" s="182" t="s">
        <v>1073</v>
      </c>
      <c r="L216" s="182" t="s">
        <v>15</v>
      </c>
      <c r="M216"/>
      <c r="R216"/>
      <c r="T216"/>
    </row>
    <row r="217" spans="1:13">
      <c r="A217" s="170" t="s">
        <v>1074</v>
      </c>
      <c r="B217" s="170" t="s">
        <v>1075</v>
      </c>
      <c r="C217" s="215" t="s">
        <v>1076</v>
      </c>
      <c r="D217" s="170" t="s">
        <v>11</v>
      </c>
      <c r="E217" s="170" t="s">
        <v>12</v>
      </c>
      <c r="H217" s="207">
        <v>377349</v>
      </c>
      <c r="I217" s="182" t="s">
        <v>1077</v>
      </c>
      <c r="J217" s="182" t="s">
        <v>1078</v>
      </c>
      <c r="K217" s="182" t="s">
        <v>1079</v>
      </c>
      <c r="L217" s="182" t="s">
        <v>15</v>
      </c>
      <c r="M217" s="289" t="s">
        <v>1075</v>
      </c>
    </row>
    <row r="218" spans="1:13">
      <c r="A218" s="170" t="s">
        <v>1080</v>
      </c>
      <c r="B218" s="170" t="s">
        <v>1081</v>
      </c>
      <c r="C218" s="215" t="s">
        <v>1082</v>
      </c>
      <c r="D218" s="170" t="s">
        <v>11</v>
      </c>
      <c r="E218" s="170" t="s">
        <v>12</v>
      </c>
      <c r="H218" s="207">
        <v>486756</v>
      </c>
      <c r="I218" s="182" t="s">
        <v>1083</v>
      </c>
      <c r="J218" s="182" t="s">
        <v>1084</v>
      </c>
      <c r="K218" s="182" t="s">
        <v>1085</v>
      </c>
      <c r="L218" s="182" t="s">
        <v>15</v>
      </c>
      <c r="M218" s="289" t="s">
        <v>1081</v>
      </c>
    </row>
    <row r="219" spans="1:20">
      <c r="A219" s="170" t="s">
        <v>1086</v>
      </c>
      <c r="B219" s="170" t="s">
        <v>1087</v>
      </c>
      <c r="C219" s="170"/>
      <c r="D219" s="170" t="s">
        <v>11</v>
      </c>
      <c r="E219" s="170" t="s">
        <v>12</v>
      </c>
      <c r="H219" s="207">
        <v>476629</v>
      </c>
      <c r="I219" s="182" t="s">
        <v>1088</v>
      </c>
      <c r="J219" s="182" t="s">
        <v>1089</v>
      </c>
      <c r="K219" s="182" t="s">
        <v>1090</v>
      </c>
      <c r="L219" s="182" t="s">
        <v>15</v>
      </c>
      <c r="M219"/>
      <c r="R219"/>
      <c r="T219"/>
    </row>
    <row r="220" spans="1:13">
      <c r="A220" s="170" t="s">
        <v>1091</v>
      </c>
      <c r="B220" s="170" t="s">
        <v>1092</v>
      </c>
      <c r="C220" s="214" t="s">
        <v>1093</v>
      </c>
      <c r="D220" s="170" t="s">
        <v>11</v>
      </c>
      <c r="E220" s="170" t="s">
        <v>12</v>
      </c>
      <c r="H220" s="207">
        <v>454484</v>
      </c>
      <c r="I220" s="182" t="s">
        <v>1094</v>
      </c>
      <c r="J220" s="182" t="s">
        <v>1095</v>
      </c>
      <c r="K220" s="182" t="s">
        <v>1096</v>
      </c>
      <c r="L220" s="182" t="s">
        <v>15</v>
      </c>
      <c r="M220" s="289" t="s">
        <v>1092</v>
      </c>
    </row>
    <row r="221" spans="1:13">
      <c r="A221" s="170" t="s">
        <v>1097</v>
      </c>
      <c r="B221" s="170" t="s">
        <v>1098</v>
      </c>
      <c r="C221" s="215" t="s">
        <v>1099</v>
      </c>
      <c r="D221" s="170" t="s">
        <v>11</v>
      </c>
      <c r="E221" s="170" t="s">
        <v>12</v>
      </c>
      <c r="H221" s="207">
        <v>501413</v>
      </c>
      <c r="I221" s="182" t="s">
        <v>1100</v>
      </c>
      <c r="J221" s="182" t="s">
        <v>1101</v>
      </c>
      <c r="K221" s="182" t="s">
        <v>1102</v>
      </c>
      <c r="L221" s="182" t="s">
        <v>15</v>
      </c>
      <c r="M221" s="289" t="s">
        <v>1098</v>
      </c>
    </row>
    <row r="222" spans="1:20">
      <c r="A222" s="170" t="s">
        <v>1103</v>
      </c>
      <c r="B222" s="170" t="s">
        <v>1104</v>
      </c>
      <c r="C222" s="170"/>
      <c r="D222" s="170" t="s">
        <v>11</v>
      </c>
      <c r="E222" s="170" t="s">
        <v>12</v>
      </c>
      <c r="H222" s="207">
        <v>509250</v>
      </c>
      <c r="I222" s="182" t="s">
        <v>1105</v>
      </c>
      <c r="J222" s="182" t="s">
        <v>1106</v>
      </c>
      <c r="K222" s="182" t="s">
        <v>1107</v>
      </c>
      <c r="L222" s="182" t="s">
        <v>15</v>
      </c>
      <c r="M222"/>
      <c r="R222"/>
      <c r="T222"/>
    </row>
    <row r="223" spans="1:13">
      <c r="A223" s="170" t="s">
        <v>1108</v>
      </c>
      <c r="B223" s="170" t="s">
        <v>1109</v>
      </c>
      <c r="C223" s="216" t="s">
        <v>1110</v>
      </c>
      <c r="D223" s="170" t="s">
        <v>11</v>
      </c>
      <c r="E223" s="170" t="s">
        <v>12</v>
      </c>
      <c r="H223" s="207" t="s">
        <v>1111</v>
      </c>
      <c r="I223" s="182" t="s">
        <v>10</v>
      </c>
      <c r="J223" s="182" t="s">
        <v>1111</v>
      </c>
      <c r="K223" s="182" t="s">
        <v>1112</v>
      </c>
      <c r="L223" s="182" t="s">
        <v>53</v>
      </c>
      <c r="M223" s="289" t="s">
        <v>1109</v>
      </c>
    </row>
    <row r="224" spans="1:13">
      <c r="A224" s="170" t="s">
        <v>1113</v>
      </c>
      <c r="B224" s="170" t="s">
        <v>1114</v>
      </c>
      <c r="C224" s="215" t="s">
        <v>1115</v>
      </c>
      <c r="D224" s="170" t="s">
        <v>11</v>
      </c>
      <c r="E224" s="170" t="s">
        <v>12</v>
      </c>
      <c r="H224" s="207">
        <v>454438</v>
      </c>
      <c r="I224" s="182" t="s">
        <v>1116</v>
      </c>
      <c r="J224" s="182" t="s">
        <v>1117</v>
      </c>
      <c r="K224" s="182"/>
      <c r="L224" s="182" t="s">
        <v>15</v>
      </c>
      <c r="M224" s="289" t="s">
        <v>1114</v>
      </c>
    </row>
    <row r="225" spans="1:20">
      <c r="A225" s="170" t="s">
        <v>1118</v>
      </c>
      <c r="B225" s="170" t="s">
        <v>1119</v>
      </c>
      <c r="C225" s="170"/>
      <c r="D225" s="170" t="s">
        <v>11</v>
      </c>
      <c r="E225" s="170" t="s">
        <v>12</v>
      </c>
      <c r="H225" s="207" t="s">
        <v>1120</v>
      </c>
      <c r="I225" s="182" t="s">
        <v>1121</v>
      </c>
      <c r="J225" s="182" t="s">
        <v>1122</v>
      </c>
      <c r="K225" s="182" t="s">
        <v>1123</v>
      </c>
      <c r="L225" s="182" t="s">
        <v>15</v>
      </c>
      <c r="M225"/>
      <c r="R225"/>
      <c r="T225"/>
    </row>
    <row r="226" spans="1:13">
      <c r="A226" s="170" t="s">
        <v>1124</v>
      </c>
      <c r="B226" s="170" t="s">
        <v>1125</v>
      </c>
      <c r="C226" s="215" t="s">
        <v>1126</v>
      </c>
      <c r="D226" s="170" t="s">
        <v>11</v>
      </c>
      <c r="E226" s="170" t="s">
        <v>12</v>
      </c>
      <c r="H226" s="207">
        <v>501913</v>
      </c>
      <c r="I226" s="182" t="s">
        <v>1127</v>
      </c>
      <c r="J226" s="182" t="s">
        <v>1128</v>
      </c>
      <c r="K226" s="182" t="s">
        <v>1129</v>
      </c>
      <c r="L226" s="182" t="s">
        <v>15</v>
      </c>
      <c r="M226" s="289" t="s">
        <v>1125</v>
      </c>
    </row>
    <row r="227" spans="1:13">
      <c r="A227" s="170" t="s">
        <v>1130</v>
      </c>
      <c r="B227" s="170" t="s">
        <v>1131</v>
      </c>
      <c r="C227" s="215" t="s">
        <v>1132</v>
      </c>
      <c r="D227" s="170" t="s">
        <v>11</v>
      </c>
      <c r="E227" s="170" t="s">
        <v>12</v>
      </c>
      <c r="H227" s="207">
        <v>959271</v>
      </c>
      <c r="I227" s="182" t="s">
        <v>1133</v>
      </c>
      <c r="J227" s="182" t="s">
        <v>1134</v>
      </c>
      <c r="K227" s="182" t="s">
        <v>1135</v>
      </c>
      <c r="L227" s="182" t="s">
        <v>15</v>
      </c>
      <c r="M227" s="289" t="s">
        <v>1131</v>
      </c>
    </row>
    <row r="228" spans="1:20">
      <c r="A228" s="170" t="s">
        <v>1136</v>
      </c>
      <c r="B228" s="170" t="s">
        <v>1137</v>
      </c>
      <c r="C228" s="170"/>
      <c r="D228" s="170" t="s">
        <v>11</v>
      </c>
      <c r="E228" s="170" t="s">
        <v>12</v>
      </c>
      <c r="H228" s="207">
        <v>463607</v>
      </c>
      <c r="I228" s="182" t="s">
        <v>1138</v>
      </c>
      <c r="J228" s="182" t="s">
        <v>1139</v>
      </c>
      <c r="K228" s="182" t="s">
        <v>1140</v>
      </c>
      <c r="L228" s="182" t="s">
        <v>15</v>
      </c>
      <c r="M228"/>
      <c r="R228"/>
      <c r="T228"/>
    </row>
    <row r="229" spans="1:13">
      <c r="A229" s="170" t="s">
        <v>1141</v>
      </c>
      <c r="B229" s="170" t="s">
        <v>1142</v>
      </c>
      <c r="C229" s="216" t="s">
        <v>1143</v>
      </c>
      <c r="D229" s="170" t="s">
        <v>11</v>
      </c>
      <c r="E229" s="170" t="s">
        <v>12</v>
      </c>
      <c r="H229" s="207">
        <v>954455</v>
      </c>
      <c r="I229" s="182" t="s">
        <v>1144</v>
      </c>
      <c r="J229" s="182" t="s">
        <v>1145</v>
      </c>
      <c r="K229" s="182" t="s">
        <v>1146</v>
      </c>
      <c r="L229" s="182" t="s">
        <v>15</v>
      </c>
      <c r="M229" s="289" t="s">
        <v>1142</v>
      </c>
    </row>
    <row r="230" spans="1:20">
      <c r="A230" s="170" t="s">
        <v>1147</v>
      </c>
      <c r="B230" s="170" t="s">
        <v>1148</v>
      </c>
      <c r="C230" s="170"/>
      <c r="D230" s="170" t="s">
        <v>11</v>
      </c>
      <c r="E230" s="170" t="s">
        <v>12</v>
      </c>
      <c r="H230" s="207">
        <v>465790</v>
      </c>
      <c r="I230" s="182" t="s">
        <v>1149</v>
      </c>
      <c r="J230" s="182" t="s">
        <v>1150</v>
      </c>
      <c r="K230" s="182" t="s">
        <v>1151</v>
      </c>
      <c r="L230" s="182" t="s">
        <v>15</v>
      </c>
      <c r="M230"/>
      <c r="R230"/>
      <c r="T230"/>
    </row>
    <row r="231" spans="1:20">
      <c r="A231" s="170" t="s">
        <v>1152</v>
      </c>
      <c r="B231" s="170" t="s">
        <v>1153</v>
      </c>
      <c r="C231" s="170"/>
      <c r="D231" s="170" t="s">
        <v>11</v>
      </c>
      <c r="E231" s="170" t="s">
        <v>12</v>
      </c>
      <c r="H231" s="207">
        <v>490850</v>
      </c>
      <c r="I231" s="182" t="s">
        <v>1154</v>
      </c>
      <c r="J231" s="182" t="s">
        <v>1155</v>
      </c>
      <c r="K231" s="182" t="s">
        <v>1156</v>
      </c>
      <c r="L231" s="182" t="s">
        <v>15</v>
      </c>
      <c r="M231"/>
      <c r="R231"/>
      <c r="T231"/>
    </row>
    <row r="232" spans="1:13">
      <c r="A232" s="170" t="s">
        <v>1157</v>
      </c>
      <c r="B232" s="170" t="s">
        <v>1158</v>
      </c>
      <c r="C232" s="216" t="s">
        <v>1159</v>
      </c>
      <c r="D232" s="170" t="s">
        <v>11</v>
      </c>
      <c r="E232" s="170" t="s">
        <v>12</v>
      </c>
      <c r="H232" s="207">
        <v>464406</v>
      </c>
      <c r="I232" s="182" t="s">
        <v>1160</v>
      </c>
      <c r="J232" s="182" t="s">
        <v>1161</v>
      </c>
      <c r="K232" s="182" t="s">
        <v>1162</v>
      </c>
      <c r="L232" s="182" t="s">
        <v>15</v>
      </c>
      <c r="M232" s="289" t="s">
        <v>1158</v>
      </c>
    </row>
    <row r="233" spans="1:13">
      <c r="A233" s="170" t="s">
        <v>1163</v>
      </c>
      <c r="B233" s="170" t="s">
        <v>1164</v>
      </c>
      <c r="C233" s="216" t="s">
        <v>1165</v>
      </c>
      <c r="D233" s="170" t="s">
        <v>11</v>
      </c>
      <c r="E233" s="170" t="s">
        <v>12</v>
      </c>
      <c r="H233" s="207">
        <v>227355</v>
      </c>
      <c r="I233" s="182" t="s">
        <v>1166</v>
      </c>
      <c r="J233" s="182" t="s">
        <v>1167</v>
      </c>
      <c r="K233" s="182"/>
      <c r="L233" s="182" t="s">
        <v>15</v>
      </c>
      <c r="M233" s="289" t="s">
        <v>1164</v>
      </c>
    </row>
    <row r="234" spans="1:20">
      <c r="A234" s="170" t="s">
        <v>1168</v>
      </c>
      <c r="B234" s="170" t="s">
        <v>1169</v>
      </c>
      <c r="C234" s="170"/>
      <c r="D234" s="170" t="s">
        <v>11</v>
      </c>
      <c r="E234" s="170" t="s">
        <v>12</v>
      </c>
      <c r="H234" s="207" t="s">
        <v>1170</v>
      </c>
      <c r="I234" s="182" t="s">
        <v>10</v>
      </c>
      <c r="J234" s="182" t="s">
        <v>1170</v>
      </c>
      <c r="K234" s="182" t="s">
        <v>1171</v>
      </c>
      <c r="L234" s="182" t="s">
        <v>19</v>
      </c>
      <c r="M234"/>
      <c r="R234"/>
      <c r="T234"/>
    </row>
    <row r="235" spans="1:13">
      <c r="A235" s="170" t="s">
        <v>1172</v>
      </c>
      <c r="B235" s="170" t="s">
        <v>1173</v>
      </c>
      <c r="C235" s="221" t="s">
        <v>1174</v>
      </c>
      <c r="D235" s="170" t="s">
        <v>11</v>
      </c>
      <c r="E235" s="170" t="s">
        <v>12</v>
      </c>
      <c r="H235" s="207">
        <v>486555</v>
      </c>
      <c r="I235" s="182" t="s">
        <v>1175</v>
      </c>
      <c r="J235" s="182" t="s">
        <v>1176</v>
      </c>
      <c r="K235" s="182" t="s">
        <v>1177</v>
      </c>
      <c r="L235" s="182" t="s">
        <v>15</v>
      </c>
      <c r="M235" s="289" t="s">
        <v>1173</v>
      </c>
    </row>
    <row r="236" spans="1:13">
      <c r="A236" s="170" t="s">
        <v>1178</v>
      </c>
      <c r="B236" s="170" t="s">
        <v>1179</v>
      </c>
      <c r="C236" s="216" t="s">
        <v>1180</v>
      </c>
      <c r="D236" s="170" t="s">
        <v>11</v>
      </c>
      <c r="E236" s="170" t="s">
        <v>12</v>
      </c>
      <c r="H236" s="207" t="s">
        <v>1181</v>
      </c>
      <c r="I236" s="182" t="s">
        <v>10</v>
      </c>
      <c r="J236" s="182" t="s">
        <v>1181</v>
      </c>
      <c r="K236" s="182" t="s">
        <v>1182</v>
      </c>
      <c r="L236" s="182" t="s">
        <v>53</v>
      </c>
      <c r="M236" s="289" t="s">
        <v>1179</v>
      </c>
    </row>
    <row r="237" spans="1:20">
      <c r="A237" s="170" t="s">
        <v>1183</v>
      </c>
      <c r="B237" s="170" t="s">
        <v>1184</v>
      </c>
      <c r="C237" s="170"/>
      <c r="D237" s="170" t="s">
        <v>11</v>
      </c>
      <c r="E237" s="170" t="s">
        <v>12</v>
      </c>
      <c r="H237" s="207" t="s">
        <v>1185</v>
      </c>
      <c r="I237" s="182" t="s">
        <v>10</v>
      </c>
      <c r="J237" s="182" t="s">
        <v>1185</v>
      </c>
      <c r="K237" s="182" t="s">
        <v>1186</v>
      </c>
      <c r="L237" s="182" t="s">
        <v>53</v>
      </c>
      <c r="M237"/>
      <c r="R237"/>
      <c r="T237"/>
    </row>
    <row r="238" spans="1:13">
      <c r="A238" s="170" t="s">
        <v>1187</v>
      </c>
      <c r="B238" s="170" t="s">
        <v>1188</v>
      </c>
      <c r="C238" s="215" t="s">
        <v>1189</v>
      </c>
      <c r="D238" s="170" t="s">
        <v>11</v>
      </c>
      <c r="E238" s="170" t="s">
        <v>12</v>
      </c>
      <c r="H238" s="207">
        <v>444239</v>
      </c>
      <c r="I238" s="182" t="s">
        <v>1190</v>
      </c>
      <c r="J238" s="182" t="s">
        <v>1191</v>
      </c>
      <c r="K238" s="182" t="s">
        <v>1192</v>
      </c>
      <c r="L238" s="182" t="s">
        <v>15</v>
      </c>
      <c r="M238" s="289" t="s">
        <v>1188</v>
      </c>
    </row>
    <row r="239" spans="1:13">
      <c r="A239" s="170" t="s">
        <v>1193</v>
      </c>
      <c r="B239" s="299" t="s">
        <v>1194</v>
      </c>
      <c r="C239" s="215" t="s">
        <v>1195</v>
      </c>
      <c r="D239" s="170" t="s">
        <v>11</v>
      </c>
      <c r="E239" s="170" t="s">
        <v>12</v>
      </c>
      <c r="H239" s="207">
        <v>58861</v>
      </c>
      <c r="I239" s="182" t="s">
        <v>1196</v>
      </c>
      <c r="J239" s="182" t="s">
        <v>1197</v>
      </c>
      <c r="K239" s="182" t="s">
        <v>1198</v>
      </c>
      <c r="L239" s="182" t="s">
        <v>415</v>
      </c>
      <c r="M239" s="300" t="s">
        <v>1199</v>
      </c>
    </row>
    <row r="240" spans="1:20">
      <c r="A240" s="170" t="s">
        <v>1200</v>
      </c>
      <c r="B240" s="170" t="s">
        <v>1201</v>
      </c>
      <c r="C240" s="170"/>
      <c r="D240" s="170" t="s">
        <v>11</v>
      </c>
      <c r="E240" s="170" t="s">
        <v>12</v>
      </c>
      <c r="H240" s="207">
        <v>473640</v>
      </c>
      <c r="I240" s="182" t="s">
        <v>1202</v>
      </c>
      <c r="J240" s="182" t="s">
        <v>1203</v>
      </c>
      <c r="K240" s="182" t="s">
        <v>1204</v>
      </c>
      <c r="L240" s="182" t="s">
        <v>415</v>
      </c>
      <c r="M240"/>
      <c r="R240"/>
      <c r="T240"/>
    </row>
    <row r="241" spans="1:13">
      <c r="A241" s="170" t="s">
        <v>1205</v>
      </c>
      <c r="B241" s="170" t="s">
        <v>1206</v>
      </c>
      <c r="C241" s="216" t="s">
        <v>1207</v>
      </c>
      <c r="D241" s="170" t="s">
        <v>11</v>
      </c>
      <c r="E241" s="170" t="s">
        <v>12</v>
      </c>
      <c r="H241" s="207" t="s">
        <v>1208</v>
      </c>
      <c r="I241" s="182" t="s">
        <v>10</v>
      </c>
      <c r="J241" s="182" t="s">
        <v>1208</v>
      </c>
      <c r="K241" s="182" t="s">
        <v>1209</v>
      </c>
      <c r="L241" s="182" t="s">
        <v>53</v>
      </c>
      <c r="M241" s="289" t="s">
        <v>1206</v>
      </c>
    </row>
    <row r="242" spans="1:20">
      <c r="A242" s="170" t="s">
        <v>1210</v>
      </c>
      <c r="B242" s="170" t="s">
        <v>1211</v>
      </c>
      <c r="C242" s="170"/>
      <c r="D242" s="170" t="s">
        <v>11</v>
      </c>
      <c r="E242" s="170" t="s">
        <v>12</v>
      </c>
      <c r="H242" s="207">
        <v>485226</v>
      </c>
      <c r="I242" s="182" t="s">
        <v>1212</v>
      </c>
      <c r="J242" s="182" t="s">
        <v>1213</v>
      </c>
      <c r="K242" s="182" t="s">
        <v>1214</v>
      </c>
      <c r="L242" s="182" t="s">
        <v>15</v>
      </c>
      <c r="M242"/>
      <c r="R242"/>
      <c r="T242"/>
    </row>
    <row r="243" spans="1:20">
      <c r="A243" s="170" t="s">
        <v>1215</v>
      </c>
      <c r="B243" s="170" t="s">
        <v>1216</v>
      </c>
      <c r="C243" s="170"/>
      <c r="D243" s="170" t="s">
        <v>11</v>
      </c>
      <c r="E243" s="170" t="s">
        <v>12</v>
      </c>
      <c r="H243" s="207">
        <v>468934</v>
      </c>
      <c r="I243" s="182" t="s">
        <v>1217</v>
      </c>
      <c r="J243" s="182" t="s">
        <v>1218</v>
      </c>
      <c r="K243" s="182" t="s">
        <v>1219</v>
      </c>
      <c r="L243" s="182" t="s">
        <v>369</v>
      </c>
      <c r="M243"/>
      <c r="R243"/>
      <c r="T243"/>
    </row>
    <row r="244" spans="1:13">
      <c r="A244" s="170" t="s">
        <v>1220</v>
      </c>
      <c r="B244" s="170" t="s">
        <v>1221</v>
      </c>
      <c r="C244" s="216" t="s">
        <v>1222</v>
      </c>
      <c r="D244" s="170" t="s">
        <v>11</v>
      </c>
      <c r="E244" s="170" t="s">
        <v>12</v>
      </c>
      <c r="H244" s="207">
        <v>502081</v>
      </c>
      <c r="I244" s="182" t="s">
        <v>1223</v>
      </c>
      <c r="J244" s="182" t="s">
        <v>1224</v>
      </c>
      <c r="K244" s="182" t="s">
        <v>1225</v>
      </c>
      <c r="L244" s="182" t="s">
        <v>15</v>
      </c>
      <c r="M244" s="289" t="s">
        <v>1221</v>
      </c>
    </row>
    <row r="245" spans="1:20">
      <c r="A245" s="170" t="s">
        <v>1226</v>
      </c>
      <c r="B245" s="170" t="s">
        <v>1227</v>
      </c>
      <c r="C245" s="170"/>
      <c r="D245" s="170" t="s">
        <v>11</v>
      </c>
      <c r="E245" s="170" t="s">
        <v>12</v>
      </c>
      <c r="H245" s="207">
        <v>477584</v>
      </c>
      <c r="I245" s="182" t="s">
        <v>1228</v>
      </c>
      <c r="J245" s="182" t="s">
        <v>1229</v>
      </c>
      <c r="K245" s="182" t="s">
        <v>1230</v>
      </c>
      <c r="L245" s="182" t="s">
        <v>15</v>
      </c>
      <c r="M245"/>
      <c r="R245"/>
      <c r="T245"/>
    </row>
    <row r="246" spans="1:20">
      <c r="A246" s="170" t="s">
        <v>1231</v>
      </c>
      <c r="B246" s="170" t="s">
        <v>1232</v>
      </c>
      <c r="C246" s="170"/>
      <c r="D246" s="170" t="s">
        <v>11</v>
      </c>
      <c r="E246" s="170" t="s">
        <v>12</v>
      </c>
      <c r="H246" s="207">
        <v>509420</v>
      </c>
      <c r="I246" s="182" t="s">
        <v>1233</v>
      </c>
      <c r="J246" s="182" t="s">
        <v>1234</v>
      </c>
      <c r="K246" s="182"/>
      <c r="L246" s="182" t="s">
        <v>15</v>
      </c>
      <c r="M246"/>
      <c r="R246"/>
      <c r="T246"/>
    </row>
    <row r="247" spans="1:13">
      <c r="A247" s="170" t="s">
        <v>1235</v>
      </c>
      <c r="B247" s="170" t="s">
        <v>1236</v>
      </c>
      <c r="C247" s="214" t="s">
        <v>1237</v>
      </c>
      <c r="D247" s="170" t="s">
        <v>11</v>
      </c>
      <c r="E247" s="170" t="s">
        <v>12</v>
      </c>
      <c r="H247" s="207" t="s">
        <v>1238</v>
      </c>
      <c r="I247" s="182" t="s">
        <v>10</v>
      </c>
      <c r="J247" s="182" t="s">
        <v>1238</v>
      </c>
      <c r="K247" s="182" t="s">
        <v>1239</v>
      </c>
      <c r="L247" s="182" t="s">
        <v>53</v>
      </c>
      <c r="M247" s="289" t="s">
        <v>1236</v>
      </c>
    </row>
    <row r="248" spans="1:13">
      <c r="A248" s="170" t="s">
        <v>1240</v>
      </c>
      <c r="B248" s="170" t="s">
        <v>1241</v>
      </c>
      <c r="C248" s="216" t="s">
        <v>1242</v>
      </c>
      <c r="D248" s="170" t="s">
        <v>11</v>
      </c>
      <c r="E248" s="170" t="s">
        <v>12</v>
      </c>
      <c r="H248" s="207">
        <v>500818</v>
      </c>
      <c r="I248" s="182" t="s">
        <v>1243</v>
      </c>
      <c r="J248" s="182" t="s">
        <v>1244</v>
      </c>
      <c r="K248" s="182" t="s">
        <v>1245</v>
      </c>
      <c r="L248" s="182" t="s">
        <v>15</v>
      </c>
      <c r="M248" s="289" t="s">
        <v>1241</v>
      </c>
    </row>
    <row r="249" spans="1:20">
      <c r="A249" s="170" t="s">
        <v>1246</v>
      </c>
      <c r="B249" s="170" t="s">
        <v>1247</v>
      </c>
      <c r="C249" s="170"/>
      <c r="D249" s="170" t="s">
        <v>11</v>
      </c>
      <c r="E249" s="170" t="s">
        <v>12</v>
      </c>
      <c r="H249" s="207">
        <v>501128</v>
      </c>
      <c r="I249" s="182" t="s">
        <v>1248</v>
      </c>
      <c r="J249" s="182" t="s">
        <v>1249</v>
      </c>
      <c r="K249" s="182" t="s">
        <v>1250</v>
      </c>
      <c r="L249" s="182" t="s">
        <v>15</v>
      </c>
      <c r="M249"/>
      <c r="R249"/>
      <c r="T249"/>
    </row>
    <row r="250" spans="1:13">
      <c r="A250" s="170" t="s">
        <v>1251</v>
      </c>
      <c r="B250" s="170" t="s">
        <v>1252</v>
      </c>
      <c r="C250" s="216" t="s">
        <v>1253</v>
      </c>
      <c r="D250" s="170" t="s">
        <v>11</v>
      </c>
      <c r="E250" s="170" t="s">
        <v>12</v>
      </c>
      <c r="H250" s="207">
        <v>485650</v>
      </c>
      <c r="I250" s="182" t="s">
        <v>1254</v>
      </c>
      <c r="J250" s="182" t="s">
        <v>1255</v>
      </c>
      <c r="K250" s="182" t="s">
        <v>1256</v>
      </c>
      <c r="L250" s="182" t="s">
        <v>15</v>
      </c>
      <c r="M250" s="289" t="s">
        <v>1252</v>
      </c>
    </row>
    <row r="251" spans="1:13">
      <c r="A251" s="170" t="s">
        <v>1257</v>
      </c>
      <c r="B251" s="170" t="s">
        <v>1258</v>
      </c>
      <c r="C251" s="216" t="s">
        <v>1259</v>
      </c>
      <c r="D251" s="170" t="s">
        <v>11</v>
      </c>
      <c r="E251" s="170" t="s">
        <v>12</v>
      </c>
      <c r="H251" s="207">
        <v>528030</v>
      </c>
      <c r="I251" s="182" t="s">
        <v>1260</v>
      </c>
      <c r="J251" s="182" t="s">
        <v>1261</v>
      </c>
      <c r="K251" s="182" t="s">
        <v>1262</v>
      </c>
      <c r="L251" s="182" t="s">
        <v>15</v>
      </c>
      <c r="M251" s="289" t="s">
        <v>1258</v>
      </c>
    </row>
    <row r="252" spans="1:20">
      <c r="A252" s="170" t="s">
        <v>1263</v>
      </c>
      <c r="B252" s="170" t="s">
        <v>1264</v>
      </c>
      <c r="C252" s="170"/>
      <c r="D252" s="170" t="s">
        <v>11</v>
      </c>
      <c r="E252" s="170" t="s">
        <v>12</v>
      </c>
      <c r="H252" s="207">
        <v>513977</v>
      </c>
      <c r="I252" s="182" t="s">
        <v>1265</v>
      </c>
      <c r="J252" s="182" t="s">
        <v>1266</v>
      </c>
      <c r="K252" s="182" t="s">
        <v>1267</v>
      </c>
      <c r="L252" s="182" t="s">
        <v>15</v>
      </c>
      <c r="M252"/>
      <c r="R252"/>
      <c r="T252"/>
    </row>
    <row r="253" spans="1:13">
      <c r="A253" s="170" t="s">
        <v>1268</v>
      </c>
      <c r="B253" s="170" t="s">
        <v>1269</v>
      </c>
      <c r="C253" s="216" t="s">
        <v>1270</v>
      </c>
      <c r="D253" s="170" t="s">
        <v>11</v>
      </c>
      <c r="E253" s="170" t="s">
        <v>12</v>
      </c>
      <c r="H253" s="207" t="s">
        <v>1271</v>
      </c>
      <c r="I253" s="182" t="s">
        <v>10</v>
      </c>
      <c r="J253" s="182" t="s">
        <v>1271</v>
      </c>
      <c r="K253" s="182" t="s">
        <v>1272</v>
      </c>
      <c r="L253" s="182" t="s">
        <v>19</v>
      </c>
      <c r="M253" s="289" t="s">
        <v>1269</v>
      </c>
    </row>
    <row r="254" spans="1:13">
      <c r="A254" s="170" t="s">
        <v>1273</v>
      </c>
      <c r="B254" s="170" t="s">
        <v>1274</v>
      </c>
      <c r="C254" s="216" t="s">
        <v>1275</v>
      </c>
      <c r="D254" s="170" t="s">
        <v>11</v>
      </c>
      <c r="E254" s="170" t="s">
        <v>12</v>
      </c>
      <c r="H254" s="207" t="s">
        <v>1276</v>
      </c>
      <c r="I254" s="182" t="s">
        <v>1277</v>
      </c>
      <c r="J254" s="182" t="s">
        <v>1278</v>
      </c>
      <c r="K254" s="182"/>
      <c r="L254" s="182" t="s">
        <v>15</v>
      </c>
      <c r="M254" s="289" t="s">
        <v>1274</v>
      </c>
    </row>
    <row r="255" spans="1:20">
      <c r="A255" s="170" t="s">
        <v>1279</v>
      </c>
      <c r="B255" s="170" t="s">
        <v>1280</v>
      </c>
      <c r="C255" s="170"/>
      <c r="D255" s="170" t="s">
        <v>11</v>
      </c>
      <c r="E255" s="170" t="s">
        <v>12</v>
      </c>
      <c r="H255" s="207" t="s">
        <v>1281</v>
      </c>
      <c r="I255" s="182" t="s">
        <v>10</v>
      </c>
      <c r="J255" s="182" t="s">
        <v>1281</v>
      </c>
      <c r="K255" s="182" t="s">
        <v>1282</v>
      </c>
      <c r="L255" s="182" t="s">
        <v>19</v>
      </c>
      <c r="M255"/>
      <c r="R255"/>
      <c r="T255"/>
    </row>
    <row r="256" spans="1:13">
      <c r="A256" s="170" t="s">
        <v>1283</v>
      </c>
      <c r="B256" s="170" t="s">
        <v>1284</v>
      </c>
      <c r="C256" s="216" t="s">
        <v>1285</v>
      </c>
      <c r="D256" s="170" t="s">
        <v>11</v>
      </c>
      <c r="E256" s="170" t="s">
        <v>12</v>
      </c>
      <c r="H256" s="207" t="s">
        <v>1286</v>
      </c>
      <c r="I256" s="182" t="s">
        <v>10</v>
      </c>
      <c r="J256" s="182" t="s">
        <v>1286</v>
      </c>
      <c r="K256" s="182" t="s">
        <v>1287</v>
      </c>
      <c r="L256" s="182" t="s">
        <v>53</v>
      </c>
      <c r="M256" s="289" t="s">
        <v>1284</v>
      </c>
    </row>
    <row r="257" spans="1:13">
      <c r="A257" s="170" t="s">
        <v>1288</v>
      </c>
      <c r="B257" s="170" t="s">
        <v>1289</v>
      </c>
      <c r="C257" s="216" t="s">
        <v>1290</v>
      </c>
      <c r="D257" s="170" t="s">
        <v>11</v>
      </c>
      <c r="E257" s="170" t="s">
        <v>12</v>
      </c>
      <c r="H257" s="207" t="s">
        <v>10</v>
      </c>
      <c r="I257" s="182" t="s">
        <v>10</v>
      </c>
      <c r="J257" s="182" t="s">
        <v>1291</v>
      </c>
      <c r="K257" s="182" t="s">
        <v>1292</v>
      </c>
      <c r="L257" s="182" t="s">
        <v>53</v>
      </c>
      <c r="M257" s="289" t="s">
        <v>1289</v>
      </c>
    </row>
    <row r="258" spans="1:20">
      <c r="A258" s="170" t="s">
        <v>1293</v>
      </c>
      <c r="B258" s="170" t="s">
        <v>1294</v>
      </c>
      <c r="C258" s="170"/>
      <c r="D258" s="170" t="s">
        <v>11</v>
      </c>
      <c r="E258" s="170" t="s">
        <v>12</v>
      </c>
      <c r="H258" s="207">
        <v>491907</v>
      </c>
      <c r="I258" s="182" t="s">
        <v>1295</v>
      </c>
      <c r="J258" s="182" t="s">
        <v>1296</v>
      </c>
      <c r="K258" s="182" t="s">
        <v>1297</v>
      </c>
      <c r="L258" s="182" t="s">
        <v>15</v>
      </c>
      <c r="M258"/>
      <c r="R258"/>
      <c r="T258"/>
    </row>
    <row r="259" spans="1:13">
      <c r="A259" s="170" t="s">
        <v>1298</v>
      </c>
      <c r="B259" s="170" t="s">
        <v>1299</v>
      </c>
      <c r="C259" s="215" t="s">
        <v>1300</v>
      </c>
      <c r="D259" s="170" t="s">
        <v>11</v>
      </c>
      <c r="E259" s="170" t="s">
        <v>12</v>
      </c>
      <c r="H259" s="207">
        <v>212919</v>
      </c>
      <c r="I259" s="182" t="s">
        <v>1301</v>
      </c>
      <c r="J259" s="182" t="s">
        <v>1302</v>
      </c>
      <c r="K259" s="182" t="s">
        <v>1303</v>
      </c>
      <c r="L259" s="182" t="s">
        <v>15</v>
      </c>
      <c r="M259" s="289" t="s">
        <v>1299</v>
      </c>
    </row>
    <row r="260" spans="1:13">
      <c r="A260" s="170" t="s">
        <v>1304</v>
      </c>
      <c r="B260" s="170" t="s">
        <v>1305</v>
      </c>
      <c r="C260" s="216" t="s">
        <v>1306</v>
      </c>
      <c r="D260" s="170" t="s">
        <v>11</v>
      </c>
      <c r="E260" s="170" t="s">
        <v>12</v>
      </c>
      <c r="H260" s="207">
        <v>473393</v>
      </c>
      <c r="I260" s="182" t="s">
        <v>1307</v>
      </c>
      <c r="J260" s="182" t="s">
        <v>1308</v>
      </c>
      <c r="K260" s="182"/>
      <c r="L260" s="182" t="s">
        <v>15</v>
      </c>
      <c r="M260" s="289" t="s">
        <v>1305</v>
      </c>
    </row>
    <row r="261" spans="1:20">
      <c r="A261" s="170" t="s">
        <v>1309</v>
      </c>
      <c r="B261" s="170" t="s">
        <v>1310</v>
      </c>
      <c r="C261" s="170"/>
      <c r="D261" s="170" t="s">
        <v>11</v>
      </c>
      <c r="E261" s="170" t="s">
        <v>12</v>
      </c>
      <c r="H261" s="207">
        <v>472603</v>
      </c>
      <c r="I261" s="182" t="s">
        <v>1311</v>
      </c>
      <c r="J261" s="182" t="s">
        <v>1312</v>
      </c>
      <c r="K261" s="182" t="s">
        <v>1313</v>
      </c>
      <c r="L261" s="182" t="s">
        <v>15</v>
      </c>
      <c r="M261"/>
      <c r="R261"/>
      <c r="T261"/>
    </row>
    <row r="262" spans="1:13">
      <c r="A262" s="170" t="s">
        <v>1314</v>
      </c>
      <c r="B262" s="170" t="s">
        <v>1315</v>
      </c>
      <c r="C262" s="216" t="s">
        <v>1316</v>
      </c>
      <c r="D262" s="170" t="s">
        <v>11</v>
      </c>
      <c r="E262" s="170" t="s">
        <v>12</v>
      </c>
      <c r="H262" s="207">
        <v>492696</v>
      </c>
      <c r="I262" s="182" t="s">
        <v>1317</v>
      </c>
      <c r="J262" s="182" t="s">
        <v>1318</v>
      </c>
      <c r="K262" s="182" t="s">
        <v>1319</v>
      </c>
      <c r="L262" s="182" t="s">
        <v>15</v>
      </c>
      <c r="M262" s="289" t="s">
        <v>1315</v>
      </c>
    </row>
    <row r="263" spans="1:13">
      <c r="A263" s="170" t="s">
        <v>1320</v>
      </c>
      <c r="B263" s="170" t="s">
        <v>1321</v>
      </c>
      <c r="C263" s="215" t="s">
        <v>1322</v>
      </c>
      <c r="D263" s="170" t="s">
        <v>11</v>
      </c>
      <c r="E263" s="170" t="s">
        <v>12</v>
      </c>
      <c r="H263" s="207">
        <v>499488</v>
      </c>
      <c r="I263" s="182" t="s">
        <v>1323</v>
      </c>
      <c r="J263" s="182" t="s">
        <v>1324</v>
      </c>
      <c r="K263" s="182" t="s">
        <v>1325</v>
      </c>
      <c r="L263" s="182" t="s">
        <v>15</v>
      </c>
      <c r="M263" s="289" t="s">
        <v>1321</v>
      </c>
    </row>
    <row r="264" spans="1:20">
      <c r="A264" s="170" t="s">
        <v>1326</v>
      </c>
      <c r="B264" s="170" t="s">
        <v>1327</v>
      </c>
      <c r="C264" s="170"/>
      <c r="D264" s="170" t="s">
        <v>11</v>
      </c>
      <c r="E264" s="170" t="s">
        <v>12</v>
      </c>
      <c r="H264" s="207">
        <v>450874</v>
      </c>
      <c r="I264" s="182" t="s">
        <v>1328</v>
      </c>
      <c r="J264" s="182" t="s">
        <v>1329</v>
      </c>
      <c r="K264" s="182" t="s">
        <v>1330</v>
      </c>
      <c r="L264" s="182" t="s">
        <v>15</v>
      </c>
      <c r="M264"/>
      <c r="R264"/>
      <c r="T264"/>
    </row>
    <row r="265" spans="1:13">
      <c r="A265" s="170" t="s">
        <v>1331</v>
      </c>
      <c r="B265" s="170" t="s">
        <v>1332</v>
      </c>
      <c r="C265" s="215" t="s">
        <v>1333</v>
      </c>
      <c r="D265" s="170" t="s">
        <v>11</v>
      </c>
      <c r="E265" s="170" t="s">
        <v>12</v>
      </c>
      <c r="H265" s="207" t="s">
        <v>1334</v>
      </c>
      <c r="I265" s="182" t="s">
        <v>10</v>
      </c>
      <c r="J265" s="182" t="s">
        <v>1334</v>
      </c>
      <c r="K265" s="182" t="s">
        <v>1335</v>
      </c>
      <c r="L265" s="182" t="s">
        <v>53</v>
      </c>
      <c r="M265" s="289" t="s">
        <v>1332</v>
      </c>
    </row>
    <row r="266" spans="1:13">
      <c r="A266" s="170" t="s">
        <v>1336</v>
      </c>
      <c r="B266" s="170" t="s">
        <v>1337</v>
      </c>
      <c r="C266" s="215" t="s">
        <v>1338</v>
      </c>
      <c r="D266" s="170" t="s">
        <v>11</v>
      </c>
      <c r="E266" s="170" t="s">
        <v>12</v>
      </c>
      <c r="H266" s="207">
        <v>473015</v>
      </c>
      <c r="I266" s="182" t="s">
        <v>1339</v>
      </c>
      <c r="J266" s="182" t="s">
        <v>1340</v>
      </c>
      <c r="K266" s="182" t="s">
        <v>1341</v>
      </c>
      <c r="L266" s="182" t="s">
        <v>15</v>
      </c>
      <c r="M266" s="289" t="s">
        <v>1337</v>
      </c>
    </row>
    <row r="267" spans="1:20">
      <c r="A267" s="170" t="s">
        <v>1342</v>
      </c>
      <c r="B267" s="170" t="s">
        <v>1343</v>
      </c>
      <c r="C267" s="170"/>
      <c r="D267" s="170" t="s">
        <v>11</v>
      </c>
      <c r="E267" s="170" t="s">
        <v>12</v>
      </c>
      <c r="H267" s="207">
        <v>370124</v>
      </c>
      <c r="I267" s="182" t="s">
        <v>1344</v>
      </c>
      <c r="J267" s="182" t="s">
        <v>1345</v>
      </c>
      <c r="K267" s="182" t="s">
        <v>1346</v>
      </c>
      <c r="L267" s="182" t="s">
        <v>15</v>
      </c>
      <c r="M267"/>
      <c r="R267"/>
      <c r="T267"/>
    </row>
    <row r="268" spans="1:13">
      <c r="A268" s="170" t="s">
        <v>1347</v>
      </c>
      <c r="B268" s="170" t="s">
        <v>1348</v>
      </c>
      <c r="C268" s="216" t="s">
        <v>1349</v>
      </c>
      <c r="D268" s="170" t="s">
        <v>11</v>
      </c>
      <c r="E268" s="170" t="s">
        <v>12</v>
      </c>
      <c r="H268" s="207">
        <v>481921</v>
      </c>
      <c r="I268" s="182" t="s">
        <v>1350</v>
      </c>
      <c r="J268" s="182" t="s">
        <v>1351</v>
      </c>
      <c r="K268" s="182" t="s">
        <v>1352</v>
      </c>
      <c r="L268" s="182" t="s">
        <v>15</v>
      </c>
      <c r="M268" s="289" t="s">
        <v>1348</v>
      </c>
    </row>
    <row r="269" spans="1:20">
      <c r="A269" s="170" t="s">
        <v>1353</v>
      </c>
      <c r="B269" s="170" t="s">
        <v>1354</v>
      </c>
      <c r="C269" s="170"/>
      <c r="D269" s="170" t="s">
        <v>11</v>
      </c>
      <c r="E269" s="170" t="s">
        <v>12</v>
      </c>
      <c r="H269" s="207">
        <v>352386</v>
      </c>
      <c r="I269" s="182" t="s">
        <v>1355</v>
      </c>
      <c r="J269" s="182" t="s">
        <v>1356</v>
      </c>
      <c r="K269" s="182" t="s">
        <v>1357</v>
      </c>
      <c r="L269" s="182" t="s">
        <v>15</v>
      </c>
      <c r="M269"/>
      <c r="R269"/>
      <c r="T269"/>
    </row>
    <row r="270" spans="1:20">
      <c r="A270" s="170" t="s">
        <v>1358</v>
      </c>
      <c r="B270" s="170" t="s">
        <v>1359</v>
      </c>
      <c r="C270" s="170"/>
      <c r="D270" s="170" t="s">
        <v>11</v>
      </c>
      <c r="E270" s="170" t="s">
        <v>12</v>
      </c>
      <c r="H270" s="207">
        <v>225567</v>
      </c>
      <c r="I270" s="182" t="s">
        <v>1360</v>
      </c>
      <c r="J270" s="182" t="s">
        <v>1361</v>
      </c>
      <c r="K270" s="182" t="s">
        <v>1362</v>
      </c>
      <c r="L270" s="182" t="s">
        <v>15</v>
      </c>
      <c r="M270"/>
      <c r="R270"/>
      <c r="T270"/>
    </row>
    <row r="271" spans="1:20">
      <c r="A271" s="170" t="s">
        <v>1363</v>
      </c>
      <c r="B271" s="170" t="s">
        <v>1364</v>
      </c>
      <c r="C271" s="178" t="s">
        <v>10</v>
      </c>
      <c r="D271" s="170" t="s">
        <v>11</v>
      </c>
      <c r="E271" s="170" t="s">
        <v>12</v>
      </c>
      <c r="H271" s="207">
        <v>513721</v>
      </c>
      <c r="I271" s="182" t="s">
        <v>1365</v>
      </c>
      <c r="J271" s="182" t="s">
        <v>1366</v>
      </c>
      <c r="K271" s="182"/>
      <c r="L271" s="182" t="s">
        <v>15</v>
      </c>
      <c r="M271"/>
      <c r="R271"/>
      <c r="T271"/>
    </row>
    <row r="272" spans="1:20">
      <c r="A272" s="170" t="s">
        <v>1367</v>
      </c>
      <c r="B272" s="170" t="s">
        <v>1368</v>
      </c>
      <c r="C272" s="178" t="s">
        <v>10</v>
      </c>
      <c r="D272" s="170" t="s">
        <v>11</v>
      </c>
      <c r="E272" s="170" t="s">
        <v>12</v>
      </c>
      <c r="H272" s="207">
        <v>493532</v>
      </c>
      <c r="I272" s="182" t="s">
        <v>1369</v>
      </c>
      <c r="J272" s="182" t="s">
        <v>1370</v>
      </c>
      <c r="K272" s="182" t="s">
        <v>1371</v>
      </c>
      <c r="L272" s="182" t="s">
        <v>15</v>
      </c>
      <c r="M272"/>
      <c r="R272"/>
      <c r="T272"/>
    </row>
    <row r="273" spans="1:20">
      <c r="A273" s="170" t="s">
        <v>1372</v>
      </c>
      <c r="B273" s="170" t="s">
        <v>1373</v>
      </c>
      <c r="C273" s="178" t="s">
        <v>10</v>
      </c>
      <c r="D273" s="170" t="s">
        <v>11</v>
      </c>
      <c r="E273" s="170" t="s">
        <v>12</v>
      </c>
      <c r="H273" s="207">
        <v>509167</v>
      </c>
      <c r="I273" s="182" t="s">
        <v>1374</v>
      </c>
      <c r="J273" s="182" t="s">
        <v>1375</v>
      </c>
      <c r="K273" s="182" t="s">
        <v>1376</v>
      </c>
      <c r="L273" s="182" t="s">
        <v>15</v>
      </c>
      <c r="M273"/>
      <c r="R273"/>
      <c r="T273"/>
    </row>
    <row r="274" spans="1:20">
      <c r="A274" s="170" t="s">
        <v>1377</v>
      </c>
      <c r="B274" s="170" t="s">
        <v>1378</v>
      </c>
      <c r="C274" s="178" t="s">
        <v>10</v>
      </c>
      <c r="D274" s="170" t="s">
        <v>11</v>
      </c>
      <c r="E274" s="170" t="s">
        <v>12</v>
      </c>
      <c r="H274" s="207">
        <v>508312</v>
      </c>
      <c r="I274" s="182" t="s">
        <v>1379</v>
      </c>
      <c r="J274" s="182" t="s">
        <v>1380</v>
      </c>
      <c r="K274" s="182" t="s">
        <v>1381</v>
      </c>
      <c r="L274" s="182" t="s">
        <v>15</v>
      </c>
      <c r="M274"/>
      <c r="R274"/>
      <c r="T274"/>
    </row>
    <row r="275" spans="1:20">
      <c r="A275" s="170" t="s">
        <v>1382</v>
      </c>
      <c r="B275" s="170" t="s">
        <v>1383</v>
      </c>
      <c r="C275" s="178" t="s">
        <v>10</v>
      </c>
      <c r="D275" s="170" t="s">
        <v>11</v>
      </c>
      <c r="E275" s="170" t="s">
        <v>12</v>
      </c>
      <c r="H275" s="207">
        <v>496109</v>
      </c>
      <c r="I275" s="182" t="s">
        <v>1384</v>
      </c>
      <c r="J275" s="182" t="s">
        <v>1385</v>
      </c>
      <c r="K275" s="182" t="s">
        <v>1386</v>
      </c>
      <c r="L275" s="182" t="s">
        <v>15</v>
      </c>
      <c r="M275"/>
      <c r="R275"/>
      <c r="T275"/>
    </row>
    <row r="276" spans="1:20">
      <c r="A276" s="170" t="s">
        <v>1387</v>
      </c>
      <c r="B276" s="170" t="s">
        <v>1388</v>
      </c>
      <c r="C276" s="178" t="s">
        <v>10</v>
      </c>
      <c r="D276" s="170" t="s">
        <v>11</v>
      </c>
      <c r="E276" s="170" t="s">
        <v>12</v>
      </c>
      <c r="H276" s="207">
        <v>497187</v>
      </c>
      <c r="I276" s="182" t="s">
        <v>1389</v>
      </c>
      <c r="J276" s="182" t="s">
        <v>1390</v>
      </c>
      <c r="K276" s="182" t="s">
        <v>1391</v>
      </c>
      <c r="L276" s="182" t="s">
        <v>15</v>
      </c>
      <c r="M276"/>
      <c r="R276"/>
      <c r="T276"/>
    </row>
    <row r="277" spans="1:20">
      <c r="A277" s="170" t="s">
        <v>1392</v>
      </c>
      <c r="B277" s="170" t="s">
        <v>1393</v>
      </c>
      <c r="C277" s="178" t="s">
        <v>10</v>
      </c>
      <c r="D277" s="170" t="s">
        <v>11</v>
      </c>
      <c r="E277" s="170" t="s">
        <v>12</v>
      </c>
      <c r="H277" s="207">
        <v>473146</v>
      </c>
      <c r="I277" s="182" t="s">
        <v>1394</v>
      </c>
      <c r="J277" s="182" t="s">
        <v>1395</v>
      </c>
      <c r="K277" s="182" t="s">
        <v>1396</v>
      </c>
      <c r="L277" s="182" t="s">
        <v>15</v>
      </c>
      <c r="M277"/>
      <c r="R277"/>
      <c r="T277"/>
    </row>
    <row r="278" spans="1:20">
      <c r="A278" s="170" t="s">
        <v>1397</v>
      </c>
      <c r="B278" s="170" t="s">
        <v>1398</v>
      </c>
      <c r="C278" s="178" t="s">
        <v>10</v>
      </c>
      <c r="D278" s="170" t="s">
        <v>11</v>
      </c>
      <c r="E278" s="170" t="s">
        <v>12</v>
      </c>
      <c r="H278" s="207">
        <v>173722</v>
      </c>
      <c r="I278" s="182" t="s">
        <v>1399</v>
      </c>
      <c r="J278" s="182" t="s">
        <v>1400</v>
      </c>
      <c r="K278" s="182" t="s">
        <v>1401</v>
      </c>
      <c r="L278" s="182" t="s">
        <v>15</v>
      </c>
      <c r="M278"/>
      <c r="R278"/>
      <c r="T278"/>
    </row>
    <row r="279" spans="1:20">
      <c r="A279" s="170" t="s">
        <v>1402</v>
      </c>
      <c r="B279" s="170" t="s">
        <v>1403</v>
      </c>
      <c r="C279" s="178" t="s">
        <v>10</v>
      </c>
      <c r="D279" s="170" t="s">
        <v>11</v>
      </c>
      <c r="E279" s="170" t="s">
        <v>12</v>
      </c>
      <c r="H279" s="207">
        <v>423765</v>
      </c>
      <c r="I279" s="182" t="s">
        <v>1404</v>
      </c>
      <c r="J279" s="182" t="s">
        <v>1405</v>
      </c>
      <c r="K279" s="182" t="s">
        <v>1406</v>
      </c>
      <c r="L279" s="182" t="s">
        <v>15</v>
      </c>
      <c r="M279"/>
      <c r="R279"/>
      <c r="T279"/>
    </row>
    <row r="280" spans="1:20">
      <c r="A280" s="170" t="s">
        <v>1407</v>
      </c>
      <c r="B280" s="170" t="s">
        <v>1408</v>
      </c>
      <c r="C280" s="178" t="s">
        <v>10</v>
      </c>
      <c r="D280" s="170" t="s">
        <v>11</v>
      </c>
      <c r="E280" s="170" t="s">
        <v>12</v>
      </c>
      <c r="H280" s="207">
        <v>485972</v>
      </c>
      <c r="I280" s="182" t="s">
        <v>1409</v>
      </c>
      <c r="J280" s="182" t="s">
        <v>1410</v>
      </c>
      <c r="K280" s="182" t="s">
        <v>1411</v>
      </c>
      <c r="L280" s="182" t="s">
        <v>15</v>
      </c>
      <c r="M280"/>
      <c r="R280"/>
      <c r="T280"/>
    </row>
    <row r="281" spans="1:20">
      <c r="A281" s="170" t="s">
        <v>1412</v>
      </c>
      <c r="B281" s="170" t="s">
        <v>1413</v>
      </c>
      <c r="C281" s="178" t="s">
        <v>10</v>
      </c>
      <c r="D281" s="170" t="s">
        <v>11</v>
      </c>
      <c r="E281" s="170" t="s">
        <v>12</v>
      </c>
      <c r="H281" s="207">
        <v>458729</v>
      </c>
      <c r="I281" s="182" t="s">
        <v>1414</v>
      </c>
      <c r="J281" s="182" t="s">
        <v>1415</v>
      </c>
      <c r="K281" s="182"/>
      <c r="L281" s="182" t="s">
        <v>15</v>
      </c>
      <c r="M281"/>
      <c r="R281"/>
      <c r="T281"/>
    </row>
    <row r="282" spans="1:20">
      <c r="A282" s="170" t="s">
        <v>1416</v>
      </c>
      <c r="B282" s="170" t="s">
        <v>1417</v>
      </c>
      <c r="C282" s="178" t="s">
        <v>10</v>
      </c>
      <c r="D282" s="170" t="s">
        <v>11</v>
      </c>
      <c r="E282" s="170" t="s">
        <v>12</v>
      </c>
      <c r="H282" s="207">
        <v>477224</v>
      </c>
      <c r="I282" s="182" t="s">
        <v>1418</v>
      </c>
      <c r="J282" s="182" t="s">
        <v>1419</v>
      </c>
      <c r="K282" s="182" t="s">
        <v>1420</v>
      </c>
      <c r="L282" s="182" t="s">
        <v>15</v>
      </c>
      <c r="M282"/>
      <c r="R282"/>
      <c r="T282"/>
    </row>
    <row r="283" spans="1:13">
      <c r="A283" s="170" t="s">
        <v>1421</v>
      </c>
      <c r="B283" s="170" t="s">
        <v>1422</v>
      </c>
      <c r="C283" s="223" t="s">
        <v>1423</v>
      </c>
      <c r="D283" s="170" t="s">
        <v>11</v>
      </c>
      <c r="E283" s="170" t="s">
        <v>12</v>
      </c>
      <c r="H283" s="207">
        <v>482496</v>
      </c>
      <c r="I283" s="182" t="s">
        <v>1424</v>
      </c>
      <c r="J283" s="182" t="s">
        <v>1425</v>
      </c>
      <c r="K283" s="182" t="s">
        <v>1426</v>
      </c>
      <c r="L283" s="182" t="s">
        <v>15</v>
      </c>
      <c r="M283" s="289" t="s">
        <v>1422</v>
      </c>
    </row>
    <row r="284" spans="1:20">
      <c r="A284" s="170" t="s">
        <v>1427</v>
      </c>
      <c r="B284" s="170" t="s">
        <v>1428</v>
      </c>
      <c r="C284" s="170"/>
      <c r="D284" s="170" t="s">
        <v>11</v>
      </c>
      <c r="E284" s="170" t="s">
        <v>12</v>
      </c>
      <c r="H284" s="207">
        <v>381059</v>
      </c>
      <c r="I284" s="182" t="s">
        <v>1429</v>
      </c>
      <c r="J284" s="182" t="s">
        <v>1430</v>
      </c>
      <c r="K284" s="182" t="s">
        <v>1431</v>
      </c>
      <c r="L284" s="182" t="s">
        <v>15</v>
      </c>
      <c r="M284"/>
      <c r="R284"/>
      <c r="T284"/>
    </row>
    <row r="285" spans="1:20">
      <c r="A285" s="170" t="s">
        <v>1432</v>
      </c>
      <c r="B285" s="170" t="s">
        <v>1433</v>
      </c>
      <c r="C285" s="170"/>
      <c r="D285" s="170" t="s">
        <v>11</v>
      </c>
      <c r="E285" s="170" t="s">
        <v>12</v>
      </c>
      <c r="H285" s="207">
        <v>9330</v>
      </c>
      <c r="I285" s="182" t="s">
        <v>1434</v>
      </c>
      <c r="J285" s="182" t="s">
        <v>1435</v>
      </c>
      <c r="K285" s="182" t="s">
        <v>1436</v>
      </c>
      <c r="L285" s="182" t="s">
        <v>15</v>
      </c>
      <c r="M285"/>
      <c r="R285"/>
      <c r="T285"/>
    </row>
    <row r="286" spans="1:13">
      <c r="A286" s="170" t="s">
        <v>1437</v>
      </c>
      <c r="B286" s="170" t="s">
        <v>1438</v>
      </c>
      <c r="C286" s="223" t="s">
        <v>1439</v>
      </c>
      <c r="D286" s="170" t="s">
        <v>11</v>
      </c>
      <c r="E286" s="170" t="s">
        <v>12</v>
      </c>
      <c r="H286" s="207">
        <v>304783</v>
      </c>
      <c r="I286" s="182" t="s">
        <v>1440</v>
      </c>
      <c r="J286" s="182" t="s">
        <v>1441</v>
      </c>
      <c r="K286" s="182" t="s">
        <v>1442</v>
      </c>
      <c r="L286" s="182" t="s">
        <v>15</v>
      </c>
      <c r="M286" s="289" t="s">
        <v>1438</v>
      </c>
    </row>
    <row r="287" spans="1:20">
      <c r="A287" s="170" t="s">
        <v>1443</v>
      </c>
      <c r="B287" s="170" t="s">
        <v>1444</v>
      </c>
      <c r="C287" s="170"/>
      <c r="D287" s="170" t="s">
        <v>11</v>
      </c>
      <c r="E287" s="170" t="s">
        <v>12</v>
      </c>
      <c r="H287" s="207">
        <v>775260</v>
      </c>
      <c r="I287" s="182" t="s">
        <v>1445</v>
      </c>
      <c r="J287" s="182" t="s">
        <v>1446</v>
      </c>
      <c r="K287" s="182" t="s">
        <v>1447</v>
      </c>
      <c r="L287" s="182" t="s">
        <v>15</v>
      </c>
      <c r="M287"/>
      <c r="R287"/>
      <c r="T287"/>
    </row>
    <row r="288" spans="1:20">
      <c r="A288" s="170" t="s">
        <v>1448</v>
      </c>
      <c r="B288" s="170" t="s">
        <v>1449</v>
      </c>
      <c r="C288" s="170"/>
      <c r="D288" s="170" t="s">
        <v>11</v>
      </c>
      <c r="E288" s="170" t="s">
        <v>12</v>
      </c>
      <c r="H288" s="207">
        <v>54762</v>
      </c>
      <c r="I288" s="182" t="s">
        <v>1450</v>
      </c>
      <c r="J288" s="182" t="s">
        <v>1451</v>
      </c>
      <c r="K288" s="182" t="s">
        <v>1452</v>
      </c>
      <c r="L288" s="182" t="s">
        <v>15</v>
      </c>
      <c r="M288"/>
      <c r="R288"/>
      <c r="T288"/>
    </row>
    <row r="289" spans="1:13">
      <c r="A289" s="170" t="s">
        <v>1453</v>
      </c>
      <c r="B289" s="170" t="s">
        <v>1454</v>
      </c>
      <c r="C289" s="224" t="s">
        <v>1455</v>
      </c>
      <c r="D289" s="170" t="s">
        <v>11</v>
      </c>
      <c r="E289" s="170" t="s">
        <v>12</v>
      </c>
      <c r="H289" s="207">
        <v>487087</v>
      </c>
      <c r="I289" s="182" t="s">
        <v>1456</v>
      </c>
      <c r="J289" s="182" t="s">
        <v>1457</v>
      </c>
      <c r="K289" s="182"/>
      <c r="L289" s="182" t="s">
        <v>15</v>
      </c>
      <c r="M289" s="289" t="s">
        <v>1454</v>
      </c>
    </row>
    <row r="290" spans="1:20">
      <c r="A290" s="170" t="s">
        <v>1458</v>
      </c>
      <c r="B290" s="170" t="s">
        <v>1459</v>
      </c>
      <c r="C290" s="170"/>
      <c r="D290" s="170" t="s">
        <v>11</v>
      </c>
      <c r="E290" s="170" t="s">
        <v>12</v>
      </c>
      <c r="H290" s="207">
        <v>506217</v>
      </c>
      <c r="I290" s="182" t="s">
        <v>1460</v>
      </c>
      <c r="J290" s="182" t="s">
        <v>1461</v>
      </c>
      <c r="K290" s="182"/>
      <c r="L290" s="182" t="s">
        <v>15</v>
      </c>
      <c r="M290"/>
      <c r="R290"/>
      <c r="T290"/>
    </row>
    <row r="291" spans="1:20">
      <c r="A291" s="170" t="s">
        <v>1462</v>
      </c>
      <c r="B291" s="170" t="s">
        <v>1463</v>
      </c>
      <c r="C291" s="170"/>
      <c r="D291" s="170" t="s">
        <v>11</v>
      </c>
      <c r="E291" s="170" t="s">
        <v>12</v>
      </c>
      <c r="H291" s="207">
        <v>439675</v>
      </c>
      <c r="I291" s="182" t="s">
        <v>1464</v>
      </c>
      <c r="J291" s="182" t="s">
        <v>1465</v>
      </c>
      <c r="K291" s="182" t="s">
        <v>1466</v>
      </c>
      <c r="L291" s="182" t="s">
        <v>15</v>
      </c>
      <c r="M291"/>
      <c r="R291"/>
      <c r="T291"/>
    </row>
    <row r="292" spans="1:13">
      <c r="A292" s="170" t="s">
        <v>1467</v>
      </c>
      <c r="B292" s="170" t="s">
        <v>1468</v>
      </c>
      <c r="C292" s="192" t="s">
        <v>1469</v>
      </c>
      <c r="D292" s="170" t="s">
        <v>11</v>
      </c>
      <c r="E292" s="170" t="s">
        <v>12</v>
      </c>
      <c r="H292" s="207">
        <v>497598</v>
      </c>
      <c r="I292" s="182" t="s">
        <v>1470</v>
      </c>
      <c r="J292" s="182" t="s">
        <v>1471</v>
      </c>
      <c r="K292" s="182" t="s">
        <v>1472</v>
      </c>
      <c r="L292" s="182" t="s">
        <v>15</v>
      </c>
      <c r="M292" s="289" t="s">
        <v>1468</v>
      </c>
    </row>
    <row r="293" spans="1:20">
      <c r="A293" s="170" t="s">
        <v>1473</v>
      </c>
      <c r="B293" s="170" t="s">
        <v>1474</v>
      </c>
      <c r="C293" s="170"/>
      <c r="D293" s="170" t="s">
        <v>11</v>
      </c>
      <c r="E293" s="170" t="s">
        <v>12</v>
      </c>
      <c r="H293" s="207">
        <v>472491</v>
      </c>
      <c r="I293" s="182" t="s">
        <v>1475</v>
      </c>
      <c r="J293" s="182" t="s">
        <v>1476</v>
      </c>
      <c r="K293" s="182" t="s">
        <v>1477</v>
      </c>
      <c r="L293" s="182" t="s">
        <v>15</v>
      </c>
      <c r="M293"/>
      <c r="R293"/>
      <c r="T293"/>
    </row>
    <row r="294" spans="1:20">
      <c r="A294" s="170" t="s">
        <v>1478</v>
      </c>
      <c r="B294" s="170" t="s">
        <v>1479</v>
      </c>
      <c r="C294" s="170"/>
      <c r="D294" s="170" t="s">
        <v>11</v>
      </c>
      <c r="E294" s="170" t="s">
        <v>12</v>
      </c>
      <c r="H294" s="207" t="s">
        <v>1480</v>
      </c>
      <c r="I294" s="182" t="s">
        <v>10</v>
      </c>
      <c r="J294" s="182" t="s">
        <v>1480</v>
      </c>
      <c r="K294" s="182" t="s">
        <v>1481</v>
      </c>
      <c r="L294" s="182" t="s">
        <v>53</v>
      </c>
      <c r="M294"/>
      <c r="R294"/>
      <c r="T294"/>
    </row>
    <row r="295" spans="1:13">
      <c r="A295" s="170" t="s">
        <v>1482</v>
      </c>
      <c r="B295" s="170" t="s">
        <v>1483</v>
      </c>
      <c r="C295" s="192" t="s">
        <v>1484</v>
      </c>
      <c r="D295" s="170" t="s">
        <v>11</v>
      </c>
      <c r="E295" s="170" t="s">
        <v>12</v>
      </c>
      <c r="H295" s="207">
        <v>481586</v>
      </c>
      <c r="I295" s="182" t="s">
        <v>1485</v>
      </c>
      <c r="J295" s="182" t="s">
        <v>1486</v>
      </c>
      <c r="K295" s="182" t="s">
        <v>1487</v>
      </c>
      <c r="L295" s="182" t="s">
        <v>15</v>
      </c>
      <c r="M295" s="289" t="s">
        <v>1483</v>
      </c>
    </row>
    <row r="296" spans="1:13">
      <c r="A296" s="170" t="s">
        <v>1488</v>
      </c>
      <c r="B296" s="170" t="s">
        <v>1489</v>
      </c>
      <c r="C296" s="192" t="s">
        <v>1490</v>
      </c>
      <c r="D296" s="170" t="s">
        <v>11</v>
      </c>
      <c r="E296" s="170" t="s">
        <v>12</v>
      </c>
      <c r="H296" s="207">
        <v>480316</v>
      </c>
      <c r="I296" s="182" t="s">
        <v>1491</v>
      </c>
      <c r="J296" s="182" t="s">
        <v>1492</v>
      </c>
      <c r="K296" s="182" t="s">
        <v>1493</v>
      </c>
      <c r="L296" s="182" t="s">
        <v>15</v>
      </c>
      <c r="M296" s="289" t="s">
        <v>1489</v>
      </c>
    </row>
    <row r="297" spans="1:20">
      <c r="A297" s="170" t="s">
        <v>1494</v>
      </c>
      <c r="B297" s="170" t="s">
        <v>1495</v>
      </c>
      <c r="C297" s="170"/>
      <c r="D297" s="170" t="s">
        <v>11</v>
      </c>
      <c r="E297" s="170" t="s">
        <v>12</v>
      </c>
      <c r="H297" s="207">
        <v>393277</v>
      </c>
      <c r="I297" s="182" t="s">
        <v>1496</v>
      </c>
      <c r="J297" s="182" t="s">
        <v>1497</v>
      </c>
      <c r="K297" s="182" t="s">
        <v>1498</v>
      </c>
      <c r="L297" s="182" t="s">
        <v>15</v>
      </c>
      <c r="M297"/>
      <c r="R297"/>
      <c r="T297"/>
    </row>
    <row r="298" spans="1:13">
      <c r="A298" s="170" t="s">
        <v>1499</v>
      </c>
      <c r="B298" s="170" t="s">
        <v>1500</v>
      </c>
      <c r="C298" s="192" t="s">
        <v>1501</v>
      </c>
      <c r="D298" s="170" t="s">
        <v>11</v>
      </c>
      <c r="E298" s="170" t="s">
        <v>12</v>
      </c>
      <c r="H298" s="207">
        <v>666752</v>
      </c>
      <c r="I298" s="182" t="s">
        <v>1502</v>
      </c>
      <c r="J298" s="182" t="s">
        <v>1503</v>
      </c>
      <c r="K298" s="182" t="s">
        <v>1504</v>
      </c>
      <c r="L298" s="182" t="s">
        <v>415</v>
      </c>
      <c r="M298" s="289" t="s">
        <v>1500</v>
      </c>
    </row>
    <row r="299" spans="1:13">
      <c r="A299" s="170" t="s">
        <v>1505</v>
      </c>
      <c r="B299" s="170" t="s">
        <v>1506</v>
      </c>
      <c r="C299" s="192" t="s">
        <v>1507</v>
      </c>
      <c r="D299" s="170" t="s">
        <v>11</v>
      </c>
      <c r="E299" s="170" t="s">
        <v>12</v>
      </c>
      <c r="H299" s="207">
        <v>513348</v>
      </c>
      <c r="I299" s="182" t="s">
        <v>1508</v>
      </c>
      <c r="J299" s="182" t="s">
        <v>1509</v>
      </c>
      <c r="K299" s="182" t="s">
        <v>1510</v>
      </c>
      <c r="L299" s="182" t="s">
        <v>15</v>
      </c>
      <c r="M299" s="289" t="s">
        <v>1506</v>
      </c>
    </row>
    <row r="300" spans="1:20">
      <c r="A300" s="170" t="s">
        <v>1511</v>
      </c>
      <c r="B300" s="170" t="s">
        <v>1512</v>
      </c>
      <c r="C300" s="170"/>
      <c r="D300" s="170" t="s">
        <v>11</v>
      </c>
      <c r="E300" s="170" t="s">
        <v>12</v>
      </c>
      <c r="H300" s="207">
        <v>472758</v>
      </c>
      <c r="I300" s="182" t="s">
        <v>1513</v>
      </c>
      <c r="J300" s="182" t="s">
        <v>1514</v>
      </c>
      <c r="K300" s="182" t="s">
        <v>1515</v>
      </c>
      <c r="L300" s="182" t="s">
        <v>15</v>
      </c>
      <c r="M300"/>
      <c r="R300"/>
      <c r="T300"/>
    </row>
    <row r="301" spans="1:13">
      <c r="A301" s="170" t="s">
        <v>1516</v>
      </c>
      <c r="B301" s="170" t="s">
        <v>1517</v>
      </c>
      <c r="C301" s="224" t="s">
        <v>1518</v>
      </c>
      <c r="D301" s="170" t="s">
        <v>11</v>
      </c>
      <c r="E301" s="170" t="s">
        <v>12</v>
      </c>
      <c r="H301" s="207">
        <v>686490</v>
      </c>
      <c r="I301" s="182" t="s">
        <v>1519</v>
      </c>
      <c r="J301" s="182" t="s">
        <v>1520</v>
      </c>
      <c r="K301" s="182" t="s">
        <v>1521</v>
      </c>
      <c r="L301" s="182" t="s">
        <v>15</v>
      </c>
      <c r="M301" s="289" t="s">
        <v>1517</v>
      </c>
    </row>
    <row r="302" spans="1:13">
      <c r="A302" s="170" t="s">
        <v>1522</v>
      </c>
      <c r="B302" s="170" t="s">
        <v>1523</v>
      </c>
      <c r="C302" s="192" t="s">
        <v>1524</v>
      </c>
      <c r="D302" s="170" t="s">
        <v>11</v>
      </c>
      <c r="E302" s="170" t="s">
        <v>12</v>
      </c>
      <c r="H302" s="207" t="s">
        <v>1525</v>
      </c>
      <c r="I302" s="182" t="s">
        <v>10</v>
      </c>
      <c r="J302" s="182" t="s">
        <v>1525</v>
      </c>
      <c r="K302" s="182" t="s">
        <v>1526</v>
      </c>
      <c r="L302" s="182" t="s">
        <v>53</v>
      </c>
      <c r="M302" s="289" t="s">
        <v>1523</v>
      </c>
    </row>
    <row r="303" spans="1:20">
      <c r="A303" s="170" t="s">
        <v>1527</v>
      </c>
      <c r="B303" s="170" t="s">
        <v>1528</v>
      </c>
      <c r="C303" s="170"/>
      <c r="D303" s="170" t="s">
        <v>11</v>
      </c>
      <c r="E303" s="170" t="s">
        <v>12</v>
      </c>
      <c r="H303" s="207">
        <v>468156</v>
      </c>
      <c r="I303" s="182" t="s">
        <v>1529</v>
      </c>
      <c r="J303" s="182" t="s">
        <v>1530</v>
      </c>
      <c r="K303" s="182" t="s">
        <v>1531</v>
      </c>
      <c r="L303" s="182" t="s">
        <v>15</v>
      </c>
      <c r="M303"/>
      <c r="R303"/>
      <c r="T303"/>
    </row>
    <row r="304" spans="1:13">
      <c r="A304" s="170" t="s">
        <v>1532</v>
      </c>
      <c r="B304" s="170" t="s">
        <v>1533</v>
      </c>
      <c r="C304" s="224" t="s">
        <v>1534</v>
      </c>
      <c r="D304" s="170" t="s">
        <v>11</v>
      </c>
      <c r="E304" s="170" t="s">
        <v>12</v>
      </c>
      <c r="H304" s="207" t="s">
        <v>1535</v>
      </c>
      <c r="I304" s="182" t="s">
        <v>10</v>
      </c>
      <c r="J304" s="182" t="s">
        <v>1535</v>
      </c>
      <c r="K304" s="182" t="s">
        <v>1536</v>
      </c>
      <c r="L304" s="182" t="s">
        <v>19</v>
      </c>
      <c r="M304" s="289" t="s">
        <v>1533</v>
      </c>
    </row>
    <row r="305" spans="1:13">
      <c r="A305" s="170" t="s">
        <v>1537</v>
      </c>
      <c r="B305" s="170" t="s">
        <v>1538</v>
      </c>
      <c r="C305" s="192" t="s">
        <v>1539</v>
      </c>
      <c r="D305" s="170" t="s">
        <v>11</v>
      </c>
      <c r="E305" s="170" t="s">
        <v>12</v>
      </c>
      <c r="H305" s="207">
        <v>39904</v>
      </c>
      <c r="I305" s="182" t="s">
        <v>1540</v>
      </c>
      <c r="J305" s="182" t="s">
        <v>1541</v>
      </c>
      <c r="K305" s="182" t="s">
        <v>1542</v>
      </c>
      <c r="L305" s="182" t="s">
        <v>415</v>
      </c>
      <c r="M305" s="289" t="s">
        <v>1538</v>
      </c>
    </row>
    <row r="306" spans="1:20">
      <c r="A306" s="170" t="s">
        <v>1543</v>
      </c>
      <c r="B306" s="170" t="s">
        <v>1544</v>
      </c>
      <c r="C306" s="170"/>
      <c r="D306" s="170" t="s">
        <v>11</v>
      </c>
      <c r="E306" s="170" t="s">
        <v>12</v>
      </c>
      <c r="H306" s="207" t="s">
        <v>1545</v>
      </c>
      <c r="I306" s="182" t="s">
        <v>10</v>
      </c>
      <c r="J306" s="182" t="s">
        <v>1545</v>
      </c>
      <c r="K306" s="182" t="s">
        <v>1546</v>
      </c>
      <c r="L306" s="182" t="s">
        <v>53</v>
      </c>
      <c r="M306"/>
      <c r="R306"/>
      <c r="T306"/>
    </row>
    <row r="307" spans="1:13">
      <c r="A307" s="170" t="s">
        <v>1547</v>
      </c>
      <c r="B307" s="170" t="s">
        <v>1548</v>
      </c>
      <c r="C307" s="192" t="s">
        <v>1549</v>
      </c>
      <c r="D307" s="170" t="s">
        <v>11</v>
      </c>
      <c r="E307" s="170" t="s">
        <v>12</v>
      </c>
      <c r="H307" s="207">
        <v>492557</v>
      </c>
      <c r="I307" s="182" t="s">
        <v>1550</v>
      </c>
      <c r="J307" s="182" t="s">
        <v>1551</v>
      </c>
      <c r="K307" s="182" t="s">
        <v>1552</v>
      </c>
      <c r="L307" s="182" t="s">
        <v>15</v>
      </c>
      <c r="M307" s="289" t="s">
        <v>1548</v>
      </c>
    </row>
    <row r="308" spans="1:13">
      <c r="A308" s="170" t="s">
        <v>1553</v>
      </c>
      <c r="B308" s="170" t="s">
        <v>1554</v>
      </c>
      <c r="C308" s="192" t="s">
        <v>1555</v>
      </c>
      <c r="D308" s="170" t="s">
        <v>11</v>
      </c>
      <c r="E308" s="170" t="s">
        <v>12</v>
      </c>
      <c r="H308" s="207">
        <v>492594</v>
      </c>
      <c r="I308" s="182" t="s">
        <v>1556</v>
      </c>
      <c r="J308" s="182" t="s">
        <v>1557</v>
      </c>
      <c r="K308" s="182"/>
      <c r="L308" s="182" t="s">
        <v>15</v>
      </c>
      <c r="M308" s="289" t="s">
        <v>1554</v>
      </c>
    </row>
    <row r="309" spans="1:20">
      <c r="A309" s="170" t="s">
        <v>1558</v>
      </c>
      <c r="B309" s="170" t="s">
        <v>1559</v>
      </c>
      <c r="C309" s="170"/>
      <c r="D309" s="170" t="s">
        <v>11</v>
      </c>
      <c r="E309" s="170" t="s">
        <v>12</v>
      </c>
      <c r="H309" s="207">
        <v>717298</v>
      </c>
      <c r="I309" s="182" t="s">
        <v>1560</v>
      </c>
      <c r="J309" s="182" t="s">
        <v>1561</v>
      </c>
      <c r="K309" s="182" t="s">
        <v>1562</v>
      </c>
      <c r="L309" s="182" t="s">
        <v>15</v>
      </c>
      <c r="M309"/>
      <c r="R309"/>
      <c r="T309"/>
    </row>
    <row r="310" spans="1:13">
      <c r="A310" s="170" t="s">
        <v>1563</v>
      </c>
      <c r="B310" s="170" t="s">
        <v>1564</v>
      </c>
      <c r="C310" s="192" t="s">
        <v>1565</v>
      </c>
      <c r="D310" s="170" t="s">
        <v>11</v>
      </c>
      <c r="E310" s="170" t="s">
        <v>12</v>
      </c>
      <c r="H310" s="207">
        <v>496935</v>
      </c>
      <c r="I310" s="182" t="s">
        <v>1566</v>
      </c>
      <c r="J310" s="182" t="s">
        <v>1567</v>
      </c>
      <c r="K310" s="182" t="s">
        <v>1568</v>
      </c>
      <c r="L310" s="182" t="s">
        <v>15</v>
      </c>
      <c r="M310" s="289" t="s">
        <v>1564</v>
      </c>
    </row>
    <row r="311" spans="1:13">
      <c r="A311" s="170" t="s">
        <v>1569</v>
      </c>
      <c r="B311" s="170" t="s">
        <v>1570</v>
      </c>
      <c r="C311" s="192" t="s">
        <v>1571</v>
      </c>
      <c r="D311" s="170" t="s">
        <v>11</v>
      </c>
      <c r="E311" s="170" t="s">
        <v>12</v>
      </c>
      <c r="H311" s="207" t="s">
        <v>1572</v>
      </c>
      <c r="I311" s="182" t="s">
        <v>10</v>
      </c>
      <c r="J311" s="182" t="s">
        <v>1572</v>
      </c>
      <c r="K311" s="182" t="s">
        <v>1573</v>
      </c>
      <c r="L311" s="182" t="s">
        <v>53</v>
      </c>
      <c r="M311" s="289" t="s">
        <v>1570</v>
      </c>
    </row>
    <row r="312" spans="1:20">
      <c r="A312" s="170" t="s">
        <v>1574</v>
      </c>
      <c r="B312" s="170" t="s">
        <v>1575</v>
      </c>
      <c r="C312" s="170"/>
      <c r="D312" s="170" t="s">
        <v>11</v>
      </c>
      <c r="E312" s="170" t="s">
        <v>12</v>
      </c>
      <c r="H312" s="207">
        <v>481491</v>
      </c>
      <c r="I312" s="182" t="s">
        <v>1576</v>
      </c>
      <c r="J312" s="182" t="s">
        <v>1577</v>
      </c>
      <c r="K312" s="182" t="s">
        <v>1578</v>
      </c>
      <c r="L312" s="182" t="s">
        <v>15</v>
      </c>
      <c r="M312"/>
      <c r="R312"/>
      <c r="T312"/>
    </row>
    <row r="313" spans="1:13">
      <c r="A313" s="170" t="s">
        <v>1579</v>
      </c>
      <c r="B313" s="170" t="s">
        <v>1580</v>
      </c>
      <c r="C313" s="192" t="s">
        <v>1581</v>
      </c>
      <c r="D313" s="170" t="s">
        <v>11</v>
      </c>
      <c r="E313" s="170" t="s">
        <v>12</v>
      </c>
      <c r="H313" s="207" t="s">
        <v>1582</v>
      </c>
      <c r="I313" s="182" t="s">
        <v>1583</v>
      </c>
      <c r="J313" s="182" t="s">
        <v>1582</v>
      </c>
      <c r="K313" s="182" t="s">
        <v>1584</v>
      </c>
      <c r="L313" s="182" t="s">
        <v>15</v>
      </c>
      <c r="M313" s="289" t="s">
        <v>1580</v>
      </c>
    </row>
    <row r="314" spans="1:13">
      <c r="A314" s="170" t="s">
        <v>1585</v>
      </c>
      <c r="B314" s="170" t="s">
        <v>1586</v>
      </c>
      <c r="C314" s="192" t="s">
        <v>1587</v>
      </c>
      <c r="D314" s="170" t="s">
        <v>11</v>
      </c>
      <c r="E314" s="170" t="s">
        <v>12</v>
      </c>
      <c r="H314" s="207">
        <v>215371</v>
      </c>
      <c r="I314" s="182" t="s">
        <v>1588</v>
      </c>
      <c r="J314" s="182" t="s">
        <v>1589</v>
      </c>
      <c r="K314" s="182"/>
      <c r="L314" s="182" t="s">
        <v>15</v>
      </c>
      <c r="M314" s="289" t="s">
        <v>1586</v>
      </c>
    </row>
    <row r="315" spans="1:20">
      <c r="A315" s="170" t="s">
        <v>1590</v>
      </c>
      <c r="B315" s="170" t="s">
        <v>1591</v>
      </c>
      <c r="C315" s="170"/>
      <c r="D315" s="170" t="s">
        <v>11</v>
      </c>
      <c r="E315" s="170" t="s">
        <v>12</v>
      </c>
      <c r="H315" s="207">
        <v>216819</v>
      </c>
      <c r="I315" s="182" t="s">
        <v>1592</v>
      </c>
      <c r="J315" s="182" t="s">
        <v>1593</v>
      </c>
      <c r="K315" s="182" t="s">
        <v>1594</v>
      </c>
      <c r="L315" s="182" t="s">
        <v>15</v>
      </c>
      <c r="M315"/>
      <c r="R315"/>
      <c r="T315"/>
    </row>
    <row r="316" spans="1:13">
      <c r="A316" s="170" t="s">
        <v>1595</v>
      </c>
      <c r="B316" s="170" t="s">
        <v>1596</v>
      </c>
      <c r="C316" s="192" t="s">
        <v>1597</v>
      </c>
      <c r="D316" s="170" t="s">
        <v>11</v>
      </c>
      <c r="E316" s="170" t="s">
        <v>12</v>
      </c>
      <c r="H316" s="207" t="s">
        <v>1598</v>
      </c>
      <c r="I316" s="182" t="s">
        <v>10</v>
      </c>
      <c r="J316" s="182" t="s">
        <v>1598</v>
      </c>
      <c r="K316" s="182" t="s">
        <v>1599</v>
      </c>
      <c r="L316" s="182" t="s">
        <v>53</v>
      </c>
      <c r="M316" s="289" t="s">
        <v>1596</v>
      </c>
    </row>
    <row r="317" spans="1:13">
      <c r="A317" s="170" t="s">
        <v>1600</v>
      </c>
      <c r="B317" s="170" t="s">
        <v>1601</v>
      </c>
      <c r="C317" s="192" t="s">
        <v>1602</v>
      </c>
      <c r="D317" s="170" t="s">
        <v>11</v>
      </c>
      <c r="E317" s="170" t="s">
        <v>12</v>
      </c>
      <c r="H317" s="207" t="s">
        <v>1603</v>
      </c>
      <c r="I317" s="182" t="s">
        <v>10</v>
      </c>
      <c r="J317" s="182" t="s">
        <v>1603</v>
      </c>
      <c r="K317" s="182" t="s">
        <v>1604</v>
      </c>
      <c r="L317" s="182" t="s">
        <v>19</v>
      </c>
      <c r="M317" s="289" t="s">
        <v>1601</v>
      </c>
    </row>
    <row r="318" spans="1:20">
      <c r="A318" s="170" t="s">
        <v>1605</v>
      </c>
      <c r="B318" s="170" t="s">
        <v>1606</v>
      </c>
      <c r="C318" s="170"/>
      <c r="D318" s="170" t="s">
        <v>11</v>
      </c>
      <c r="E318" s="170" t="s">
        <v>12</v>
      </c>
      <c r="H318" s="207">
        <v>338195</v>
      </c>
      <c r="I318" s="182" t="s">
        <v>1607</v>
      </c>
      <c r="J318" s="182" t="s">
        <v>1608</v>
      </c>
      <c r="K318" s="182" t="s">
        <v>1609</v>
      </c>
      <c r="L318" s="182" t="s">
        <v>15</v>
      </c>
      <c r="M318"/>
      <c r="R318"/>
      <c r="T318"/>
    </row>
    <row r="319" spans="1:13">
      <c r="A319" s="170" t="s">
        <v>1610</v>
      </c>
      <c r="B319" s="170" t="s">
        <v>1611</v>
      </c>
      <c r="C319" s="192" t="s">
        <v>1612</v>
      </c>
      <c r="D319" s="170" t="s">
        <v>11</v>
      </c>
      <c r="E319" s="170" t="s">
        <v>12</v>
      </c>
      <c r="H319" s="207">
        <v>505433</v>
      </c>
      <c r="I319" s="182" t="s">
        <v>1613</v>
      </c>
      <c r="J319" s="182" t="s">
        <v>1614</v>
      </c>
      <c r="K319" s="182" t="s">
        <v>1615</v>
      </c>
      <c r="L319" s="182" t="s">
        <v>15</v>
      </c>
      <c r="M319" s="289" t="s">
        <v>1611</v>
      </c>
    </row>
    <row r="320" spans="1:13">
      <c r="A320" s="170" t="s">
        <v>1616</v>
      </c>
      <c r="B320" s="170" t="s">
        <v>1617</v>
      </c>
      <c r="C320" s="192" t="s">
        <v>1618</v>
      </c>
      <c r="D320" s="170" t="s">
        <v>11</v>
      </c>
      <c r="E320" s="170" t="s">
        <v>12</v>
      </c>
      <c r="H320" s="207" t="s">
        <v>1619</v>
      </c>
      <c r="I320" s="182" t="s">
        <v>10</v>
      </c>
      <c r="J320" s="182" t="s">
        <v>1619</v>
      </c>
      <c r="K320" s="182" t="s">
        <v>1620</v>
      </c>
      <c r="L320" s="182" t="s">
        <v>19</v>
      </c>
      <c r="M320" s="289" t="s">
        <v>1617</v>
      </c>
    </row>
    <row r="321" spans="1:20">
      <c r="A321" s="170" t="s">
        <v>1621</v>
      </c>
      <c r="B321" s="170" t="s">
        <v>1622</v>
      </c>
      <c r="C321" s="170"/>
      <c r="D321" s="170" t="s">
        <v>11</v>
      </c>
      <c r="E321" s="170" t="s">
        <v>12</v>
      </c>
      <c r="H321" s="207">
        <v>519832</v>
      </c>
      <c r="I321" s="182" t="s">
        <v>1623</v>
      </c>
      <c r="J321" s="182" t="s">
        <v>1624</v>
      </c>
      <c r="K321" s="182"/>
      <c r="L321" s="182" t="s">
        <v>15</v>
      </c>
      <c r="M321"/>
      <c r="R321"/>
      <c r="T321"/>
    </row>
    <row r="322" spans="1:13">
      <c r="A322" s="170" t="s">
        <v>1625</v>
      </c>
      <c r="B322" s="170" t="s">
        <v>1626</v>
      </c>
      <c r="C322" s="192" t="s">
        <v>1627</v>
      </c>
      <c r="D322" s="170" t="s">
        <v>11</v>
      </c>
      <c r="E322" s="170" t="s">
        <v>12</v>
      </c>
      <c r="H322" s="207">
        <v>619169</v>
      </c>
      <c r="I322" s="182" t="s">
        <v>1628</v>
      </c>
      <c r="J322" s="182" t="s">
        <v>1629</v>
      </c>
      <c r="K322" s="182" t="s">
        <v>1630</v>
      </c>
      <c r="L322" s="182" t="s">
        <v>15</v>
      </c>
      <c r="M322" s="289" t="s">
        <v>1626</v>
      </c>
    </row>
    <row r="323" spans="1:13">
      <c r="A323" s="170" t="s">
        <v>1631</v>
      </c>
      <c r="B323" s="170" t="s">
        <v>1632</v>
      </c>
      <c r="C323" s="192" t="s">
        <v>1633</v>
      </c>
      <c r="D323" s="170" t="s">
        <v>11</v>
      </c>
      <c r="E323" s="170" t="s">
        <v>12</v>
      </c>
      <c r="H323" s="207">
        <v>445978</v>
      </c>
      <c r="I323" s="182" t="s">
        <v>1634</v>
      </c>
      <c r="J323" s="182" t="s">
        <v>1635</v>
      </c>
      <c r="K323" s="182" t="s">
        <v>1636</v>
      </c>
      <c r="L323" s="182" t="s">
        <v>15</v>
      </c>
      <c r="M323" s="289" t="s">
        <v>1632</v>
      </c>
    </row>
    <row r="324" spans="1:20">
      <c r="A324" s="170" t="s">
        <v>1637</v>
      </c>
      <c r="B324" s="170" t="s">
        <v>1638</v>
      </c>
      <c r="C324" s="170"/>
      <c r="D324" s="170" t="s">
        <v>11</v>
      </c>
      <c r="E324" s="170" t="s">
        <v>12</v>
      </c>
      <c r="H324" s="207">
        <v>485950</v>
      </c>
      <c r="I324" s="182" t="s">
        <v>1639</v>
      </c>
      <c r="J324" s="182" t="s">
        <v>1640</v>
      </c>
      <c r="K324" s="182" t="s">
        <v>1641</v>
      </c>
      <c r="L324" s="182" t="s">
        <v>15</v>
      </c>
      <c r="M324"/>
      <c r="R324"/>
      <c r="T324"/>
    </row>
    <row r="325" spans="1:13">
      <c r="A325" s="170" t="s">
        <v>1642</v>
      </c>
      <c r="B325" s="170" t="s">
        <v>1643</v>
      </c>
      <c r="C325" s="224" t="s">
        <v>1644</v>
      </c>
      <c r="D325" s="170" t="s">
        <v>11</v>
      </c>
      <c r="E325" s="170" t="s">
        <v>12</v>
      </c>
      <c r="H325" s="207" t="s">
        <v>1645</v>
      </c>
      <c r="I325" s="182" t="s">
        <v>10</v>
      </c>
      <c r="J325" s="182" t="s">
        <v>1645</v>
      </c>
      <c r="K325" s="182" t="s">
        <v>1646</v>
      </c>
      <c r="L325" s="182" t="s">
        <v>19</v>
      </c>
      <c r="M325" s="289" t="s">
        <v>1643</v>
      </c>
    </row>
    <row r="326" spans="1:13">
      <c r="A326" s="170" t="s">
        <v>1647</v>
      </c>
      <c r="B326" s="170" t="s">
        <v>1648</v>
      </c>
      <c r="C326" s="192" t="s">
        <v>1649</v>
      </c>
      <c r="D326" s="170" t="s">
        <v>11</v>
      </c>
      <c r="E326" s="170" t="s">
        <v>12</v>
      </c>
      <c r="H326" s="207">
        <v>514429</v>
      </c>
      <c r="I326" s="182" t="s">
        <v>1650</v>
      </c>
      <c r="J326" s="182" t="s">
        <v>1651</v>
      </c>
      <c r="K326" s="182"/>
      <c r="L326" s="182" t="s">
        <v>15</v>
      </c>
      <c r="M326" s="289" t="s">
        <v>1648</v>
      </c>
    </row>
    <row r="327" spans="1:20">
      <c r="A327" s="170" t="s">
        <v>1652</v>
      </c>
      <c r="B327" s="170" t="s">
        <v>1653</v>
      </c>
      <c r="C327" s="170"/>
      <c r="D327" s="170" t="s">
        <v>11</v>
      </c>
      <c r="E327" s="170" t="s">
        <v>12</v>
      </c>
      <c r="H327" s="207">
        <v>514529</v>
      </c>
      <c r="I327" s="182" t="s">
        <v>1654</v>
      </c>
      <c r="J327" s="182" t="s">
        <v>1655</v>
      </c>
      <c r="K327" s="182" t="s">
        <v>1656</v>
      </c>
      <c r="L327" s="182" t="s">
        <v>15</v>
      </c>
      <c r="M327"/>
      <c r="R327"/>
      <c r="T327"/>
    </row>
    <row r="328" spans="1:13">
      <c r="A328" s="170" t="s">
        <v>1657</v>
      </c>
      <c r="B328" s="170" t="s">
        <v>1658</v>
      </c>
      <c r="C328" s="192" t="s">
        <v>1659</v>
      </c>
      <c r="D328" s="170" t="s">
        <v>11</v>
      </c>
      <c r="E328" s="170" t="s">
        <v>12</v>
      </c>
      <c r="H328" s="207">
        <v>425346</v>
      </c>
      <c r="I328" s="182" t="s">
        <v>1660</v>
      </c>
      <c r="J328" s="182" t="s">
        <v>1661</v>
      </c>
      <c r="K328" s="182" t="s">
        <v>1662</v>
      </c>
      <c r="L328" s="182" t="s">
        <v>15</v>
      </c>
      <c r="M328" s="289" t="s">
        <v>1658</v>
      </c>
    </row>
    <row r="329" spans="1:13">
      <c r="A329" s="170" t="s">
        <v>1663</v>
      </c>
      <c r="B329" s="170" t="s">
        <v>1664</v>
      </c>
      <c r="C329" s="192" t="s">
        <v>1665</v>
      </c>
      <c r="D329" s="170" t="s">
        <v>11</v>
      </c>
      <c r="E329" s="170" t="s">
        <v>12</v>
      </c>
      <c r="H329" s="207">
        <v>500730</v>
      </c>
      <c r="I329" s="182" t="s">
        <v>1666</v>
      </c>
      <c r="J329" s="182" t="s">
        <v>1667</v>
      </c>
      <c r="K329" s="182" t="s">
        <v>1668</v>
      </c>
      <c r="L329" s="182" t="s">
        <v>15</v>
      </c>
      <c r="M329" s="289" t="s">
        <v>1664</v>
      </c>
    </row>
    <row r="330" spans="1:20">
      <c r="A330" s="170" t="s">
        <v>1669</v>
      </c>
      <c r="B330" s="170" t="s">
        <v>1670</v>
      </c>
      <c r="C330" s="170"/>
      <c r="D330" s="170" t="s">
        <v>11</v>
      </c>
      <c r="E330" s="170" t="s">
        <v>12</v>
      </c>
      <c r="H330" s="207">
        <v>506762</v>
      </c>
      <c r="I330" s="182" t="s">
        <v>1671</v>
      </c>
      <c r="J330" s="182" t="s">
        <v>1672</v>
      </c>
      <c r="K330" s="182" t="s">
        <v>1673</v>
      </c>
      <c r="L330" s="182" t="s">
        <v>15</v>
      </c>
      <c r="M330"/>
      <c r="R330"/>
      <c r="T330"/>
    </row>
    <row r="331" spans="1:13">
      <c r="A331" s="170" t="s">
        <v>1674</v>
      </c>
      <c r="B331" s="170" t="s">
        <v>1675</v>
      </c>
      <c r="C331" s="224" t="s">
        <v>1676</v>
      </c>
      <c r="D331" s="170" t="s">
        <v>11</v>
      </c>
      <c r="E331" s="170" t="s">
        <v>12</v>
      </c>
      <c r="H331" s="207">
        <v>113638</v>
      </c>
      <c r="I331" s="182" t="s">
        <v>1677</v>
      </c>
      <c r="J331" s="182" t="s">
        <v>1678</v>
      </c>
      <c r="K331" s="182" t="s">
        <v>1679</v>
      </c>
      <c r="L331" s="182" t="s">
        <v>15</v>
      </c>
      <c r="M331" s="289" t="s">
        <v>1675</v>
      </c>
    </row>
    <row r="332" spans="1:13">
      <c r="A332" s="170" t="s">
        <v>1680</v>
      </c>
      <c r="B332" s="170" t="s">
        <v>1681</v>
      </c>
      <c r="C332" s="192" t="s">
        <v>1682</v>
      </c>
      <c r="D332" s="170" t="s">
        <v>11</v>
      </c>
      <c r="E332" s="170" t="s">
        <v>12</v>
      </c>
      <c r="H332" s="207" t="s">
        <v>1683</v>
      </c>
      <c r="I332" s="182" t="s">
        <v>10</v>
      </c>
      <c r="J332" s="182" t="s">
        <v>1683</v>
      </c>
      <c r="K332" s="182" t="s">
        <v>1684</v>
      </c>
      <c r="L332" s="182" t="s">
        <v>19</v>
      </c>
      <c r="M332" s="289" t="s">
        <v>1681</v>
      </c>
    </row>
    <row r="333" spans="1:20">
      <c r="A333" s="170" t="s">
        <v>1685</v>
      </c>
      <c r="B333" s="170" t="s">
        <v>1686</v>
      </c>
      <c r="C333" s="170"/>
      <c r="D333" s="170" t="s">
        <v>11</v>
      </c>
      <c r="E333" s="170" t="s">
        <v>12</v>
      </c>
      <c r="H333" s="207" t="s">
        <v>1687</v>
      </c>
      <c r="I333" s="182" t="s">
        <v>1688</v>
      </c>
      <c r="J333" s="182" t="s">
        <v>1687</v>
      </c>
      <c r="K333" s="182" t="s">
        <v>1689</v>
      </c>
      <c r="L333" s="182" t="s">
        <v>15</v>
      </c>
      <c r="M333"/>
      <c r="R333"/>
      <c r="T333"/>
    </row>
    <row r="334" spans="1:13">
      <c r="A334" s="170" t="s">
        <v>1690</v>
      </c>
      <c r="B334" s="170" t="s">
        <v>1691</v>
      </c>
      <c r="C334" s="192" t="s">
        <v>1692</v>
      </c>
      <c r="D334" s="170" t="s">
        <v>11</v>
      </c>
      <c r="E334" s="170" t="s">
        <v>12</v>
      </c>
      <c r="H334" s="207">
        <v>514346</v>
      </c>
      <c r="I334" s="182" t="s">
        <v>1693</v>
      </c>
      <c r="J334" s="182" t="s">
        <v>1694</v>
      </c>
      <c r="K334" s="182"/>
      <c r="L334" s="182" t="s">
        <v>15</v>
      </c>
      <c r="M334" s="289" t="s">
        <v>1695</v>
      </c>
    </row>
    <row r="335" spans="1:20">
      <c r="A335" s="170" t="s">
        <v>1696</v>
      </c>
      <c r="B335" s="170" t="s">
        <v>1697</v>
      </c>
      <c r="C335" s="170"/>
      <c r="D335" s="170" t="s">
        <v>11</v>
      </c>
      <c r="E335" s="170" t="s">
        <v>12</v>
      </c>
      <c r="H335" s="207">
        <v>185919</v>
      </c>
      <c r="I335" s="182" t="s">
        <v>1698</v>
      </c>
      <c r="J335" s="182" t="s">
        <v>1699</v>
      </c>
      <c r="K335" s="182" t="s">
        <v>1700</v>
      </c>
      <c r="L335" s="182" t="s">
        <v>15</v>
      </c>
      <c r="M335"/>
      <c r="R335"/>
      <c r="T335"/>
    </row>
    <row r="336" spans="1:20">
      <c r="A336" s="170" t="s">
        <v>1701</v>
      </c>
      <c r="B336" s="170" t="s">
        <v>1702</v>
      </c>
      <c r="C336" s="170"/>
      <c r="D336" s="170" t="s">
        <v>11</v>
      </c>
      <c r="E336" s="170" t="s">
        <v>12</v>
      </c>
      <c r="H336" s="207">
        <v>345010</v>
      </c>
      <c r="I336" s="182" t="s">
        <v>1703</v>
      </c>
      <c r="J336" s="182" t="s">
        <v>1704</v>
      </c>
      <c r="K336" s="182" t="s">
        <v>1705</v>
      </c>
      <c r="L336" s="182" t="s">
        <v>15</v>
      </c>
      <c r="M336"/>
      <c r="R336"/>
      <c r="T336"/>
    </row>
    <row r="337" spans="1:13">
      <c r="A337" s="170" t="s">
        <v>1706</v>
      </c>
      <c r="B337" s="170" t="s">
        <v>1707</v>
      </c>
      <c r="C337" s="192" t="s">
        <v>1708</v>
      </c>
      <c r="D337" s="170" t="s">
        <v>11</v>
      </c>
      <c r="E337" s="170" t="s">
        <v>12</v>
      </c>
      <c r="H337" s="207">
        <v>443057</v>
      </c>
      <c r="I337" s="182" t="s">
        <v>1709</v>
      </c>
      <c r="J337" s="182" t="s">
        <v>1710</v>
      </c>
      <c r="K337" s="182"/>
      <c r="L337" s="182" t="s">
        <v>15</v>
      </c>
      <c r="M337" s="289" t="s">
        <v>1707</v>
      </c>
    </row>
    <row r="338" spans="1:20">
      <c r="A338" s="170" t="s">
        <v>1711</v>
      </c>
      <c r="B338" s="170" t="s">
        <v>1712</v>
      </c>
      <c r="C338" s="170"/>
      <c r="D338" s="170" t="s">
        <v>11</v>
      </c>
      <c r="E338" s="170" t="s">
        <v>12</v>
      </c>
      <c r="H338" s="207">
        <v>68869</v>
      </c>
      <c r="I338" s="182" t="s">
        <v>1713</v>
      </c>
      <c r="J338" s="182" t="s">
        <v>1714</v>
      </c>
      <c r="K338" s="182" t="s">
        <v>1715</v>
      </c>
      <c r="L338" s="182" t="s">
        <v>369</v>
      </c>
      <c r="M338"/>
      <c r="R338"/>
      <c r="T338"/>
    </row>
    <row r="339" spans="1:20">
      <c r="A339" s="170" t="s">
        <v>1716</v>
      </c>
      <c r="B339" s="170" t="s">
        <v>1717</v>
      </c>
      <c r="C339" s="170"/>
      <c r="D339" s="170" t="s">
        <v>11</v>
      </c>
      <c r="E339" s="170" t="s">
        <v>12</v>
      </c>
      <c r="H339" s="207">
        <v>815657</v>
      </c>
      <c r="I339" s="182" t="s">
        <v>1718</v>
      </c>
      <c r="J339" s="182" t="s">
        <v>1719</v>
      </c>
      <c r="K339" s="182" t="s">
        <v>1720</v>
      </c>
      <c r="L339" s="182" t="s">
        <v>15</v>
      </c>
      <c r="M339"/>
      <c r="R339"/>
      <c r="T339"/>
    </row>
    <row r="340" spans="1:13">
      <c r="A340" s="170" t="s">
        <v>1721</v>
      </c>
      <c r="B340" s="170" t="s">
        <v>1722</v>
      </c>
      <c r="C340" s="192" t="s">
        <v>1723</v>
      </c>
      <c r="D340" s="170" t="s">
        <v>11</v>
      </c>
      <c r="E340" s="170" t="s">
        <v>12</v>
      </c>
      <c r="H340" s="207" t="s">
        <v>1724</v>
      </c>
      <c r="I340" s="182" t="s">
        <v>1725</v>
      </c>
      <c r="J340" s="182" t="s">
        <v>1726</v>
      </c>
      <c r="K340" s="182" t="s">
        <v>1727</v>
      </c>
      <c r="L340" s="182" t="s">
        <v>15</v>
      </c>
      <c r="M340" s="289" t="s">
        <v>1722</v>
      </c>
    </row>
    <row r="341" spans="1:20">
      <c r="A341" s="170" t="s">
        <v>1728</v>
      </c>
      <c r="B341" s="170" t="s">
        <v>1729</v>
      </c>
      <c r="C341" s="170"/>
      <c r="D341" s="170" t="s">
        <v>11</v>
      </c>
      <c r="E341" s="170" t="s">
        <v>12</v>
      </c>
      <c r="H341" s="207">
        <v>501145</v>
      </c>
      <c r="I341" s="182" t="s">
        <v>1730</v>
      </c>
      <c r="J341" s="182" t="s">
        <v>1731</v>
      </c>
      <c r="K341" s="182" t="s">
        <v>1732</v>
      </c>
      <c r="L341" s="182" t="s">
        <v>15</v>
      </c>
      <c r="M341"/>
      <c r="R341"/>
      <c r="T341"/>
    </row>
    <row r="342" spans="1:20">
      <c r="A342" s="170" t="s">
        <v>1733</v>
      </c>
      <c r="B342" s="170" t="s">
        <v>1734</v>
      </c>
      <c r="C342" s="170"/>
      <c r="D342" s="170" t="s">
        <v>11</v>
      </c>
      <c r="E342" s="170" t="s">
        <v>12</v>
      </c>
      <c r="H342" s="207">
        <v>487302</v>
      </c>
      <c r="I342" s="182" t="s">
        <v>1735</v>
      </c>
      <c r="J342" s="182" t="s">
        <v>1736</v>
      </c>
      <c r="K342" s="182" t="s">
        <v>1737</v>
      </c>
      <c r="L342" s="182" t="s">
        <v>15</v>
      </c>
      <c r="M342"/>
      <c r="R342"/>
      <c r="T342"/>
    </row>
    <row r="343" spans="1:20">
      <c r="A343" s="170" t="s">
        <v>1738</v>
      </c>
      <c r="B343" s="170" t="s">
        <v>1739</v>
      </c>
      <c r="C343" s="178" t="s">
        <v>10</v>
      </c>
      <c r="D343" s="170" t="s">
        <v>11</v>
      </c>
      <c r="E343" s="170" t="s">
        <v>12</v>
      </c>
      <c r="H343" s="207">
        <v>523384</v>
      </c>
      <c r="I343" s="182" t="s">
        <v>1740</v>
      </c>
      <c r="J343" s="182" t="s">
        <v>1741</v>
      </c>
      <c r="K343" s="182" t="s">
        <v>1742</v>
      </c>
      <c r="L343" s="182" t="s">
        <v>15</v>
      </c>
      <c r="M343"/>
      <c r="R343"/>
      <c r="T343"/>
    </row>
    <row r="344" spans="1:20">
      <c r="A344" s="170" t="s">
        <v>1743</v>
      </c>
      <c r="B344" s="170" t="s">
        <v>1744</v>
      </c>
      <c r="C344" s="178" t="s">
        <v>10</v>
      </c>
      <c r="D344" s="170" t="s">
        <v>11</v>
      </c>
      <c r="E344" s="170" t="s">
        <v>12</v>
      </c>
      <c r="H344" s="207" t="s">
        <v>1745</v>
      </c>
      <c r="I344" s="182" t="s">
        <v>10</v>
      </c>
      <c r="J344" s="182" t="s">
        <v>1745</v>
      </c>
      <c r="K344" s="182"/>
      <c r="L344" s="182" t="s">
        <v>53</v>
      </c>
      <c r="M344"/>
      <c r="R344"/>
      <c r="T344"/>
    </row>
    <row r="345" spans="1:20">
      <c r="A345" s="170" t="s">
        <v>1746</v>
      </c>
      <c r="B345" s="170" t="s">
        <v>1747</v>
      </c>
      <c r="C345" s="178" t="s">
        <v>10</v>
      </c>
      <c r="D345" s="170" t="s">
        <v>11</v>
      </c>
      <c r="E345" s="170" t="s">
        <v>12</v>
      </c>
      <c r="H345" s="207">
        <v>492854</v>
      </c>
      <c r="I345" s="182" t="s">
        <v>1748</v>
      </c>
      <c r="J345" s="182" t="s">
        <v>1749</v>
      </c>
      <c r="K345" s="182" t="s">
        <v>1750</v>
      </c>
      <c r="L345" s="182" t="s">
        <v>15</v>
      </c>
      <c r="M345"/>
      <c r="R345"/>
      <c r="T345"/>
    </row>
    <row r="346" spans="1:20">
      <c r="A346" s="170" t="s">
        <v>1751</v>
      </c>
      <c r="B346" s="170" t="s">
        <v>1752</v>
      </c>
      <c r="C346" s="178" t="s">
        <v>10</v>
      </c>
      <c r="D346" s="170" t="s">
        <v>11</v>
      </c>
      <c r="E346" s="170" t="s">
        <v>12</v>
      </c>
      <c r="H346" s="207" t="s">
        <v>1753</v>
      </c>
      <c r="I346" s="182" t="s">
        <v>10</v>
      </c>
      <c r="J346" s="182" t="s">
        <v>1753</v>
      </c>
      <c r="K346" s="182" t="s">
        <v>1754</v>
      </c>
      <c r="L346" s="182" t="s">
        <v>53</v>
      </c>
      <c r="M346"/>
      <c r="R346"/>
      <c r="T346"/>
    </row>
    <row r="347" spans="1:20">
      <c r="A347" s="170" t="s">
        <v>1755</v>
      </c>
      <c r="B347" s="170" t="s">
        <v>1756</v>
      </c>
      <c r="C347" s="178" t="s">
        <v>10</v>
      </c>
      <c r="D347" s="170" t="s">
        <v>11</v>
      </c>
      <c r="E347" s="170" t="s">
        <v>12</v>
      </c>
      <c r="H347" s="207">
        <v>497575</v>
      </c>
      <c r="I347" s="182" t="s">
        <v>1757</v>
      </c>
      <c r="J347" s="182" t="s">
        <v>1758</v>
      </c>
      <c r="K347" s="182" t="s">
        <v>1759</v>
      </c>
      <c r="L347" s="182" t="s">
        <v>15</v>
      </c>
      <c r="M347"/>
      <c r="R347"/>
      <c r="T347"/>
    </row>
    <row r="348" spans="1:20">
      <c r="A348" s="170" t="s">
        <v>1760</v>
      </c>
      <c r="B348" s="170" t="s">
        <v>1761</v>
      </c>
      <c r="C348" s="178" t="s">
        <v>10</v>
      </c>
      <c r="D348" s="170" t="s">
        <v>11</v>
      </c>
      <c r="E348" s="170" t="s">
        <v>12</v>
      </c>
      <c r="H348" s="207">
        <v>417366</v>
      </c>
      <c r="I348" s="182" t="s">
        <v>1762</v>
      </c>
      <c r="J348" s="182" t="s">
        <v>1763</v>
      </c>
      <c r="K348" s="182" t="s">
        <v>1764</v>
      </c>
      <c r="L348" s="182" t="s">
        <v>15</v>
      </c>
      <c r="M348"/>
      <c r="R348"/>
      <c r="T348"/>
    </row>
    <row r="349" spans="1:13">
      <c r="A349" s="170" t="s">
        <v>1765</v>
      </c>
      <c r="B349" s="170" t="s">
        <v>1766</v>
      </c>
      <c r="C349" s="208" t="s">
        <v>1767</v>
      </c>
      <c r="D349" s="170" t="s">
        <v>11</v>
      </c>
      <c r="E349" s="170" t="s">
        <v>12</v>
      </c>
      <c r="H349" s="207">
        <v>506155</v>
      </c>
      <c r="I349" s="182" t="s">
        <v>1768</v>
      </c>
      <c r="J349" s="182" t="s">
        <v>1769</v>
      </c>
      <c r="K349" s="182" t="s">
        <v>1770</v>
      </c>
      <c r="L349" s="182" t="s">
        <v>15</v>
      </c>
      <c r="M349" s="289" t="s">
        <v>1766</v>
      </c>
    </row>
    <row r="350" spans="1:20">
      <c r="A350" s="170" t="s">
        <v>1771</v>
      </c>
      <c r="B350" s="170" t="s">
        <v>1772</v>
      </c>
      <c r="C350" s="170"/>
      <c r="D350" s="170" t="s">
        <v>11</v>
      </c>
      <c r="E350" s="170" t="s">
        <v>12</v>
      </c>
      <c r="H350" s="207">
        <v>292823</v>
      </c>
      <c r="I350" s="182" t="s">
        <v>1773</v>
      </c>
      <c r="J350" s="182" t="s">
        <v>1774</v>
      </c>
      <c r="K350" s="182" t="s">
        <v>1775</v>
      </c>
      <c r="L350" s="182" t="s">
        <v>15</v>
      </c>
      <c r="M350"/>
      <c r="R350"/>
      <c r="T350"/>
    </row>
    <row r="351" spans="1:20">
      <c r="A351" s="170" t="s">
        <v>1776</v>
      </c>
      <c r="B351" s="170" t="s">
        <v>1777</v>
      </c>
      <c r="C351" s="170"/>
      <c r="D351" s="170" t="s">
        <v>11</v>
      </c>
      <c r="E351" s="170" t="s">
        <v>12</v>
      </c>
      <c r="H351" s="207">
        <v>179054</v>
      </c>
      <c r="I351" s="182" t="s">
        <v>1778</v>
      </c>
      <c r="J351" s="182" t="s">
        <v>1779</v>
      </c>
      <c r="K351" s="182" t="s">
        <v>1780</v>
      </c>
      <c r="L351" s="182" t="s">
        <v>15</v>
      </c>
      <c r="M351"/>
      <c r="R351"/>
      <c r="T351"/>
    </row>
    <row r="352" spans="1:13">
      <c r="A352" s="170" t="s">
        <v>1781</v>
      </c>
      <c r="B352" s="170" t="s">
        <v>1782</v>
      </c>
      <c r="C352" s="208" t="s">
        <v>1783</v>
      </c>
      <c r="D352" s="170" t="s">
        <v>11</v>
      </c>
      <c r="E352" s="170" t="s">
        <v>12</v>
      </c>
      <c r="H352" s="207">
        <v>456859</v>
      </c>
      <c r="I352" s="182" t="s">
        <v>1784</v>
      </c>
      <c r="J352" s="182" t="s">
        <v>1785</v>
      </c>
      <c r="K352" s="182" t="s">
        <v>1786</v>
      </c>
      <c r="L352" s="182" t="s">
        <v>15</v>
      </c>
      <c r="M352" s="289" t="s">
        <v>1782</v>
      </c>
    </row>
    <row r="353" spans="1:20">
      <c r="A353" s="170" t="s">
        <v>1787</v>
      </c>
      <c r="B353" s="170" t="s">
        <v>1788</v>
      </c>
      <c r="C353" s="170"/>
      <c r="D353" s="170" t="s">
        <v>11</v>
      </c>
      <c r="E353" s="170" t="s">
        <v>12</v>
      </c>
      <c r="H353" s="207">
        <v>476290</v>
      </c>
      <c r="I353" s="182" t="s">
        <v>1789</v>
      </c>
      <c r="J353" s="182" t="s">
        <v>1790</v>
      </c>
      <c r="K353" s="182" t="s">
        <v>1791</v>
      </c>
      <c r="L353" s="182" t="s">
        <v>15</v>
      </c>
      <c r="M353"/>
      <c r="R353"/>
      <c r="T353"/>
    </row>
    <row r="354" spans="1:20">
      <c r="A354" s="170" t="s">
        <v>1792</v>
      </c>
      <c r="B354" s="170" t="s">
        <v>1793</v>
      </c>
      <c r="C354" s="170"/>
      <c r="D354" s="170" t="s">
        <v>11</v>
      </c>
      <c r="E354" s="170" t="s">
        <v>12</v>
      </c>
      <c r="H354" s="207">
        <v>500808</v>
      </c>
      <c r="I354" s="182" t="s">
        <v>1794</v>
      </c>
      <c r="J354" s="182" t="s">
        <v>1795</v>
      </c>
      <c r="K354" s="182" t="s">
        <v>1796</v>
      </c>
      <c r="L354" s="182" t="s">
        <v>15</v>
      </c>
      <c r="M354"/>
      <c r="R354"/>
      <c r="T354"/>
    </row>
    <row r="355" spans="1:13">
      <c r="A355" s="170" t="s">
        <v>1797</v>
      </c>
      <c r="B355" s="170" t="s">
        <v>1798</v>
      </c>
      <c r="C355" s="208" t="s">
        <v>1799</v>
      </c>
      <c r="D355" s="170" t="s">
        <v>11</v>
      </c>
      <c r="E355" s="170" t="s">
        <v>12</v>
      </c>
      <c r="H355" s="207">
        <v>483789</v>
      </c>
      <c r="I355" s="182" t="s">
        <v>1800</v>
      </c>
      <c r="J355" s="182" t="s">
        <v>1801</v>
      </c>
      <c r="K355" s="182" t="s">
        <v>1802</v>
      </c>
      <c r="L355" s="182" t="s">
        <v>15</v>
      </c>
      <c r="M355" s="289" t="s">
        <v>1798</v>
      </c>
    </row>
    <row r="356" spans="1:13">
      <c r="A356" s="170" t="s">
        <v>1803</v>
      </c>
      <c r="B356" s="170" t="s">
        <v>1804</v>
      </c>
      <c r="C356" s="208" t="s">
        <v>1805</v>
      </c>
      <c r="D356" s="170" t="s">
        <v>11</v>
      </c>
      <c r="E356" s="170" t="s">
        <v>12</v>
      </c>
      <c r="H356" s="207">
        <v>464254</v>
      </c>
      <c r="I356" s="182" t="s">
        <v>1806</v>
      </c>
      <c r="J356" s="182" t="s">
        <v>1807</v>
      </c>
      <c r="K356" s="182" t="s">
        <v>1808</v>
      </c>
      <c r="L356" s="182" t="s">
        <v>15</v>
      </c>
      <c r="M356" s="289" t="s">
        <v>1804</v>
      </c>
    </row>
    <row r="357" spans="1:20">
      <c r="A357" s="170" t="s">
        <v>1809</v>
      </c>
      <c r="B357" s="170" t="s">
        <v>1810</v>
      </c>
      <c r="C357" s="170"/>
      <c r="D357" s="170" t="s">
        <v>11</v>
      </c>
      <c r="E357" s="170" t="s">
        <v>12</v>
      </c>
      <c r="H357" s="207">
        <v>507018</v>
      </c>
      <c r="I357" s="182" t="s">
        <v>1811</v>
      </c>
      <c r="J357" s="182" t="s">
        <v>1812</v>
      </c>
      <c r="K357" s="182" t="s">
        <v>1813</v>
      </c>
      <c r="L357" s="182" t="s">
        <v>15</v>
      </c>
      <c r="M357"/>
      <c r="R357"/>
      <c r="T357"/>
    </row>
    <row r="358" spans="1:13">
      <c r="A358" s="170" t="s">
        <v>1814</v>
      </c>
      <c r="B358" s="170" t="s">
        <v>1815</v>
      </c>
      <c r="C358" s="208" t="s">
        <v>1816</v>
      </c>
      <c r="D358" s="170" t="s">
        <v>11</v>
      </c>
      <c r="E358" s="170" t="s">
        <v>12</v>
      </c>
      <c r="H358" s="207">
        <v>485238</v>
      </c>
      <c r="I358" s="182" t="s">
        <v>10</v>
      </c>
      <c r="J358" s="182" t="s">
        <v>1817</v>
      </c>
      <c r="K358" s="182" t="s">
        <v>1818</v>
      </c>
      <c r="L358" s="182" t="s">
        <v>447</v>
      </c>
      <c r="M358" s="289" t="s">
        <v>1815</v>
      </c>
    </row>
    <row r="359" spans="1:13">
      <c r="A359" s="170" t="s">
        <v>1819</v>
      </c>
      <c r="B359" s="170" t="s">
        <v>1820</v>
      </c>
      <c r="C359" s="208" t="s">
        <v>1821</v>
      </c>
      <c r="D359" s="170" t="s">
        <v>11</v>
      </c>
      <c r="E359" s="170" t="s">
        <v>12</v>
      </c>
      <c r="H359" s="207">
        <v>490451</v>
      </c>
      <c r="I359" s="182" t="s">
        <v>1822</v>
      </c>
      <c r="J359" s="182" t="s">
        <v>1823</v>
      </c>
      <c r="K359" s="182" t="s">
        <v>1824</v>
      </c>
      <c r="L359" s="182" t="s">
        <v>15</v>
      </c>
      <c r="M359" s="289" t="s">
        <v>1820</v>
      </c>
    </row>
    <row r="360" spans="1:20">
      <c r="A360" s="170" t="s">
        <v>1825</v>
      </c>
      <c r="B360" s="170" t="s">
        <v>1826</v>
      </c>
      <c r="C360" s="170"/>
      <c r="D360" s="170" t="s">
        <v>11</v>
      </c>
      <c r="E360" s="170" t="s">
        <v>12</v>
      </c>
      <c r="H360" s="207">
        <v>494372</v>
      </c>
      <c r="I360" s="182" t="s">
        <v>10</v>
      </c>
      <c r="J360" s="182" t="s">
        <v>1827</v>
      </c>
      <c r="K360" s="182" t="s">
        <v>1828</v>
      </c>
      <c r="L360" s="182" t="s">
        <v>447</v>
      </c>
      <c r="M360"/>
      <c r="R360"/>
      <c r="T360"/>
    </row>
    <row r="361" spans="1:13">
      <c r="A361" s="170" t="s">
        <v>1829</v>
      </c>
      <c r="B361" s="170" t="s">
        <v>1830</v>
      </c>
      <c r="C361" s="208" t="s">
        <v>1831</v>
      </c>
      <c r="D361" s="170" t="s">
        <v>11</v>
      </c>
      <c r="E361" s="170" t="s">
        <v>12</v>
      </c>
      <c r="H361" s="207">
        <v>513098</v>
      </c>
      <c r="I361" s="182" t="s">
        <v>1832</v>
      </c>
      <c r="J361" s="182" t="s">
        <v>1833</v>
      </c>
      <c r="K361" s="182"/>
      <c r="L361" s="182" t="s">
        <v>15</v>
      </c>
      <c r="M361" s="289" t="s">
        <v>1830</v>
      </c>
    </row>
    <row r="362" spans="1:13">
      <c r="A362" s="170" t="s">
        <v>1834</v>
      </c>
      <c r="B362" s="170" t="s">
        <v>1835</v>
      </c>
      <c r="C362" s="208" t="s">
        <v>1836</v>
      </c>
      <c r="D362" s="170" t="s">
        <v>11</v>
      </c>
      <c r="E362" s="170" t="s">
        <v>12</v>
      </c>
      <c r="H362" s="207">
        <v>487221</v>
      </c>
      <c r="I362" s="182" t="s">
        <v>1837</v>
      </c>
      <c r="J362" s="182" t="s">
        <v>1838</v>
      </c>
      <c r="K362" s="182" t="s">
        <v>1839</v>
      </c>
      <c r="L362" s="182" t="s">
        <v>15</v>
      </c>
      <c r="M362" s="289" t="s">
        <v>1835</v>
      </c>
    </row>
    <row r="363" spans="1:20">
      <c r="A363" s="170" t="s">
        <v>1840</v>
      </c>
      <c r="B363" s="170" t="s">
        <v>1841</v>
      </c>
      <c r="C363" s="170"/>
      <c r="D363" s="170" t="s">
        <v>11</v>
      </c>
      <c r="E363" s="170" t="s">
        <v>12</v>
      </c>
      <c r="H363" s="207">
        <v>305463</v>
      </c>
      <c r="I363" s="182" t="s">
        <v>1842</v>
      </c>
      <c r="J363" s="182" t="s">
        <v>1843</v>
      </c>
      <c r="K363" s="182" t="s">
        <v>1844</v>
      </c>
      <c r="L363" s="182" t="s">
        <v>15</v>
      </c>
      <c r="M363"/>
      <c r="R363"/>
      <c r="T363"/>
    </row>
    <row r="364" spans="1:13">
      <c r="A364" s="170" t="s">
        <v>1845</v>
      </c>
      <c r="B364" s="170" t="s">
        <v>1846</v>
      </c>
      <c r="C364" s="208" t="s">
        <v>1847</v>
      </c>
      <c r="D364" s="170" t="s">
        <v>11</v>
      </c>
      <c r="E364" s="170" t="s">
        <v>12</v>
      </c>
      <c r="H364" s="207">
        <v>513027</v>
      </c>
      <c r="I364" s="182" t="s">
        <v>1848</v>
      </c>
      <c r="J364" s="182" t="s">
        <v>1849</v>
      </c>
      <c r="K364" s="182" t="s">
        <v>1850</v>
      </c>
      <c r="L364" s="182" t="s">
        <v>15</v>
      </c>
      <c r="M364" s="289" t="s">
        <v>1846</v>
      </c>
    </row>
    <row r="365" spans="1:13">
      <c r="A365" s="170" t="s">
        <v>1851</v>
      </c>
      <c r="B365" s="170" t="s">
        <v>1852</v>
      </c>
      <c r="C365" s="208" t="s">
        <v>1853</v>
      </c>
      <c r="D365" s="170" t="s">
        <v>11</v>
      </c>
      <c r="E365" s="170" t="s">
        <v>12</v>
      </c>
      <c r="H365" s="207">
        <v>399105</v>
      </c>
      <c r="I365" s="182" t="s">
        <v>1854</v>
      </c>
      <c r="J365" s="182" t="s">
        <v>1855</v>
      </c>
      <c r="K365" s="182" t="s">
        <v>1856</v>
      </c>
      <c r="L365" s="182" t="s">
        <v>15</v>
      </c>
      <c r="M365" s="289" t="s">
        <v>1852</v>
      </c>
    </row>
    <row r="366" spans="1:20">
      <c r="A366" s="170" t="s">
        <v>1857</v>
      </c>
      <c r="B366" s="170" t="s">
        <v>1858</v>
      </c>
      <c r="C366" s="170"/>
      <c r="D366" s="170" t="s">
        <v>11</v>
      </c>
      <c r="E366" s="170" t="s">
        <v>12</v>
      </c>
      <c r="H366" s="207">
        <v>464555</v>
      </c>
      <c r="I366" s="182" t="s">
        <v>1859</v>
      </c>
      <c r="J366" s="182" t="s">
        <v>1860</v>
      </c>
      <c r="K366" s="182" t="s">
        <v>1861</v>
      </c>
      <c r="L366" s="182" t="s">
        <v>15</v>
      </c>
      <c r="M366"/>
      <c r="R366"/>
      <c r="T366"/>
    </row>
    <row r="367" spans="1:13">
      <c r="A367" s="170" t="s">
        <v>1862</v>
      </c>
      <c r="B367" s="170" t="s">
        <v>1863</v>
      </c>
      <c r="C367" s="208" t="s">
        <v>1864</v>
      </c>
      <c r="D367" s="170" t="s">
        <v>11</v>
      </c>
      <c r="E367" s="170" t="s">
        <v>12</v>
      </c>
      <c r="H367" s="207">
        <v>485750</v>
      </c>
      <c r="I367" s="182" t="s">
        <v>1865</v>
      </c>
      <c r="J367" s="182" t="s">
        <v>1866</v>
      </c>
      <c r="K367" s="182" t="s">
        <v>1867</v>
      </c>
      <c r="L367" s="182" t="s">
        <v>15</v>
      </c>
      <c r="M367" s="289" t="s">
        <v>1863</v>
      </c>
    </row>
    <row r="368" spans="1:13">
      <c r="A368" s="170" t="s">
        <v>1868</v>
      </c>
      <c r="B368" s="170" t="s">
        <v>1869</v>
      </c>
      <c r="C368" s="208" t="s">
        <v>1870</v>
      </c>
      <c r="D368" s="170" t="s">
        <v>11</v>
      </c>
      <c r="E368" s="170" t="s">
        <v>12</v>
      </c>
      <c r="H368" s="207">
        <v>459243</v>
      </c>
      <c r="I368" s="182" t="s">
        <v>1871</v>
      </c>
      <c r="J368" s="182" t="s">
        <v>1872</v>
      </c>
      <c r="K368" s="182" t="s">
        <v>1873</v>
      </c>
      <c r="L368" s="182" t="s">
        <v>15</v>
      </c>
      <c r="M368" s="289" t="s">
        <v>1869</v>
      </c>
    </row>
    <row r="369" spans="1:20">
      <c r="A369" s="170" t="s">
        <v>1874</v>
      </c>
      <c r="B369" s="170" t="s">
        <v>1875</v>
      </c>
      <c r="C369" s="170"/>
      <c r="D369" s="170" t="s">
        <v>11</v>
      </c>
      <c r="E369" s="170" t="s">
        <v>12</v>
      </c>
      <c r="H369" s="207">
        <v>216841</v>
      </c>
      <c r="I369" s="182" t="s">
        <v>1876</v>
      </c>
      <c r="J369" s="182" t="s">
        <v>1877</v>
      </c>
      <c r="K369" s="182" t="s">
        <v>1878</v>
      </c>
      <c r="L369" s="182" t="s">
        <v>15</v>
      </c>
      <c r="M369"/>
      <c r="R369"/>
      <c r="T369"/>
    </row>
    <row r="370" spans="1:13">
      <c r="A370" s="170" t="s">
        <v>1879</v>
      </c>
      <c r="B370" s="170" t="s">
        <v>1880</v>
      </c>
      <c r="C370" s="208" t="s">
        <v>1881</v>
      </c>
      <c r="D370" s="170" t="s">
        <v>11</v>
      </c>
      <c r="E370" s="170" t="s">
        <v>12</v>
      </c>
      <c r="H370" s="207">
        <v>492649</v>
      </c>
      <c r="I370" s="182" t="s">
        <v>1882</v>
      </c>
      <c r="J370" s="182" t="s">
        <v>1883</v>
      </c>
      <c r="K370" s="182" t="s">
        <v>1884</v>
      </c>
      <c r="L370" s="182" t="s">
        <v>15</v>
      </c>
      <c r="M370" s="289">
        <v>14014094</v>
      </c>
    </row>
    <row r="371" spans="1:13">
      <c r="A371" s="170" t="s">
        <v>1885</v>
      </c>
      <c r="B371" s="170" t="s">
        <v>1886</v>
      </c>
      <c r="C371" s="208" t="s">
        <v>1887</v>
      </c>
      <c r="D371" s="170" t="s">
        <v>11</v>
      </c>
      <c r="E371" s="170" t="s">
        <v>12</v>
      </c>
      <c r="H371" s="207">
        <v>499559</v>
      </c>
      <c r="I371" s="182" t="s">
        <v>1888</v>
      </c>
      <c r="J371" s="182" t="s">
        <v>1889</v>
      </c>
      <c r="K371" s="182" t="s">
        <v>1890</v>
      </c>
      <c r="L371" s="182" t="s">
        <v>15</v>
      </c>
      <c r="M371" s="289" t="s">
        <v>1886</v>
      </c>
    </row>
    <row r="372" spans="1:20">
      <c r="A372" s="170" t="s">
        <v>1891</v>
      </c>
      <c r="B372" s="170" t="s">
        <v>1892</v>
      </c>
      <c r="C372" s="170"/>
      <c r="D372" s="170" t="s">
        <v>11</v>
      </c>
      <c r="E372" s="170" t="s">
        <v>12</v>
      </c>
      <c r="H372" s="207">
        <v>495808</v>
      </c>
      <c r="I372" s="182" t="s">
        <v>1893</v>
      </c>
      <c r="J372" s="182" t="s">
        <v>1894</v>
      </c>
      <c r="K372" s="182" t="s">
        <v>1895</v>
      </c>
      <c r="L372" s="182" t="s">
        <v>15</v>
      </c>
      <c r="M372"/>
      <c r="R372"/>
      <c r="T372"/>
    </row>
    <row r="373" spans="1:13">
      <c r="A373" s="170" t="s">
        <v>1896</v>
      </c>
      <c r="B373" s="170" t="s">
        <v>1897</v>
      </c>
      <c r="C373" s="208" t="s">
        <v>1898</v>
      </c>
      <c r="D373" s="170" t="s">
        <v>11</v>
      </c>
      <c r="E373" s="170" t="s">
        <v>12</v>
      </c>
      <c r="H373" s="207" t="s">
        <v>1899</v>
      </c>
      <c r="I373" s="182" t="s">
        <v>10</v>
      </c>
      <c r="J373" s="182" t="s">
        <v>1899</v>
      </c>
      <c r="K373" s="182" t="s">
        <v>1900</v>
      </c>
      <c r="L373" s="182" t="s">
        <v>53</v>
      </c>
      <c r="M373" s="289" t="s">
        <v>1897</v>
      </c>
    </row>
    <row r="374" spans="1:13">
      <c r="A374" s="170" t="s">
        <v>1901</v>
      </c>
      <c r="B374" s="170" t="s">
        <v>1902</v>
      </c>
      <c r="C374" s="208" t="s">
        <v>1903</v>
      </c>
      <c r="D374" s="170" t="s">
        <v>11</v>
      </c>
      <c r="E374" s="170" t="s">
        <v>12</v>
      </c>
      <c r="H374" s="207" t="s">
        <v>1904</v>
      </c>
      <c r="I374" s="182" t="s">
        <v>10</v>
      </c>
      <c r="J374" s="182" t="s">
        <v>1904</v>
      </c>
      <c r="K374" s="182" t="s">
        <v>1905</v>
      </c>
      <c r="L374" s="182" t="s">
        <v>53</v>
      </c>
      <c r="M374" s="289" t="s">
        <v>1902</v>
      </c>
    </row>
    <row r="375" spans="1:20">
      <c r="A375" s="170" t="s">
        <v>1906</v>
      </c>
      <c r="B375" s="170" t="s">
        <v>1907</v>
      </c>
      <c r="C375" s="170"/>
      <c r="D375" s="170" t="s">
        <v>11</v>
      </c>
      <c r="E375" s="170" t="s">
        <v>12</v>
      </c>
      <c r="H375" s="207" t="s">
        <v>1908</v>
      </c>
      <c r="I375" s="182" t="s">
        <v>10</v>
      </c>
      <c r="J375" s="182" t="s">
        <v>1908</v>
      </c>
      <c r="K375" s="182" t="s">
        <v>1909</v>
      </c>
      <c r="L375" s="182" t="s">
        <v>19</v>
      </c>
      <c r="M375"/>
      <c r="R375"/>
      <c r="T375"/>
    </row>
    <row r="376" spans="1:13">
      <c r="A376" s="170" t="s">
        <v>1910</v>
      </c>
      <c r="B376" s="170" t="s">
        <v>1911</v>
      </c>
      <c r="C376" s="208" t="s">
        <v>1912</v>
      </c>
      <c r="D376" s="170" t="s">
        <v>11</v>
      </c>
      <c r="E376" s="170" t="s">
        <v>12</v>
      </c>
      <c r="H376" s="207">
        <v>443393</v>
      </c>
      <c r="I376" s="182" t="s">
        <v>1913</v>
      </c>
      <c r="J376" s="182" t="s">
        <v>1914</v>
      </c>
      <c r="K376" s="182" t="s">
        <v>1915</v>
      </c>
      <c r="L376" s="182" t="s">
        <v>15</v>
      </c>
      <c r="M376" s="289" t="s">
        <v>1911</v>
      </c>
    </row>
    <row r="377" spans="1:13">
      <c r="A377" s="170" t="s">
        <v>1916</v>
      </c>
      <c r="B377" s="170" t="s">
        <v>1917</v>
      </c>
      <c r="C377" s="208" t="s">
        <v>1918</v>
      </c>
      <c r="D377" s="170" t="s">
        <v>11</v>
      </c>
      <c r="E377" s="170" t="s">
        <v>12</v>
      </c>
      <c r="H377" s="207">
        <v>501341</v>
      </c>
      <c r="I377" s="182" t="s">
        <v>1919</v>
      </c>
      <c r="J377" s="182" t="s">
        <v>1920</v>
      </c>
      <c r="K377" s="182" t="s">
        <v>1921</v>
      </c>
      <c r="L377" s="182" t="s">
        <v>15</v>
      </c>
      <c r="M377" s="289" t="s">
        <v>1917</v>
      </c>
    </row>
    <row r="378" spans="1:20">
      <c r="A378" s="170" t="s">
        <v>1922</v>
      </c>
      <c r="B378" s="170" t="s">
        <v>1923</v>
      </c>
      <c r="C378" s="170"/>
      <c r="D378" s="170" t="s">
        <v>11</v>
      </c>
      <c r="E378" s="170" t="s">
        <v>12</v>
      </c>
      <c r="H378" s="207">
        <v>336882</v>
      </c>
      <c r="I378" s="182" t="s">
        <v>1924</v>
      </c>
      <c r="J378" s="182" t="s">
        <v>1925</v>
      </c>
      <c r="K378" s="182" t="s">
        <v>1926</v>
      </c>
      <c r="L378" s="182" t="s">
        <v>15</v>
      </c>
      <c r="M378"/>
      <c r="R378"/>
      <c r="T378"/>
    </row>
    <row r="379" spans="1:13">
      <c r="A379" s="170" t="s">
        <v>1927</v>
      </c>
      <c r="B379" s="170" t="s">
        <v>1928</v>
      </c>
      <c r="C379" s="208" t="s">
        <v>1929</v>
      </c>
      <c r="D379" s="170" t="s">
        <v>11</v>
      </c>
      <c r="E379" s="170" t="s">
        <v>12</v>
      </c>
      <c r="H379" s="207">
        <v>474940</v>
      </c>
      <c r="I379" s="182" t="s">
        <v>1930</v>
      </c>
      <c r="J379" s="182" t="s">
        <v>1931</v>
      </c>
      <c r="K379" s="182" t="s">
        <v>1932</v>
      </c>
      <c r="L379" s="182" t="s">
        <v>15</v>
      </c>
      <c r="M379" s="289" t="s">
        <v>1928</v>
      </c>
    </row>
    <row r="380" spans="1:13">
      <c r="A380" s="170" t="s">
        <v>1933</v>
      </c>
      <c r="B380" s="170" t="s">
        <v>1934</v>
      </c>
      <c r="C380" s="208" t="s">
        <v>1935</v>
      </c>
      <c r="D380" s="170" t="s">
        <v>11</v>
      </c>
      <c r="E380" s="170" t="s">
        <v>12</v>
      </c>
      <c r="H380" s="207">
        <v>486889</v>
      </c>
      <c r="I380" s="182" t="s">
        <v>1936</v>
      </c>
      <c r="J380" s="182" t="s">
        <v>1937</v>
      </c>
      <c r="K380" s="182" t="s">
        <v>1938</v>
      </c>
      <c r="L380" s="182" t="s">
        <v>15</v>
      </c>
      <c r="M380" s="289" t="s">
        <v>1934</v>
      </c>
    </row>
    <row r="381" spans="1:20">
      <c r="A381" s="170" t="s">
        <v>1939</v>
      </c>
      <c r="B381" s="170" t="s">
        <v>1940</v>
      </c>
      <c r="C381" s="170"/>
      <c r="D381" s="170" t="s">
        <v>11</v>
      </c>
      <c r="E381" s="170" t="s">
        <v>12</v>
      </c>
      <c r="H381" s="207">
        <v>500597</v>
      </c>
      <c r="I381" s="182" t="s">
        <v>1941</v>
      </c>
      <c r="J381" s="182" t="s">
        <v>1942</v>
      </c>
      <c r="K381" s="182" t="s">
        <v>1943</v>
      </c>
      <c r="L381" s="182" t="s">
        <v>15</v>
      </c>
      <c r="M381"/>
      <c r="R381"/>
      <c r="T381"/>
    </row>
    <row r="382" spans="1:13">
      <c r="A382" s="170" t="s">
        <v>1944</v>
      </c>
      <c r="B382" s="170" t="s">
        <v>1945</v>
      </c>
      <c r="C382" s="208" t="s">
        <v>1946</v>
      </c>
      <c r="D382" s="170" t="s">
        <v>11</v>
      </c>
      <c r="E382" s="170" t="s">
        <v>12</v>
      </c>
      <c r="H382" s="207">
        <v>503412</v>
      </c>
      <c r="I382" s="182" t="s">
        <v>1947</v>
      </c>
      <c r="J382" s="182" t="s">
        <v>1948</v>
      </c>
      <c r="K382" s="182" t="s">
        <v>1949</v>
      </c>
      <c r="L382" s="182" t="s">
        <v>15</v>
      </c>
      <c r="M382" s="289" t="s">
        <v>1945</v>
      </c>
    </row>
    <row r="383" spans="1:13">
      <c r="A383" s="170" t="s">
        <v>1950</v>
      </c>
      <c r="B383" s="170" t="s">
        <v>1951</v>
      </c>
      <c r="C383" s="208" t="s">
        <v>1952</v>
      </c>
      <c r="D383" s="170" t="s">
        <v>11</v>
      </c>
      <c r="E383" s="170" t="s">
        <v>12</v>
      </c>
      <c r="H383" s="207">
        <v>513627</v>
      </c>
      <c r="I383" s="182" t="s">
        <v>1953</v>
      </c>
      <c r="J383" s="182" t="s">
        <v>1954</v>
      </c>
      <c r="K383" s="182" t="s">
        <v>1955</v>
      </c>
      <c r="L383" s="182" t="s">
        <v>15</v>
      </c>
      <c r="M383" s="289" t="s">
        <v>1951</v>
      </c>
    </row>
    <row r="384" spans="1:20">
      <c r="A384" s="170" t="s">
        <v>1956</v>
      </c>
      <c r="B384" s="170" t="s">
        <v>1957</v>
      </c>
      <c r="C384" s="170"/>
      <c r="D384" s="170" t="s">
        <v>11</v>
      </c>
      <c r="E384" s="170" t="s">
        <v>12</v>
      </c>
      <c r="H384" s="207">
        <v>186714</v>
      </c>
      <c r="I384" s="182" t="s">
        <v>1958</v>
      </c>
      <c r="J384" s="182" t="s">
        <v>1959</v>
      </c>
      <c r="K384" s="182" t="s">
        <v>1960</v>
      </c>
      <c r="L384" s="182" t="s">
        <v>15</v>
      </c>
      <c r="M384"/>
      <c r="R384"/>
      <c r="T384"/>
    </row>
    <row r="385" spans="1:13">
      <c r="A385" s="170" t="s">
        <v>1961</v>
      </c>
      <c r="B385" s="170" t="s">
        <v>1962</v>
      </c>
      <c r="C385" s="208" t="s">
        <v>1963</v>
      </c>
      <c r="D385" s="170" t="s">
        <v>11</v>
      </c>
      <c r="E385" s="170" t="s">
        <v>12</v>
      </c>
      <c r="H385" s="207" t="s">
        <v>1964</v>
      </c>
      <c r="I385" s="182" t="s">
        <v>10</v>
      </c>
      <c r="J385" s="182" t="s">
        <v>1964</v>
      </c>
      <c r="K385" s="182" t="s">
        <v>1965</v>
      </c>
      <c r="L385" s="182" t="s">
        <v>53</v>
      </c>
      <c r="M385" s="289" t="s">
        <v>1962</v>
      </c>
    </row>
    <row r="386" spans="1:13">
      <c r="A386" s="170" t="s">
        <v>1966</v>
      </c>
      <c r="B386" s="170" t="s">
        <v>1967</v>
      </c>
      <c r="C386" s="208" t="s">
        <v>1968</v>
      </c>
      <c r="D386" s="170" t="s">
        <v>11</v>
      </c>
      <c r="E386" s="170" t="s">
        <v>12</v>
      </c>
      <c r="H386" s="207">
        <v>495942</v>
      </c>
      <c r="I386" s="182" t="s">
        <v>1969</v>
      </c>
      <c r="J386" s="182" t="s">
        <v>1970</v>
      </c>
      <c r="K386" s="182" t="s">
        <v>1971</v>
      </c>
      <c r="L386" s="182" t="s">
        <v>15</v>
      </c>
      <c r="M386" s="289" t="s">
        <v>1967</v>
      </c>
    </row>
    <row r="387" spans="1:20">
      <c r="A387" s="170" t="s">
        <v>1972</v>
      </c>
      <c r="B387" s="170" t="s">
        <v>1973</v>
      </c>
      <c r="C387" s="170"/>
      <c r="D387" s="170" t="s">
        <v>11</v>
      </c>
      <c r="E387" s="170" t="s">
        <v>12</v>
      </c>
      <c r="H387" s="207" t="s">
        <v>1974</v>
      </c>
      <c r="I387" s="182" t="s">
        <v>10</v>
      </c>
      <c r="J387" s="182" t="s">
        <v>1974</v>
      </c>
      <c r="K387" s="182" t="s">
        <v>1975</v>
      </c>
      <c r="L387" s="182" t="s">
        <v>53</v>
      </c>
      <c r="M387"/>
      <c r="R387"/>
      <c r="T387"/>
    </row>
    <row r="388" spans="1:18">
      <c r="A388" s="170" t="s">
        <v>1976</v>
      </c>
      <c r="B388" s="170" t="s">
        <v>1977</v>
      </c>
      <c r="C388" s="208" t="s">
        <v>1978</v>
      </c>
      <c r="D388" s="170" t="s">
        <v>11</v>
      </c>
      <c r="E388" s="170" t="s">
        <v>12</v>
      </c>
      <c r="H388" s="207" t="s">
        <v>1979</v>
      </c>
      <c r="I388" s="182" t="s">
        <v>10</v>
      </c>
      <c r="J388" s="182" t="s">
        <v>1979</v>
      </c>
      <c r="K388" s="182" t="s">
        <v>1980</v>
      </c>
      <c r="L388" s="182" t="s">
        <v>19</v>
      </c>
      <c r="M388" s="289" t="s">
        <v>1977</v>
      </c>
      <c r="R388" s="51"/>
    </row>
    <row r="389" spans="1:18">
      <c r="A389" s="170" t="s">
        <v>1981</v>
      </c>
      <c r="B389" s="170" t="s">
        <v>1982</v>
      </c>
      <c r="C389" s="208" t="s">
        <v>1983</v>
      </c>
      <c r="D389" s="170" t="s">
        <v>11</v>
      </c>
      <c r="E389" s="170" t="s">
        <v>12</v>
      </c>
      <c r="H389" s="207">
        <v>513965</v>
      </c>
      <c r="I389" s="182" t="s">
        <v>1984</v>
      </c>
      <c r="J389" s="182" t="s">
        <v>1985</v>
      </c>
      <c r="K389" s="182" t="s">
        <v>1986</v>
      </c>
      <c r="L389" s="182" t="s">
        <v>15</v>
      </c>
      <c r="M389" s="289" t="s">
        <v>1982</v>
      </c>
      <c r="R389" s="51"/>
    </row>
    <row r="390" spans="1:20">
      <c r="A390" s="170" t="s">
        <v>1987</v>
      </c>
      <c r="B390" s="170" t="s">
        <v>1988</v>
      </c>
      <c r="C390" s="170"/>
      <c r="D390" s="170" t="s">
        <v>11</v>
      </c>
      <c r="E390" s="170" t="s">
        <v>12</v>
      </c>
      <c r="H390" s="207">
        <v>399867</v>
      </c>
      <c r="I390" s="182" t="s">
        <v>1989</v>
      </c>
      <c r="J390" s="182" t="s">
        <v>1990</v>
      </c>
      <c r="K390" s="182" t="s">
        <v>1991</v>
      </c>
      <c r="L390" s="182" t="s">
        <v>15</v>
      </c>
      <c r="M390"/>
      <c r="R390"/>
      <c r="T390"/>
    </row>
    <row r="391" spans="1:13">
      <c r="A391" s="170" t="s">
        <v>1992</v>
      </c>
      <c r="B391" s="170" t="s">
        <v>1993</v>
      </c>
      <c r="C391" s="208" t="s">
        <v>1994</v>
      </c>
      <c r="D391" s="170" t="s">
        <v>11</v>
      </c>
      <c r="E391" s="170" t="s">
        <v>12</v>
      </c>
      <c r="H391" s="207">
        <v>514351</v>
      </c>
      <c r="I391" s="182" t="s">
        <v>1995</v>
      </c>
      <c r="J391" s="182" t="s">
        <v>1996</v>
      </c>
      <c r="K391" s="182" t="s">
        <v>1997</v>
      </c>
      <c r="L391" s="182" t="s">
        <v>15</v>
      </c>
      <c r="M391" s="289" t="s">
        <v>1993</v>
      </c>
    </row>
    <row r="392" spans="1:20">
      <c r="A392" s="170" t="s">
        <v>1998</v>
      </c>
      <c r="B392" s="170" t="s">
        <v>1999</v>
      </c>
      <c r="C392" s="170"/>
      <c r="D392" s="170" t="s">
        <v>11</v>
      </c>
      <c r="E392" s="170" t="s">
        <v>12</v>
      </c>
      <c r="H392" s="207">
        <v>486611</v>
      </c>
      <c r="I392" s="182" t="s">
        <v>2000</v>
      </c>
      <c r="J392" s="182" t="s">
        <v>2001</v>
      </c>
      <c r="K392" s="182" t="s">
        <v>2002</v>
      </c>
      <c r="L392" s="182" t="s">
        <v>15</v>
      </c>
      <c r="M392"/>
      <c r="R392"/>
      <c r="T392"/>
    </row>
    <row r="393" spans="1:20">
      <c r="A393" s="170" t="s">
        <v>2003</v>
      </c>
      <c r="B393" s="170" t="s">
        <v>2004</v>
      </c>
      <c r="C393" s="170"/>
      <c r="D393" s="170" t="s">
        <v>11</v>
      </c>
      <c r="E393" s="170" t="s">
        <v>12</v>
      </c>
      <c r="H393" s="207">
        <v>351831</v>
      </c>
      <c r="I393" s="182" t="s">
        <v>2005</v>
      </c>
      <c r="J393" s="182" t="s">
        <v>2006</v>
      </c>
      <c r="K393" s="182" t="s">
        <v>2007</v>
      </c>
      <c r="L393" s="182" t="s">
        <v>15</v>
      </c>
      <c r="M393"/>
      <c r="R393"/>
      <c r="T393"/>
    </row>
    <row r="394" s="288" customFormat="1" spans="1:20">
      <c r="A394" s="203" t="s">
        <v>2008</v>
      </c>
      <c r="B394" s="203" t="s">
        <v>2009</v>
      </c>
      <c r="C394" s="301" t="s">
        <v>2010</v>
      </c>
      <c r="D394" s="203" t="s">
        <v>11</v>
      </c>
      <c r="E394" s="203" t="s">
        <v>12</v>
      </c>
      <c r="G394"/>
      <c r="H394" s="207">
        <v>224912</v>
      </c>
      <c r="I394" s="182" t="s">
        <v>2011</v>
      </c>
      <c r="J394" s="182" t="s">
        <v>2012</v>
      </c>
      <c r="K394" s="182" t="s">
        <v>2013</v>
      </c>
      <c r="L394" s="182" t="s">
        <v>15</v>
      </c>
      <c r="M394" s="302" t="s">
        <v>2009</v>
      </c>
      <c r="R394" s="302"/>
      <c r="T394" s="302"/>
    </row>
    <row r="395" s="288" customFormat="1" spans="1:20">
      <c r="A395" s="203" t="s">
        <v>2014</v>
      </c>
      <c r="B395" s="203" t="s">
        <v>2015</v>
      </c>
      <c r="C395" s="301" t="s">
        <v>2016</v>
      </c>
      <c r="D395" s="203" t="s">
        <v>11</v>
      </c>
      <c r="E395" s="203" t="s">
        <v>12</v>
      </c>
      <c r="G395"/>
      <c r="H395" s="207">
        <v>514324</v>
      </c>
      <c r="I395" s="182" t="s">
        <v>2017</v>
      </c>
      <c r="J395" s="182" t="s">
        <v>2018</v>
      </c>
      <c r="K395" s="182" t="s">
        <v>2019</v>
      </c>
      <c r="L395" s="182" t="s">
        <v>15</v>
      </c>
      <c r="M395" s="302" t="s">
        <v>2015</v>
      </c>
      <c r="R395" s="302"/>
      <c r="T395" s="302"/>
    </row>
    <row r="396" s="288" customFormat="1" spans="1:13">
      <c r="A396" s="203" t="s">
        <v>2020</v>
      </c>
      <c r="B396" s="203" t="s">
        <v>2021</v>
      </c>
      <c r="C396" s="301" t="s">
        <v>2022</v>
      </c>
      <c r="D396" s="203" t="s">
        <v>11</v>
      </c>
      <c r="E396" s="203" t="s">
        <v>12</v>
      </c>
      <c r="G396"/>
      <c r="H396" s="207">
        <v>762295</v>
      </c>
      <c r="I396" s="182" t="s">
        <v>2023</v>
      </c>
      <c r="J396" s="182" t="s">
        <v>2024</v>
      </c>
      <c r="K396" s="182" t="s">
        <v>2025</v>
      </c>
      <c r="L396" s="182" t="s">
        <v>15</v>
      </c>
      <c r="M396" s="288" t="s">
        <v>2021</v>
      </c>
    </row>
    <row r="397" s="288" customFormat="1" spans="1:20">
      <c r="A397" s="203" t="s">
        <v>2026</v>
      </c>
      <c r="B397" s="203" t="s">
        <v>2027</v>
      </c>
      <c r="C397" s="51" t="str">
        <f>VLOOKUP("29/216/1",Data!$A$2:$E$1425,3,FALSE)</f>
        <v>23105 Elliot </v>
      </c>
      <c r="D397" s="203" t="s">
        <v>11</v>
      </c>
      <c r="E397" s="203" t="s">
        <v>12</v>
      </c>
      <c r="G397"/>
      <c r="H397" s="207">
        <v>501407</v>
      </c>
      <c r="I397" s="182" t="s">
        <v>2028</v>
      </c>
      <c r="J397" s="182" t="s">
        <v>2029</v>
      </c>
      <c r="K397" s="182" t="s">
        <v>2030</v>
      </c>
      <c r="L397" s="182" t="s">
        <v>15</v>
      </c>
      <c r="M397" s="302" t="s">
        <v>2027</v>
      </c>
      <c r="R397" s="302"/>
      <c r="T397" s="302"/>
    </row>
    <row r="398" s="288" customFormat="1" spans="1:20">
      <c r="A398" s="203" t="s">
        <v>2031</v>
      </c>
      <c r="B398" s="203" t="s">
        <v>2032</v>
      </c>
      <c r="C398" s="51" t="str">
        <f>VLOOKUP("29/216/2",Data!$A$2:$E$1425,3,FALSE)</f>
        <v>23104 Truls </v>
      </c>
      <c r="D398" s="203" t="s">
        <v>11</v>
      </c>
      <c r="E398" s="203" t="s">
        <v>12</v>
      </c>
      <c r="G398"/>
      <c r="H398" s="207" t="s">
        <v>2033</v>
      </c>
      <c r="I398" s="182" t="s">
        <v>10</v>
      </c>
      <c r="J398" s="182" t="s">
        <v>2033</v>
      </c>
      <c r="K398" s="182" t="s">
        <v>2034</v>
      </c>
      <c r="L398" s="182" t="s">
        <v>53</v>
      </c>
      <c r="M398" s="302" t="s">
        <v>2032</v>
      </c>
      <c r="R398" s="302"/>
      <c r="T398" s="302"/>
    </row>
    <row r="399" s="288" customFormat="1" spans="1:20">
      <c r="A399" s="203" t="s">
        <v>2035</v>
      </c>
      <c r="B399" s="203" t="s">
        <v>2036</v>
      </c>
      <c r="C399" s="301"/>
      <c r="D399" s="203" t="s">
        <v>11</v>
      </c>
      <c r="E399" s="203" t="s">
        <v>12</v>
      </c>
      <c r="G399"/>
      <c r="H399" s="207">
        <v>450861</v>
      </c>
      <c r="I399" s="182" t="s">
        <v>2037</v>
      </c>
      <c r="J399" s="182" t="s">
        <v>2038</v>
      </c>
      <c r="K399" s="182"/>
      <c r="L399" s="182" t="s">
        <v>15</v>
      </c>
      <c r="M399" s="302" t="s">
        <v>2036</v>
      </c>
      <c r="R399" s="302"/>
      <c r="T399" s="302"/>
    </row>
    <row r="400" spans="1:13">
      <c r="A400" s="170" t="s">
        <v>2039</v>
      </c>
      <c r="B400" s="170" t="s">
        <v>2040</v>
      </c>
      <c r="C400" s="208" t="s">
        <v>2041</v>
      </c>
      <c r="D400" s="170" t="s">
        <v>11</v>
      </c>
      <c r="E400" s="170" t="s">
        <v>12</v>
      </c>
      <c r="H400" s="207">
        <v>462802</v>
      </c>
      <c r="I400" s="182" t="s">
        <v>2042</v>
      </c>
      <c r="J400" s="182" t="s">
        <v>2043</v>
      </c>
      <c r="K400" s="182"/>
      <c r="L400" s="182" t="s">
        <v>15</v>
      </c>
      <c r="M400" s="289" t="s">
        <v>2040</v>
      </c>
    </row>
    <row r="401" spans="1:13">
      <c r="A401" s="170" t="s">
        <v>2044</v>
      </c>
      <c r="B401" s="170" t="s">
        <v>2045</v>
      </c>
      <c r="C401" s="208" t="s">
        <v>2046</v>
      </c>
      <c r="D401" s="170" t="s">
        <v>11</v>
      </c>
      <c r="E401" s="170" t="s">
        <v>12</v>
      </c>
      <c r="H401" s="207">
        <v>503513</v>
      </c>
      <c r="I401" s="182" t="s">
        <v>2047</v>
      </c>
      <c r="J401" s="182" t="s">
        <v>2048</v>
      </c>
      <c r="K401" s="182" t="s">
        <v>2049</v>
      </c>
      <c r="L401" s="182" t="s">
        <v>15</v>
      </c>
      <c r="M401" s="289" t="s">
        <v>2045</v>
      </c>
    </row>
    <row r="402" spans="1:20">
      <c r="A402" s="170" t="s">
        <v>2050</v>
      </c>
      <c r="B402" s="170" t="s">
        <v>2051</v>
      </c>
      <c r="C402" s="170"/>
      <c r="D402" s="170" t="s">
        <v>11</v>
      </c>
      <c r="E402" s="170" t="s">
        <v>12</v>
      </c>
      <c r="H402" s="207">
        <v>494521</v>
      </c>
      <c r="I402" s="182" t="s">
        <v>2052</v>
      </c>
      <c r="J402" s="182" t="s">
        <v>2053</v>
      </c>
      <c r="K402" s="182" t="s">
        <v>2054</v>
      </c>
      <c r="L402" s="182" t="s">
        <v>15</v>
      </c>
      <c r="M402"/>
      <c r="R402"/>
      <c r="T402"/>
    </row>
    <row r="403" spans="1:13">
      <c r="A403" s="170" t="s">
        <v>2055</v>
      </c>
      <c r="B403" s="170" t="s">
        <v>2056</v>
      </c>
      <c r="C403" s="208" t="s">
        <v>2057</v>
      </c>
      <c r="D403" s="170" t="s">
        <v>11</v>
      </c>
      <c r="E403" s="170" t="s">
        <v>12</v>
      </c>
      <c r="H403" s="207">
        <v>443003</v>
      </c>
      <c r="I403" s="182" t="s">
        <v>54</v>
      </c>
      <c r="J403" s="182" t="s">
        <v>2058</v>
      </c>
      <c r="K403" s="182" t="s">
        <v>2059</v>
      </c>
      <c r="L403" s="182" t="s">
        <v>15</v>
      </c>
      <c r="M403" s="289" t="s">
        <v>2056</v>
      </c>
    </row>
    <row r="404" spans="1:20">
      <c r="A404" s="170" t="s">
        <v>2060</v>
      </c>
      <c r="B404" s="170" t="s">
        <v>2061</v>
      </c>
      <c r="C404" s="170"/>
      <c r="D404" s="170" t="s">
        <v>11</v>
      </c>
      <c r="E404" s="170" t="s">
        <v>12</v>
      </c>
      <c r="H404" s="207">
        <v>411811</v>
      </c>
      <c r="I404" s="182" t="s">
        <v>2062</v>
      </c>
      <c r="J404" s="182" t="s">
        <v>2063</v>
      </c>
      <c r="K404" s="182" t="s">
        <v>2064</v>
      </c>
      <c r="L404" s="182" t="s">
        <v>15</v>
      </c>
      <c r="M404"/>
      <c r="R404"/>
      <c r="T404"/>
    </row>
    <row r="405" spans="1:20">
      <c r="A405" s="170" t="s">
        <v>2065</v>
      </c>
      <c r="B405" s="170" t="s">
        <v>2066</v>
      </c>
      <c r="C405" s="170"/>
      <c r="D405" s="170" t="s">
        <v>11</v>
      </c>
      <c r="E405" s="170" t="s">
        <v>12</v>
      </c>
      <c r="H405" s="207">
        <v>452008</v>
      </c>
      <c r="I405" s="182" t="s">
        <v>2067</v>
      </c>
      <c r="J405" s="182" t="s">
        <v>2068</v>
      </c>
      <c r="K405" s="182" t="s">
        <v>2069</v>
      </c>
      <c r="L405" s="182" t="s">
        <v>15</v>
      </c>
      <c r="M405"/>
      <c r="R405"/>
      <c r="T405"/>
    </row>
    <row r="406" spans="1:13">
      <c r="A406" s="170" t="s">
        <v>2070</v>
      </c>
      <c r="B406" s="170" t="s">
        <v>2071</v>
      </c>
      <c r="C406" s="208" t="s">
        <v>2072</v>
      </c>
      <c r="D406" s="170" t="s">
        <v>11</v>
      </c>
      <c r="E406" s="170" t="s">
        <v>12</v>
      </c>
      <c r="H406" s="207">
        <v>432465</v>
      </c>
      <c r="I406" s="182" t="s">
        <v>2073</v>
      </c>
      <c r="J406" s="182" t="s">
        <v>2074</v>
      </c>
      <c r="K406" s="182" t="s">
        <v>2075</v>
      </c>
      <c r="L406" s="182" t="s">
        <v>15</v>
      </c>
      <c r="M406" s="289" t="s">
        <v>2071</v>
      </c>
    </row>
    <row r="407" spans="1:20">
      <c r="A407" s="170" t="s">
        <v>2076</v>
      </c>
      <c r="B407" s="170" t="s">
        <v>2077</v>
      </c>
      <c r="C407" s="170"/>
      <c r="D407" s="170" t="s">
        <v>11</v>
      </c>
      <c r="E407" s="170" t="s">
        <v>12</v>
      </c>
      <c r="H407" s="207">
        <v>502077</v>
      </c>
      <c r="I407" s="182" t="s">
        <v>2078</v>
      </c>
      <c r="J407" s="182" t="s">
        <v>2079</v>
      </c>
      <c r="K407" s="182" t="s">
        <v>2080</v>
      </c>
      <c r="L407" s="182" t="s">
        <v>15</v>
      </c>
      <c r="M407"/>
      <c r="R407"/>
      <c r="T407"/>
    </row>
    <row r="408" spans="1:20">
      <c r="A408" s="170" t="s">
        <v>2081</v>
      </c>
      <c r="B408" s="170" t="s">
        <v>2082</v>
      </c>
      <c r="C408" s="170"/>
      <c r="D408" s="170" t="s">
        <v>11</v>
      </c>
      <c r="E408" s="170" t="s">
        <v>12</v>
      </c>
      <c r="H408" s="207">
        <v>384615</v>
      </c>
      <c r="I408" s="182" t="s">
        <v>2083</v>
      </c>
      <c r="J408" s="182" t="s">
        <v>2084</v>
      </c>
      <c r="K408" s="182" t="s">
        <v>2085</v>
      </c>
      <c r="L408" s="182" t="s">
        <v>15</v>
      </c>
      <c r="M408"/>
      <c r="R408"/>
      <c r="T408"/>
    </row>
    <row r="409" spans="1:20">
      <c r="A409" s="170" t="s">
        <v>2086</v>
      </c>
      <c r="B409" s="170" t="s">
        <v>2087</v>
      </c>
      <c r="C409" s="178" t="s">
        <v>10</v>
      </c>
      <c r="D409" s="170" t="s">
        <v>11</v>
      </c>
      <c r="E409" s="170" t="s">
        <v>12</v>
      </c>
      <c r="H409" s="207">
        <v>496387</v>
      </c>
      <c r="I409" s="182" t="s">
        <v>2088</v>
      </c>
      <c r="J409" s="182" t="s">
        <v>2089</v>
      </c>
      <c r="K409" s="182" t="s">
        <v>2090</v>
      </c>
      <c r="L409" s="182" t="s">
        <v>15</v>
      </c>
      <c r="M409"/>
      <c r="R409"/>
      <c r="T409"/>
    </row>
    <row r="410" spans="1:20">
      <c r="A410" s="170" t="s">
        <v>2091</v>
      </c>
      <c r="B410" s="170" t="s">
        <v>2092</v>
      </c>
      <c r="C410" s="178" t="s">
        <v>10</v>
      </c>
      <c r="D410" s="170" t="s">
        <v>11</v>
      </c>
      <c r="E410" s="170" t="s">
        <v>12</v>
      </c>
      <c r="H410" s="207">
        <v>513938</v>
      </c>
      <c r="I410" s="182" t="s">
        <v>2093</v>
      </c>
      <c r="J410" s="182" t="s">
        <v>2094</v>
      </c>
      <c r="K410" s="182" t="s">
        <v>2095</v>
      </c>
      <c r="L410" s="182" t="s">
        <v>15</v>
      </c>
      <c r="M410"/>
      <c r="R410"/>
      <c r="T410"/>
    </row>
    <row r="411" spans="1:20">
      <c r="A411" s="170" t="s">
        <v>2096</v>
      </c>
      <c r="B411" s="170" t="s">
        <v>2097</v>
      </c>
      <c r="C411" s="178" t="s">
        <v>10</v>
      </c>
      <c r="D411" s="170" t="s">
        <v>11</v>
      </c>
      <c r="E411" s="170" t="s">
        <v>12</v>
      </c>
      <c r="H411" s="207">
        <v>513694</v>
      </c>
      <c r="I411" s="182" t="s">
        <v>2098</v>
      </c>
      <c r="J411" s="182" t="s">
        <v>2099</v>
      </c>
      <c r="K411" s="182" t="s">
        <v>2100</v>
      </c>
      <c r="L411" s="182" t="s">
        <v>15</v>
      </c>
      <c r="M411"/>
      <c r="R411"/>
      <c r="T411"/>
    </row>
    <row r="412" spans="1:20">
      <c r="A412" s="170" t="s">
        <v>2101</v>
      </c>
      <c r="B412" s="170" t="s">
        <v>2102</v>
      </c>
      <c r="C412" s="178" t="s">
        <v>10</v>
      </c>
      <c r="D412" s="170" t="s">
        <v>11</v>
      </c>
      <c r="E412" s="170" t="s">
        <v>12</v>
      </c>
      <c r="H412" s="207">
        <v>501174</v>
      </c>
      <c r="I412" s="182" t="s">
        <v>2103</v>
      </c>
      <c r="J412" s="182" t="s">
        <v>2104</v>
      </c>
      <c r="K412" s="182" t="s">
        <v>2105</v>
      </c>
      <c r="L412" s="182" t="s">
        <v>15</v>
      </c>
      <c r="M412"/>
      <c r="R412"/>
      <c r="T412"/>
    </row>
    <row r="413" spans="1:20">
      <c r="A413" s="170" t="s">
        <v>2106</v>
      </c>
      <c r="B413" s="170" t="s">
        <v>2107</v>
      </c>
      <c r="C413" s="178" t="s">
        <v>10</v>
      </c>
      <c r="D413" s="170" t="s">
        <v>11</v>
      </c>
      <c r="E413" s="170" t="s">
        <v>12</v>
      </c>
      <c r="H413" s="207">
        <v>477038</v>
      </c>
      <c r="I413" s="182" t="s">
        <v>2108</v>
      </c>
      <c r="J413" s="182" t="s">
        <v>2109</v>
      </c>
      <c r="K413" s="182" t="s">
        <v>2110</v>
      </c>
      <c r="L413" s="182" t="s">
        <v>15</v>
      </c>
      <c r="M413"/>
      <c r="R413"/>
      <c r="T413"/>
    </row>
    <row r="414" spans="1:20">
      <c r="A414" s="170" t="s">
        <v>2111</v>
      </c>
      <c r="B414" s="170" t="s">
        <v>2112</v>
      </c>
      <c r="C414" s="178" t="s">
        <v>10</v>
      </c>
      <c r="D414" s="170" t="s">
        <v>11</v>
      </c>
      <c r="E414" s="170" t="s">
        <v>12</v>
      </c>
      <c r="H414" s="207">
        <v>395126</v>
      </c>
      <c r="I414" s="182" t="s">
        <v>2113</v>
      </c>
      <c r="J414" s="182" t="s">
        <v>2114</v>
      </c>
      <c r="K414" s="182" t="s">
        <v>2115</v>
      </c>
      <c r="L414" s="182" t="s">
        <v>15</v>
      </c>
      <c r="M414"/>
      <c r="R414"/>
      <c r="T414"/>
    </row>
    <row r="415" spans="1:20">
      <c r="A415" s="170" t="s">
        <v>2116</v>
      </c>
      <c r="B415" s="170" t="s">
        <v>2117</v>
      </c>
      <c r="C415" s="178" t="s">
        <v>10</v>
      </c>
      <c r="D415" s="170" t="s">
        <v>11</v>
      </c>
      <c r="E415" s="170" t="s">
        <v>12</v>
      </c>
      <c r="H415" s="207">
        <v>785639</v>
      </c>
      <c r="I415" s="182" t="s">
        <v>2118</v>
      </c>
      <c r="J415" s="182" t="s">
        <v>2119</v>
      </c>
      <c r="K415" s="182" t="s">
        <v>2120</v>
      </c>
      <c r="L415" s="182" t="s">
        <v>15</v>
      </c>
      <c r="M415"/>
      <c r="R415"/>
      <c r="T415"/>
    </row>
    <row r="416" spans="1:20">
      <c r="A416" s="170" t="s">
        <v>2121</v>
      </c>
      <c r="B416" s="170" t="s">
        <v>2122</v>
      </c>
      <c r="C416" s="178" t="s">
        <v>10</v>
      </c>
      <c r="D416" s="170" t="s">
        <v>11</v>
      </c>
      <c r="E416" s="170" t="s">
        <v>12</v>
      </c>
      <c r="H416" s="207">
        <v>175778</v>
      </c>
      <c r="I416" s="182" t="s">
        <v>2123</v>
      </c>
      <c r="J416" s="182" t="s">
        <v>2124</v>
      </c>
      <c r="K416" s="182" t="s">
        <v>2125</v>
      </c>
      <c r="L416" s="182" t="s">
        <v>15</v>
      </c>
      <c r="M416"/>
      <c r="R416"/>
      <c r="T416"/>
    </row>
    <row r="417" spans="1:20">
      <c r="A417" s="170" t="s">
        <v>2126</v>
      </c>
      <c r="B417" s="170" t="s">
        <v>2127</v>
      </c>
      <c r="C417" s="178" t="s">
        <v>10</v>
      </c>
      <c r="D417" s="170" t="s">
        <v>11</v>
      </c>
      <c r="E417" s="170" t="s">
        <v>12</v>
      </c>
      <c r="H417" s="207">
        <v>492799</v>
      </c>
      <c r="I417" s="182" t="s">
        <v>10</v>
      </c>
      <c r="J417" s="182" t="s">
        <v>2128</v>
      </c>
      <c r="K417" s="182" t="s">
        <v>2129</v>
      </c>
      <c r="L417" s="182" t="s">
        <v>447</v>
      </c>
      <c r="M417"/>
      <c r="R417"/>
      <c r="T417"/>
    </row>
    <row r="418" spans="1:20">
      <c r="A418" s="170" t="s">
        <v>2130</v>
      </c>
      <c r="B418" s="170" t="s">
        <v>2131</v>
      </c>
      <c r="C418" s="178" t="s">
        <v>10</v>
      </c>
      <c r="D418" s="170" t="s">
        <v>11</v>
      </c>
      <c r="E418" s="170" t="s">
        <v>12</v>
      </c>
      <c r="H418" s="207">
        <v>399187</v>
      </c>
      <c r="I418" s="182" t="s">
        <v>2132</v>
      </c>
      <c r="J418" s="182" t="s">
        <v>2133</v>
      </c>
      <c r="K418" s="182" t="s">
        <v>2134</v>
      </c>
      <c r="L418" s="182" t="s">
        <v>15</v>
      </c>
      <c r="M418"/>
      <c r="R418"/>
      <c r="T418"/>
    </row>
    <row r="419" spans="1:20">
      <c r="A419" s="170" t="s">
        <v>2135</v>
      </c>
      <c r="B419" s="170" t="s">
        <v>2136</v>
      </c>
      <c r="C419" s="178" t="s">
        <v>10</v>
      </c>
      <c r="D419" s="170" t="s">
        <v>11</v>
      </c>
      <c r="E419" s="170" t="s">
        <v>12</v>
      </c>
      <c r="H419" s="207">
        <v>589457</v>
      </c>
      <c r="I419" s="182" t="s">
        <v>2137</v>
      </c>
      <c r="J419" s="182" t="s">
        <v>2138</v>
      </c>
      <c r="K419" s="182" t="s">
        <v>2139</v>
      </c>
      <c r="L419" s="182" t="s">
        <v>369</v>
      </c>
      <c r="M419"/>
      <c r="R419"/>
      <c r="T419"/>
    </row>
    <row r="420" spans="1:20">
      <c r="A420" s="170" t="s">
        <v>2140</v>
      </c>
      <c r="B420" s="170" t="s">
        <v>2141</v>
      </c>
      <c r="C420" s="178" t="s">
        <v>10</v>
      </c>
      <c r="D420" s="170" t="s">
        <v>11</v>
      </c>
      <c r="E420" s="170" t="s">
        <v>12</v>
      </c>
      <c r="H420" s="207">
        <v>473735</v>
      </c>
      <c r="I420" s="182" t="s">
        <v>2142</v>
      </c>
      <c r="J420" s="182" t="s">
        <v>2143</v>
      </c>
      <c r="K420" s="182" t="s">
        <v>2144</v>
      </c>
      <c r="L420" s="182" t="s">
        <v>15</v>
      </c>
      <c r="M420"/>
      <c r="R420"/>
      <c r="T420"/>
    </row>
    <row r="421" spans="1:13">
      <c r="A421" s="170" t="s">
        <v>2145</v>
      </c>
      <c r="B421" s="170" t="s">
        <v>2146</v>
      </c>
      <c r="C421" s="208" t="s">
        <v>2147</v>
      </c>
      <c r="D421" s="170" t="s">
        <v>11</v>
      </c>
      <c r="E421" s="170" t="s">
        <v>12</v>
      </c>
      <c r="H421" s="207">
        <v>491955</v>
      </c>
      <c r="I421" s="182" t="s">
        <v>2148</v>
      </c>
      <c r="J421" s="182" t="s">
        <v>2149</v>
      </c>
      <c r="K421" s="182" t="s">
        <v>2150</v>
      </c>
      <c r="L421" s="182" t="s">
        <v>15</v>
      </c>
      <c r="M421" s="289" t="s">
        <v>2146</v>
      </c>
    </row>
    <row r="422" spans="1:13">
      <c r="A422" s="170" t="s">
        <v>2151</v>
      </c>
      <c r="B422" s="170" t="s">
        <v>2152</v>
      </c>
      <c r="C422" s="208" t="s">
        <v>2153</v>
      </c>
      <c r="D422" s="170" t="s">
        <v>11</v>
      </c>
      <c r="E422" s="170" t="s">
        <v>12</v>
      </c>
      <c r="H422" s="207">
        <v>468209</v>
      </c>
      <c r="I422" s="182" t="s">
        <v>2154</v>
      </c>
      <c r="J422" s="182" t="s">
        <v>2155</v>
      </c>
      <c r="K422" s="182" t="s">
        <v>2156</v>
      </c>
      <c r="L422" s="182" t="s">
        <v>15</v>
      </c>
      <c r="M422" s="289" t="s">
        <v>2152</v>
      </c>
    </row>
    <row r="423" spans="1:20">
      <c r="A423" s="170" t="s">
        <v>2157</v>
      </c>
      <c r="B423" s="170" t="s">
        <v>2158</v>
      </c>
      <c r="C423" s="170"/>
      <c r="D423" s="170" t="s">
        <v>11</v>
      </c>
      <c r="E423" s="170" t="s">
        <v>12</v>
      </c>
      <c r="H423" s="207">
        <v>447402</v>
      </c>
      <c r="I423" s="182" t="s">
        <v>2159</v>
      </c>
      <c r="J423" s="182" t="s">
        <v>2160</v>
      </c>
      <c r="K423" s="182" t="s">
        <v>2161</v>
      </c>
      <c r="L423" s="182" t="s">
        <v>15</v>
      </c>
      <c r="M423"/>
      <c r="R423"/>
      <c r="T423"/>
    </row>
    <row r="424" spans="1:13">
      <c r="A424" s="170" t="s">
        <v>2162</v>
      </c>
      <c r="B424" s="170" t="s">
        <v>2163</v>
      </c>
      <c r="C424" s="208" t="s">
        <v>2164</v>
      </c>
      <c r="D424" s="170" t="s">
        <v>11</v>
      </c>
      <c r="E424" s="170" t="s">
        <v>12</v>
      </c>
      <c r="H424" s="207" t="s">
        <v>2165</v>
      </c>
      <c r="I424" s="182" t="s">
        <v>10</v>
      </c>
      <c r="J424" s="182" t="s">
        <v>2165</v>
      </c>
      <c r="K424" s="182" t="s">
        <v>2166</v>
      </c>
      <c r="L424" s="182" t="s">
        <v>19</v>
      </c>
      <c r="M424" s="289" t="s">
        <v>2163</v>
      </c>
    </row>
    <row r="425" spans="1:13">
      <c r="A425" s="170" t="s">
        <v>2167</v>
      </c>
      <c r="B425" s="170" t="s">
        <v>2168</v>
      </c>
      <c r="C425" s="208" t="s">
        <v>2169</v>
      </c>
      <c r="D425" s="170" t="s">
        <v>11</v>
      </c>
      <c r="E425" s="170" t="s">
        <v>12</v>
      </c>
      <c r="H425" s="207">
        <v>482466</v>
      </c>
      <c r="I425" s="182" t="s">
        <v>2170</v>
      </c>
      <c r="J425" s="182" t="s">
        <v>2171</v>
      </c>
      <c r="K425" s="182" t="s">
        <v>2172</v>
      </c>
      <c r="L425" s="182" t="s">
        <v>15</v>
      </c>
      <c r="M425" s="289" t="s">
        <v>2168</v>
      </c>
    </row>
    <row r="426" spans="1:20">
      <c r="A426" s="170" t="s">
        <v>2173</v>
      </c>
      <c r="B426" s="170" t="s">
        <v>2174</v>
      </c>
      <c r="C426" s="170"/>
      <c r="D426" s="170" t="s">
        <v>11</v>
      </c>
      <c r="E426" s="170" t="s">
        <v>12</v>
      </c>
      <c r="H426" s="207">
        <v>446996</v>
      </c>
      <c r="I426" s="182" t="s">
        <v>2175</v>
      </c>
      <c r="J426" s="182" t="s">
        <v>2176</v>
      </c>
      <c r="K426" s="182" t="s">
        <v>2177</v>
      </c>
      <c r="L426" s="182" t="s">
        <v>15</v>
      </c>
      <c r="M426"/>
      <c r="R426"/>
      <c r="T426"/>
    </row>
    <row r="427" spans="1:13">
      <c r="A427" s="170" t="s">
        <v>2178</v>
      </c>
      <c r="B427" s="170" t="s">
        <v>2179</v>
      </c>
      <c r="C427" s="208" t="s">
        <v>2180</v>
      </c>
      <c r="D427" s="170" t="s">
        <v>11</v>
      </c>
      <c r="E427" s="170" t="s">
        <v>12</v>
      </c>
      <c r="H427" s="207">
        <v>508997</v>
      </c>
      <c r="I427" s="182" t="s">
        <v>2181</v>
      </c>
      <c r="J427" s="182" t="s">
        <v>2182</v>
      </c>
      <c r="K427" s="182" t="s">
        <v>2183</v>
      </c>
      <c r="L427" s="182" t="s">
        <v>15</v>
      </c>
      <c r="M427" s="289" t="s">
        <v>2179</v>
      </c>
    </row>
    <row r="428" spans="1:13">
      <c r="A428" s="170" t="s">
        <v>2184</v>
      </c>
      <c r="B428" s="170" t="s">
        <v>2185</v>
      </c>
      <c r="C428" s="208" t="s">
        <v>2186</v>
      </c>
      <c r="D428" s="170" t="s">
        <v>11</v>
      </c>
      <c r="E428" s="170" t="s">
        <v>12</v>
      </c>
      <c r="H428" s="207">
        <v>519350</v>
      </c>
      <c r="I428" s="182" t="s">
        <v>2187</v>
      </c>
      <c r="J428" s="182" t="s">
        <v>2188</v>
      </c>
      <c r="K428" s="182" t="s">
        <v>2189</v>
      </c>
      <c r="L428" s="182" t="s">
        <v>15</v>
      </c>
      <c r="M428" s="289">
        <v>74464694</v>
      </c>
    </row>
    <row r="429" spans="1:20">
      <c r="A429" s="170" t="s">
        <v>2190</v>
      </c>
      <c r="B429" s="170" t="s">
        <v>2191</v>
      </c>
      <c r="C429" s="170"/>
      <c r="D429" s="170" t="s">
        <v>11</v>
      </c>
      <c r="E429" s="170" t="s">
        <v>12</v>
      </c>
      <c r="H429" s="207">
        <v>456318</v>
      </c>
      <c r="I429" s="182" t="s">
        <v>2192</v>
      </c>
      <c r="J429" s="182" t="s">
        <v>2193</v>
      </c>
      <c r="K429" s="182" t="s">
        <v>2194</v>
      </c>
      <c r="L429" s="182" t="s">
        <v>15</v>
      </c>
      <c r="M429"/>
      <c r="R429"/>
      <c r="T429"/>
    </row>
    <row r="430" spans="1:13">
      <c r="A430" s="170" t="s">
        <v>2195</v>
      </c>
      <c r="B430" s="170" t="s">
        <v>2196</v>
      </c>
      <c r="C430" s="208" t="s">
        <v>2197</v>
      </c>
      <c r="D430" s="170" t="s">
        <v>11</v>
      </c>
      <c r="E430" s="170" t="s">
        <v>12</v>
      </c>
      <c r="H430" s="207">
        <v>223880</v>
      </c>
      <c r="I430" s="182" t="s">
        <v>2198</v>
      </c>
      <c r="J430" s="182" t="s">
        <v>2199</v>
      </c>
      <c r="K430" s="182"/>
      <c r="L430" s="182" t="s">
        <v>15</v>
      </c>
      <c r="M430" s="289" t="s">
        <v>2196</v>
      </c>
    </row>
    <row r="431" spans="1:13">
      <c r="A431" s="170" t="s">
        <v>2200</v>
      </c>
      <c r="B431" s="170" t="s">
        <v>2201</v>
      </c>
      <c r="C431" s="208" t="s">
        <v>2202</v>
      </c>
      <c r="D431" s="170" t="s">
        <v>11</v>
      </c>
      <c r="E431" s="170" t="s">
        <v>12</v>
      </c>
      <c r="H431" s="207">
        <v>162351</v>
      </c>
      <c r="I431" s="182" t="s">
        <v>2203</v>
      </c>
      <c r="J431" s="182" t="s">
        <v>2204</v>
      </c>
      <c r="K431" s="182" t="s">
        <v>2205</v>
      </c>
      <c r="L431" s="182" t="s">
        <v>15</v>
      </c>
      <c r="M431" s="289" t="s">
        <v>2201</v>
      </c>
    </row>
    <row r="432" spans="1:20">
      <c r="A432" s="170" t="s">
        <v>2206</v>
      </c>
      <c r="B432" s="170" t="s">
        <v>2207</v>
      </c>
      <c r="C432" s="170"/>
      <c r="D432" s="170" t="s">
        <v>11</v>
      </c>
      <c r="E432" s="170" t="s">
        <v>12</v>
      </c>
      <c r="H432" s="207">
        <v>477005</v>
      </c>
      <c r="I432" s="182" t="s">
        <v>2208</v>
      </c>
      <c r="J432" s="182" t="s">
        <v>2209</v>
      </c>
      <c r="K432" s="182" t="s">
        <v>2210</v>
      </c>
      <c r="L432" s="182" t="s">
        <v>15</v>
      </c>
      <c r="M432"/>
      <c r="R432"/>
      <c r="T432"/>
    </row>
    <row r="433" spans="1:13">
      <c r="A433" s="170" t="s">
        <v>2211</v>
      </c>
      <c r="B433" s="170" t="s">
        <v>2212</v>
      </c>
      <c r="C433" s="208" t="s">
        <v>2213</v>
      </c>
      <c r="D433" s="170" t="s">
        <v>11</v>
      </c>
      <c r="E433" s="170" t="s">
        <v>12</v>
      </c>
      <c r="H433" s="207" t="s">
        <v>2214</v>
      </c>
      <c r="I433" s="182" t="s">
        <v>10</v>
      </c>
      <c r="J433" s="182" t="s">
        <v>2214</v>
      </c>
      <c r="K433" s="182" t="s">
        <v>2215</v>
      </c>
      <c r="L433" s="182" t="s">
        <v>53</v>
      </c>
      <c r="M433" s="289" t="s">
        <v>2212</v>
      </c>
    </row>
    <row r="434" spans="1:13">
      <c r="A434" s="170" t="s">
        <v>2216</v>
      </c>
      <c r="B434" s="170" t="s">
        <v>2217</v>
      </c>
      <c r="C434" s="208" t="s">
        <v>2218</v>
      </c>
      <c r="D434" s="170" t="s">
        <v>11</v>
      </c>
      <c r="E434" s="170" t="s">
        <v>12</v>
      </c>
      <c r="H434" s="207">
        <v>513446</v>
      </c>
      <c r="I434" s="182" t="s">
        <v>2219</v>
      </c>
      <c r="J434" s="182" t="s">
        <v>2220</v>
      </c>
      <c r="K434" s="182" t="s">
        <v>2221</v>
      </c>
      <c r="L434" s="182" t="s">
        <v>15</v>
      </c>
      <c r="M434" s="289" t="s">
        <v>2217</v>
      </c>
    </row>
    <row r="435" spans="1:20">
      <c r="A435" s="170" t="s">
        <v>2222</v>
      </c>
      <c r="B435" s="170" t="s">
        <v>2223</v>
      </c>
      <c r="C435" s="170"/>
      <c r="D435" s="170" t="s">
        <v>11</v>
      </c>
      <c r="E435" s="170" t="s">
        <v>12</v>
      </c>
      <c r="H435" s="207">
        <v>441628</v>
      </c>
      <c r="I435" s="182" t="s">
        <v>2224</v>
      </c>
      <c r="J435" s="182" t="s">
        <v>2225</v>
      </c>
      <c r="K435" s="182" t="s">
        <v>2226</v>
      </c>
      <c r="L435" s="182" t="s">
        <v>15</v>
      </c>
      <c r="M435"/>
      <c r="R435"/>
      <c r="T435"/>
    </row>
    <row r="436" spans="1:13">
      <c r="A436" s="170" t="s">
        <v>2227</v>
      </c>
      <c r="B436" s="170" t="s">
        <v>2228</v>
      </c>
      <c r="C436" s="208" t="s">
        <v>2229</v>
      </c>
      <c r="D436" s="170" t="s">
        <v>11</v>
      </c>
      <c r="E436" s="170" t="s">
        <v>12</v>
      </c>
      <c r="H436" s="207">
        <v>455509</v>
      </c>
      <c r="I436" s="182" t="s">
        <v>2230</v>
      </c>
      <c r="J436" s="182" t="s">
        <v>2231</v>
      </c>
      <c r="K436" s="182" t="s">
        <v>2232</v>
      </c>
      <c r="L436" s="182" t="s">
        <v>15</v>
      </c>
      <c r="M436" s="289" t="s">
        <v>2228</v>
      </c>
    </row>
    <row r="437" spans="1:13">
      <c r="A437" s="170" t="s">
        <v>2233</v>
      </c>
      <c r="B437" s="170" t="s">
        <v>2234</v>
      </c>
      <c r="C437" s="208" t="s">
        <v>2235</v>
      </c>
      <c r="D437" s="170" t="s">
        <v>11</v>
      </c>
      <c r="E437" s="170" t="s">
        <v>12</v>
      </c>
      <c r="H437" s="207">
        <v>512980</v>
      </c>
      <c r="I437" s="182" t="s">
        <v>2236</v>
      </c>
      <c r="J437" s="182" t="s">
        <v>2237</v>
      </c>
      <c r="K437" s="182" t="s">
        <v>2238</v>
      </c>
      <c r="L437" s="182" t="s">
        <v>15</v>
      </c>
      <c r="M437" s="289" t="s">
        <v>2234</v>
      </c>
    </row>
    <row r="438" spans="1:20">
      <c r="A438" s="170" t="s">
        <v>2239</v>
      </c>
      <c r="B438" s="170" t="s">
        <v>2240</v>
      </c>
      <c r="C438" s="170"/>
      <c r="D438" s="170" t="s">
        <v>11</v>
      </c>
      <c r="E438" s="170" t="s">
        <v>12</v>
      </c>
      <c r="H438" s="207">
        <v>497745</v>
      </c>
      <c r="I438" s="182" t="s">
        <v>2241</v>
      </c>
      <c r="J438" s="182" t="s">
        <v>2242</v>
      </c>
      <c r="K438" s="182"/>
      <c r="L438" s="182" t="s">
        <v>15</v>
      </c>
      <c r="M438"/>
      <c r="R438"/>
      <c r="T438"/>
    </row>
    <row r="439" spans="1:13">
      <c r="A439" s="170" t="s">
        <v>2243</v>
      </c>
      <c r="B439" s="170" t="s">
        <v>2244</v>
      </c>
      <c r="C439" s="208" t="s">
        <v>2245</v>
      </c>
      <c r="D439" s="170" t="s">
        <v>11</v>
      </c>
      <c r="E439" s="170" t="s">
        <v>12</v>
      </c>
      <c r="H439" s="207">
        <v>497673</v>
      </c>
      <c r="I439" s="182" t="s">
        <v>2246</v>
      </c>
      <c r="J439" s="182" t="s">
        <v>2247</v>
      </c>
      <c r="K439" s="182" t="s">
        <v>2248</v>
      </c>
      <c r="L439" s="182" t="s">
        <v>15</v>
      </c>
      <c r="M439" s="289" t="s">
        <v>2244</v>
      </c>
    </row>
    <row r="440" spans="1:13">
      <c r="A440" s="170" t="s">
        <v>2249</v>
      </c>
      <c r="B440" s="170" t="s">
        <v>2250</v>
      </c>
      <c r="C440" s="208" t="s">
        <v>2251</v>
      </c>
      <c r="D440" s="170" t="s">
        <v>11</v>
      </c>
      <c r="E440" s="170" t="s">
        <v>12</v>
      </c>
      <c r="H440" s="207" t="s">
        <v>10</v>
      </c>
      <c r="I440" s="182" t="s">
        <v>10</v>
      </c>
      <c r="J440" s="182" t="s">
        <v>2252</v>
      </c>
      <c r="K440" s="182" t="s">
        <v>2253</v>
      </c>
      <c r="L440" s="182" t="s">
        <v>53</v>
      </c>
      <c r="M440" s="289" t="s">
        <v>2250</v>
      </c>
    </row>
    <row r="441" spans="1:20">
      <c r="A441" s="170" t="s">
        <v>2254</v>
      </c>
      <c r="B441" s="170" t="s">
        <v>2255</v>
      </c>
      <c r="C441" s="170"/>
      <c r="D441" s="170" t="s">
        <v>11</v>
      </c>
      <c r="E441" s="170" t="s">
        <v>12</v>
      </c>
      <c r="H441" s="207">
        <v>475050</v>
      </c>
      <c r="I441" s="182" t="s">
        <v>2256</v>
      </c>
      <c r="J441" s="182" t="s">
        <v>2257</v>
      </c>
      <c r="K441" s="182" t="s">
        <v>2258</v>
      </c>
      <c r="L441" s="182" t="s">
        <v>15</v>
      </c>
      <c r="M441"/>
      <c r="R441"/>
      <c r="T441"/>
    </row>
    <row r="442" spans="1:13">
      <c r="A442" s="170" t="s">
        <v>2259</v>
      </c>
      <c r="B442" s="299" t="s">
        <v>2260</v>
      </c>
      <c r="C442" s="208" t="s">
        <v>2261</v>
      </c>
      <c r="D442" s="170" t="s">
        <v>11</v>
      </c>
      <c r="E442" s="170" t="s">
        <v>12</v>
      </c>
      <c r="H442" s="207">
        <v>518229</v>
      </c>
      <c r="I442" s="182" t="s">
        <v>2262</v>
      </c>
      <c r="J442" s="182" t="s">
        <v>2263</v>
      </c>
      <c r="K442" s="182"/>
      <c r="L442" s="182" t="s">
        <v>15</v>
      </c>
      <c r="M442" s="303" t="s">
        <v>2264</v>
      </c>
    </row>
    <row r="443" spans="1:13">
      <c r="A443" s="170" t="s">
        <v>2265</v>
      </c>
      <c r="B443" s="170" t="s">
        <v>2266</v>
      </c>
      <c r="C443" s="208" t="s">
        <v>2267</v>
      </c>
      <c r="D443" s="170" t="s">
        <v>11</v>
      </c>
      <c r="E443" s="170" t="s">
        <v>12</v>
      </c>
      <c r="H443" s="207" t="s">
        <v>2268</v>
      </c>
      <c r="I443" s="182" t="s">
        <v>10</v>
      </c>
      <c r="J443" s="182" t="s">
        <v>2268</v>
      </c>
      <c r="K443" s="182" t="s">
        <v>2269</v>
      </c>
      <c r="L443" s="182" t="s">
        <v>53</v>
      </c>
      <c r="M443" s="289" t="s">
        <v>2266</v>
      </c>
    </row>
    <row r="444" spans="1:20">
      <c r="A444" s="170" t="s">
        <v>2270</v>
      </c>
      <c r="B444" s="170" t="s">
        <v>2264</v>
      </c>
      <c r="C444" s="170"/>
      <c r="D444" s="170" t="s">
        <v>11</v>
      </c>
      <c r="E444" s="170" t="s">
        <v>12</v>
      </c>
      <c r="H444" s="207">
        <v>496858</v>
      </c>
      <c r="I444" s="182" t="s">
        <v>2271</v>
      </c>
      <c r="J444" s="182" t="s">
        <v>2272</v>
      </c>
      <c r="K444" s="182" t="s">
        <v>2273</v>
      </c>
      <c r="L444" s="182" t="s">
        <v>15</v>
      </c>
      <c r="M444"/>
      <c r="R444"/>
      <c r="T444"/>
    </row>
    <row r="445" spans="1:13">
      <c r="A445" s="170" t="s">
        <v>2274</v>
      </c>
      <c r="B445" s="170" t="s">
        <v>2275</v>
      </c>
      <c r="C445" s="225" t="s">
        <v>2276</v>
      </c>
      <c r="D445" s="170" t="s">
        <v>11</v>
      </c>
      <c r="E445" s="170" t="s">
        <v>12</v>
      </c>
      <c r="H445" s="207">
        <v>468237</v>
      </c>
      <c r="I445" s="182" t="s">
        <v>2277</v>
      </c>
      <c r="J445" s="182" t="s">
        <v>2278</v>
      </c>
      <c r="K445" s="182" t="s">
        <v>2279</v>
      </c>
      <c r="L445" s="182" t="s">
        <v>15</v>
      </c>
      <c r="M445" s="289" t="s">
        <v>2275</v>
      </c>
    </row>
    <row r="446" spans="1:13">
      <c r="A446" s="170" t="s">
        <v>2280</v>
      </c>
      <c r="B446" s="170" t="s">
        <v>2281</v>
      </c>
      <c r="C446" s="225" t="s">
        <v>2282</v>
      </c>
      <c r="D446" s="170" t="s">
        <v>11</v>
      </c>
      <c r="E446" s="170" t="s">
        <v>12</v>
      </c>
      <c r="H446" s="207">
        <v>429530</v>
      </c>
      <c r="I446" s="182" t="s">
        <v>2283</v>
      </c>
      <c r="J446" s="182" t="s">
        <v>2284</v>
      </c>
      <c r="K446" s="182" t="s">
        <v>2285</v>
      </c>
      <c r="L446" s="182" t="s">
        <v>15</v>
      </c>
      <c r="M446" s="289" t="s">
        <v>2281</v>
      </c>
    </row>
    <row r="447" spans="1:20">
      <c r="A447" s="170" t="s">
        <v>2286</v>
      </c>
      <c r="B447" s="170" t="s">
        <v>2287</v>
      </c>
      <c r="C447" s="170"/>
      <c r="D447" s="170" t="s">
        <v>11</v>
      </c>
      <c r="E447" s="170" t="s">
        <v>12</v>
      </c>
      <c r="H447" s="207">
        <v>485211</v>
      </c>
      <c r="I447" s="182" t="s">
        <v>2288</v>
      </c>
      <c r="J447" s="182" t="s">
        <v>2289</v>
      </c>
      <c r="K447" s="182" t="s">
        <v>2290</v>
      </c>
      <c r="L447" s="182" t="s">
        <v>15</v>
      </c>
      <c r="M447"/>
      <c r="R447"/>
      <c r="T447"/>
    </row>
    <row r="448" spans="1:13">
      <c r="A448" s="170" t="s">
        <v>2291</v>
      </c>
      <c r="B448" s="170" t="s">
        <v>2292</v>
      </c>
      <c r="C448" s="225" t="s">
        <v>2293</v>
      </c>
      <c r="D448" s="170" t="s">
        <v>11</v>
      </c>
      <c r="E448" s="170" t="s">
        <v>12</v>
      </c>
      <c r="H448" s="207">
        <v>496586</v>
      </c>
      <c r="I448" s="182" t="s">
        <v>2294</v>
      </c>
      <c r="J448" s="182" t="s">
        <v>2295</v>
      </c>
      <c r="K448" s="182" t="s">
        <v>2296</v>
      </c>
      <c r="L448" s="182" t="s">
        <v>15</v>
      </c>
      <c r="M448" s="289" t="s">
        <v>2292</v>
      </c>
    </row>
    <row r="449" spans="1:13">
      <c r="A449" s="170" t="s">
        <v>2297</v>
      </c>
      <c r="B449" s="170" t="s">
        <v>2298</v>
      </c>
      <c r="C449" s="225" t="s">
        <v>2299</v>
      </c>
      <c r="D449" s="170" t="s">
        <v>11</v>
      </c>
      <c r="E449" s="170" t="s">
        <v>12</v>
      </c>
      <c r="H449" s="207">
        <v>462952</v>
      </c>
      <c r="I449" s="182" t="s">
        <v>2300</v>
      </c>
      <c r="J449" s="182" t="s">
        <v>2301</v>
      </c>
      <c r="K449" s="182" t="s">
        <v>2302</v>
      </c>
      <c r="L449" s="182" t="s">
        <v>15</v>
      </c>
      <c r="M449" s="289" t="s">
        <v>2298</v>
      </c>
    </row>
    <row r="450" spans="1:20">
      <c r="A450" s="170" t="s">
        <v>2303</v>
      </c>
      <c r="B450" s="170" t="s">
        <v>2304</v>
      </c>
      <c r="C450" s="170"/>
      <c r="D450" s="170" t="s">
        <v>11</v>
      </c>
      <c r="E450" s="170" t="s">
        <v>12</v>
      </c>
      <c r="H450" s="207">
        <v>404301</v>
      </c>
      <c r="I450" s="182" t="s">
        <v>2305</v>
      </c>
      <c r="J450" s="182" t="s">
        <v>2306</v>
      </c>
      <c r="K450" s="182" t="s">
        <v>2307</v>
      </c>
      <c r="L450" s="182" t="s">
        <v>15</v>
      </c>
      <c r="M450"/>
      <c r="R450"/>
      <c r="T450"/>
    </row>
    <row r="451" spans="1:13">
      <c r="A451" s="170" t="s">
        <v>2308</v>
      </c>
      <c r="B451" s="170" t="s">
        <v>2309</v>
      </c>
      <c r="C451" s="226" t="s">
        <v>2310</v>
      </c>
      <c r="D451" s="170" t="s">
        <v>11</v>
      </c>
      <c r="E451" s="170" t="s">
        <v>12</v>
      </c>
      <c r="H451" s="207">
        <v>481859</v>
      </c>
      <c r="I451" s="182" t="s">
        <v>2311</v>
      </c>
      <c r="J451" s="182" t="s">
        <v>2312</v>
      </c>
      <c r="K451" s="182" t="s">
        <v>2313</v>
      </c>
      <c r="L451" s="182" t="s">
        <v>15</v>
      </c>
      <c r="M451" s="289" t="s">
        <v>2309</v>
      </c>
    </row>
    <row r="452" spans="1:13">
      <c r="A452" s="170" t="s">
        <v>2314</v>
      </c>
      <c r="B452" s="170" t="s">
        <v>2315</v>
      </c>
      <c r="C452" s="226" t="s">
        <v>2316</v>
      </c>
      <c r="D452" s="170" t="s">
        <v>11</v>
      </c>
      <c r="E452" s="170" t="s">
        <v>12</v>
      </c>
      <c r="H452" s="207" t="s">
        <v>2317</v>
      </c>
      <c r="I452" s="182" t="s">
        <v>10</v>
      </c>
      <c r="J452" s="182" t="s">
        <v>2317</v>
      </c>
      <c r="K452" s="182" t="s">
        <v>2318</v>
      </c>
      <c r="L452" s="182" t="s">
        <v>53</v>
      </c>
      <c r="M452" s="289" t="s">
        <v>2315</v>
      </c>
    </row>
    <row r="453" spans="1:20">
      <c r="A453" s="170" t="s">
        <v>2319</v>
      </c>
      <c r="B453" s="170" t="s">
        <v>2320</v>
      </c>
      <c r="C453" s="170"/>
      <c r="D453" s="170" t="s">
        <v>11</v>
      </c>
      <c r="E453" s="170" t="s">
        <v>12</v>
      </c>
      <c r="H453" s="207" t="s">
        <v>2321</v>
      </c>
      <c r="I453" s="182" t="s">
        <v>10</v>
      </c>
      <c r="J453" s="182" t="s">
        <v>2321</v>
      </c>
      <c r="K453" s="182" t="s">
        <v>2322</v>
      </c>
      <c r="L453" s="182" t="s">
        <v>19</v>
      </c>
      <c r="M453"/>
      <c r="R453"/>
      <c r="T453"/>
    </row>
    <row r="454" spans="1:13">
      <c r="A454" s="170" t="s">
        <v>2323</v>
      </c>
      <c r="B454" s="170" t="s">
        <v>2324</v>
      </c>
      <c r="C454" s="226" t="s">
        <v>2325</v>
      </c>
      <c r="D454" s="170" t="s">
        <v>11</v>
      </c>
      <c r="E454" s="170" t="s">
        <v>12</v>
      </c>
      <c r="H454" s="207">
        <v>415376</v>
      </c>
      <c r="I454" s="182" t="s">
        <v>2326</v>
      </c>
      <c r="J454" s="182" t="s">
        <v>2327</v>
      </c>
      <c r="K454" s="182" t="s">
        <v>2328</v>
      </c>
      <c r="L454" s="182" t="s">
        <v>15</v>
      </c>
      <c r="M454" s="289" t="s">
        <v>2324</v>
      </c>
    </row>
    <row r="455" spans="1:13">
      <c r="A455" s="170" t="s">
        <v>2329</v>
      </c>
      <c r="B455" s="170" t="s">
        <v>2330</v>
      </c>
      <c r="C455" s="225" t="s">
        <v>2331</v>
      </c>
      <c r="D455" s="170" t="s">
        <v>11</v>
      </c>
      <c r="E455" s="170" t="s">
        <v>12</v>
      </c>
      <c r="H455" s="207" t="s">
        <v>2332</v>
      </c>
      <c r="I455" s="182" t="s">
        <v>10</v>
      </c>
      <c r="J455" s="182" t="s">
        <v>2332</v>
      </c>
      <c r="K455" s="182" t="s">
        <v>2333</v>
      </c>
      <c r="L455" s="182" t="s">
        <v>53</v>
      </c>
      <c r="M455" s="289" t="s">
        <v>2330</v>
      </c>
    </row>
    <row r="456" spans="1:20">
      <c r="A456" s="170" t="s">
        <v>2334</v>
      </c>
      <c r="B456" s="170" t="s">
        <v>2335</v>
      </c>
      <c r="C456" s="170"/>
      <c r="D456" s="170" t="s">
        <v>11</v>
      </c>
      <c r="E456" s="170" t="s">
        <v>12</v>
      </c>
      <c r="H456" s="207">
        <v>465679</v>
      </c>
      <c r="I456" s="182" t="s">
        <v>2336</v>
      </c>
      <c r="J456" s="182" t="s">
        <v>2337</v>
      </c>
      <c r="K456" s="182" t="s">
        <v>2338</v>
      </c>
      <c r="L456" s="182" t="s">
        <v>15</v>
      </c>
      <c r="M456"/>
      <c r="R456"/>
      <c r="T456"/>
    </row>
    <row r="457" spans="1:13">
      <c r="A457" s="170" t="s">
        <v>2339</v>
      </c>
      <c r="B457" s="170" t="s">
        <v>2340</v>
      </c>
      <c r="C457" s="225" t="s">
        <v>2341</v>
      </c>
      <c r="D457" s="170" t="s">
        <v>11</v>
      </c>
      <c r="E457" s="170" t="s">
        <v>12</v>
      </c>
      <c r="H457" s="207">
        <v>217686</v>
      </c>
      <c r="I457" s="182" t="s">
        <v>2342</v>
      </c>
      <c r="J457" s="182" t="s">
        <v>2343</v>
      </c>
      <c r="K457" s="182" t="s">
        <v>2344</v>
      </c>
      <c r="L457" s="182" t="s">
        <v>15</v>
      </c>
      <c r="M457" s="289" t="s">
        <v>2340</v>
      </c>
    </row>
    <row r="458" spans="1:13">
      <c r="A458" s="170" t="s">
        <v>2345</v>
      </c>
      <c r="B458" s="170" t="s">
        <v>2346</v>
      </c>
      <c r="C458" s="225" t="s">
        <v>2347</v>
      </c>
      <c r="D458" s="170" t="s">
        <v>11</v>
      </c>
      <c r="E458" s="170" t="s">
        <v>12</v>
      </c>
      <c r="H458" s="207">
        <v>500885</v>
      </c>
      <c r="I458" s="182" t="s">
        <v>2348</v>
      </c>
      <c r="J458" s="182" t="s">
        <v>2349</v>
      </c>
      <c r="K458" s="182" t="s">
        <v>2350</v>
      </c>
      <c r="L458" s="182" t="s">
        <v>15</v>
      </c>
      <c r="M458" s="289" t="s">
        <v>2346</v>
      </c>
    </row>
    <row r="459" spans="1:20">
      <c r="A459" s="170" t="s">
        <v>2351</v>
      </c>
      <c r="B459" s="170" t="s">
        <v>2352</v>
      </c>
      <c r="C459" s="170"/>
      <c r="D459" s="170" t="s">
        <v>11</v>
      </c>
      <c r="E459" s="170" t="s">
        <v>12</v>
      </c>
      <c r="H459" s="207">
        <v>447084</v>
      </c>
      <c r="I459" s="182" t="s">
        <v>2353</v>
      </c>
      <c r="J459" s="182" t="s">
        <v>2354</v>
      </c>
      <c r="K459" s="182" t="s">
        <v>2355</v>
      </c>
      <c r="L459" s="182" t="s">
        <v>15</v>
      </c>
      <c r="M459"/>
      <c r="R459"/>
      <c r="T459"/>
    </row>
    <row r="460" spans="1:13">
      <c r="A460" s="170" t="s">
        <v>2356</v>
      </c>
      <c r="B460" s="170" t="s">
        <v>2357</v>
      </c>
      <c r="C460" s="225" t="s">
        <v>2358</v>
      </c>
      <c r="D460" s="170" t="s">
        <v>11</v>
      </c>
      <c r="E460" s="170" t="s">
        <v>12</v>
      </c>
      <c r="H460" s="207" t="s">
        <v>2359</v>
      </c>
      <c r="I460" s="182" t="s">
        <v>10</v>
      </c>
      <c r="J460" s="182" t="s">
        <v>2359</v>
      </c>
      <c r="K460" s="182" t="s">
        <v>2360</v>
      </c>
      <c r="L460" s="182" t="s">
        <v>53</v>
      </c>
      <c r="M460" s="289" t="s">
        <v>2357</v>
      </c>
    </row>
    <row r="461" spans="1:13">
      <c r="A461" s="170" t="s">
        <v>2361</v>
      </c>
      <c r="B461" s="170" t="s">
        <v>2362</v>
      </c>
      <c r="C461" s="225" t="s">
        <v>2363</v>
      </c>
      <c r="D461" s="170" t="s">
        <v>11</v>
      </c>
      <c r="E461" s="170" t="s">
        <v>12</v>
      </c>
      <c r="H461" s="207" t="s">
        <v>2364</v>
      </c>
      <c r="I461" s="182" t="s">
        <v>10</v>
      </c>
      <c r="J461" s="182" t="s">
        <v>2364</v>
      </c>
      <c r="K461" s="182" t="s">
        <v>2365</v>
      </c>
      <c r="L461" s="182" t="s">
        <v>53</v>
      </c>
      <c r="M461" s="289" t="s">
        <v>2362</v>
      </c>
    </row>
    <row r="462" spans="1:20">
      <c r="A462" s="170" t="s">
        <v>2366</v>
      </c>
      <c r="B462" s="170" t="s">
        <v>2367</v>
      </c>
      <c r="C462" s="170"/>
      <c r="D462" s="170" t="s">
        <v>11</v>
      </c>
      <c r="E462" s="170" t="s">
        <v>12</v>
      </c>
      <c r="H462" s="207">
        <v>360359</v>
      </c>
      <c r="I462" s="182" t="s">
        <v>2368</v>
      </c>
      <c r="J462" s="182" t="s">
        <v>2369</v>
      </c>
      <c r="K462" s="182" t="s">
        <v>2370</v>
      </c>
      <c r="L462" s="182" t="s">
        <v>15</v>
      </c>
      <c r="M462"/>
      <c r="R462"/>
      <c r="T462"/>
    </row>
    <row r="463" spans="1:13">
      <c r="A463" s="170" t="s">
        <v>2371</v>
      </c>
      <c r="B463" s="304" t="s">
        <v>2372</v>
      </c>
      <c r="C463" s="208" t="s">
        <v>2373</v>
      </c>
      <c r="D463" s="170" t="s">
        <v>11</v>
      </c>
      <c r="E463" s="170" t="s">
        <v>12</v>
      </c>
      <c r="H463" s="207">
        <v>496307</v>
      </c>
      <c r="I463" s="182" t="s">
        <v>2374</v>
      </c>
      <c r="J463" s="182" t="s">
        <v>2375</v>
      </c>
      <c r="K463" s="182"/>
      <c r="L463" s="182" t="s">
        <v>15</v>
      </c>
      <c r="M463" s="289" t="s">
        <v>2372</v>
      </c>
    </row>
    <row r="464" spans="1:13">
      <c r="A464" s="170" t="s">
        <v>2376</v>
      </c>
      <c r="B464" s="170" t="s">
        <v>2377</v>
      </c>
      <c r="C464" s="208" t="s">
        <v>2378</v>
      </c>
      <c r="D464" s="170" t="s">
        <v>11</v>
      </c>
      <c r="E464" s="170" t="s">
        <v>12</v>
      </c>
      <c r="H464" s="207">
        <v>975913</v>
      </c>
      <c r="I464" s="182" t="s">
        <v>2379</v>
      </c>
      <c r="J464" s="182" t="s">
        <v>2380</v>
      </c>
      <c r="K464" s="182" t="s">
        <v>2381</v>
      </c>
      <c r="L464" s="182" t="s">
        <v>15</v>
      </c>
      <c r="M464" s="300" t="s">
        <v>2377</v>
      </c>
    </row>
    <row r="465" spans="1:20">
      <c r="A465" s="170" t="s">
        <v>2382</v>
      </c>
      <c r="B465" s="170" t="s">
        <v>2372</v>
      </c>
      <c r="C465" s="170"/>
      <c r="D465" s="170" t="s">
        <v>11</v>
      </c>
      <c r="E465" s="170" t="s">
        <v>12</v>
      </c>
      <c r="H465" s="207">
        <v>514204</v>
      </c>
      <c r="I465" s="182" t="s">
        <v>2383</v>
      </c>
      <c r="J465" s="182" t="s">
        <v>2384</v>
      </c>
      <c r="K465" s="182" t="s">
        <v>2385</v>
      </c>
      <c r="L465" s="182" t="s">
        <v>15</v>
      </c>
      <c r="M465"/>
      <c r="R465"/>
      <c r="T465"/>
    </row>
    <row r="466" spans="1:13">
      <c r="A466" s="170" t="s">
        <v>2386</v>
      </c>
      <c r="B466" s="170" t="s">
        <v>2387</v>
      </c>
      <c r="C466" s="208" t="s">
        <v>2388</v>
      </c>
      <c r="D466" s="170" t="s">
        <v>11</v>
      </c>
      <c r="E466" s="170" t="s">
        <v>12</v>
      </c>
      <c r="H466" s="207">
        <v>476158</v>
      </c>
      <c r="I466" s="182" t="s">
        <v>2389</v>
      </c>
      <c r="J466" s="182" t="s">
        <v>2390</v>
      </c>
      <c r="K466" s="182" t="s">
        <v>2391</v>
      </c>
      <c r="L466" s="182" t="s">
        <v>15</v>
      </c>
      <c r="M466" s="289" t="s">
        <v>2387</v>
      </c>
    </row>
    <row r="467" spans="1:13">
      <c r="A467" s="170" t="s">
        <v>2392</v>
      </c>
      <c r="B467" s="170" t="s">
        <v>2393</v>
      </c>
      <c r="C467" s="208" t="s">
        <v>2394</v>
      </c>
      <c r="D467" s="170" t="s">
        <v>11</v>
      </c>
      <c r="E467" s="170" t="s">
        <v>12</v>
      </c>
      <c r="H467" s="207">
        <v>486781</v>
      </c>
      <c r="I467" s="182" t="s">
        <v>2395</v>
      </c>
      <c r="J467" s="182" t="s">
        <v>2396</v>
      </c>
      <c r="K467" s="182" t="s">
        <v>2397</v>
      </c>
      <c r="L467" s="182" t="s">
        <v>15</v>
      </c>
      <c r="M467" s="289" t="s">
        <v>2393</v>
      </c>
    </row>
    <row r="468" spans="1:20">
      <c r="A468" s="170" t="s">
        <v>2398</v>
      </c>
      <c r="B468" s="170" t="s">
        <v>2399</v>
      </c>
      <c r="C468" s="170"/>
      <c r="D468" s="170" t="s">
        <v>11</v>
      </c>
      <c r="E468" s="170" t="s">
        <v>12</v>
      </c>
      <c r="H468" s="207">
        <v>261299</v>
      </c>
      <c r="I468" s="182" t="s">
        <v>2400</v>
      </c>
      <c r="J468" s="182" t="s">
        <v>2401</v>
      </c>
      <c r="K468" s="182" t="s">
        <v>2402</v>
      </c>
      <c r="L468" s="182" t="s">
        <v>15</v>
      </c>
      <c r="M468"/>
      <c r="R468"/>
      <c r="T468"/>
    </row>
    <row r="469" spans="1:13">
      <c r="A469" s="170" t="s">
        <v>2403</v>
      </c>
      <c r="B469" s="170" t="s">
        <v>2404</v>
      </c>
      <c r="C469" s="208" t="s">
        <v>2405</v>
      </c>
      <c r="D469" s="170" t="s">
        <v>11</v>
      </c>
      <c r="E469" s="170" t="s">
        <v>12</v>
      </c>
      <c r="H469" s="207">
        <v>505729</v>
      </c>
      <c r="I469" s="182" t="s">
        <v>2406</v>
      </c>
      <c r="J469" s="182" t="s">
        <v>2407</v>
      </c>
      <c r="K469" s="182"/>
      <c r="L469" s="182" t="s">
        <v>15</v>
      </c>
      <c r="M469" s="289" t="s">
        <v>2404</v>
      </c>
    </row>
    <row r="470" spans="1:13">
      <c r="A470" s="170" t="s">
        <v>2408</v>
      </c>
      <c r="B470" s="170" t="s">
        <v>2409</v>
      </c>
      <c r="C470" s="208" t="s">
        <v>2410</v>
      </c>
      <c r="D470" s="170" t="s">
        <v>11</v>
      </c>
      <c r="E470" s="170" t="s">
        <v>12</v>
      </c>
      <c r="H470" s="207">
        <v>506555</v>
      </c>
      <c r="I470" s="182" t="s">
        <v>2411</v>
      </c>
      <c r="J470" s="182" t="s">
        <v>2412</v>
      </c>
      <c r="K470" s="182"/>
      <c r="L470" s="182" t="s">
        <v>15</v>
      </c>
      <c r="M470" s="289" t="s">
        <v>2409</v>
      </c>
    </row>
    <row r="471" spans="1:20">
      <c r="A471" s="170" t="s">
        <v>2413</v>
      </c>
      <c r="B471" s="170" t="s">
        <v>2414</v>
      </c>
      <c r="C471" s="170"/>
      <c r="D471" s="170" t="s">
        <v>11</v>
      </c>
      <c r="E471" s="170" t="s">
        <v>12</v>
      </c>
      <c r="H471" s="207">
        <v>473399</v>
      </c>
      <c r="I471" s="182" t="s">
        <v>2415</v>
      </c>
      <c r="J471" s="182" t="s">
        <v>2416</v>
      </c>
      <c r="K471" s="182" t="s">
        <v>2417</v>
      </c>
      <c r="L471" s="182" t="s">
        <v>15</v>
      </c>
      <c r="M471"/>
      <c r="R471"/>
      <c r="T471"/>
    </row>
    <row r="472" spans="1:13">
      <c r="A472" s="170" t="s">
        <v>2418</v>
      </c>
      <c r="B472" s="170" t="s">
        <v>2419</v>
      </c>
      <c r="C472" s="208" t="s">
        <v>2420</v>
      </c>
      <c r="D472" s="170" t="s">
        <v>11</v>
      </c>
      <c r="E472" s="170" t="s">
        <v>12</v>
      </c>
      <c r="H472" s="207">
        <v>450810</v>
      </c>
      <c r="I472" s="182" t="s">
        <v>2421</v>
      </c>
      <c r="J472" s="182" t="s">
        <v>2422</v>
      </c>
      <c r="K472" s="182" t="s">
        <v>2423</v>
      </c>
      <c r="L472" s="182" t="s">
        <v>15</v>
      </c>
      <c r="M472" s="289" t="s">
        <v>2419</v>
      </c>
    </row>
    <row r="473" spans="1:13">
      <c r="A473" s="170" t="s">
        <v>2424</v>
      </c>
      <c r="B473" s="170" t="s">
        <v>2425</v>
      </c>
      <c r="C473" s="208" t="s">
        <v>2426</v>
      </c>
      <c r="D473" s="170" t="s">
        <v>11</v>
      </c>
      <c r="E473" s="170" t="s">
        <v>12</v>
      </c>
      <c r="H473" s="207" t="s">
        <v>2427</v>
      </c>
      <c r="I473" s="182" t="s">
        <v>10</v>
      </c>
      <c r="J473" s="182" t="s">
        <v>2427</v>
      </c>
      <c r="K473" s="182" t="s">
        <v>2428</v>
      </c>
      <c r="L473" s="182" t="s">
        <v>19</v>
      </c>
      <c r="M473" s="289" t="s">
        <v>2425</v>
      </c>
    </row>
    <row r="474" spans="1:20">
      <c r="A474" s="170" t="s">
        <v>2429</v>
      </c>
      <c r="B474" s="170" t="s">
        <v>2430</v>
      </c>
      <c r="C474" s="170"/>
      <c r="D474" s="170" t="s">
        <v>11</v>
      </c>
      <c r="E474" s="170" t="s">
        <v>12</v>
      </c>
      <c r="H474" s="207">
        <v>473726</v>
      </c>
      <c r="I474" s="182" t="s">
        <v>2431</v>
      </c>
      <c r="J474" s="182" t="s">
        <v>2432</v>
      </c>
      <c r="K474" s="182" t="s">
        <v>2433</v>
      </c>
      <c r="L474" s="182" t="s">
        <v>15</v>
      </c>
      <c r="M474"/>
      <c r="R474"/>
      <c r="T474"/>
    </row>
    <row r="475" spans="1:13">
      <c r="A475" s="170" t="s">
        <v>2434</v>
      </c>
      <c r="B475" s="170" t="s">
        <v>2435</v>
      </c>
      <c r="C475" s="208" t="s">
        <v>2436</v>
      </c>
      <c r="D475" s="170" t="s">
        <v>11</v>
      </c>
      <c r="E475" s="170" t="s">
        <v>12</v>
      </c>
      <c r="H475" s="207">
        <v>443719</v>
      </c>
      <c r="I475" s="182" t="s">
        <v>2437</v>
      </c>
      <c r="J475" s="182" t="s">
        <v>2438</v>
      </c>
      <c r="K475" s="182"/>
      <c r="L475" s="182" t="s">
        <v>15</v>
      </c>
      <c r="M475" s="289" t="s">
        <v>2435</v>
      </c>
    </row>
    <row r="476" spans="1:20">
      <c r="A476" s="170" t="s">
        <v>2439</v>
      </c>
      <c r="B476" s="170" t="s">
        <v>2440</v>
      </c>
      <c r="C476" s="170"/>
      <c r="D476" s="170" t="s">
        <v>11</v>
      </c>
      <c r="E476" s="170" t="s">
        <v>12</v>
      </c>
      <c r="H476" s="207">
        <v>307603</v>
      </c>
      <c r="I476" s="182" t="s">
        <v>2441</v>
      </c>
      <c r="J476" s="182" t="s">
        <v>2442</v>
      </c>
      <c r="K476" s="182" t="s">
        <v>2443</v>
      </c>
      <c r="L476" s="182" t="s">
        <v>15</v>
      </c>
      <c r="M476"/>
      <c r="R476"/>
      <c r="T476"/>
    </row>
    <row r="477" spans="1:20">
      <c r="A477" s="170" t="s">
        <v>2444</v>
      </c>
      <c r="B477" s="170" t="s">
        <v>2445</v>
      </c>
      <c r="C477" s="170"/>
      <c r="D477" s="170" t="s">
        <v>11</v>
      </c>
      <c r="E477" s="170" t="s">
        <v>12</v>
      </c>
      <c r="H477" s="207">
        <v>513061</v>
      </c>
      <c r="I477" s="182" t="s">
        <v>2446</v>
      </c>
      <c r="J477" s="182" t="s">
        <v>2447</v>
      </c>
      <c r="K477" s="182" t="s">
        <v>2448</v>
      </c>
      <c r="L477" s="182" t="s">
        <v>15</v>
      </c>
      <c r="M477"/>
      <c r="R477"/>
      <c r="T477"/>
    </row>
    <row r="478" spans="1:13">
      <c r="A478" s="170" t="s">
        <v>2449</v>
      </c>
      <c r="B478" s="170" t="s">
        <v>2450</v>
      </c>
      <c r="C478" s="208" t="s">
        <v>2451</v>
      </c>
      <c r="D478" s="170" t="s">
        <v>11</v>
      </c>
      <c r="E478" s="170" t="s">
        <v>12</v>
      </c>
      <c r="H478" s="207">
        <v>208193</v>
      </c>
      <c r="I478" s="182" t="s">
        <v>2452</v>
      </c>
      <c r="J478" s="182" t="s">
        <v>2453</v>
      </c>
      <c r="K478" s="182" t="s">
        <v>2454</v>
      </c>
      <c r="L478" s="182" t="s">
        <v>15</v>
      </c>
      <c r="M478" s="289" t="s">
        <v>2450</v>
      </c>
    </row>
    <row r="479" spans="1:20">
      <c r="A479" s="170" t="s">
        <v>2455</v>
      </c>
      <c r="B479" s="170" t="s">
        <v>2456</v>
      </c>
      <c r="C479" s="170"/>
      <c r="D479" s="170" t="s">
        <v>11</v>
      </c>
      <c r="E479" s="170" t="s">
        <v>12</v>
      </c>
      <c r="H479" s="207">
        <v>473460</v>
      </c>
      <c r="I479" s="182" t="s">
        <v>2457</v>
      </c>
      <c r="J479" s="182" t="s">
        <v>2458</v>
      </c>
      <c r="K479" s="182" t="s">
        <v>2459</v>
      </c>
      <c r="L479" s="182" t="s">
        <v>15</v>
      </c>
      <c r="M479"/>
      <c r="R479"/>
      <c r="T479"/>
    </row>
    <row r="480" spans="1:20">
      <c r="A480" s="170" t="s">
        <v>2460</v>
      </c>
      <c r="B480" s="170" t="s">
        <v>2461</v>
      </c>
      <c r="C480" s="170"/>
      <c r="D480" s="170" t="s">
        <v>11</v>
      </c>
      <c r="E480" s="170" t="s">
        <v>12</v>
      </c>
      <c r="H480" s="207">
        <v>496561</v>
      </c>
      <c r="I480" s="182" t="s">
        <v>2462</v>
      </c>
      <c r="J480" s="182" t="s">
        <v>2463</v>
      </c>
      <c r="K480" s="182" t="s">
        <v>2464</v>
      </c>
      <c r="L480" s="182" t="s">
        <v>15</v>
      </c>
      <c r="M480"/>
      <c r="R480"/>
      <c r="T480"/>
    </row>
    <row r="481" spans="1:20">
      <c r="A481" s="170" t="s">
        <v>2465</v>
      </c>
      <c r="B481" s="170" t="s">
        <v>2466</v>
      </c>
      <c r="C481" s="178" t="s">
        <v>10</v>
      </c>
      <c r="D481" s="170" t="s">
        <v>11</v>
      </c>
      <c r="E481" s="170" t="s">
        <v>12</v>
      </c>
      <c r="H481" s="207">
        <v>982405</v>
      </c>
      <c r="I481" s="182" t="s">
        <v>2467</v>
      </c>
      <c r="J481" s="182" t="s">
        <v>2468</v>
      </c>
      <c r="K481" s="182" t="s">
        <v>2469</v>
      </c>
      <c r="L481" s="182" t="s">
        <v>15</v>
      </c>
      <c r="M481"/>
      <c r="R481"/>
      <c r="T481"/>
    </row>
    <row r="482" spans="1:20">
      <c r="A482" s="170" t="s">
        <v>2470</v>
      </c>
      <c r="B482" s="170" t="s">
        <v>2471</v>
      </c>
      <c r="C482" s="178" t="s">
        <v>10</v>
      </c>
      <c r="D482" s="170" t="s">
        <v>11</v>
      </c>
      <c r="E482" s="170" t="s">
        <v>12</v>
      </c>
      <c r="H482" s="207">
        <v>439997</v>
      </c>
      <c r="I482" s="182" t="s">
        <v>2472</v>
      </c>
      <c r="J482" s="182" t="s">
        <v>2473</v>
      </c>
      <c r="K482" s="182" t="s">
        <v>2474</v>
      </c>
      <c r="L482" s="182" t="s">
        <v>15</v>
      </c>
      <c r="M482"/>
      <c r="R482"/>
      <c r="T482"/>
    </row>
    <row r="483" spans="1:20">
      <c r="A483" s="170" t="s">
        <v>2475</v>
      </c>
      <c r="B483" s="170" t="s">
        <v>2476</v>
      </c>
      <c r="C483" s="178" t="s">
        <v>10</v>
      </c>
      <c r="D483" s="170" t="s">
        <v>11</v>
      </c>
      <c r="E483" s="170" t="s">
        <v>12</v>
      </c>
      <c r="H483" s="207">
        <v>447403</v>
      </c>
      <c r="I483" s="182" t="s">
        <v>2477</v>
      </c>
      <c r="J483" s="182" t="s">
        <v>2478</v>
      </c>
      <c r="K483" s="182"/>
      <c r="L483" s="182" t="s">
        <v>15</v>
      </c>
      <c r="M483"/>
      <c r="R483"/>
      <c r="T483"/>
    </row>
    <row r="484" spans="1:20">
      <c r="A484" s="170" t="s">
        <v>2479</v>
      </c>
      <c r="B484" s="170" t="s">
        <v>2480</v>
      </c>
      <c r="C484" s="178" t="s">
        <v>10</v>
      </c>
      <c r="D484" s="170" t="s">
        <v>11</v>
      </c>
      <c r="E484" s="170" t="s">
        <v>12</v>
      </c>
      <c r="H484" s="207">
        <v>478497</v>
      </c>
      <c r="I484" s="182" t="s">
        <v>2481</v>
      </c>
      <c r="J484" s="182" t="s">
        <v>2482</v>
      </c>
      <c r="K484" s="182" t="s">
        <v>2483</v>
      </c>
      <c r="L484" s="182" t="s">
        <v>15</v>
      </c>
      <c r="M484"/>
      <c r="R484"/>
      <c r="T484"/>
    </row>
    <row r="485" spans="1:20">
      <c r="A485" s="170" t="s">
        <v>2484</v>
      </c>
      <c r="B485" s="170" t="s">
        <v>2485</v>
      </c>
      <c r="C485" s="178" t="s">
        <v>10</v>
      </c>
      <c r="D485" s="170" t="s">
        <v>11</v>
      </c>
      <c r="E485" s="170" t="s">
        <v>12</v>
      </c>
      <c r="H485" s="207">
        <v>519822</v>
      </c>
      <c r="I485" s="182" t="s">
        <v>2486</v>
      </c>
      <c r="J485" s="182" t="s">
        <v>2487</v>
      </c>
      <c r="K485" s="182" t="s">
        <v>2488</v>
      </c>
      <c r="L485" s="182" t="s">
        <v>15</v>
      </c>
      <c r="M485"/>
      <c r="R485"/>
      <c r="T485"/>
    </row>
    <row r="486" spans="1:20">
      <c r="A486" s="170" t="s">
        <v>2489</v>
      </c>
      <c r="B486" s="170" t="s">
        <v>2490</v>
      </c>
      <c r="C486" s="178" t="s">
        <v>10</v>
      </c>
      <c r="D486" s="170" t="s">
        <v>11</v>
      </c>
      <c r="E486" s="170" t="s">
        <v>12</v>
      </c>
      <c r="H486" s="207" t="s">
        <v>2491</v>
      </c>
      <c r="I486" s="182" t="s">
        <v>10</v>
      </c>
      <c r="J486" s="182" t="s">
        <v>2491</v>
      </c>
      <c r="K486" s="182" t="s">
        <v>2492</v>
      </c>
      <c r="L486" s="182" t="s">
        <v>19</v>
      </c>
      <c r="M486"/>
      <c r="R486"/>
      <c r="T486"/>
    </row>
    <row r="487" spans="1:13">
      <c r="A487" s="170" t="s">
        <v>2493</v>
      </c>
      <c r="B487" s="170" t="s">
        <v>2494</v>
      </c>
      <c r="C487" s="208" t="s">
        <v>2495</v>
      </c>
      <c r="D487" s="170" t="s">
        <v>11</v>
      </c>
      <c r="E487" s="170" t="s">
        <v>12</v>
      </c>
      <c r="H487" s="207">
        <v>528031</v>
      </c>
      <c r="I487" s="182" t="s">
        <v>2496</v>
      </c>
      <c r="J487" s="182" t="s">
        <v>2497</v>
      </c>
      <c r="K487" s="182" t="s">
        <v>2498</v>
      </c>
      <c r="L487" s="182" t="s">
        <v>15</v>
      </c>
      <c r="M487" s="289" t="s">
        <v>2494</v>
      </c>
    </row>
    <row r="488" spans="1:20">
      <c r="A488" s="170" t="s">
        <v>2499</v>
      </c>
      <c r="B488" s="170" t="s">
        <v>2500</v>
      </c>
      <c r="C488" s="170"/>
      <c r="D488" s="170" t="s">
        <v>11</v>
      </c>
      <c r="E488" s="170" t="s">
        <v>12</v>
      </c>
      <c r="H488" s="207">
        <v>519927</v>
      </c>
      <c r="I488" s="182" t="s">
        <v>2501</v>
      </c>
      <c r="J488" s="182" t="s">
        <v>2502</v>
      </c>
      <c r="K488" s="182" t="s">
        <v>2503</v>
      </c>
      <c r="L488" s="182" t="s">
        <v>15</v>
      </c>
      <c r="M488"/>
      <c r="R488"/>
      <c r="T488"/>
    </row>
    <row r="489" spans="1:20">
      <c r="A489" s="170" t="s">
        <v>2504</v>
      </c>
      <c r="B489" s="170" t="s">
        <v>2505</v>
      </c>
      <c r="C489" s="170"/>
      <c r="D489" s="170" t="s">
        <v>11</v>
      </c>
      <c r="E489" s="170" t="s">
        <v>12</v>
      </c>
      <c r="H489" s="207">
        <v>486089</v>
      </c>
      <c r="I489" s="182" t="s">
        <v>2506</v>
      </c>
      <c r="J489" s="182" t="s">
        <v>2507</v>
      </c>
      <c r="K489" s="182" t="s">
        <v>2508</v>
      </c>
      <c r="L489" s="182" t="s">
        <v>15</v>
      </c>
      <c r="M489"/>
      <c r="R489"/>
      <c r="T489"/>
    </row>
    <row r="490" spans="1:13">
      <c r="A490" s="170" t="s">
        <v>2509</v>
      </c>
      <c r="B490" s="170" t="s">
        <v>2510</v>
      </c>
      <c r="C490" s="208" t="s">
        <v>2511</v>
      </c>
      <c r="D490" s="170" t="s">
        <v>11</v>
      </c>
      <c r="E490" s="170" t="s">
        <v>12</v>
      </c>
      <c r="H490" s="207">
        <v>500704</v>
      </c>
      <c r="I490" s="182" t="s">
        <v>2512</v>
      </c>
      <c r="J490" s="182" t="s">
        <v>2513</v>
      </c>
      <c r="K490" s="182" t="s">
        <v>2514</v>
      </c>
      <c r="L490" s="182" t="s">
        <v>15</v>
      </c>
      <c r="M490" s="289" t="s">
        <v>2510</v>
      </c>
    </row>
    <row r="491" spans="1:20">
      <c r="A491" s="170" t="s">
        <v>2515</v>
      </c>
      <c r="B491" s="170" t="s">
        <v>2516</v>
      </c>
      <c r="C491" s="170"/>
      <c r="D491" s="170" t="s">
        <v>11</v>
      </c>
      <c r="E491" s="170" t="s">
        <v>12</v>
      </c>
      <c r="H491" s="207" t="s">
        <v>2517</v>
      </c>
      <c r="I491" s="182" t="s">
        <v>10</v>
      </c>
      <c r="J491" s="182" t="s">
        <v>2517</v>
      </c>
      <c r="K491" s="182" t="s">
        <v>2518</v>
      </c>
      <c r="L491" s="182" t="s">
        <v>53</v>
      </c>
      <c r="M491"/>
      <c r="R491"/>
      <c r="T491"/>
    </row>
    <row r="492" spans="1:20">
      <c r="A492" s="170" t="s">
        <v>2519</v>
      </c>
      <c r="B492" s="170" t="s">
        <v>2520</v>
      </c>
      <c r="C492" s="170"/>
      <c r="D492" s="170" t="s">
        <v>11</v>
      </c>
      <c r="E492" s="170" t="s">
        <v>12</v>
      </c>
      <c r="H492" s="207">
        <v>433414</v>
      </c>
      <c r="I492" s="182" t="s">
        <v>2521</v>
      </c>
      <c r="J492" s="182" t="s">
        <v>2522</v>
      </c>
      <c r="K492" s="182"/>
      <c r="L492" s="182" t="s">
        <v>15</v>
      </c>
      <c r="M492"/>
      <c r="R492"/>
      <c r="T492"/>
    </row>
    <row r="493" spans="1:13">
      <c r="A493" s="170" t="s">
        <v>2523</v>
      </c>
      <c r="B493" s="170" t="s">
        <v>2524</v>
      </c>
      <c r="C493" s="208" t="s">
        <v>2525</v>
      </c>
      <c r="D493" s="170" t="s">
        <v>11</v>
      </c>
      <c r="E493" s="170" t="s">
        <v>12</v>
      </c>
      <c r="H493" s="207">
        <v>464267</v>
      </c>
      <c r="I493" s="182" t="s">
        <v>2526</v>
      </c>
      <c r="J493" s="182" t="s">
        <v>2527</v>
      </c>
      <c r="K493" s="182" t="s">
        <v>2528</v>
      </c>
      <c r="L493" s="182" t="s">
        <v>15</v>
      </c>
      <c r="M493" s="289" t="s">
        <v>2524</v>
      </c>
    </row>
    <row r="494" spans="1:20">
      <c r="A494" s="170" t="s">
        <v>2529</v>
      </c>
      <c r="B494" s="170" t="s">
        <v>2530</v>
      </c>
      <c r="C494" s="170"/>
      <c r="D494" s="170" t="s">
        <v>11</v>
      </c>
      <c r="E494" s="170" t="s">
        <v>12</v>
      </c>
      <c r="H494" s="207" t="s">
        <v>2531</v>
      </c>
      <c r="I494" s="182" t="s">
        <v>1051</v>
      </c>
      <c r="J494" s="182" t="s">
        <v>2531</v>
      </c>
      <c r="K494" s="182" t="s">
        <v>2532</v>
      </c>
      <c r="L494" s="182" t="s">
        <v>415</v>
      </c>
      <c r="M494"/>
      <c r="R494"/>
      <c r="T494"/>
    </row>
    <row r="495" spans="1:20">
      <c r="A495" s="170" t="s">
        <v>2533</v>
      </c>
      <c r="B495" s="170" t="s">
        <v>2534</v>
      </c>
      <c r="C495" s="170"/>
      <c r="D495" s="170" t="s">
        <v>11</v>
      </c>
      <c r="E495" s="170" t="s">
        <v>12</v>
      </c>
      <c r="H495" s="207">
        <v>437331</v>
      </c>
      <c r="I495" s="182" t="s">
        <v>2535</v>
      </c>
      <c r="J495" s="182" t="s">
        <v>2536</v>
      </c>
      <c r="K495" s="182" t="s">
        <v>2537</v>
      </c>
      <c r="L495" s="182" t="s">
        <v>15</v>
      </c>
      <c r="M495"/>
      <c r="R495"/>
      <c r="T495"/>
    </row>
    <row r="496" spans="1:13">
      <c r="A496" s="170" t="s">
        <v>2538</v>
      </c>
      <c r="B496" s="170" t="s">
        <v>2539</v>
      </c>
      <c r="C496" s="208" t="s">
        <v>2540</v>
      </c>
      <c r="D496" s="170" t="s">
        <v>11</v>
      </c>
      <c r="E496" s="170" t="s">
        <v>12</v>
      </c>
      <c r="H496" s="207">
        <v>465165</v>
      </c>
      <c r="I496" s="182" t="s">
        <v>2541</v>
      </c>
      <c r="J496" s="182" t="s">
        <v>2542</v>
      </c>
      <c r="K496" s="182" t="s">
        <v>2543</v>
      </c>
      <c r="L496" s="182" t="s">
        <v>15</v>
      </c>
      <c r="M496" s="289" t="s">
        <v>2539</v>
      </c>
    </row>
    <row r="497" spans="1:13">
      <c r="A497" s="170" t="s">
        <v>2544</v>
      </c>
      <c r="B497" s="170" t="s">
        <v>2545</v>
      </c>
      <c r="C497" s="208" t="s">
        <v>2546</v>
      </c>
      <c r="D497" s="170" t="s">
        <v>11</v>
      </c>
      <c r="E497" s="170" t="s">
        <v>12</v>
      </c>
      <c r="H497" s="207">
        <v>451732</v>
      </c>
      <c r="I497" s="182" t="s">
        <v>2547</v>
      </c>
      <c r="J497" s="182" t="s">
        <v>2548</v>
      </c>
      <c r="K497" s="182" t="s">
        <v>2549</v>
      </c>
      <c r="L497" s="182" t="s">
        <v>15</v>
      </c>
      <c r="M497" s="289" t="s">
        <v>2545</v>
      </c>
    </row>
    <row r="498" spans="1:20">
      <c r="A498" s="170" t="s">
        <v>2550</v>
      </c>
      <c r="B498" s="170" t="s">
        <v>2551</v>
      </c>
      <c r="C498" s="170"/>
      <c r="D498" s="170" t="s">
        <v>11</v>
      </c>
      <c r="E498" s="170" t="s">
        <v>12</v>
      </c>
      <c r="H498" s="207">
        <v>519640</v>
      </c>
      <c r="I498" s="182" t="s">
        <v>2552</v>
      </c>
      <c r="J498" s="182" t="s">
        <v>2553</v>
      </c>
      <c r="K498" s="182" t="s">
        <v>2554</v>
      </c>
      <c r="L498" s="182" t="s">
        <v>15</v>
      </c>
      <c r="M498"/>
      <c r="R498"/>
      <c r="T498"/>
    </row>
    <row r="499" spans="1:13">
      <c r="A499" s="170" t="s">
        <v>2555</v>
      </c>
      <c r="B499" s="170" t="s">
        <v>2556</v>
      </c>
      <c r="C499" s="208" t="s">
        <v>2557</v>
      </c>
      <c r="D499" s="170" t="s">
        <v>11</v>
      </c>
      <c r="E499" s="170" t="s">
        <v>12</v>
      </c>
      <c r="H499" s="207">
        <v>473233</v>
      </c>
      <c r="I499" s="182" t="s">
        <v>2558</v>
      </c>
      <c r="J499" s="182" t="s">
        <v>2559</v>
      </c>
      <c r="K499" s="182" t="s">
        <v>2560</v>
      </c>
      <c r="L499" s="182" t="s">
        <v>15</v>
      </c>
      <c r="M499" s="289" t="s">
        <v>2561</v>
      </c>
    </row>
    <row r="500" spans="1:20">
      <c r="A500" s="170" t="s">
        <v>2562</v>
      </c>
      <c r="B500" s="170" t="s">
        <v>2563</v>
      </c>
      <c r="C500" s="170"/>
      <c r="D500" s="170" t="s">
        <v>11</v>
      </c>
      <c r="E500" s="170" t="s">
        <v>12</v>
      </c>
      <c r="H500" s="207">
        <v>366426</v>
      </c>
      <c r="I500" s="182" t="s">
        <v>2564</v>
      </c>
      <c r="J500" s="182" t="s">
        <v>2565</v>
      </c>
      <c r="K500" s="182" t="s">
        <v>2566</v>
      </c>
      <c r="L500" s="182" t="s">
        <v>15</v>
      </c>
      <c r="M500"/>
      <c r="R500"/>
      <c r="T500"/>
    </row>
    <row r="501" spans="1:20">
      <c r="A501" s="170" t="s">
        <v>2567</v>
      </c>
      <c r="B501" s="170" t="s">
        <v>2561</v>
      </c>
      <c r="C501" s="170"/>
      <c r="D501" s="170" t="s">
        <v>11</v>
      </c>
      <c r="E501" s="170" t="s">
        <v>12</v>
      </c>
      <c r="H501" s="207">
        <v>562652</v>
      </c>
      <c r="I501" s="182" t="s">
        <v>2568</v>
      </c>
      <c r="J501" s="182" t="s">
        <v>2569</v>
      </c>
      <c r="K501" s="182" t="s">
        <v>2570</v>
      </c>
      <c r="L501" s="182" t="s">
        <v>15</v>
      </c>
      <c r="M501"/>
      <c r="R501"/>
      <c r="T501"/>
    </row>
    <row r="502" spans="1:13">
      <c r="A502" s="170" t="s">
        <v>2571</v>
      </c>
      <c r="B502" s="170" t="s">
        <v>2572</v>
      </c>
      <c r="C502" s="208" t="s">
        <v>2573</v>
      </c>
      <c r="D502" s="170" t="s">
        <v>11</v>
      </c>
      <c r="E502" s="170" t="s">
        <v>12</v>
      </c>
      <c r="H502" s="207">
        <v>477132</v>
      </c>
      <c r="I502" s="182" t="s">
        <v>2574</v>
      </c>
      <c r="J502" s="182" t="s">
        <v>2575</v>
      </c>
      <c r="K502" s="182" t="s">
        <v>2576</v>
      </c>
      <c r="L502" s="182" t="s">
        <v>15</v>
      </c>
      <c r="M502" s="289" t="s">
        <v>2572</v>
      </c>
    </row>
    <row r="503" spans="1:13">
      <c r="A503" s="170" t="s">
        <v>2577</v>
      </c>
      <c r="B503" s="170" t="s">
        <v>2578</v>
      </c>
      <c r="C503" s="208" t="s">
        <v>2579</v>
      </c>
      <c r="D503" s="170" t="s">
        <v>11</v>
      </c>
      <c r="E503" s="170" t="s">
        <v>12</v>
      </c>
      <c r="H503" s="207">
        <v>501161</v>
      </c>
      <c r="I503" s="182" t="s">
        <v>2580</v>
      </c>
      <c r="J503" s="182" t="s">
        <v>2581</v>
      </c>
      <c r="K503" s="182" t="s">
        <v>2582</v>
      </c>
      <c r="L503" s="182" t="s">
        <v>15</v>
      </c>
      <c r="M503" s="289" t="s">
        <v>2578</v>
      </c>
    </row>
    <row r="504" spans="1:20">
      <c r="A504" s="170" t="s">
        <v>2583</v>
      </c>
      <c r="B504" s="170" t="s">
        <v>2584</v>
      </c>
      <c r="C504" s="170"/>
      <c r="D504" s="170" t="s">
        <v>11</v>
      </c>
      <c r="E504" s="170" t="s">
        <v>12</v>
      </c>
      <c r="H504" s="207">
        <v>450260</v>
      </c>
      <c r="I504" s="182" t="s">
        <v>2585</v>
      </c>
      <c r="J504" s="182" t="s">
        <v>2586</v>
      </c>
      <c r="K504" s="182" t="s">
        <v>2587</v>
      </c>
      <c r="L504" s="182" t="s">
        <v>15</v>
      </c>
      <c r="M504"/>
      <c r="R504"/>
      <c r="T504"/>
    </row>
    <row r="505" spans="1:13">
      <c r="A505" s="170" t="s">
        <v>2588</v>
      </c>
      <c r="B505" s="170" t="s">
        <v>2589</v>
      </c>
      <c r="C505" s="208" t="s">
        <v>2590</v>
      </c>
      <c r="D505" s="170" t="s">
        <v>11</v>
      </c>
      <c r="E505" s="170" t="s">
        <v>12</v>
      </c>
      <c r="H505" s="207" t="s">
        <v>2591</v>
      </c>
      <c r="I505" s="182" t="s">
        <v>10</v>
      </c>
      <c r="J505" s="182" t="s">
        <v>2591</v>
      </c>
      <c r="K505" s="182" t="s">
        <v>2592</v>
      </c>
      <c r="L505" s="182" t="s">
        <v>19</v>
      </c>
      <c r="M505" s="289" t="s">
        <v>2589</v>
      </c>
    </row>
    <row r="506" spans="1:13">
      <c r="A506" s="170" t="s">
        <v>2593</v>
      </c>
      <c r="B506" s="170" t="s">
        <v>2594</v>
      </c>
      <c r="C506" s="208" t="s">
        <v>2595</v>
      </c>
      <c r="D506" s="170" t="s">
        <v>11</v>
      </c>
      <c r="E506" s="170" t="s">
        <v>12</v>
      </c>
      <c r="H506" s="207">
        <v>476772</v>
      </c>
      <c r="I506" s="182" t="s">
        <v>2596</v>
      </c>
      <c r="J506" s="182" t="s">
        <v>2597</v>
      </c>
      <c r="K506" s="182"/>
      <c r="L506" s="182" t="s">
        <v>15</v>
      </c>
      <c r="M506" s="289" t="s">
        <v>2594</v>
      </c>
    </row>
    <row r="507" spans="1:20">
      <c r="A507" s="170" t="s">
        <v>2598</v>
      </c>
      <c r="B507" s="170" t="s">
        <v>2599</v>
      </c>
      <c r="C507" s="170"/>
      <c r="D507" s="170" t="s">
        <v>11</v>
      </c>
      <c r="E507" s="170" t="s">
        <v>12</v>
      </c>
      <c r="H507" s="207">
        <v>351580</v>
      </c>
      <c r="I507" s="182" t="s">
        <v>2600</v>
      </c>
      <c r="J507" s="182" t="s">
        <v>2601</v>
      </c>
      <c r="K507" s="182" t="s">
        <v>2602</v>
      </c>
      <c r="L507" s="182" t="s">
        <v>15</v>
      </c>
      <c r="M507"/>
      <c r="R507"/>
      <c r="T507"/>
    </row>
    <row r="508" spans="1:13">
      <c r="A508" s="170" t="s">
        <v>2603</v>
      </c>
      <c r="B508" s="170" t="s">
        <v>2604</v>
      </c>
      <c r="C508" s="208" t="s">
        <v>2605</v>
      </c>
      <c r="D508" s="170" t="s">
        <v>11</v>
      </c>
      <c r="E508" s="170" t="s">
        <v>12</v>
      </c>
      <c r="H508" s="207">
        <v>519186</v>
      </c>
      <c r="I508" s="182" t="s">
        <v>2606</v>
      </c>
      <c r="J508" s="182" t="s">
        <v>2607</v>
      </c>
      <c r="K508" s="182"/>
      <c r="L508" s="182" t="s">
        <v>15</v>
      </c>
      <c r="M508" s="289" t="s">
        <v>2604</v>
      </c>
    </row>
    <row r="509" spans="1:13">
      <c r="A509" s="170" t="s">
        <v>2608</v>
      </c>
      <c r="B509" s="170" t="s">
        <v>2609</v>
      </c>
      <c r="C509" s="208" t="s">
        <v>2610</v>
      </c>
      <c r="D509" s="170" t="s">
        <v>11</v>
      </c>
      <c r="E509" s="170" t="s">
        <v>12</v>
      </c>
      <c r="H509" s="207">
        <v>197436</v>
      </c>
      <c r="I509" s="182" t="s">
        <v>109</v>
      </c>
      <c r="J509" s="182" t="s">
        <v>2611</v>
      </c>
      <c r="K509" s="182" t="s">
        <v>2612</v>
      </c>
      <c r="L509" s="182" t="s">
        <v>15</v>
      </c>
      <c r="M509" s="289" t="s">
        <v>2609</v>
      </c>
    </row>
    <row r="510" spans="1:20">
      <c r="A510" s="170" t="s">
        <v>2613</v>
      </c>
      <c r="B510" s="170" t="s">
        <v>2614</v>
      </c>
      <c r="C510" s="170"/>
      <c r="D510" s="170" t="s">
        <v>11</v>
      </c>
      <c r="E510" s="170" t="s">
        <v>12</v>
      </c>
      <c r="H510" s="207">
        <v>429819</v>
      </c>
      <c r="I510" s="182" t="s">
        <v>2615</v>
      </c>
      <c r="J510" s="182" t="s">
        <v>2616</v>
      </c>
      <c r="K510" s="182" t="s">
        <v>2617</v>
      </c>
      <c r="L510" s="182" t="s">
        <v>15</v>
      </c>
      <c r="M510"/>
      <c r="R510"/>
      <c r="T510"/>
    </row>
    <row r="511" spans="1:13">
      <c r="A511" s="170" t="s">
        <v>2618</v>
      </c>
      <c r="B511" s="170" t="s">
        <v>2619</v>
      </c>
      <c r="C511" s="208" t="s">
        <v>2620</v>
      </c>
      <c r="D511" s="170" t="s">
        <v>11</v>
      </c>
      <c r="E511" s="170" t="s">
        <v>12</v>
      </c>
      <c r="H511" s="207">
        <v>513020</v>
      </c>
      <c r="I511" s="182" t="s">
        <v>2621</v>
      </c>
      <c r="J511" s="182" t="s">
        <v>2622</v>
      </c>
      <c r="K511" s="182"/>
      <c r="L511" s="182" t="s">
        <v>15</v>
      </c>
      <c r="M511" s="289" t="s">
        <v>2619</v>
      </c>
    </row>
    <row r="512" spans="1:13">
      <c r="A512" s="170" t="s">
        <v>2623</v>
      </c>
      <c r="B512" s="170" t="s">
        <v>2624</v>
      </c>
      <c r="C512" s="208" t="s">
        <v>2625</v>
      </c>
      <c r="D512" s="170" t="s">
        <v>11</v>
      </c>
      <c r="E512" s="170" t="s">
        <v>12</v>
      </c>
      <c r="H512" s="207">
        <v>464924</v>
      </c>
      <c r="I512" s="182" t="s">
        <v>2626</v>
      </c>
      <c r="J512" s="182" t="s">
        <v>2627</v>
      </c>
      <c r="K512" s="182"/>
      <c r="L512" s="182" t="s">
        <v>15</v>
      </c>
      <c r="M512" s="289" t="s">
        <v>2624</v>
      </c>
    </row>
    <row r="513" spans="1:20">
      <c r="A513" s="170" t="s">
        <v>2628</v>
      </c>
      <c r="B513" s="170" t="s">
        <v>2629</v>
      </c>
      <c r="C513" s="170"/>
      <c r="D513" s="170" t="s">
        <v>11</v>
      </c>
      <c r="E513" s="170" t="s">
        <v>12</v>
      </c>
      <c r="H513" s="207">
        <v>497549</v>
      </c>
      <c r="I513" s="182" t="s">
        <v>2630</v>
      </c>
      <c r="J513" s="182" t="s">
        <v>2631</v>
      </c>
      <c r="K513" s="182" t="s">
        <v>2632</v>
      </c>
      <c r="L513" s="182" t="s">
        <v>15</v>
      </c>
      <c r="M513"/>
      <c r="R513"/>
      <c r="T513"/>
    </row>
    <row r="514" spans="1:13">
      <c r="A514" s="170" t="s">
        <v>2633</v>
      </c>
      <c r="B514" s="170" t="s">
        <v>2634</v>
      </c>
      <c r="C514" s="208" t="s">
        <v>2635</v>
      </c>
      <c r="D514" s="170" t="s">
        <v>11</v>
      </c>
      <c r="E514" s="170" t="s">
        <v>12</v>
      </c>
      <c r="H514" s="207">
        <v>507715</v>
      </c>
      <c r="I514" s="182" t="s">
        <v>2636</v>
      </c>
      <c r="J514" s="182" t="s">
        <v>2637</v>
      </c>
      <c r="K514" s="182" t="s">
        <v>2638</v>
      </c>
      <c r="L514" s="182" t="s">
        <v>15</v>
      </c>
      <c r="M514" s="289" t="s">
        <v>2634</v>
      </c>
    </row>
    <row r="515" spans="1:20">
      <c r="A515" s="170" t="s">
        <v>2639</v>
      </c>
      <c r="B515" s="170" t="s">
        <v>2640</v>
      </c>
      <c r="C515" s="170"/>
      <c r="D515" s="170" t="s">
        <v>11</v>
      </c>
      <c r="E515" s="170" t="s">
        <v>12</v>
      </c>
      <c r="H515" s="207" t="s">
        <v>2641</v>
      </c>
      <c r="I515" s="182" t="s">
        <v>10</v>
      </c>
      <c r="J515" s="182" t="s">
        <v>2641</v>
      </c>
      <c r="K515" s="182" t="s">
        <v>2642</v>
      </c>
      <c r="L515" s="182" t="s">
        <v>53</v>
      </c>
      <c r="M515"/>
      <c r="R515"/>
      <c r="T515"/>
    </row>
    <row r="516" spans="1:20">
      <c r="A516" s="170" t="s">
        <v>2643</v>
      </c>
      <c r="B516" s="170" t="s">
        <v>2644</v>
      </c>
      <c r="C516" s="170"/>
      <c r="D516" s="170" t="s">
        <v>11</v>
      </c>
      <c r="E516" s="170" t="s">
        <v>12</v>
      </c>
      <c r="H516" s="207">
        <v>514317</v>
      </c>
      <c r="I516" s="182" t="s">
        <v>2645</v>
      </c>
      <c r="J516" s="182" t="s">
        <v>2646</v>
      </c>
      <c r="K516" s="182" t="s">
        <v>2647</v>
      </c>
      <c r="L516" s="182" t="s">
        <v>15</v>
      </c>
      <c r="M516"/>
      <c r="R516"/>
      <c r="T516"/>
    </row>
    <row r="517" spans="1:13">
      <c r="A517" s="170" t="s">
        <v>2648</v>
      </c>
      <c r="B517" s="170" t="s">
        <v>2649</v>
      </c>
      <c r="C517" s="226" t="s">
        <v>2650</v>
      </c>
      <c r="D517" s="170" t="s">
        <v>11</v>
      </c>
      <c r="E517" s="170" t="s">
        <v>12</v>
      </c>
      <c r="H517" s="207">
        <v>508410</v>
      </c>
      <c r="I517" s="182" t="s">
        <v>2651</v>
      </c>
      <c r="J517" s="182" t="s">
        <v>2652</v>
      </c>
      <c r="K517" s="182" t="s">
        <v>2653</v>
      </c>
      <c r="L517" s="182" t="s">
        <v>15</v>
      </c>
      <c r="M517" s="289" t="s">
        <v>2649</v>
      </c>
    </row>
    <row r="518" spans="1:20">
      <c r="A518" s="170" t="s">
        <v>2654</v>
      </c>
      <c r="B518" s="170" t="s">
        <v>2655</v>
      </c>
      <c r="C518" s="170"/>
      <c r="D518" s="170" t="s">
        <v>11</v>
      </c>
      <c r="E518" s="170" t="s">
        <v>12</v>
      </c>
      <c r="H518" s="207" t="s">
        <v>2656</v>
      </c>
      <c r="I518" s="182" t="s">
        <v>10</v>
      </c>
      <c r="J518" s="182" t="s">
        <v>2656</v>
      </c>
      <c r="K518" s="182" t="s">
        <v>2657</v>
      </c>
      <c r="L518" s="182" t="s">
        <v>19</v>
      </c>
      <c r="M518"/>
      <c r="R518"/>
      <c r="T518"/>
    </row>
    <row r="519" spans="1:20">
      <c r="A519" s="170" t="s">
        <v>2658</v>
      </c>
      <c r="B519" s="170" t="s">
        <v>2659</v>
      </c>
      <c r="C519" s="170"/>
      <c r="D519" s="170" t="s">
        <v>11</v>
      </c>
      <c r="E519" s="170" t="s">
        <v>12</v>
      </c>
      <c r="H519" s="207" t="s">
        <v>10</v>
      </c>
      <c r="I519" s="182" t="s">
        <v>10</v>
      </c>
      <c r="J519" s="182" t="s">
        <v>2660</v>
      </c>
      <c r="K519" s="182" t="s">
        <v>2661</v>
      </c>
      <c r="L519" s="182" t="s">
        <v>15</v>
      </c>
      <c r="M519"/>
      <c r="R519"/>
      <c r="T519"/>
    </row>
    <row r="520" spans="1:20">
      <c r="A520" s="170" t="s">
        <v>2662</v>
      </c>
      <c r="B520" s="170" t="s">
        <v>2663</v>
      </c>
      <c r="C520" s="170"/>
      <c r="D520" s="170" t="s">
        <v>11</v>
      </c>
      <c r="E520" s="170" t="s">
        <v>12</v>
      </c>
      <c r="H520" s="207">
        <v>714162</v>
      </c>
      <c r="I520" s="182" t="s">
        <v>2664</v>
      </c>
      <c r="J520" s="182" t="s">
        <v>2665</v>
      </c>
      <c r="K520" s="182" t="s">
        <v>2666</v>
      </c>
      <c r="L520" s="182" t="s">
        <v>15</v>
      </c>
      <c r="M520"/>
      <c r="R520"/>
      <c r="T520"/>
    </row>
    <row r="521" spans="1:20">
      <c r="A521" s="170" t="s">
        <v>2667</v>
      </c>
      <c r="B521" s="170" t="s">
        <v>2668</v>
      </c>
      <c r="C521" s="170"/>
      <c r="D521" s="170" t="s">
        <v>11</v>
      </c>
      <c r="E521" s="170" t="s">
        <v>12</v>
      </c>
      <c r="H521" s="207">
        <v>458150</v>
      </c>
      <c r="I521" s="182" t="s">
        <v>2669</v>
      </c>
      <c r="J521" s="182" t="s">
        <v>2670</v>
      </c>
      <c r="K521" s="182" t="s">
        <v>2671</v>
      </c>
      <c r="L521" s="182" t="s">
        <v>15</v>
      </c>
      <c r="M521"/>
      <c r="R521"/>
      <c r="T521"/>
    </row>
    <row r="522" spans="1:20">
      <c r="A522" s="170" t="s">
        <v>2672</v>
      </c>
      <c r="B522" s="170" t="s">
        <v>2673</v>
      </c>
      <c r="C522" s="170"/>
      <c r="D522" s="170" t="s">
        <v>11</v>
      </c>
      <c r="E522" s="170" t="s">
        <v>12</v>
      </c>
      <c r="H522" s="207">
        <v>304622</v>
      </c>
      <c r="I522" s="182" t="s">
        <v>2674</v>
      </c>
      <c r="J522" s="182" t="s">
        <v>2675</v>
      </c>
      <c r="K522" s="182" t="s">
        <v>2676</v>
      </c>
      <c r="L522" s="182" t="s">
        <v>15</v>
      </c>
      <c r="M522"/>
      <c r="R522"/>
      <c r="T522"/>
    </row>
    <row r="523" spans="1:20">
      <c r="A523" s="170" t="s">
        <v>2677</v>
      </c>
      <c r="B523" s="170" t="s">
        <v>2678</v>
      </c>
      <c r="C523" s="170"/>
      <c r="D523" s="170" t="s">
        <v>11</v>
      </c>
      <c r="E523" s="170" t="s">
        <v>12</v>
      </c>
      <c r="H523" s="207">
        <v>416519</v>
      </c>
      <c r="I523" s="182" t="s">
        <v>2679</v>
      </c>
      <c r="J523" s="182" t="s">
        <v>2680</v>
      </c>
      <c r="K523" s="182"/>
      <c r="L523" s="182" t="s">
        <v>15</v>
      </c>
      <c r="M523"/>
      <c r="R523"/>
      <c r="T523"/>
    </row>
    <row r="524" spans="1:20">
      <c r="A524" s="170" t="s">
        <v>2681</v>
      </c>
      <c r="B524" s="170" t="s">
        <v>2682</v>
      </c>
      <c r="C524" s="170"/>
      <c r="D524" s="170" t="s">
        <v>11</v>
      </c>
      <c r="E524" s="170" t="s">
        <v>12</v>
      </c>
      <c r="H524" s="207">
        <v>926480</v>
      </c>
      <c r="I524" s="182" t="s">
        <v>2683</v>
      </c>
      <c r="J524" s="182" t="s">
        <v>2684</v>
      </c>
      <c r="K524" s="182" t="s">
        <v>2685</v>
      </c>
      <c r="L524" s="182" t="s">
        <v>15</v>
      </c>
      <c r="M524"/>
      <c r="R524"/>
      <c r="T524"/>
    </row>
    <row r="525" spans="1:20">
      <c r="A525" s="170" t="s">
        <v>2686</v>
      </c>
      <c r="B525" s="170" t="s">
        <v>2687</v>
      </c>
      <c r="C525" s="170"/>
      <c r="D525" s="170" t="s">
        <v>11</v>
      </c>
      <c r="E525" s="170" t="s">
        <v>12</v>
      </c>
      <c r="H525" s="207">
        <v>467531</v>
      </c>
      <c r="I525" s="182" t="s">
        <v>2688</v>
      </c>
      <c r="J525" s="182" t="s">
        <v>2689</v>
      </c>
      <c r="K525" s="182" t="s">
        <v>2690</v>
      </c>
      <c r="L525" s="182" t="s">
        <v>15</v>
      </c>
      <c r="M525"/>
      <c r="R525"/>
      <c r="T525"/>
    </row>
    <row r="526" spans="1:13">
      <c r="A526" s="170" t="s">
        <v>2691</v>
      </c>
      <c r="B526" s="170" t="s">
        <v>2692</v>
      </c>
      <c r="C526" s="227" t="s">
        <v>2693</v>
      </c>
      <c r="D526" s="170" t="s">
        <v>11</v>
      </c>
      <c r="E526" s="170" t="s">
        <v>12</v>
      </c>
      <c r="H526" s="207" t="s">
        <v>2694</v>
      </c>
      <c r="I526" s="182" t="s">
        <v>10</v>
      </c>
      <c r="J526" s="182" t="s">
        <v>2694</v>
      </c>
      <c r="K526" s="182" t="s">
        <v>2695</v>
      </c>
      <c r="L526" s="182" t="s">
        <v>19</v>
      </c>
      <c r="M526" s="289" t="s">
        <v>2692</v>
      </c>
    </row>
    <row r="527" spans="1:13">
      <c r="A527" s="170" t="s">
        <v>2696</v>
      </c>
      <c r="B527" s="170" t="s">
        <v>2697</v>
      </c>
      <c r="C527" s="208" t="s">
        <v>2698</v>
      </c>
      <c r="D527" s="170" t="s">
        <v>11</v>
      </c>
      <c r="E527" s="170" t="s">
        <v>12</v>
      </c>
      <c r="H527" s="207" t="s">
        <v>2699</v>
      </c>
      <c r="I527" s="182" t="s">
        <v>10</v>
      </c>
      <c r="J527" s="182" t="s">
        <v>2699</v>
      </c>
      <c r="K527" s="182" t="s">
        <v>2700</v>
      </c>
      <c r="L527" s="182" t="s">
        <v>19</v>
      </c>
      <c r="M527" s="289" t="s">
        <v>2697</v>
      </c>
    </row>
    <row r="528" spans="1:20">
      <c r="A528" s="170" t="s">
        <v>2701</v>
      </c>
      <c r="B528" s="170" t="s">
        <v>2702</v>
      </c>
      <c r="C528" s="170"/>
      <c r="D528" s="170" t="s">
        <v>11</v>
      </c>
      <c r="E528" s="170" t="s">
        <v>12</v>
      </c>
      <c r="H528" s="207">
        <v>462959</v>
      </c>
      <c r="I528" s="182" t="s">
        <v>2703</v>
      </c>
      <c r="J528" s="182" t="s">
        <v>2704</v>
      </c>
      <c r="K528" s="182" t="s">
        <v>2705</v>
      </c>
      <c r="L528" s="182" t="s">
        <v>15</v>
      </c>
      <c r="M528"/>
      <c r="R528"/>
      <c r="T528"/>
    </row>
    <row r="529" spans="1:13">
      <c r="A529" s="170" t="s">
        <v>2706</v>
      </c>
      <c r="B529" s="170" t="s">
        <v>2707</v>
      </c>
      <c r="C529" s="208" t="s">
        <v>2708</v>
      </c>
      <c r="D529" s="170" t="s">
        <v>11</v>
      </c>
      <c r="E529" s="170" t="s">
        <v>12</v>
      </c>
      <c r="H529" s="207">
        <v>474132</v>
      </c>
      <c r="I529" s="182" t="s">
        <v>2709</v>
      </c>
      <c r="J529" s="182" t="s">
        <v>2710</v>
      </c>
      <c r="K529" s="182" t="s">
        <v>2711</v>
      </c>
      <c r="L529" s="182" t="s">
        <v>15</v>
      </c>
      <c r="M529" s="289" t="s">
        <v>2707</v>
      </c>
    </row>
    <row r="530" spans="1:13">
      <c r="A530" s="170" t="s">
        <v>2712</v>
      </c>
      <c r="B530" s="170" t="s">
        <v>2713</v>
      </c>
      <c r="C530" s="208" t="s">
        <v>2714</v>
      </c>
      <c r="D530" s="170" t="s">
        <v>11</v>
      </c>
      <c r="E530" s="170" t="s">
        <v>12</v>
      </c>
      <c r="H530" s="207">
        <v>478062</v>
      </c>
      <c r="I530" s="182" t="s">
        <v>2715</v>
      </c>
      <c r="J530" s="182" t="s">
        <v>2716</v>
      </c>
      <c r="K530" s="182" t="s">
        <v>2717</v>
      </c>
      <c r="L530" s="182" t="s">
        <v>15</v>
      </c>
      <c r="M530" s="289" t="s">
        <v>2713</v>
      </c>
    </row>
    <row r="531" spans="1:20">
      <c r="A531" s="170" t="s">
        <v>2718</v>
      </c>
      <c r="B531" s="170" t="s">
        <v>2719</v>
      </c>
      <c r="C531" s="170"/>
      <c r="D531" s="170" t="s">
        <v>11</v>
      </c>
      <c r="E531" s="170" t="s">
        <v>12</v>
      </c>
      <c r="H531" s="207">
        <v>492805</v>
      </c>
      <c r="I531" s="182" t="s">
        <v>2720</v>
      </c>
      <c r="J531" s="182" t="s">
        <v>2721</v>
      </c>
      <c r="K531" s="182" t="s">
        <v>2722</v>
      </c>
      <c r="L531" s="182" t="s">
        <v>15</v>
      </c>
      <c r="M531"/>
      <c r="R531"/>
      <c r="T531"/>
    </row>
    <row r="532" spans="1:13">
      <c r="A532" s="170" t="s">
        <v>2723</v>
      </c>
      <c r="B532" s="170" t="s">
        <v>2724</v>
      </c>
      <c r="C532" s="208" t="s">
        <v>2725</v>
      </c>
      <c r="D532" s="170" t="s">
        <v>11</v>
      </c>
      <c r="E532" s="170" t="s">
        <v>12</v>
      </c>
      <c r="H532" s="207">
        <v>309854</v>
      </c>
      <c r="I532" s="182" t="s">
        <v>2726</v>
      </c>
      <c r="J532" s="182" t="s">
        <v>2727</v>
      </c>
      <c r="K532" s="182" t="s">
        <v>2728</v>
      </c>
      <c r="L532" s="182" t="s">
        <v>15</v>
      </c>
      <c r="M532" s="289" t="s">
        <v>2724</v>
      </c>
    </row>
    <row r="533" spans="1:13">
      <c r="A533" s="170" t="s">
        <v>2729</v>
      </c>
      <c r="B533" s="170" t="s">
        <v>2730</v>
      </c>
      <c r="C533" s="208" t="s">
        <v>2731</v>
      </c>
      <c r="D533" s="170" t="s">
        <v>11</v>
      </c>
      <c r="E533" s="170" t="s">
        <v>12</v>
      </c>
      <c r="H533" s="207">
        <v>879364</v>
      </c>
      <c r="I533" s="182" t="s">
        <v>2732</v>
      </c>
      <c r="J533" s="182" t="s">
        <v>2733</v>
      </c>
      <c r="K533" s="182" t="s">
        <v>2734</v>
      </c>
      <c r="L533" s="182" t="s">
        <v>15</v>
      </c>
      <c r="M533" s="289" t="s">
        <v>2730</v>
      </c>
    </row>
    <row r="534" spans="1:20">
      <c r="A534" s="170" t="s">
        <v>2735</v>
      </c>
      <c r="B534" s="170" t="s">
        <v>2736</v>
      </c>
      <c r="C534" s="170"/>
      <c r="D534" s="170" t="s">
        <v>11</v>
      </c>
      <c r="E534" s="170" t="s">
        <v>12</v>
      </c>
      <c r="H534" s="207">
        <v>477205</v>
      </c>
      <c r="I534" s="182" t="s">
        <v>2737</v>
      </c>
      <c r="J534" s="182" t="s">
        <v>2738</v>
      </c>
      <c r="K534" s="182" t="s">
        <v>2739</v>
      </c>
      <c r="L534" s="182" t="s">
        <v>15</v>
      </c>
      <c r="M534"/>
      <c r="R534"/>
      <c r="T534"/>
    </row>
    <row r="535" spans="1:13">
      <c r="A535" s="170" t="s">
        <v>2740</v>
      </c>
      <c r="B535" s="170" t="s">
        <v>2741</v>
      </c>
      <c r="C535" s="208" t="s">
        <v>2742</v>
      </c>
      <c r="D535" s="170" t="s">
        <v>11</v>
      </c>
      <c r="E535" s="170" t="s">
        <v>12</v>
      </c>
      <c r="H535" s="207">
        <v>437693</v>
      </c>
      <c r="I535" s="182" t="s">
        <v>2743</v>
      </c>
      <c r="J535" s="182" t="s">
        <v>2744</v>
      </c>
      <c r="K535" s="182" t="s">
        <v>2745</v>
      </c>
      <c r="L535" s="182" t="s">
        <v>15</v>
      </c>
      <c r="M535" s="289" t="s">
        <v>2741</v>
      </c>
    </row>
    <row r="536" spans="1:13">
      <c r="A536" s="170" t="s">
        <v>2746</v>
      </c>
      <c r="B536" s="170" t="s">
        <v>2747</v>
      </c>
      <c r="C536" s="208" t="s">
        <v>2748</v>
      </c>
      <c r="D536" s="170" t="s">
        <v>11</v>
      </c>
      <c r="E536" s="170" t="s">
        <v>12</v>
      </c>
      <c r="H536" s="207">
        <v>453341</v>
      </c>
      <c r="I536" s="182" t="s">
        <v>2749</v>
      </c>
      <c r="J536" s="182" t="s">
        <v>2750</v>
      </c>
      <c r="K536" s="182"/>
      <c r="L536" s="182" t="s">
        <v>15</v>
      </c>
      <c r="M536" s="289" t="s">
        <v>2747</v>
      </c>
    </row>
    <row r="537" spans="1:20">
      <c r="A537" s="170" t="s">
        <v>2751</v>
      </c>
      <c r="B537" s="170" t="s">
        <v>2752</v>
      </c>
      <c r="C537" s="170"/>
      <c r="D537" s="170" t="s">
        <v>11</v>
      </c>
      <c r="E537" s="170" t="s">
        <v>12</v>
      </c>
      <c r="H537" s="207">
        <v>402388</v>
      </c>
      <c r="I537" s="182" t="s">
        <v>2753</v>
      </c>
      <c r="J537" s="182" t="s">
        <v>2754</v>
      </c>
      <c r="K537" s="182" t="s">
        <v>2755</v>
      </c>
      <c r="L537" s="182" t="s">
        <v>15</v>
      </c>
      <c r="M537"/>
      <c r="R537"/>
      <c r="T537"/>
    </row>
    <row r="538" spans="1:13">
      <c r="A538" s="170" t="s">
        <v>2756</v>
      </c>
      <c r="B538" s="170" t="s">
        <v>2757</v>
      </c>
      <c r="C538" s="208" t="s">
        <v>2758</v>
      </c>
      <c r="D538" s="170" t="s">
        <v>11</v>
      </c>
      <c r="E538" s="170" t="s">
        <v>12</v>
      </c>
      <c r="H538" s="207">
        <v>503367</v>
      </c>
      <c r="I538" s="182" t="s">
        <v>2759</v>
      </c>
      <c r="J538" s="182" t="s">
        <v>2760</v>
      </c>
      <c r="K538" s="182"/>
      <c r="L538" s="182" t="s">
        <v>15</v>
      </c>
      <c r="M538" s="289" t="s">
        <v>2757</v>
      </c>
    </row>
    <row r="539" spans="1:13">
      <c r="A539" s="170" t="s">
        <v>2761</v>
      </c>
      <c r="B539" s="170" t="s">
        <v>2762</v>
      </c>
      <c r="C539" s="208" t="s">
        <v>2763</v>
      </c>
      <c r="D539" s="170" t="s">
        <v>11</v>
      </c>
      <c r="E539" s="170" t="s">
        <v>12</v>
      </c>
      <c r="H539" s="207">
        <v>496955</v>
      </c>
      <c r="I539" s="182" t="s">
        <v>2764</v>
      </c>
      <c r="J539" s="182" t="s">
        <v>2765</v>
      </c>
      <c r="K539" s="182"/>
      <c r="L539" s="182" t="s">
        <v>15</v>
      </c>
      <c r="M539" s="289" t="s">
        <v>2762</v>
      </c>
    </row>
    <row r="540" spans="1:20">
      <c r="A540" s="170" t="s">
        <v>2766</v>
      </c>
      <c r="B540" s="170" t="s">
        <v>2767</v>
      </c>
      <c r="C540" s="170"/>
      <c r="D540" s="170" t="s">
        <v>11</v>
      </c>
      <c r="E540" s="170" t="s">
        <v>12</v>
      </c>
      <c r="H540" s="207" t="s">
        <v>2768</v>
      </c>
      <c r="I540" s="182" t="s">
        <v>10</v>
      </c>
      <c r="J540" s="182" t="s">
        <v>2768</v>
      </c>
      <c r="K540" s="182" t="s">
        <v>2769</v>
      </c>
      <c r="L540" s="182" t="s">
        <v>53</v>
      </c>
      <c r="M540"/>
      <c r="R540"/>
      <c r="T540"/>
    </row>
    <row r="541" spans="1:13">
      <c r="A541" s="170" t="s">
        <v>2770</v>
      </c>
      <c r="B541" s="170" t="s">
        <v>2771</v>
      </c>
      <c r="C541" s="208" t="s">
        <v>2772</v>
      </c>
      <c r="D541" s="170" t="s">
        <v>11</v>
      </c>
      <c r="E541" s="170" t="s">
        <v>12</v>
      </c>
      <c r="H541" s="207">
        <v>513356</v>
      </c>
      <c r="I541" s="182" t="s">
        <v>2773</v>
      </c>
      <c r="J541" s="182" t="s">
        <v>2774</v>
      </c>
      <c r="K541" s="182"/>
      <c r="L541" s="182" t="s">
        <v>15</v>
      </c>
      <c r="M541" s="289" t="s">
        <v>2771</v>
      </c>
    </row>
    <row r="542" spans="1:20">
      <c r="A542" s="170" t="s">
        <v>2775</v>
      </c>
      <c r="B542" s="170" t="s">
        <v>2776</v>
      </c>
      <c r="C542" s="170"/>
      <c r="D542" s="170" t="s">
        <v>11</v>
      </c>
      <c r="E542" s="170" t="s">
        <v>12</v>
      </c>
      <c r="H542" s="207">
        <v>443288</v>
      </c>
      <c r="I542" s="182" t="s">
        <v>2777</v>
      </c>
      <c r="J542" s="182" t="s">
        <v>2778</v>
      </c>
      <c r="K542" s="182" t="s">
        <v>2779</v>
      </c>
      <c r="L542" s="182" t="s">
        <v>15</v>
      </c>
      <c r="M542"/>
      <c r="R542"/>
      <c r="T542"/>
    </row>
    <row r="543" spans="1:20">
      <c r="A543" s="170" t="s">
        <v>2780</v>
      </c>
      <c r="B543" s="170" t="s">
        <v>2781</v>
      </c>
      <c r="C543" s="170"/>
      <c r="D543" s="170" t="s">
        <v>11</v>
      </c>
      <c r="E543" s="170" t="s">
        <v>12</v>
      </c>
      <c r="H543" s="207">
        <v>497028</v>
      </c>
      <c r="I543" s="182" t="s">
        <v>2782</v>
      </c>
      <c r="J543" s="182" t="s">
        <v>2783</v>
      </c>
      <c r="K543" s="182" t="s">
        <v>2784</v>
      </c>
      <c r="L543" s="182" t="s">
        <v>15</v>
      </c>
      <c r="M543"/>
      <c r="R543"/>
      <c r="T543"/>
    </row>
    <row r="544" spans="1:13">
      <c r="A544" s="170" t="s">
        <v>2785</v>
      </c>
      <c r="B544" s="170" t="s">
        <v>2786</v>
      </c>
      <c r="C544" s="208" t="s">
        <v>2787</v>
      </c>
      <c r="D544" s="170" t="s">
        <v>11</v>
      </c>
      <c r="E544" s="170" t="s">
        <v>12</v>
      </c>
      <c r="H544" s="207">
        <v>465061</v>
      </c>
      <c r="I544" s="182" t="s">
        <v>2788</v>
      </c>
      <c r="J544" s="182" t="s">
        <v>2789</v>
      </c>
      <c r="K544" s="182" t="s">
        <v>2790</v>
      </c>
      <c r="L544" s="182" t="s">
        <v>15</v>
      </c>
      <c r="M544" s="289" t="s">
        <v>2786</v>
      </c>
    </row>
    <row r="545" spans="1:20">
      <c r="A545" s="170" t="s">
        <v>2791</v>
      </c>
      <c r="B545" s="170" t="s">
        <v>2792</v>
      </c>
      <c r="C545" s="170"/>
      <c r="D545" s="170" t="s">
        <v>11</v>
      </c>
      <c r="E545" s="170" t="s">
        <v>12</v>
      </c>
      <c r="H545" s="207">
        <v>440128</v>
      </c>
      <c r="I545" s="182" t="s">
        <v>2793</v>
      </c>
      <c r="J545" s="182" t="s">
        <v>2794</v>
      </c>
      <c r="K545" s="182" t="s">
        <v>2795</v>
      </c>
      <c r="L545" s="182" t="s">
        <v>15</v>
      </c>
      <c r="M545"/>
      <c r="R545"/>
      <c r="T545"/>
    </row>
    <row r="546" spans="1:20">
      <c r="A546" s="170" t="s">
        <v>2796</v>
      </c>
      <c r="B546" s="170" t="s">
        <v>2797</v>
      </c>
      <c r="C546" s="170"/>
      <c r="D546" s="170" t="s">
        <v>11</v>
      </c>
      <c r="E546" s="170" t="s">
        <v>12</v>
      </c>
      <c r="H546" s="207">
        <v>485960</v>
      </c>
      <c r="I546" s="182" t="s">
        <v>2798</v>
      </c>
      <c r="J546" s="182" t="s">
        <v>2799</v>
      </c>
      <c r="K546" s="182" t="s">
        <v>2800</v>
      </c>
      <c r="L546" s="182" t="s">
        <v>15</v>
      </c>
      <c r="M546"/>
      <c r="R546"/>
      <c r="T546"/>
    </row>
    <row r="547" spans="1:20">
      <c r="A547" s="170" t="s">
        <v>2801</v>
      </c>
      <c r="B547" s="170" t="s">
        <v>2802</v>
      </c>
      <c r="C547" s="178" t="s">
        <v>10</v>
      </c>
      <c r="D547" s="170" t="s">
        <v>11</v>
      </c>
      <c r="E547" s="170" t="s">
        <v>12</v>
      </c>
      <c r="H547" s="207">
        <v>500773</v>
      </c>
      <c r="I547" s="182" t="s">
        <v>2803</v>
      </c>
      <c r="J547" s="182" t="s">
        <v>2804</v>
      </c>
      <c r="K547" s="182" t="s">
        <v>2805</v>
      </c>
      <c r="L547" s="182" t="s">
        <v>15</v>
      </c>
      <c r="M547"/>
      <c r="R547"/>
      <c r="T547"/>
    </row>
    <row r="548" spans="1:20">
      <c r="A548" s="170" t="s">
        <v>2806</v>
      </c>
      <c r="B548" s="170" t="s">
        <v>2807</v>
      </c>
      <c r="C548" s="178" t="s">
        <v>10</v>
      </c>
      <c r="D548" s="170" t="s">
        <v>11</v>
      </c>
      <c r="E548" s="170" t="s">
        <v>12</v>
      </c>
      <c r="H548" s="207">
        <v>485276</v>
      </c>
      <c r="I548" s="182" t="s">
        <v>2808</v>
      </c>
      <c r="J548" s="182" t="s">
        <v>2809</v>
      </c>
      <c r="K548" s="182" t="s">
        <v>2810</v>
      </c>
      <c r="L548" s="182" t="s">
        <v>15</v>
      </c>
      <c r="M548"/>
      <c r="R548"/>
      <c r="T548"/>
    </row>
    <row r="549" spans="1:20">
      <c r="A549" s="170" t="s">
        <v>2811</v>
      </c>
      <c r="B549" s="170" t="s">
        <v>2812</v>
      </c>
      <c r="C549" s="178" t="s">
        <v>10</v>
      </c>
      <c r="D549" s="170" t="s">
        <v>11</v>
      </c>
      <c r="E549" s="170" t="s">
        <v>12</v>
      </c>
      <c r="H549" s="207" t="s">
        <v>2813</v>
      </c>
      <c r="I549" s="182" t="s">
        <v>10</v>
      </c>
      <c r="J549" s="182" t="s">
        <v>2813</v>
      </c>
      <c r="K549" s="182" t="s">
        <v>2814</v>
      </c>
      <c r="L549" s="182" t="s">
        <v>53</v>
      </c>
      <c r="M549"/>
      <c r="R549"/>
      <c r="T549"/>
    </row>
    <row r="550" spans="1:20">
      <c r="A550" s="170" t="s">
        <v>2815</v>
      </c>
      <c r="B550" s="170" t="s">
        <v>2816</v>
      </c>
      <c r="C550" s="178" t="s">
        <v>10</v>
      </c>
      <c r="D550" s="170" t="s">
        <v>11</v>
      </c>
      <c r="E550" s="170" t="s">
        <v>12</v>
      </c>
      <c r="H550" s="207">
        <v>514546</v>
      </c>
      <c r="I550" s="182" t="s">
        <v>2817</v>
      </c>
      <c r="J550" s="182" t="s">
        <v>2818</v>
      </c>
      <c r="K550" s="182"/>
      <c r="L550" s="182" t="s">
        <v>15</v>
      </c>
      <c r="M550"/>
      <c r="R550"/>
      <c r="T550"/>
    </row>
    <row r="551" spans="1:20">
      <c r="A551" s="170" t="s">
        <v>2819</v>
      </c>
      <c r="B551" s="170" t="s">
        <v>2820</v>
      </c>
      <c r="C551" s="178" t="s">
        <v>10</v>
      </c>
      <c r="D551" s="170" t="s">
        <v>11</v>
      </c>
      <c r="E551" s="170" t="s">
        <v>12</v>
      </c>
      <c r="H551" s="207">
        <v>479476</v>
      </c>
      <c r="I551" s="182" t="s">
        <v>2821</v>
      </c>
      <c r="J551" s="182" t="s">
        <v>2822</v>
      </c>
      <c r="K551" s="182" t="s">
        <v>2823</v>
      </c>
      <c r="L551" s="182" t="s">
        <v>15</v>
      </c>
      <c r="M551"/>
      <c r="R551"/>
      <c r="T551"/>
    </row>
    <row r="552" spans="1:20">
      <c r="A552" s="170" t="s">
        <v>2824</v>
      </c>
      <c r="B552" s="170" t="s">
        <v>2825</v>
      </c>
      <c r="C552" s="178" t="s">
        <v>10</v>
      </c>
      <c r="D552" s="170" t="s">
        <v>11</v>
      </c>
      <c r="E552" s="170" t="s">
        <v>12</v>
      </c>
      <c r="H552" s="207">
        <v>518677</v>
      </c>
      <c r="I552" s="182" t="s">
        <v>2826</v>
      </c>
      <c r="J552" s="182" t="s">
        <v>2827</v>
      </c>
      <c r="K552" s="182" t="s">
        <v>2828</v>
      </c>
      <c r="L552" s="182" t="s">
        <v>15</v>
      </c>
      <c r="M552"/>
      <c r="R552"/>
      <c r="T552"/>
    </row>
    <row r="553" spans="1:20">
      <c r="A553" s="170" t="s">
        <v>2829</v>
      </c>
      <c r="B553" s="170" t="s">
        <v>2830</v>
      </c>
      <c r="C553" s="178" t="s">
        <v>10</v>
      </c>
      <c r="D553" s="170" t="s">
        <v>11</v>
      </c>
      <c r="E553" s="170" t="s">
        <v>12</v>
      </c>
      <c r="H553" s="207" t="s">
        <v>2831</v>
      </c>
      <c r="I553" s="182" t="s">
        <v>10</v>
      </c>
      <c r="J553" s="182" t="s">
        <v>2831</v>
      </c>
      <c r="K553" s="182" t="s">
        <v>2832</v>
      </c>
      <c r="L553" s="182" t="s">
        <v>19</v>
      </c>
      <c r="M553"/>
      <c r="R553"/>
      <c r="T553"/>
    </row>
    <row r="554" spans="1:20">
      <c r="A554" s="170" t="s">
        <v>2833</v>
      </c>
      <c r="B554" s="170" t="s">
        <v>2834</v>
      </c>
      <c r="C554" s="178" t="s">
        <v>10</v>
      </c>
      <c r="D554" s="170" t="s">
        <v>11</v>
      </c>
      <c r="E554" s="170" t="s">
        <v>12</v>
      </c>
      <c r="H554" s="207">
        <v>482358</v>
      </c>
      <c r="I554" s="182" t="s">
        <v>2835</v>
      </c>
      <c r="J554" s="182" t="s">
        <v>2836</v>
      </c>
      <c r="K554" s="182" t="s">
        <v>2837</v>
      </c>
      <c r="L554" s="182" t="s">
        <v>15</v>
      </c>
      <c r="M554"/>
      <c r="R554"/>
      <c r="T554"/>
    </row>
    <row r="555" spans="1:20">
      <c r="A555" s="170" t="s">
        <v>2838</v>
      </c>
      <c r="B555" s="170" t="s">
        <v>2839</v>
      </c>
      <c r="C555" s="178" t="s">
        <v>10</v>
      </c>
      <c r="D555" s="170" t="s">
        <v>11</v>
      </c>
      <c r="E555" s="170" t="s">
        <v>12</v>
      </c>
      <c r="H555" s="207" t="s">
        <v>2840</v>
      </c>
      <c r="I555" s="182" t="s">
        <v>10</v>
      </c>
      <c r="J555" s="182" t="s">
        <v>2840</v>
      </c>
      <c r="K555" s="182" t="s">
        <v>2841</v>
      </c>
      <c r="L555" s="182" t="s">
        <v>53</v>
      </c>
      <c r="M555"/>
      <c r="R555"/>
      <c r="T555"/>
    </row>
    <row r="556" spans="1:20">
      <c r="A556" s="170" t="s">
        <v>2842</v>
      </c>
      <c r="B556" s="170" t="s">
        <v>2843</v>
      </c>
      <c r="C556" s="178" t="s">
        <v>10</v>
      </c>
      <c r="D556" s="170" t="s">
        <v>11</v>
      </c>
      <c r="E556" s="170" t="s">
        <v>12</v>
      </c>
      <c r="H556" s="207">
        <v>455581</v>
      </c>
      <c r="I556" s="182" t="s">
        <v>2844</v>
      </c>
      <c r="J556" s="182" t="s">
        <v>2845</v>
      </c>
      <c r="K556" s="182"/>
      <c r="L556" s="182" t="s">
        <v>15</v>
      </c>
      <c r="M556"/>
      <c r="R556"/>
      <c r="T556"/>
    </row>
    <row r="557" spans="1:20">
      <c r="A557" s="170" t="s">
        <v>2846</v>
      </c>
      <c r="B557" s="170" t="s">
        <v>2847</v>
      </c>
      <c r="C557" s="178" t="s">
        <v>10</v>
      </c>
      <c r="D557" s="170" t="s">
        <v>11</v>
      </c>
      <c r="E557" s="170" t="s">
        <v>12</v>
      </c>
      <c r="H557" s="207">
        <v>519887</v>
      </c>
      <c r="I557" s="182" t="s">
        <v>2848</v>
      </c>
      <c r="J557" s="182" t="s">
        <v>2849</v>
      </c>
      <c r="K557" s="182" t="s">
        <v>2850</v>
      </c>
      <c r="L557" s="182" t="s">
        <v>15</v>
      </c>
      <c r="M557"/>
      <c r="R557"/>
      <c r="T557"/>
    </row>
    <row r="558" spans="1:20">
      <c r="A558" s="170" t="s">
        <v>2851</v>
      </c>
      <c r="B558" s="170" t="s">
        <v>2852</v>
      </c>
      <c r="C558" s="178" t="s">
        <v>10</v>
      </c>
      <c r="D558" s="170" t="s">
        <v>11</v>
      </c>
      <c r="E558" s="170" t="s">
        <v>12</v>
      </c>
      <c r="H558" s="207">
        <v>503472</v>
      </c>
      <c r="I558" s="182" t="s">
        <v>2853</v>
      </c>
      <c r="J558" s="182" t="s">
        <v>2854</v>
      </c>
      <c r="K558" s="182" t="s">
        <v>2855</v>
      </c>
      <c r="L558" s="182" t="s">
        <v>15</v>
      </c>
      <c r="M558"/>
      <c r="R558"/>
      <c r="T558"/>
    </row>
    <row r="559" spans="1:20">
      <c r="A559" s="170" t="s">
        <v>2856</v>
      </c>
      <c r="B559" s="170" t="s">
        <v>2857</v>
      </c>
      <c r="C559" s="170"/>
      <c r="D559" s="170" t="s">
        <v>11</v>
      </c>
      <c r="E559" s="170" t="s">
        <v>12</v>
      </c>
      <c r="H559" s="207">
        <v>451075</v>
      </c>
      <c r="I559" s="182" t="s">
        <v>2858</v>
      </c>
      <c r="J559" s="182" t="s">
        <v>2859</v>
      </c>
      <c r="K559" s="182" t="s">
        <v>2860</v>
      </c>
      <c r="L559" s="182" t="s">
        <v>15</v>
      </c>
      <c r="M559"/>
      <c r="R559"/>
      <c r="T559"/>
    </row>
    <row r="560" spans="1:20">
      <c r="A560" s="170" t="s">
        <v>2861</v>
      </c>
      <c r="B560" s="170" t="s">
        <v>2862</v>
      </c>
      <c r="C560" s="170"/>
      <c r="D560" s="170" t="s">
        <v>11</v>
      </c>
      <c r="E560" s="170" t="s">
        <v>12</v>
      </c>
      <c r="H560" s="207">
        <v>504729</v>
      </c>
      <c r="I560" s="182" t="s">
        <v>2863</v>
      </c>
      <c r="J560" s="182" t="s">
        <v>2864</v>
      </c>
      <c r="K560" s="182" t="s">
        <v>2865</v>
      </c>
      <c r="L560" s="182" t="s">
        <v>15</v>
      </c>
      <c r="M560"/>
      <c r="R560"/>
      <c r="T560"/>
    </row>
    <row r="561" spans="1:20">
      <c r="A561" s="170" t="s">
        <v>2866</v>
      </c>
      <c r="B561" s="170" t="s">
        <v>2867</v>
      </c>
      <c r="C561" s="170"/>
      <c r="D561" s="170" t="s">
        <v>11</v>
      </c>
      <c r="E561" s="170" t="s">
        <v>12</v>
      </c>
      <c r="H561" s="207">
        <v>472973</v>
      </c>
      <c r="I561" s="182" t="s">
        <v>2868</v>
      </c>
      <c r="J561" s="182" t="s">
        <v>2869</v>
      </c>
      <c r="K561" s="182" t="s">
        <v>2870</v>
      </c>
      <c r="L561" s="182" t="s">
        <v>15</v>
      </c>
      <c r="M561"/>
      <c r="R561"/>
      <c r="T561"/>
    </row>
    <row r="562" spans="1:20">
      <c r="A562" s="170" t="s">
        <v>2871</v>
      </c>
      <c r="B562" s="170" t="s">
        <v>2872</v>
      </c>
      <c r="C562" s="170"/>
      <c r="D562" s="170" t="s">
        <v>11</v>
      </c>
      <c r="E562" s="170" t="s">
        <v>12</v>
      </c>
      <c r="H562" s="207">
        <v>513210</v>
      </c>
      <c r="I562" s="182" t="s">
        <v>2873</v>
      </c>
      <c r="J562" s="182" t="s">
        <v>2874</v>
      </c>
      <c r="K562" s="182" t="s">
        <v>2875</v>
      </c>
      <c r="L562" s="182" t="s">
        <v>15</v>
      </c>
      <c r="M562"/>
      <c r="R562"/>
      <c r="T562"/>
    </row>
    <row r="563" spans="1:20">
      <c r="A563" s="170" t="s">
        <v>2876</v>
      </c>
      <c r="B563" s="170" t="s">
        <v>2877</v>
      </c>
      <c r="C563" s="170"/>
      <c r="D563" s="170" t="s">
        <v>11</v>
      </c>
      <c r="E563" s="170" t="s">
        <v>12</v>
      </c>
      <c r="H563" s="207">
        <v>444463</v>
      </c>
      <c r="I563" s="182" t="s">
        <v>2878</v>
      </c>
      <c r="J563" s="182" t="s">
        <v>2879</v>
      </c>
      <c r="K563" s="182" t="s">
        <v>2880</v>
      </c>
      <c r="L563" s="182" t="s">
        <v>15</v>
      </c>
      <c r="M563"/>
      <c r="R563"/>
      <c r="T563"/>
    </row>
    <row r="564" spans="1:20">
      <c r="A564" s="170" t="s">
        <v>2881</v>
      </c>
      <c r="B564" s="170" t="s">
        <v>2882</v>
      </c>
      <c r="C564" s="170"/>
      <c r="D564" s="170" t="s">
        <v>11</v>
      </c>
      <c r="E564" s="170" t="s">
        <v>12</v>
      </c>
      <c r="H564" s="207">
        <v>505406</v>
      </c>
      <c r="I564" s="182" t="s">
        <v>2883</v>
      </c>
      <c r="J564" s="182" t="s">
        <v>2884</v>
      </c>
      <c r="K564" s="182" t="s">
        <v>2885</v>
      </c>
      <c r="L564" s="182" t="s">
        <v>15</v>
      </c>
      <c r="M564"/>
      <c r="R564"/>
      <c r="T564"/>
    </row>
    <row r="565" spans="1:20">
      <c r="A565" s="170" t="s">
        <v>2886</v>
      </c>
      <c r="B565" s="170" t="s">
        <v>2887</v>
      </c>
      <c r="C565" s="170"/>
      <c r="D565" s="170" t="s">
        <v>11</v>
      </c>
      <c r="E565" s="170" t="s">
        <v>12</v>
      </c>
      <c r="H565" s="207">
        <v>497845</v>
      </c>
      <c r="I565" s="182" t="s">
        <v>2888</v>
      </c>
      <c r="J565" s="182" t="s">
        <v>2889</v>
      </c>
      <c r="K565" s="182" t="s">
        <v>2890</v>
      </c>
      <c r="L565" s="182" t="s">
        <v>15</v>
      </c>
      <c r="M565"/>
      <c r="R565"/>
      <c r="T565"/>
    </row>
    <row r="566" spans="1:20">
      <c r="A566" s="170" t="s">
        <v>2891</v>
      </c>
      <c r="B566" s="170" t="s">
        <v>2892</v>
      </c>
      <c r="C566" s="170"/>
      <c r="D566" s="170" t="s">
        <v>11</v>
      </c>
      <c r="E566" s="170" t="s">
        <v>12</v>
      </c>
      <c r="H566" s="207">
        <v>461712</v>
      </c>
      <c r="I566" s="182" t="s">
        <v>2893</v>
      </c>
      <c r="J566" s="182" t="s">
        <v>2894</v>
      </c>
      <c r="K566" s="182" t="s">
        <v>2895</v>
      </c>
      <c r="L566" s="182" t="s">
        <v>15</v>
      </c>
      <c r="M566"/>
      <c r="R566"/>
      <c r="T566"/>
    </row>
    <row r="567" spans="1:20">
      <c r="A567" s="170" t="s">
        <v>2896</v>
      </c>
      <c r="B567" s="170" t="s">
        <v>2897</v>
      </c>
      <c r="C567" s="170"/>
      <c r="D567" s="170" t="s">
        <v>11</v>
      </c>
      <c r="E567" s="170" t="s">
        <v>12</v>
      </c>
      <c r="H567" s="207">
        <v>459217</v>
      </c>
      <c r="I567" s="182" t="s">
        <v>2898</v>
      </c>
      <c r="J567" s="182" t="s">
        <v>2899</v>
      </c>
      <c r="K567" s="182" t="s">
        <v>2900</v>
      </c>
      <c r="L567" s="182" t="s">
        <v>15</v>
      </c>
      <c r="M567"/>
      <c r="R567"/>
      <c r="T567"/>
    </row>
    <row r="568" spans="1:20">
      <c r="A568" s="170" t="s">
        <v>2901</v>
      </c>
      <c r="B568" s="170" t="s">
        <v>2902</v>
      </c>
      <c r="C568" s="170"/>
      <c r="D568" s="170" t="s">
        <v>11</v>
      </c>
      <c r="E568" s="170" t="s">
        <v>12</v>
      </c>
      <c r="H568" s="207">
        <v>801886</v>
      </c>
      <c r="I568" s="182" t="s">
        <v>2903</v>
      </c>
      <c r="J568" s="182" t="s">
        <v>2904</v>
      </c>
      <c r="K568" s="182" t="s">
        <v>2905</v>
      </c>
      <c r="L568" s="182" t="s">
        <v>15</v>
      </c>
      <c r="M568"/>
      <c r="R568"/>
      <c r="T568"/>
    </row>
    <row r="569" spans="1:20">
      <c r="A569" s="170" t="s">
        <v>2906</v>
      </c>
      <c r="B569" s="170" t="s">
        <v>2907</v>
      </c>
      <c r="C569" s="170"/>
      <c r="D569" s="170" t="s">
        <v>11</v>
      </c>
      <c r="E569" s="170" t="s">
        <v>12</v>
      </c>
      <c r="H569" s="207">
        <v>406913</v>
      </c>
      <c r="I569" s="182" t="s">
        <v>2908</v>
      </c>
      <c r="J569" s="182" t="s">
        <v>2909</v>
      </c>
      <c r="K569" s="182" t="s">
        <v>2910</v>
      </c>
      <c r="L569" s="182" t="s">
        <v>15</v>
      </c>
      <c r="M569"/>
      <c r="R569"/>
      <c r="T569"/>
    </row>
    <row r="570" spans="1:20">
      <c r="A570" s="170" t="s">
        <v>2911</v>
      </c>
      <c r="B570" s="170" t="s">
        <v>2912</v>
      </c>
      <c r="C570" s="170"/>
      <c r="D570" s="170" t="s">
        <v>11</v>
      </c>
      <c r="E570" s="170" t="s">
        <v>12</v>
      </c>
      <c r="H570" s="207">
        <v>519819</v>
      </c>
      <c r="I570" s="182" t="s">
        <v>2913</v>
      </c>
      <c r="J570" s="182" t="s">
        <v>2914</v>
      </c>
      <c r="K570" s="182" t="s">
        <v>2915</v>
      </c>
      <c r="L570" s="182" t="s">
        <v>15</v>
      </c>
      <c r="M570"/>
      <c r="R570"/>
      <c r="T570"/>
    </row>
    <row r="571" spans="1:20">
      <c r="A571" s="170" t="s">
        <v>2916</v>
      </c>
      <c r="B571" s="170" t="s">
        <v>2917</v>
      </c>
      <c r="C571" s="170"/>
      <c r="D571" s="170" t="s">
        <v>11</v>
      </c>
      <c r="E571" s="170" t="s">
        <v>12</v>
      </c>
      <c r="H571" s="207">
        <v>485486</v>
      </c>
      <c r="I571" s="182" t="s">
        <v>2918</v>
      </c>
      <c r="J571" s="182" t="s">
        <v>2919</v>
      </c>
      <c r="K571" s="182" t="s">
        <v>2920</v>
      </c>
      <c r="L571" s="182" t="s">
        <v>15</v>
      </c>
      <c r="M571"/>
      <c r="R571"/>
      <c r="T571"/>
    </row>
    <row r="572" spans="1:20">
      <c r="A572" s="170" t="s">
        <v>2921</v>
      </c>
      <c r="B572" s="170" t="s">
        <v>2922</v>
      </c>
      <c r="C572" s="170"/>
      <c r="D572" s="170" t="s">
        <v>11</v>
      </c>
      <c r="E572" s="170" t="s">
        <v>12</v>
      </c>
      <c r="H572" s="207">
        <v>507795</v>
      </c>
      <c r="I572" s="182" t="s">
        <v>2923</v>
      </c>
      <c r="J572" s="182" t="s">
        <v>2924</v>
      </c>
      <c r="K572" s="182" t="s">
        <v>2925</v>
      </c>
      <c r="L572" s="182" t="s">
        <v>15</v>
      </c>
      <c r="M572"/>
      <c r="R572"/>
      <c r="T572"/>
    </row>
    <row r="573" spans="1:20">
      <c r="A573" s="170" t="s">
        <v>2926</v>
      </c>
      <c r="B573" s="170" t="s">
        <v>2927</v>
      </c>
      <c r="C573" s="170"/>
      <c r="D573" s="170" t="s">
        <v>11</v>
      </c>
      <c r="E573" s="170" t="s">
        <v>12</v>
      </c>
      <c r="H573" s="207">
        <v>332779</v>
      </c>
      <c r="I573" s="182" t="s">
        <v>2928</v>
      </c>
      <c r="J573" s="182" t="s">
        <v>2929</v>
      </c>
      <c r="K573" s="182" t="s">
        <v>2930</v>
      </c>
      <c r="L573" s="182" t="s">
        <v>15</v>
      </c>
      <c r="M573"/>
      <c r="R573"/>
      <c r="T573"/>
    </row>
    <row r="574" spans="1:20">
      <c r="A574" s="170" t="s">
        <v>2931</v>
      </c>
      <c r="B574" s="170" t="s">
        <v>2932</v>
      </c>
      <c r="C574" s="170"/>
      <c r="D574" s="170" t="s">
        <v>11</v>
      </c>
      <c r="E574" s="170" t="s">
        <v>12</v>
      </c>
      <c r="H574" s="207">
        <v>481193</v>
      </c>
      <c r="I574" s="182" t="s">
        <v>2933</v>
      </c>
      <c r="J574" s="182" t="s">
        <v>2934</v>
      </c>
      <c r="K574" s="182" t="s">
        <v>2935</v>
      </c>
      <c r="L574" s="182" t="s">
        <v>15</v>
      </c>
      <c r="M574"/>
      <c r="R574"/>
      <c r="T574"/>
    </row>
    <row r="575" spans="1:20">
      <c r="A575" s="170" t="s">
        <v>2936</v>
      </c>
      <c r="B575" s="170" t="s">
        <v>2937</v>
      </c>
      <c r="C575" s="170"/>
      <c r="D575" s="170" t="s">
        <v>11</v>
      </c>
      <c r="E575" s="170" t="s">
        <v>12</v>
      </c>
      <c r="H575" s="207" t="s">
        <v>2938</v>
      </c>
      <c r="I575" s="182" t="s">
        <v>10</v>
      </c>
      <c r="J575" s="182" t="s">
        <v>2938</v>
      </c>
      <c r="K575" s="182" t="s">
        <v>2939</v>
      </c>
      <c r="L575" s="182" t="s">
        <v>19</v>
      </c>
      <c r="M575"/>
      <c r="R575"/>
      <c r="T575"/>
    </row>
    <row r="576" spans="1:20">
      <c r="A576" s="170" t="s">
        <v>2940</v>
      </c>
      <c r="B576" s="170" t="s">
        <v>2941</v>
      </c>
      <c r="C576" s="170"/>
      <c r="D576" s="170" t="s">
        <v>11</v>
      </c>
      <c r="E576" s="170" t="s">
        <v>12</v>
      </c>
      <c r="H576" s="207">
        <v>205026</v>
      </c>
      <c r="I576" s="182" t="s">
        <v>2942</v>
      </c>
      <c r="J576" s="182" t="s">
        <v>2943</v>
      </c>
      <c r="K576" s="182" t="s">
        <v>2944</v>
      </c>
      <c r="L576" s="182" t="s">
        <v>15</v>
      </c>
      <c r="M576"/>
      <c r="R576"/>
      <c r="T576"/>
    </row>
    <row r="577" spans="1:20">
      <c r="A577" s="170" t="s">
        <v>2945</v>
      </c>
      <c r="B577" s="170" t="s">
        <v>2946</v>
      </c>
      <c r="C577" s="170"/>
      <c r="D577" s="170" t="s">
        <v>11</v>
      </c>
      <c r="E577" s="170" t="s">
        <v>12</v>
      </c>
      <c r="H577" s="207">
        <v>451389</v>
      </c>
      <c r="I577" s="182" t="s">
        <v>2947</v>
      </c>
      <c r="J577" s="182" t="s">
        <v>2948</v>
      </c>
      <c r="K577" s="182" t="s">
        <v>2949</v>
      </c>
      <c r="L577" s="182" t="s">
        <v>15</v>
      </c>
      <c r="M577"/>
      <c r="R577"/>
      <c r="T577"/>
    </row>
    <row r="578" spans="1:20">
      <c r="A578" s="170" t="s">
        <v>2950</v>
      </c>
      <c r="B578" s="170" t="s">
        <v>2951</v>
      </c>
      <c r="C578" s="170"/>
      <c r="D578" s="170" t="s">
        <v>11</v>
      </c>
      <c r="E578" s="170" t="s">
        <v>12</v>
      </c>
      <c r="H578" s="207">
        <v>486177</v>
      </c>
      <c r="I578" s="182" t="s">
        <v>2952</v>
      </c>
      <c r="J578" s="182" t="s">
        <v>2953</v>
      </c>
      <c r="K578" s="182" t="s">
        <v>2954</v>
      </c>
      <c r="L578" s="182" t="s">
        <v>15</v>
      </c>
      <c r="M578"/>
      <c r="R578"/>
      <c r="T578"/>
    </row>
    <row r="579" spans="1:20">
      <c r="A579" s="170" t="s">
        <v>2955</v>
      </c>
      <c r="B579" s="170" t="s">
        <v>2956</v>
      </c>
      <c r="C579" s="170"/>
      <c r="D579" s="170" t="s">
        <v>11</v>
      </c>
      <c r="E579" s="170" t="s">
        <v>12</v>
      </c>
      <c r="H579" s="207">
        <v>151808</v>
      </c>
      <c r="I579" s="182" t="s">
        <v>2957</v>
      </c>
      <c r="J579" s="182" t="s">
        <v>2958</v>
      </c>
      <c r="K579" s="182"/>
      <c r="L579" s="182" t="s">
        <v>15</v>
      </c>
      <c r="M579"/>
      <c r="R579"/>
      <c r="T579"/>
    </row>
    <row r="580" spans="1:20">
      <c r="A580" s="170" t="s">
        <v>2959</v>
      </c>
      <c r="B580" s="170" t="s">
        <v>2960</v>
      </c>
      <c r="C580" s="170"/>
      <c r="D580" s="170" t="s">
        <v>11</v>
      </c>
      <c r="E580" s="170" t="s">
        <v>12</v>
      </c>
      <c r="H580" s="207">
        <v>496740</v>
      </c>
      <c r="I580" s="182" t="s">
        <v>2961</v>
      </c>
      <c r="J580" s="182" t="s">
        <v>2962</v>
      </c>
      <c r="K580" s="182"/>
      <c r="L580" s="182" t="s">
        <v>15</v>
      </c>
      <c r="M580"/>
      <c r="R580"/>
      <c r="T580"/>
    </row>
    <row r="581" spans="1:20">
      <c r="A581" s="170" t="s">
        <v>2963</v>
      </c>
      <c r="B581" s="170" t="s">
        <v>2964</v>
      </c>
      <c r="C581" s="170"/>
      <c r="D581" s="170" t="s">
        <v>11</v>
      </c>
      <c r="E581" s="170" t="s">
        <v>12</v>
      </c>
      <c r="H581" s="207" t="s">
        <v>2965</v>
      </c>
      <c r="I581" s="182" t="s">
        <v>10</v>
      </c>
      <c r="J581" s="182" t="s">
        <v>2965</v>
      </c>
      <c r="K581" s="182" t="s">
        <v>2966</v>
      </c>
      <c r="L581" s="182" t="s">
        <v>19</v>
      </c>
      <c r="M581"/>
      <c r="R581"/>
      <c r="T581"/>
    </row>
    <row r="582" spans="1:20">
      <c r="A582" s="170" t="s">
        <v>2967</v>
      </c>
      <c r="B582" s="170" t="s">
        <v>2968</v>
      </c>
      <c r="C582" s="170"/>
      <c r="D582" s="170" t="s">
        <v>11</v>
      </c>
      <c r="E582" s="170" t="s">
        <v>12</v>
      </c>
      <c r="H582" s="207">
        <v>496320</v>
      </c>
      <c r="I582" s="182" t="s">
        <v>2969</v>
      </c>
      <c r="J582" s="182" t="s">
        <v>2970</v>
      </c>
      <c r="K582" s="182" t="s">
        <v>2971</v>
      </c>
      <c r="L582" s="182" t="s">
        <v>15</v>
      </c>
      <c r="M582"/>
      <c r="R582"/>
      <c r="T582"/>
    </row>
    <row r="583" spans="1:20">
      <c r="A583" s="170" t="s">
        <v>2972</v>
      </c>
      <c r="B583" s="170" t="s">
        <v>2973</v>
      </c>
      <c r="C583" s="170"/>
      <c r="D583" s="170" t="s">
        <v>11</v>
      </c>
      <c r="E583" s="170" t="s">
        <v>12</v>
      </c>
      <c r="H583" s="207">
        <v>473700</v>
      </c>
      <c r="I583" s="182" t="s">
        <v>2974</v>
      </c>
      <c r="J583" s="182" t="s">
        <v>2975</v>
      </c>
      <c r="K583" s="182" t="s">
        <v>2976</v>
      </c>
      <c r="L583" s="182" t="s">
        <v>15</v>
      </c>
      <c r="M583"/>
      <c r="R583"/>
      <c r="T583"/>
    </row>
    <row r="584" spans="1:20">
      <c r="A584" s="170" t="s">
        <v>2977</v>
      </c>
      <c r="B584" s="170" t="s">
        <v>2978</v>
      </c>
      <c r="C584" s="170"/>
      <c r="D584" s="170" t="s">
        <v>11</v>
      </c>
      <c r="E584" s="170" t="s">
        <v>12</v>
      </c>
      <c r="H584" s="207">
        <v>328845</v>
      </c>
      <c r="I584" s="182" t="s">
        <v>2979</v>
      </c>
      <c r="J584" s="182" t="s">
        <v>2980</v>
      </c>
      <c r="K584" s="182"/>
      <c r="L584" s="182" t="s">
        <v>15</v>
      </c>
      <c r="M584"/>
      <c r="R584"/>
      <c r="T584"/>
    </row>
    <row r="585" spans="1:20">
      <c r="A585" s="170" t="s">
        <v>2981</v>
      </c>
      <c r="B585" s="170" t="s">
        <v>2982</v>
      </c>
      <c r="C585" s="170"/>
      <c r="D585" s="170" t="s">
        <v>11</v>
      </c>
      <c r="E585" s="170" t="s">
        <v>12</v>
      </c>
      <c r="H585" s="207">
        <v>457775</v>
      </c>
      <c r="I585" s="182" t="s">
        <v>2983</v>
      </c>
      <c r="J585" s="182" t="s">
        <v>2984</v>
      </c>
      <c r="K585" s="182" t="s">
        <v>2985</v>
      </c>
      <c r="L585" s="182" t="s">
        <v>15</v>
      </c>
      <c r="M585"/>
      <c r="R585"/>
      <c r="T585"/>
    </row>
    <row r="586" spans="1:20">
      <c r="A586" s="170" t="s">
        <v>2986</v>
      </c>
      <c r="B586" s="170" t="s">
        <v>2987</v>
      </c>
      <c r="C586" s="170"/>
      <c r="D586" s="170" t="s">
        <v>11</v>
      </c>
      <c r="E586" s="170" t="s">
        <v>12</v>
      </c>
      <c r="H586" s="207">
        <v>501851</v>
      </c>
      <c r="I586" s="182" t="s">
        <v>2988</v>
      </c>
      <c r="J586" s="182" t="s">
        <v>2989</v>
      </c>
      <c r="K586" s="182" t="s">
        <v>2990</v>
      </c>
      <c r="L586" s="182" t="s">
        <v>15</v>
      </c>
      <c r="M586"/>
      <c r="R586"/>
      <c r="T586"/>
    </row>
    <row r="587" spans="1:20">
      <c r="A587" s="170" t="s">
        <v>2991</v>
      </c>
      <c r="B587" s="170" t="s">
        <v>2992</v>
      </c>
      <c r="C587" s="170"/>
      <c r="D587" s="170" t="s">
        <v>11</v>
      </c>
      <c r="E587" s="170" t="s">
        <v>12</v>
      </c>
      <c r="H587" s="207">
        <v>223980</v>
      </c>
      <c r="I587" s="182" t="s">
        <v>2993</v>
      </c>
      <c r="J587" s="182" t="s">
        <v>2994</v>
      </c>
      <c r="K587" s="182" t="s">
        <v>2995</v>
      </c>
      <c r="L587" s="182" t="s">
        <v>15</v>
      </c>
      <c r="M587"/>
      <c r="R587"/>
      <c r="T587"/>
    </row>
    <row r="588" spans="1:20">
      <c r="A588" s="170" t="s">
        <v>2996</v>
      </c>
      <c r="B588" s="170" t="s">
        <v>2997</v>
      </c>
      <c r="C588" s="170"/>
      <c r="D588" s="170" t="s">
        <v>11</v>
      </c>
      <c r="E588" s="170" t="s">
        <v>12</v>
      </c>
      <c r="H588" s="207">
        <v>361616</v>
      </c>
      <c r="I588" s="182" t="s">
        <v>2998</v>
      </c>
      <c r="J588" s="182" t="s">
        <v>2999</v>
      </c>
      <c r="K588" s="182" t="s">
        <v>3000</v>
      </c>
      <c r="L588" s="182" t="s">
        <v>15</v>
      </c>
      <c r="M588"/>
      <c r="R588"/>
      <c r="T588"/>
    </row>
    <row r="589" spans="1:20">
      <c r="A589" s="170" t="s">
        <v>3001</v>
      </c>
      <c r="B589" s="170" t="s">
        <v>3002</v>
      </c>
      <c r="C589" s="170"/>
      <c r="D589" s="170" t="s">
        <v>11</v>
      </c>
      <c r="E589" s="170" t="s">
        <v>12</v>
      </c>
      <c r="H589" s="207">
        <v>467527</v>
      </c>
      <c r="I589" s="182" t="s">
        <v>3003</v>
      </c>
      <c r="J589" s="182" t="s">
        <v>3004</v>
      </c>
      <c r="K589" s="182" t="s">
        <v>3005</v>
      </c>
      <c r="L589" s="182" t="s">
        <v>15</v>
      </c>
      <c r="M589"/>
      <c r="R589"/>
      <c r="T589"/>
    </row>
    <row r="590" spans="1:20">
      <c r="A590" s="170" t="s">
        <v>3006</v>
      </c>
      <c r="B590" s="170" t="s">
        <v>3007</v>
      </c>
      <c r="C590" s="170"/>
      <c r="D590" s="170" t="s">
        <v>11</v>
      </c>
      <c r="E590" s="170" t="s">
        <v>12</v>
      </c>
      <c r="H590" s="207">
        <v>750850</v>
      </c>
      <c r="I590" s="182" t="s">
        <v>3008</v>
      </c>
      <c r="J590" s="182" t="s">
        <v>3009</v>
      </c>
      <c r="K590" s="182" t="s">
        <v>3010</v>
      </c>
      <c r="L590" s="182" t="s">
        <v>15</v>
      </c>
      <c r="M590"/>
      <c r="R590"/>
      <c r="T590"/>
    </row>
    <row r="591" spans="1:20">
      <c r="A591" s="170" t="s">
        <v>3011</v>
      </c>
      <c r="B591" s="170" t="s">
        <v>3012</v>
      </c>
      <c r="C591" s="170"/>
      <c r="D591" s="170" t="s">
        <v>11</v>
      </c>
      <c r="E591" s="170" t="s">
        <v>12</v>
      </c>
      <c r="H591" s="207">
        <v>478686</v>
      </c>
      <c r="I591" s="182" t="s">
        <v>3013</v>
      </c>
      <c r="J591" s="182" t="s">
        <v>3014</v>
      </c>
      <c r="K591" s="182" t="s">
        <v>3015</v>
      </c>
      <c r="L591" s="182" t="s">
        <v>15</v>
      </c>
      <c r="M591"/>
      <c r="R591"/>
      <c r="T591"/>
    </row>
    <row r="592" spans="1:20">
      <c r="A592" s="170" t="s">
        <v>3016</v>
      </c>
      <c r="B592" s="170" t="s">
        <v>3017</v>
      </c>
      <c r="C592" s="170"/>
      <c r="D592" s="170" t="s">
        <v>11</v>
      </c>
      <c r="E592" s="170" t="s">
        <v>12</v>
      </c>
      <c r="H592" s="207">
        <v>88487</v>
      </c>
      <c r="I592" s="182" t="s">
        <v>3018</v>
      </c>
      <c r="J592" s="182" t="s">
        <v>3019</v>
      </c>
      <c r="K592" s="182" t="s">
        <v>3020</v>
      </c>
      <c r="L592" s="182" t="s">
        <v>415</v>
      </c>
      <c r="M592"/>
      <c r="R592"/>
      <c r="T592"/>
    </row>
    <row r="593" spans="1:20">
      <c r="A593" s="170" t="s">
        <v>3021</v>
      </c>
      <c r="B593" s="170" t="s">
        <v>3022</v>
      </c>
      <c r="C593" s="170"/>
      <c r="D593" s="170" t="s">
        <v>11</v>
      </c>
      <c r="E593" s="170" t="s">
        <v>12</v>
      </c>
      <c r="H593" s="207">
        <v>492799</v>
      </c>
      <c r="I593" s="182" t="s">
        <v>3023</v>
      </c>
      <c r="J593" s="182" t="s">
        <v>3024</v>
      </c>
      <c r="K593" s="182" t="s">
        <v>3025</v>
      </c>
      <c r="L593" s="182" t="s">
        <v>15</v>
      </c>
      <c r="M593"/>
      <c r="R593"/>
      <c r="T593"/>
    </row>
    <row r="594" spans="1:20">
      <c r="A594" s="170" t="s">
        <v>3026</v>
      </c>
      <c r="B594" s="170" t="s">
        <v>3027</v>
      </c>
      <c r="C594" s="170"/>
      <c r="D594" s="170" t="s">
        <v>11</v>
      </c>
      <c r="E594" s="170" t="s">
        <v>12</v>
      </c>
      <c r="H594" s="207">
        <v>290105</v>
      </c>
      <c r="I594" s="182" t="s">
        <v>3028</v>
      </c>
      <c r="J594" s="182" t="s">
        <v>3029</v>
      </c>
      <c r="K594" s="182" t="s">
        <v>3030</v>
      </c>
      <c r="L594" s="182" t="s">
        <v>415</v>
      </c>
      <c r="M594"/>
      <c r="R594"/>
      <c r="T594"/>
    </row>
    <row r="595" spans="1:20">
      <c r="A595" s="170" t="s">
        <v>3031</v>
      </c>
      <c r="B595" s="170" t="s">
        <v>3032</v>
      </c>
      <c r="C595" s="170"/>
      <c r="D595" s="170" t="s">
        <v>11</v>
      </c>
      <c r="E595" s="170" t="s">
        <v>12</v>
      </c>
      <c r="H595" s="207">
        <v>485253</v>
      </c>
      <c r="I595" s="182" t="s">
        <v>3033</v>
      </c>
      <c r="J595" s="182" t="s">
        <v>3034</v>
      </c>
      <c r="K595" s="182"/>
      <c r="L595" s="182" t="s">
        <v>15</v>
      </c>
      <c r="M595"/>
      <c r="R595"/>
      <c r="T595"/>
    </row>
    <row r="596" spans="1:20">
      <c r="A596" s="170" t="s">
        <v>3035</v>
      </c>
      <c r="B596" s="170" t="s">
        <v>3036</v>
      </c>
      <c r="C596" s="170"/>
      <c r="D596" s="170" t="s">
        <v>11</v>
      </c>
      <c r="E596" s="170" t="s">
        <v>12</v>
      </c>
      <c r="H596" s="207">
        <v>519208</v>
      </c>
      <c r="I596" s="182" t="s">
        <v>3037</v>
      </c>
      <c r="J596" s="182" t="s">
        <v>3038</v>
      </c>
      <c r="K596" s="182"/>
      <c r="L596" s="182" t="s">
        <v>15</v>
      </c>
      <c r="M596"/>
      <c r="R596"/>
      <c r="T596"/>
    </row>
    <row r="597" spans="1:20">
      <c r="A597" s="170" t="s">
        <v>3039</v>
      </c>
      <c r="B597" s="170" t="s">
        <v>3040</v>
      </c>
      <c r="C597" s="170"/>
      <c r="D597" s="170" t="s">
        <v>11</v>
      </c>
      <c r="E597" s="170" t="s">
        <v>12</v>
      </c>
      <c r="H597" s="207">
        <v>509505</v>
      </c>
      <c r="I597" s="182" t="s">
        <v>3041</v>
      </c>
      <c r="J597" s="182" t="s">
        <v>3042</v>
      </c>
      <c r="K597" s="182"/>
      <c r="L597" s="182" t="s">
        <v>15</v>
      </c>
      <c r="M597"/>
      <c r="R597"/>
      <c r="T597"/>
    </row>
    <row r="598" spans="1:20">
      <c r="A598" s="170" t="s">
        <v>3043</v>
      </c>
      <c r="B598" s="170" t="s">
        <v>3044</v>
      </c>
      <c r="C598" s="170"/>
      <c r="D598" s="170" t="s">
        <v>11</v>
      </c>
      <c r="E598" s="170" t="s">
        <v>12</v>
      </c>
      <c r="H598" s="207">
        <v>389199</v>
      </c>
      <c r="I598" s="182" t="s">
        <v>3045</v>
      </c>
      <c r="J598" s="182" t="s">
        <v>3046</v>
      </c>
      <c r="K598" s="182" t="s">
        <v>3047</v>
      </c>
      <c r="L598" s="182" t="s">
        <v>15</v>
      </c>
      <c r="M598"/>
      <c r="R598"/>
      <c r="T598"/>
    </row>
    <row r="599" spans="1:20">
      <c r="A599" s="170" t="s">
        <v>3048</v>
      </c>
      <c r="B599" s="170" t="s">
        <v>3049</v>
      </c>
      <c r="C599" s="170"/>
      <c r="D599" s="170" t="s">
        <v>11</v>
      </c>
      <c r="E599" s="170" t="s">
        <v>12</v>
      </c>
      <c r="H599" s="207" t="s">
        <v>3050</v>
      </c>
      <c r="I599" s="182" t="s">
        <v>10</v>
      </c>
      <c r="J599" s="182" t="s">
        <v>3050</v>
      </c>
      <c r="K599" s="182" t="s">
        <v>3051</v>
      </c>
      <c r="L599" s="182" t="s">
        <v>53</v>
      </c>
      <c r="M599"/>
      <c r="R599"/>
      <c r="T599"/>
    </row>
    <row r="600" spans="1:20">
      <c r="A600" s="170" t="s">
        <v>3052</v>
      </c>
      <c r="B600" s="170" t="s">
        <v>3053</v>
      </c>
      <c r="C600" s="170"/>
      <c r="D600" s="170" t="s">
        <v>11</v>
      </c>
      <c r="E600" s="170" t="s">
        <v>12</v>
      </c>
      <c r="H600" s="207">
        <v>458925</v>
      </c>
      <c r="I600" s="182" t="s">
        <v>3054</v>
      </c>
      <c r="J600" s="182" t="s">
        <v>3055</v>
      </c>
      <c r="K600" s="182" t="s">
        <v>3056</v>
      </c>
      <c r="L600" s="182" t="s">
        <v>15</v>
      </c>
      <c r="M600"/>
      <c r="R600"/>
      <c r="T600"/>
    </row>
    <row r="601" spans="1:20">
      <c r="A601" s="170" t="s">
        <v>3057</v>
      </c>
      <c r="B601" s="170" t="s">
        <v>3058</v>
      </c>
      <c r="C601" s="170"/>
      <c r="D601" s="170" t="s">
        <v>11</v>
      </c>
      <c r="E601" s="170" t="s">
        <v>12</v>
      </c>
      <c r="H601" s="207">
        <v>446034</v>
      </c>
      <c r="I601" s="182" t="s">
        <v>3059</v>
      </c>
      <c r="J601" s="182" t="s">
        <v>3060</v>
      </c>
      <c r="K601" s="182" t="s">
        <v>3061</v>
      </c>
      <c r="L601" s="182" t="s">
        <v>15</v>
      </c>
      <c r="M601"/>
      <c r="R601"/>
      <c r="T601"/>
    </row>
    <row r="602" spans="1:20">
      <c r="A602" s="170" t="s">
        <v>3062</v>
      </c>
      <c r="B602" s="170" t="s">
        <v>3063</v>
      </c>
      <c r="C602" s="170"/>
      <c r="D602" s="170" t="s">
        <v>11</v>
      </c>
      <c r="E602" s="170" t="s">
        <v>12</v>
      </c>
      <c r="H602" s="207">
        <v>432816</v>
      </c>
      <c r="I602" s="182" t="s">
        <v>3064</v>
      </c>
      <c r="J602" s="182" t="s">
        <v>3065</v>
      </c>
      <c r="K602" s="182"/>
      <c r="L602" s="182" t="s">
        <v>15</v>
      </c>
      <c r="M602"/>
      <c r="R602"/>
      <c r="T602"/>
    </row>
    <row r="603" spans="1:20">
      <c r="A603" s="170" t="s">
        <v>3066</v>
      </c>
      <c r="B603" s="170" t="s">
        <v>3067</v>
      </c>
      <c r="C603" s="170"/>
      <c r="D603" s="170" t="s">
        <v>11</v>
      </c>
      <c r="E603" s="170" t="s">
        <v>12</v>
      </c>
      <c r="H603" s="207">
        <v>466513</v>
      </c>
      <c r="I603" s="182" t="s">
        <v>3068</v>
      </c>
      <c r="J603" s="182" t="s">
        <v>3069</v>
      </c>
      <c r="K603" s="182" t="s">
        <v>3070</v>
      </c>
      <c r="L603" s="182" t="s">
        <v>15</v>
      </c>
      <c r="M603"/>
      <c r="R603"/>
      <c r="T603"/>
    </row>
    <row r="604" spans="1:20">
      <c r="A604" s="170" t="s">
        <v>3071</v>
      </c>
      <c r="B604" s="170" t="s">
        <v>3072</v>
      </c>
      <c r="C604" s="170"/>
      <c r="D604" s="170" t="s">
        <v>11</v>
      </c>
      <c r="E604" s="170" t="s">
        <v>12</v>
      </c>
      <c r="H604" s="207">
        <v>433780</v>
      </c>
      <c r="I604" s="182" t="s">
        <v>3073</v>
      </c>
      <c r="J604" s="182" t="s">
        <v>3074</v>
      </c>
      <c r="K604" s="182" t="s">
        <v>3075</v>
      </c>
      <c r="L604" s="182" t="s">
        <v>15</v>
      </c>
      <c r="M604"/>
      <c r="R604"/>
      <c r="T604"/>
    </row>
    <row r="605" spans="1:20">
      <c r="A605" s="170" t="s">
        <v>3076</v>
      </c>
      <c r="B605" s="170" t="s">
        <v>3077</v>
      </c>
      <c r="C605" s="170"/>
      <c r="D605" s="170" t="s">
        <v>11</v>
      </c>
      <c r="E605" s="170" t="s">
        <v>12</v>
      </c>
      <c r="H605" s="207">
        <v>481191</v>
      </c>
      <c r="I605" s="182" t="s">
        <v>3078</v>
      </c>
      <c r="J605" s="182" t="s">
        <v>3079</v>
      </c>
      <c r="K605" s="182" t="s">
        <v>3080</v>
      </c>
      <c r="L605" s="182" t="s">
        <v>15</v>
      </c>
      <c r="M605"/>
      <c r="R605"/>
      <c r="T605"/>
    </row>
    <row r="606" spans="1:20">
      <c r="A606" s="170" t="s">
        <v>3081</v>
      </c>
      <c r="B606" s="170" t="s">
        <v>3082</v>
      </c>
      <c r="C606" s="170"/>
      <c r="D606" s="170" t="s">
        <v>11</v>
      </c>
      <c r="E606" s="170" t="s">
        <v>12</v>
      </c>
      <c r="H606" s="207">
        <v>444875</v>
      </c>
      <c r="I606" s="182" t="s">
        <v>3083</v>
      </c>
      <c r="J606" s="182" t="s">
        <v>3084</v>
      </c>
      <c r="K606" s="182" t="s">
        <v>3085</v>
      </c>
      <c r="L606" s="182" t="s">
        <v>15</v>
      </c>
      <c r="M606"/>
      <c r="R606"/>
      <c r="T606"/>
    </row>
    <row r="607" spans="1:20">
      <c r="A607" s="170" t="s">
        <v>3086</v>
      </c>
      <c r="B607" s="170" t="s">
        <v>3087</v>
      </c>
      <c r="C607" s="170"/>
      <c r="D607" s="170" t="s">
        <v>11</v>
      </c>
      <c r="E607" s="170" t="s">
        <v>12</v>
      </c>
      <c r="H607" s="207">
        <v>498728</v>
      </c>
      <c r="I607" s="182" t="s">
        <v>3088</v>
      </c>
      <c r="J607" s="182" t="s">
        <v>3089</v>
      </c>
      <c r="K607" s="182"/>
      <c r="L607" s="182" t="s">
        <v>15</v>
      </c>
      <c r="M607"/>
      <c r="R607"/>
      <c r="T607"/>
    </row>
    <row r="608" spans="1:20">
      <c r="A608" s="170" t="s">
        <v>3090</v>
      </c>
      <c r="B608" s="170" t="s">
        <v>3091</v>
      </c>
      <c r="C608" s="170"/>
      <c r="D608" s="170" t="s">
        <v>11</v>
      </c>
      <c r="E608" s="170" t="s">
        <v>12</v>
      </c>
      <c r="H608" s="207">
        <v>496575</v>
      </c>
      <c r="I608" s="182" t="s">
        <v>3092</v>
      </c>
      <c r="J608" s="182" t="s">
        <v>3093</v>
      </c>
      <c r="K608" s="182" t="s">
        <v>3094</v>
      </c>
      <c r="L608" s="182" t="s">
        <v>15</v>
      </c>
      <c r="M608"/>
      <c r="R608"/>
      <c r="T608"/>
    </row>
    <row r="609" spans="1:20">
      <c r="A609" s="170" t="s">
        <v>3095</v>
      </c>
      <c r="B609" s="170" t="s">
        <v>3096</v>
      </c>
      <c r="C609" s="170"/>
      <c r="D609" s="170" t="s">
        <v>11</v>
      </c>
      <c r="E609" s="170" t="s">
        <v>12</v>
      </c>
      <c r="H609" s="207">
        <v>464256</v>
      </c>
      <c r="I609" s="182" t="s">
        <v>3097</v>
      </c>
      <c r="J609" s="182" t="s">
        <v>3098</v>
      </c>
      <c r="K609" s="182" t="s">
        <v>3099</v>
      </c>
      <c r="L609" s="182" t="s">
        <v>15</v>
      </c>
      <c r="M609"/>
      <c r="R609"/>
      <c r="T609"/>
    </row>
    <row r="610" spans="1:20">
      <c r="A610" s="170" t="s">
        <v>3100</v>
      </c>
      <c r="B610" s="170" t="s">
        <v>3101</v>
      </c>
      <c r="C610" s="170"/>
      <c r="D610" s="170" t="s">
        <v>11</v>
      </c>
      <c r="E610" s="170" t="s">
        <v>12</v>
      </c>
      <c r="H610" s="207">
        <v>451179</v>
      </c>
      <c r="I610" s="182" t="s">
        <v>3102</v>
      </c>
      <c r="J610" s="182" t="s">
        <v>3103</v>
      </c>
      <c r="K610" s="182" t="s">
        <v>3104</v>
      </c>
      <c r="L610" s="182" t="s">
        <v>15</v>
      </c>
      <c r="M610"/>
      <c r="R610"/>
      <c r="T610"/>
    </row>
    <row r="611" spans="1:20">
      <c r="A611" s="170" t="s">
        <v>3105</v>
      </c>
      <c r="B611" s="170" t="s">
        <v>3106</v>
      </c>
      <c r="C611" s="170"/>
      <c r="D611" s="170" t="s">
        <v>11</v>
      </c>
      <c r="E611" s="170" t="s">
        <v>12</v>
      </c>
      <c r="H611" s="207">
        <v>492252</v>
      </c>
      <c r="I611" s="182" t="s">
        <v>3107</v>
      </c>
      <c r="J611" s="182" t="s">
        <v>3108</v>
      </c>
      <c r="K611" s="182" t="s">
        <v>3109</v>
      </c>
      <c r="L611" s="182" t="s">
        <v>15</v>
      </c>
      <c r="M611"/>
      <c r="R611"/>
      <c r="T611"/>
    </row>
    <row r="612" spans="1:20">
      <c r="A612" s="170" t="s">
        <v>3110</v>
      </c>
      <c r="B612" s="170" t="s">
        <v>3111</v>
      </c>
      <c r="C612" s="170"/>
      <c r="D612" s="170" t="s">
        <v>11</v>
      </c>
      <c r="E612" s="170" t="s">
        <v>12</v>
      </c>
      <c r="H612" s="207" t="s">
        <v>3112</v>
      </c>
      <c r="I612" s="182" t="s">
        <v>10</v>
      </c>
      <c r="J612" s="182" t="s">
        <v>3112</v>
      </c>
      <c r="K612" s="182" t="s">
        <v>3113</v>
      </c>
      <c r="L612" s="182" t="s">
        <v>19</v>
      </c>
      <c r="M612"/>
      <c r="R612"/>
      <c r="T612"/>
    </row>
    <row r="613" spans="1:20">
      <c r="A613" s="170" t="s">
        <v>3114</v>
      </c>
      <c r="B613" s="170" t="s">
        <v>3115</v>
      </c>
      <c r="C613" s="170"/>
      <c r="D613" s="170" t="s">
        <v>11</v>
      </c>
      <c r="E613" s="170" t="s">
        <v>12</v>
      </c>
      <c r="H613" s="207">
        <v>474116</v>
      </c>
      <c r="I613" s="182" t="s">
        <v>3116</v>
      </c>
      <c r="J613" s="182" t="s">
        <v>3117</v>
      </c>
      <c r="K613" s="182" t="s">
        <v>3118</v>
      </c>
      <c r="L613" s="182" t="s">
        <v>15</v>
      </c>
      <c r="M613"/>
      <c r="R613"/>
      <c r="T613"/>
    </row>
    <row r="614" spans="1:20">
      <c r="A614" s="170" t="s">
        <v>3119</v>
      </c>
      <c r="B614" s="170" t="s">
        <v>3120</v>
      </c>
      <c r="C614" s="170"/>
      <c r="D614" s="170" t="s">
        <v>11</v>
      </c>
      <c r="E614" s="170" t="s">
        <v>12</v>
      </c>
      <c r="H614" s="207">
        <v>334644</v>
      </c>
      <c r="I614" s="182" t="s">
        <v>3121</v>
      </c>
      <c r="J614" s="182" t="s">
        <v>3122</v>
      </c>
      <c r="K614" s="182" t="s">
        <v>3123</v>
      </c>
      <c r="L614" s="182" t="s">
        <v>15</v>
      </c>
      <c r="M614"/>
      <c r="R614"/>
      <c r="T614"/>
    </row>
    <row r="615" spans="1:20">
      <c r="A615" s="170" t="s">
        <v>3124</v>
      </c>
      <c r="B615" s="170" t="s">
        <v>3125</v>
      </c>
      <c r="C615" s="170"/>
      <c r="D615" s="170" t="s">
        <v>11</v>
      </c>
      <c r="E615" s="170" t="s">
        <v>12</v>
      </c>
      <c r="H615" s="207">
        <v>497545</v>
      </c>
      <c r="I615" s="182" t="s">
        <v>3126</v>
      </c>
      <c r="J615" s="182" t="s">
        <v>3127</v>
      </c>
      <c r="K615" s="182" t="s">
        <v>3128</v>
      </c>
      <c r="L615" s="182" t="s">
        <v>15</v>
      </c>
      <c r="M615"/>
      <c r="R615"/>
      <c r="T615"/>
    </row>
    <row r="616" spans="1:20">
      <c r="A616" s="170" t="s">
        <v>3129</v>
      </c>
      <c r="B616" s="170" t="s">
        <v>3130</v>
      </c>
      <c r="C616" s="170"/>
      <c r="D616" s="170" t="s">
        <v>11</v>
      </c>
      <c r="E616" s="170" t="s">
        <v>12</v>
      </c>
      <c r="H616" s="207" t="s">
        <v>3131</v>
      </c>
      <c r="I616" s="182" t="s">
        <v>10</v>
      </c>
      <c r="J616" s="182" t="s">
        <v>3131</v>
      </c>
      <c r="K616" s="182" t="s">
        <v>3132</v>
      </c>
      <c r="L616" s="182" t="s">
        <v>53</v>
      </c>
      <c r="M616"/>
      <c r="R616"/>
      <c r="T616"/>
    </row>
    <row r="617" spans="1:20">
      <c r="A617" s="170" t="s">
        <v>3133</v>
      </c>
      <c r="B617" s="170" t="s">
        <v>3134</v>
      </c>
      <c r="C617" s="170"/>
      <c r="D617" s="170" t="s">
        <v>11</v>
      </c>
      <c r="E617" s="170" t="s">
        <v>12</v>
      </c>
      <c r="H617" s="207">
        <v>571758</v>
      </c>
      <c r="I617" s="182" t="s">
        <v>3135</v>
      </c>
      <c r="J617" s="182" t="s">
        <v>3136</v>
      </c>
      <c r="K617" s="182" t="s">
        <v>3137</v>
      </c>
      <c r="L617" s="182" t="s">
        <v>415</v>
      </c>
      <c r="M617"/>
      <c r="R617"/>
      <c r="T617"/>
    </row>
    <row r="618" spans="1:20">
      <c r="A618" s="170" t="s">
        <v>3138</v>
      </c>
      <c r="B618" s="170" t="s">
        <v>3139</v>
      </c>
      <c r="C618" s="170"/>
      <c r="D618" s="170" t="s">
        <v>11</v>
      </c>
      <c r="E618" s="170" t="s">
        <v>12</v>
      </c>
      <c r="H618" s="207" t="s">
        <v>3140</v>
      </c>
      <c r="I618" s="182" t="s">
        <v>10</v>
      </c>
      <c r="J618" s="182" t="s">
        <v>3140</v>
      </c>
      <c r="K618" s="182" t="s">
        <v>3141</v>
      </c>
      <c r="L618" s="182" t="s">
        <v>447</v>
      </c>
      <c r="M618"/>
      <c r="R618"/>
      <c r="T618"/>
    </row>
    <row r="619" spans="1:20">
      <c r="A619" s="170" t="s">
        <v>3142</v>
      </c>
      <c r="B619" s="170" t="s">
        <v>3143</v>
      </c>
      <c r="C619" s="178" t="s">
        <v>10</v>
      </c>
      <c r="D619" s="170" t="s">
        <v>11</v>
      </c>
      <c r="E619" s="170" t="s">
        <v>12</v>
      </c>
      <c r="H619" s="207">
        <v>468749</v>
      </c>
      <c r="I619" s="182" t="s">
        <v>3144</v>
      </c>
      <c r="J619" s="182" t="s">
        <v>3145</v>
      </c>
      <c r="K619" s="182" t="s">
        <v>3146</v>
      </c>
      <c r="L619" s="182" t="s">
        <v>15</v>
      </c>
      <c r="M619"/>
      <c r="R619"/>
      <c r="T619"/>
    </row>
    <row r="620" spans="1:20">
      <c r="A620" s="170" t="s">
        <v>3147</v>
      </c>
      <c r="B620" s="170" t="s">
        <v>3148</v>
      </c>
      <c r="C620" s="178" t="s">
        <v>10</v>
      </c>
      <c r="D620" s="170" t="s">
        <v>11</v>
      </c>
      <c r="E620" s="170" t="s">
        <v>12</v>
      </c>
      <c r="H620" s="207">
        <v>502284</v>
      </c>
      <c r="I620" s="182" t="s">
        <v>3149</v>
      </c>
      <c r="J620" s="182" t="s">
        <v>3150</v>
      </c>
      <c r="K620" s="182" t="s">
        <v>3151</v>
      </c>
      <c r="L620" s="182" t="s">
        <v>15</v>
      </c>
      <c r="M620"/>
      <c r="R620"/>
      <c r="T620"/>
    </row>
    <row r="621" spans="1:20">
      <c r="A621" s="170" t="s">
        <v>3152</v>
      </c>
      <c r="B621" s="170" t="s">
        <v>3153</v>
      </c>
      <c r="C621" s="178" t="s">
        <v>10</v>
      </c>
      <c r="D621" s="170" t="s">
        <v>11</v>
      </c>
      <c r="E621" s="170" t="s">
        <v>12</v>
      </c>
      <c r="H621" s="207">
        <v>437359</v>
      </c>
      <c r="I621" s="182" t="s">
        <v>3154</v>
      </c>
      <c r="J621" s="182" t="s">
        <v>3155</v>
      </c>
      <c r="K621" s="182" t="s">
        <v>3156</v>
      </c>
      <c r="L621" s="182" t="s">
        <v>15</v>
      </c>
      <c r="M621"/>
      <c r="R621"/>
      <c r="T621"/>
    </row>
    <row r="622" spans="1:20">
      <c r="A622" s="170" t="s">
        <v>3157</v>
      </c>
      <c r="B622" s="170" t="s">
        <v>3158</v>
      </c>
      <c r="C622" s="178" t="s">
        <v>10</v>
      </c>
      <c r="D622" s="170" t="s">
        <v>11</v>
      </c>
      <c r="E622" s="170" t="s">
        <v>12</v>
      </c>
      <c r="H622" s="207">
        <v>463932</v>
      </c>
      <c r="I622" s="182" t="s">
        <v>3159</v>
      </c>
      <c r="J622" s="182" t="s">
        <v>3160</v>
      </c>
      <c r="K622" s="182" t="s">
        <v>3161</v>
      </c>
      <c r="L622" s="182" t="s">
        <v>15</v>
      </c>
      <c r="M622"/>
      <c r="R622"/>
      <c r="T622"/>
    </row>
    <row r="623" spans="1:20">
      <c r="A623" s="170" t="s">
        <v>3162</v>
      </c>
      <c r="B623" s="170" t="s">
        <v>3163</v>
      </c>
      <c r="C623" s="178" t="s">
        <v>10</v>
      </c>
      <c r="D623" s="170" t="s">
        <v>11</v>
      </c>
      <c r="E623" s="170" t="s">
        <v>12</v>
      </c>
      <c r="H623" s="207">
        <v>269293</v>
      </c>
      <c r="I623" s="182" t="s">
        <v>3164</v>
      </c>
      <c r="J623" s="182" t="s">
        <v>3165</v>
      </c>
      <c r="K623" s="182" t="s">
        <v>3166</v>
      </c>
      <c r="L623" s="182" t="s">
        <v>15</v>
      </c>
      <c r="M623"/>
      <c r="R623"/>
      <c r="T623"/>
    </row>
    <row r="624" spans="1:20">
      <c r="A624" s="170" t="s">
        <v>3167</v>
      </c>
      <c r="B624" s="170" t="s">
        <v>3168</v>
      </c>
      <c r="C624" s="178" t="s">
        <v>10</v>
      </c>
      <c r="D624" s="170" t="s">
        <v>11</v>
      </c>
      <c r="E624" s="170" t="s">
        <v>12</v>
      </c>
      <c r="H624" s="207">
        <v>451645</v>
      </c>
      <c r="I624" s="182" t="s">
        <v>3169</v>
      </c>
      <c r="J624" s="182" t="s">
        <v>3170</v>
      </c>
      <c r="K624" s="182" t="s">
        <v>3171</v>
      </c>
      <c r="L624" s="182" t="s">
        <v>15</v>
      </c>
      <c r="M624"/>
      <c r="R624"/>
      <c r="T624"/>
    </row>
    <row r="625" spans="1:20">
      <c r="A625" s="170" t="s">
        <v>3172</v>
      </c>
      <c r="B625" s="170" t="s">
        <v>3173</v>
      </c>
      <c r="C625" s="170"/>
      <c r="D625" s="170" t="s">
        <v>11</v>
      </c>
      <c r="E625" s="170" t="s">
        <v>12</v>
      </c>
      <c r="H625" s="207">
        <v>491925</v>
      </c>
      <c r="I625" s="182" t="s">
        <v>3174</v>
      </c>
      <c r="J625" s="182" t="s">
        <v>3175</v>
      </c>
      <c r="K625" s="182" t="s">
        <v>3176</v>
      </c>
      <c r="L625" s="182" t="s">
        <v>15</v>
      </c>
      <c r="M625"/>
      <c r="R625"/>
      <c r="T625"/>
    </row>
    <row r="626" spans="1:20">
      <c r="A626" s="170" t="s">
        <v>3177</v>
      </c>
      <c r="B626" s="170" t="s">
        <v>3178</v>
      </c>
      <c r="C626" s="170"/>
      <c r="D626" s="170" t="s">
        <v>11</v>
      </c>
      <c r="E626" s="170" t="s">
        <v>12</v>
      </c>
      <c r="H626" s="207">
        <v>507278</v>
      </c>
      <c r="I626" s="182" t="s">
        <v>3179</v>
      </c>
      <c r="J626" s="182" t="s">
        <v>3180</v>
      </c>
      <c r="K626" s="182" t="s">
        <v>3181</v>
      </c>
      <c r="L626" s="182" t="s">
        <v>15</v>
      </c>
      <c r="M626"/>
      <c r="R626"/>
      <c r="T626"/>
    </row>
    <row r="627" spans="1:20">
      <c r="A627" s="170" t="s">
        <v>3182</v>
      </c>
      <c r="B627" s="170" t="s">
        <v>3183</v>
      </c>
      <c r="C627" s="170"/>
      <c r="D627" s="170" t="s">
        <v>11</v>
      </c>
      <c r="E627" s="170" t="s">
        <v>12</v>
      </c>
      <c r="H627" s="207">
        <v>507566</v>
      </c>
      <c r="I627" s="182" t="s">
        <v>3184</v>
      </c>
      <c r="J627" s="182" t="s">
        <v>3185</v>
      </c>
      <c r="K627" s="182"/>
      <c r="L627" s="182" t="s">
        <v>15</v>
      </c>
      <c r="M627"/>
      <c r="R627"/>
      <c r="T627"/>
    </row>
    <row r="628" spans="1:20">
      <c r="A628" s="170" t="s">
        <v>3186</v>
      </c>
      <c r="B628" s="170" t="s">
        <v>3187</v>
      </c>
      <c r="C628" s="170"/>
      <c r="D628" s="170" t="s">
        <v>11</v>
      </c>
      <c r="E628" s="170" t="s">
        <v>12</v>
      </c>
      <c r="H628" s="207">
        <v>513114</v>
      </c>
      <c r="I628" s="182" t="s">
        <v>3188</v>
      </c>
      <c r="J628" s="182" t="s">
        <v>3189</v>
      </c>
      <c r="K628" s="182" t="s">
        <v>3190</v>
      </c>
      <c r="L628" s="182" t="s">
        <v>15</v>
      </c>
      <c r="M628"/>
      <c r="R628"/>
      <c r="T628"/>
    </row>
    <row r="629" spans="1:20">
      <c r="A629" s="170" t="s">
        <v>3191</v>
      </c>
      <c r="B629" s="170" t="s">
        <v>3192</v>
      </c>
      <c r="C629" s="170"/>
      <c r="D629" s="170" t="s">
        <v>11</v>
      </c>
      <c r="E629" s="170" t="s">
        <v>12</v>
      </c>
      <c r="H629" s="207" t="s">
        <v>3193</v>
      </c>
      <c r="I629" s="182" t="s">
        <v>3194</v>
      </c>
      <c r="J629" s="182" t="s">
        <v>3195</v>
      </c>
      <c r="K629" s="182" t="s">
        <v>3196</v>
      </c>
      <c r="L629" s="182" t="s">
        <v>415</v>
      </c>
      <c r="M629"/>
      <c r="R629"/>
      <c r="T629"/>
    </row>
    <row r="630" spans="1:20">
      <c r="A630" s="170" t="s">
        <v>3197</v>
      </c>
      <c r="B630" s="170" t="s">
        <v>3198</v>
      </c>
      <c r="C630" s="170"/>
      <c r="D630" s="170" t="s">
        <v>11</v>
      </c>
      <c r="E630" s="170" t="s">
        <v>12</v>
      </c>
      <c r="H630" s="207">
        <v>488264</v>
      </c>
      <c r="I630" s="182" t="s">
        <v>3199</v>
      </c>
      <c r="J630" s="182" t="s">
        <v>3200</v>
      </c>
      <c r="K630" s="182" t="s">
        <v>3201</v>
      </c>
      <c r="L630" s="182" t="s">
        <v>15</v>
      </c>
      <c r="M630"/>
      <c r="R630"/>
      <c r="T630"/>
    </row>
    <row r="631" spans="1:20">
      <c r="A631" s="170" t="s">
        <v>3202</v>
      </c>
      <c r="B631" s="170" t="s">
        <v>3203</v>
      </c>
      <c r="C631" s="170"/>
      <c r="D631" s="170" t="s">
        <v>11</v>
      </c>
      <c r="E631" s="170" t="s">
        <v>12</v>
      </c>
      <c r="H631" s="207">
        <v>497115</v>
      </c>
      <c r="I631" s="182" t="s">
        <v>3204</v>
      </c>
      <c r="J631" s="182" t="s">
        <v>3205</v>
      </c>
      <c r="K631" s="182" t="s">
        <v>3206</v>
      </c>
      <c r="L631" s="182" t="s">
        <v>15</v>
      </c>
      <c r="M631"/>
      <c r="R631"/>
      <c r="T631"/>
    </row>
    <row r="632" spans="1:20">
      <c r="A632" s="170" t="s">
        <v>3207</v>
      </c>
      <c r="B632" s="170" t="s">
        <v>3208</v>
      </c>
      <c r="C632" s="170"/>
      <c r="D632" s="170" t="s">
        <v>11</v>
      </c>
      <c r="E632" s="170" t="s">
        <v>12</v>
      </c>
      <c r="H632" s="207">
        <v>370800</v>
      </c>
      <c r="I632" s="182" t="s">
        <v>3209</v>
      </c>
      <c r="J632" s="182" t="s">
        <v>3210</v>
      </c>
      <c r="K632" s="182"/>
      <c r="L632" s="182" t="s">
        <v>15</v>
      </c>
      <c r="M632"/>
      <c r="R632"/>
      <c r="T632"/>
    </row>
    <row r="633" spans="1:20">
      <c r="A633" s="170" t="s">
        <v>3211</v>
      </c>
      <c r="B633" s="170" t="s">
        <v>3212</v>
      </c>
      <c r="C633" s="170"/>
      <c r="D633" s="170" t="s">
        <v>11</v>
      </c>
      <c r="E633" s="170" t="s">
        <v>12</v>
      </c>
      <c r="H633" s="207">
        <v>318002</v>
      </c>
      <c r="I633" s="182" t="s">
        <v>3213</v>
      </c>
      <c r="J633" s="182" t="s">
        <v>3214</v>
      </c>
      <c r="K633" s="182" t="s">
        <v>3215</v>
      </c>
      <c r="L633" s="182" t="s">
        <v>15</v>
      </c>
      <c r="M633"/>
      <c r="R633"/>
      <c r="T633"/>
    </row>
    <row r="634" spans="1:20">
      <c r="A634" s="170" t="s">
        <v>3216</v>
      </c>
      <c r="B634" s="170" t="s">
        <v>3217</v>
      </c>
      <c r="C634" s="170"/>
      <c r="D634" s="170" t="s">
        <v>11</v>
      </c>
      <c r="E634" s="170" t="s">
        <v>12</v>
      </c>
      <c r="H634" s="207">
        <v>968428</v>
      </c>
      <c r="I634" s="182" t="s">
        <v>3218</v>
      </c>
      <c r="J634" s="182" t="s">
        <v>3219</v>
      </c>
      <c r="K634" s="182" t="s">
        <v>3220</v>
      </c>
      <c r="L634" s="182" t="s">
        <v>15</v>
      </c>
      <c r="M634"/>
      <c r="R634"/>
      <c r="T634"/>
    </row>
    <row r="635" spans="1:20">
      <c r="A635" s="170" t="s">
        <v>3221</v>
      </c>
      <c r="B635" s="170" t="s">
        <v>3222</v>
      </c>
      <c r="C635" s="170"/>
      <c r="D635" s="170" t="s">
        <v>11</v>
      </c>
      <c r="E635" s="170" t="s">
        <v>12</v>
      </c>
      <c r="H635" s="207">
        <v>453359</v>
      </c>
      <c r="I635" s="182" t="s">
        <v>3223</v>
      </c>
      <c r="J635" s="182" t="s">
        <v>3224</v>
      </c>
      <c r="K635" s="182"/>
      <c r="L635" s="182" t="s">
        <v>15</v>
      </c>
      <c r="M635"/>
      <c r="R635"/>
      <c r="T635"/>
    </row>
    <row r="636" spans="1:20">
      <c r="A636" s="170" t="s">
        <v>3225</v>
      </c>
      <c r="B636" s="170" t="s">
        <v>3226</v>
      </c>
      <c r="C636" s="170"/>
      <c r="D636" s="170" t="s">
        <v>11</v>
      </c>
      <c r="E636" s="170" t="s">
        <v>12</v>
      </c>
      <c r="H636" s="207">
        <v>481986</v>
      </c>
      <c r="I636" s="182" t="s">
        <v>3227</v>
      </c>
      <c r="J636" s="182" t="s">
        <v>3228</v>
      </c>
      <c r="K636" s="182" t="s">
        <v>3229</v>
      </c>
      <c r="L636" s="182" t="s">
        <v>15</v>
      </c>
      <c r="M636"/>
      <c r="R636"/>
      <c r="T636"/>
    </row>
    <row r="637" spans="1:20">
      <c r="A637" s="170" t="s">
        <v>3230</v>
      </c>
      <c r="B637" s="170" t="s">
        <v>3231</v>
      </c>
      <c r="C637" s="170"/>
      <c r="D637" s="170" t="s">
        <v>11</v>
      </c>
      <c r="E637" s="170" t="s">
        <v>12</v>
      </c>
      <c r="H637" s="207" t="s">
        <v>3232</v>
      </c>
      <c r="I637" s="182" t="s">
        <v>10</v>
      </c>
      <c r="J637" s="182" t="s">
        <v>3232</v>
      </c>
      <c r="K637" s="182" t="s">
        <v>3233</v>
      </c>
      <c r="L637" s="182" t="s">
        <v>53</v>
      </c>
      <c r="M637"/>
      <c r="R637"/>
      <c r="T637"/>
    </row>
    <row r="638" spans="1:20">
      <c r="A638" s="170" t="s">
        <v>3234</v>
      </c>
      <c r="B638" s="170" t="s">
        <v>3235</v>
      </c>
      <c r="C638" s="170"/>
      <c r="D638" s="170" t="s">
        <v>11</v>
      </c>
      <c r="E638" s="170" t="s">
        <v>12</v>
      </c>
      <c r="H638" s="207">
        <v>482529</v>
      </c>
      <c r="I638" s="182" t="s">
        <v>3236</v>
      </c>
      <c r="J638" s="182" t="s">
        <v>3237</v>
      </c>
      <c r="K638" s="182" t="s">
        <v>3238</v>
      </c>
      <c r="L638" s="182" t="s">
        <v>15</v>
      </c>
      <c r="M638"/>
      <c r="R638"/>
      <c r="T638"/>
    </row>
    <row r="639" spans="1:20">
      <c r="A639" s="170" t="s">
        <v>3239</v>
      </c>
      <c r="B639" s="170" t="s">
        <v>3240</v>
      </c>
      <c r="C639" s="170"/>
      <c r="D639" s="170" t="s">
        <v>11</v>
      </c>
      <c r="E639" s="170" t="s">
        <v>12</v>
      </c>
      <c r="H639" s="207">
        <v>497314</v>
      </c>
      <c r="I639" s="182" t="s">
        <v>3241</v>
      </c>
      <c r="J639" s="182" t="s">
        <v>3242</v>
      </c>
      <c r="K639" s="182" t="s">
        <v>3243</v>
      </c>
      <c r="L639" s="182" t="s">
        <v>15</v>
      </c>
      <c r="M639"/>
      <c r="R639"/>
      <c r="T639"/>
    </row>
    <row r="640" spans="1:20">
      <c r="A640" s="170" t="s">
        <v>3244</v>
      </c>
      <c r="B640" s="170" t="s">
        <v>3245</v>
      </c>
      <c r="C640" s="170"/>
      <c r="D640" s="170" t="s">
        <v>11</v>
      </c>
      <c r="E640" s="170" t="s">
        <v>12</v>
      </c>
      <c r="H640" s="207">
        <v>469557</v>
      </c>
      <c r="I640" s="182" t="s">
        <v>3246</v>
      </c>
      <c r="J640" s="182" t="s">
        <v>3247</v>
      </c>
      <c r="K640" s="182"/>
      <c r="L640" s="182" t="s">
        <v>15</v>
      </c>
      <c r="M640"/>
      <c r="R640"/>
      <c r="T640"/>
    </row>
    <row r="641" spans="1:20">
      <c r="A641" s="170" t="s">
        <v>3248</v>
      </c>
      <c r="B641" s="170" t="s">
        <v>3249</v>
      </c>
      <c r="C641" s="170"/>
      <c r="D641" s="170" t="s">
        <v>11</v>
      </c>
      <c r="E641" s="170" t="s">
        <v>12</v>
      </c>
      <c r="H641" s="207">
        <v>185768</v>
      </c>
      <c r="I641" s="182" t="s">
        <v>3250</v>
      </c>
      <c r="J641" s="182" t="s">
        <v>3251</v>
      </c>
      <c r="K641" s="182"/>
      <c r="L641" s="182" t="s">
        <v>15</v>
      </c>
      <c r="M641"/>
      <c r="R641"/>
      <c r="T641"/>
    </row>
    <row r="642" spans="1:20">
      <c r="A642" s="170" t="s">
        <v>3252</v>
      </c>
      <c r="B642" s="170" t="s">
        <v>3253</v>
      </c>
      <c r="C642" s="170"/>
      <c r="D642" s="170" t="s">
        <v>11</v>
      </c>
      <c r="E642" s="170" t="s">
        <v>12</v>
      </c>
      <c r="H642" s="207">
        <v>36585</v>
      </c>
      <c r="I642" s="182" t="s">
        <v>3254</v>
      </c>
      <c r="J642" s="182" t="s">
        <v>3255</v>
      </c>
      <c r="K642" s="182" t="s">
        <v>3256</v>
      </c>
      <c r="L642" s="182" t="s">
        <v>15</v>
      </c>
      <c r="M642"/>
      <c r="R642"/>
      <c r="T642"/>
    </row>
    <row r="643" spans="1:20">
      <c r="A643" s="170" t="s">
        <v>3257</v>
      </c>
      <c r="B643" s="170" t="s">
        <v>3258</v>
      </c>
      <c r="C643" s="170"/>
      <c r="D643" s="170" t="s">
        <v>11</v>
      </c>
      <c r="E643" s="170" t="s">
        <v>12</v>
      </c>
      <c r="H643" s="207">
        <v>514265</v>
      </c>
      <c r="I643" s="182" t="s">
        <v>3259</v>
      </c>
      <c r="J643" s="182" t="s">
        <v>3260</v>
      </c>
      <c r="K643" s="182" t="s">
        <v>3261</v>
      </c>
      <c r="L643" s="182" t="s">
        <v>15</v>
      </c>
      <c r="M643"/>
      <c r="R643"/>
      <c r="T643"/>
    </row>
    <row r="644" spans="1:20">
      <c r="A644" s="170" t="s">
        <v>3262</v>
      </c>
      <c r="B644" s="170" t="s">
        <v>3263</v>
      </c>
      <c r="C644" s="170"/>
      <c r="D644" s="170" t="s">
        <v>11</v>
      </c>
      <c r="E644" s="170" t="s">
        <v>12</v>
      </c>
      <c r="H644" s="207">
        <v>464329</v>
      </c>
      <c r="I644" s="182" t="s">
        <v>3264</v>
      </c>
      <c r="J644" s="182" t="s">
        <v>3265</v>
      </c>
      <c r="K644" s="182"/>
      <c r="L644" s="182" t="s">
        <v>15</v>
      </c>
      <c r="M644"/>
      <c r="R644"/>
      <c r="T644"/>
    </row>
    <row r="645" spans="1:20">
      <c r="A645" s="170" t="s">
        <v>3266</v>
      </c>
      <c r="B645" s="170" t="s">
        <v>3267</v>
      </c>
      <c r="C645" s="170"/>
      <c r="D645" s="170" t="s">
        <v>11</v>
      </c>
      <c r="E645" s="170" t="s">
        <v>12</v>
      </c>
      <c r="H645" s="207">
        <v>211793</v>
      </c>
      <c r="I645" s="182" t="s">
        <v>3268</v>
      </c>
      <c r="J645" s="182" t="s">
        <v>3269</v>
      </c>
      <c r="K645" s="182"/>
      <c r="L645" s="182" t="s">
        <v>15</v>
      </c>
      <c r="M645"/>
      <c r="R645"/>
      <c r="T645"/>
    </row>
    <row r="646" spans="1:20">
      <c r="A646" s="170" t="s">
        <v>3270</v>
      </c>
      <c r="B646" s="170" t="s">
        <v>3271</v>
      </c>
      <c r="C646" s="170"/>
      <c r="D646" s="170" t="s">
        <v>11</v>
      </c>
      <c r="E646" s="170" t="s">
        <v>12</v>
      </c>
      <c r="H646" s="207">
        <v>316326</v>
      </c>
      <c r="I646" s="182" t="s">
        <v>3272</v>
      </c>
      <c r="J646" s="182" t="s">
        <v>3273</v>
      </c>
      <c r="K646" s="182" t="s">
        <v>3274</v>
      </c>
      <c r="L646" s="182" t="s">
        <v>15</v>
      </c>
      <c r="M646"/>
      <c r="R646"/>
      <c r="T646"/>
    </row>
    <row r="647" spans="1:20">
      <c r="A647" s="170" t="s">
        <v>3275</v>
      </c>
      <c r="B647" s="170" t="s">
        <v>3276</v>
      </c>
      <c r="C647" s="170"/>
      <c r="D647" s="170" t="s">
        <v>11</v>
      </c>
      <c r="E647" s="170" t="s">
        <v>12</v>
      </c>
      <c r="H647" s="207">
        <v>443672</v>
      </c>
      <c r="I647" s="182" t="s">
        <v>3277</v>
      </c>
      <c r="J647" s="182" t="s">
        <v>3278</v>
      </c>
      <c r="K647" s="182"/>
      <c r="L647" s="182" t="s">
        <v>15</v>
      </c>
      <c r="M647"/>
      <c r="R647"/>
      <c r="T647"/>
    </row>
    <row r="648" spans="1:20">
      <c r="A648" s="170" t="s">
        <v>3279</v>
      </c>
      <c r="B648" s="170" t="s">
        <v>3280</v>
      </c>
      <c r="C648" s="170"/>
      <c r="D648" s="170" t="s">
        <v>11</v>
      </c>
      <c r="E648" s="170" t="s">
        <v>12</v>
      </c>
      <c r="H648" s="207">
        <v>633689</v>
      </c>
      <c r="I648" s="182" t="s">
        <v>3281</v>
      </c>
      <c r="J648" s="182" t="s">
        <v>3282</v>
      </c>
      <c r="K648" s="182" t="s">
        <v>3283</v>
      </c>
      <c r="L648" s="182" t="s">
        <v>15</v>
      </c>
      <c r="M648"/>
      <c r="R648"/>
      <c r="T648"/>
    </row>
    <row r="649" spans="1:20">
      <c r="A649" s="170" t="s">
        <v>3284</v>
      </c>
      <c r="B649" s="170" t="s">
        <v>3285</v>
      </c>
      <c r="C649" s="170"/>
      <c r="D649" s="170" t="s">
        <v>11</v>
      </c>
      <c r="E649" s="170" t="s">
        <v>12</v>
      </c>
      <c r="H649" s="207">
        <v>497834</v>
      </c>
      <c r="I649" s="182" t="s">
        <v>3286</v>
      </c>
      <c r="J649" s="182" t="s">
        <v>3287</v>
      </c>
      <c r="K649" s="182"/>
      <c r="L649" s="182" t="s">
        <v>15</v>
      </c>
      <c r="M649"/>
      <c r="R649"/>
      <c r="T649"/>
    </row>
    <row r="650" spans="1:20">
      <c r="A650" s="170" t="s">
        <v>3288</v>
      </c>
      <c r="B650" s="170" t="s">
        <v>3289</v>
      </c>
      <c r="C650" s="170"/>
      <c r="D650" s="170" t="s">
        <v>11</v>
      </c>
      <c r="E650" s="170" t="s">
        <v>12</v>
      </c>
      <c r="H650" s="207">
        <v>482154</v>
      </c>
      <c r="I650" s="182" t="s">
        <v>3290</v>
      </c>
      <c r="J650" s="182" t="s">
        <v>3291</v>
      </c>
      <c r="K650" s="182" t="s">
        <v>3292</v>
      </c>
      <c r="L650" s="182" t="s">
        <v>15</v>
      </c>
      <c r="M650"/>
      <c r="R650"/>
      <c r="T650"/>
    </row>
    <row r="651" spans="1:20">
      <c r="A651" s="170" t="s">
        <v>3293</v>
      </c>
      <c r="B651" s="170" t="s">
        <v>3294</v>
      </c>
      <c r="C651" s="170"/>
      <c r="D651" s="170" t="s">
        <v>11</v>
      </c>
      <c r="E651" s="170" t="s">
        <v>12</v>
      </c>
      <c r="H651" s="207">
        <v>464152</v>
      </c>
      <c r="I651" s="182" t="s">
        <v>3295</v>
      </c>
      <c r="J651" s="182" t="s">
        <v>3296</v>
      </c>
      <c r="K651" s="182"/>
      <c r="L651" s="182" t="s">
        <v>15</v>
      </c>
      <c r="M651"/>
      <c r="R651"/>
      <c r="T651"/>
    </row>
    <row r="652" spans="1:20">
      <c r="A652" s="170" t="s">
        <v>3297</v>
      </c>
      <c r="B652" s="170" t="s">
        <v>3298</v>
      </c>
      <c r="C652" s="170"/>
      <c r="D652" s="170" t="s">
        <v>11</v>
      </c>
      <c r="E652" s="170" t="s">
        <v>12</v>
      </c>
      <c r="H652" s="207">
        <v>513057</v>
      </c>
      <c r="I652" s="182" t="s">
        <v>3299</v>
      </c>
      <c r="J652" s="182" t="s">
        <v>3300</v>
      </c>
      <c r="K652" s="182" t="s">
        <v>3301</v>
      </c>
      <c r="L652" s="182" t="s">
        <v>15</v>
      </c>
      <c r="M652"/>
      <c r="R652"/>
      <c r="T652"/>
    </row>
    <row r="653" spans="1:20">
      <c r="A653" s="170" t="s">
        <v>3302</v>
      </c>
      <c r="B653" s="170" t="s">
        <v>3303</v>
      </c>
      <c r="C653" s="170"/>
      <c r="D653" s="170" t="s">
        <v>11</v>
      </c>
      <c r="E653" s="170" t="s">
        <v>12</v>
      </c>
      <c r="H653" s="207">
        <v>483792</v>
      </c>
      <c r="I653" s="182" t="s">
        <v>3304</v>
      </c>
      <c r="J653" s="182" t="s">
        <v>3305</v>
      </c>
      <c r="K653" s="182"/>
      <c r="L653" s="182" t="s">
        <v>15</v>
      </c>
      <c r="M653"/>
      <c r="R653"/>
      <c r="T653"/>
    </row>
    <row r="654" spans="1:20">
      <c r="A654" s="170" t="s">
        <v>3306</v>
      </c>
      <c r="B654" s="170" t="s">
        <v>3307</v>
      </c>
      <c r="C654" s="170"/>
      <c r="D654" s="170" t="s">
        <v>11</v>
      </c>
      <c r="E654" s="170" t="s">
        <v>12</v>
      </c>
      <c r="H654" s="207">
        <v>176046</v>
      </c>
      <c r="I654" s="182" t="s">
        <v>3308</v>
      </c>
      <c r="J654" s="182" t="s">
        <v>3309</v>
      </c>
      <c r="K654" s="182" t="s">
        <v>3310</v>
      </c>
      <c r="L654" s="182" t="s">
        <v>15</v>
      </c>
      <c r="M654"/>
      <c r="R654"/>
      <c r="T654"/>
    </row>
    <row r="655" spans="1:20">
      <c r="A655" s="170" t="s">
        <v>3311</v>
      </c>
      <c r="B655" s="170" t="s">
        <v>3312</v>
      </c>
      <c r="C655" s="170"/>
      <c r="D655" s="170" t="s">
        <v>11</v>
      </c>
      <c r="E655" s="170" t="s">
        <v>12</v>
      </c>
      <c r="H655" s="207">
        <v>476174</v>
      </c>
      <c r="I655" s="182" t="s">
        <v>3313</v>
      </c>
      <c r="J655" s="182" t="s">
        <v>3314</v>
      </c>
      <c r="K655" s="182" t="s">
        <v>3315</v>
      </c>
      <c r="L655" s="182" t="s">
        <v>15</v>
      </c>
      <c r="M655"/>
      <c r="R655"/>
      <c r="T655"/>
    </row>
    <row r="656" spans="1:20">
      <c r="A656" s="170" t="s">
        <v>3316</v>
      </c>
      <c r="B656" s="170" t="s">
        <v>3317</v>
      </c>
      <c r="C656" s="170"/>
      <c r="D656" s="170" t="s">
        <v>11</v>
      </c>
      <c r="E656" s="170" t="s">
        <v>12</v>
      </c>
      <c r="H656" s="207">
        <v>494223</v>
      </c>
      <c r="I656" s="182" t="s">
        <v>3318</v>
      </c>
      <c r="J656" s="182" t="s">
        <v>3319</v>
      </c>
      <c r="K656" s="182" t="s">
        <v>3320</v>
      </c>
      <c r="L656" s="182" t="s">
        <v>15</v>
      </c>
      <c r="M656"/>
      <c r="R656"/>
      <c r="T656"/>
    </row>
    <row r="657" spans="1:20">
      <c r="A657" s="170" t="s">
        <v>3321</v>
      </c>
      <c r="B657" s="170" t="s">
        <v>3322</v>
      </c>
      <c r="C657" s="170"/>
      <c r="D657" s="170" t="s">
        <v>11</v>
      </c>
      <c r="E657" s="170" t="s">
        <v>12</v>
      </c>
      <c r="H657" s="207">
        <v>496247</v>
      </c>
      <c r="I657" s="182" t="s">
        <v>3323</v>
      </c>
      <c r="J657" s="182" t="s">
        <v>3324</v>
      </c>
      <c r="K657" s="182"/>
      <c r="L657" s="182" t="s">
        <v>15</v>
      </c>
      <c r="M657"/>
      <c r="R657"/>
      <c r="T657"/>
    </row>
    <row r="658" spans="1:20">
      <c r="A658" s="170" t="s">
        <v>3325</v>
      </c>
      <c r="B658" s="170" t="s">
        <v>3326</v>
      </c>
      <c r="C658" s="170"/>
      <c r="D658" s="170" t="s">
        <v>11</v>
      </c>
      <c r="E658" s="170" t="s">
        <v>12</v>
      </c>
      <c r="H658" s="207" t="s">
        <v>3327</v>
      </c>
      <c r="I658" s="182" t="s">
        <v>10</v>
      </c>
      <c r="J658" s="182" t="s">
        <v>3327</v>
      </c>
      <c r="K658" s="182" t="s">
        <v>3328</v>
      </c>
      <c r="L658" s="182" t="s">
        <v>53</v>
      </c>
      <c r="M658"/>
      <c r="R658"/>
      <c r="T658"/>
    </row>
    <row r="659" spans="1:20">
      <c r="A659" s="170" t="s">
        <v>3329</v>
      </c>
      <c r="B659" s="170" t="s">
        <v>3330</v>
      </c>
      <c r="C659" s="170"/>
      <c r="D659" s="170" t="s">
        <v>11</v>
      </c>
      <c r="E659" s="170" t="s">
        <v>12</v>
      </c>
      <c r="H659" s="207">
        <v>444757</v>
      </c>
      <c r="I659" s="182" t="s">
        <v>3331</v>
      </c>
      <c r="J659" s="182" t="s">
        <v>3332</v>
      </c>
      <c r="K659" s="182" t="s">
        <v>3333</v>
      </c>
      <c r="L659" s="182" t="s">
        <v>15</v>
      </c>
      <c r="M659"/>
      <c r="R659"/>
      <c r="T659"/>
    </row>
    <row r="660" spans="1:20">
      <c r="A660" s="170" t="s">
        <v>3334</v>
      </c>
      <c r="B660" s="170" t="s">
        <v>3335</v>
      </c>
      <c r="C660" s="170"/>
      <c r="D660" s="170" t="s">
        <v>11</v>
      </c>
      <c r="E660" s="170" t="s">
        <v>12</v>
      </c>
      <c r="H660" s="207">
        <v>450362</v>
      </c>
      <c r="I660" s="182" t="s">
        <v>3336</v>
      </c>
      <c r="J660" s="182" t="s">
        <v>3337</v>
      </c>
      <c r="K660" s="182"/>
      <c r="L660" s="182" t="s">
        <v>15</v>
      </c>
      <c r="M660"/>
      <c r="R660"/>
      <c r="T660"/>
    </row>
    <row r="661" spans="1:20">
      <c r="A661" s="170" t="s">
        <v>3338</v>
      </c>
      <c r="B661" s="170" t="s">
        <v>3339</v>
      </c>
      <c r="C661" s="170"/>
      <c r="D661" s="170" t="s">
        <v>11</v>
      </c>
      <c r="E661" s="170" t="s">
        <v>12</v>
      </c>
      <c r="H661" s="207" t="s">
        <v>3340</v>
      </c>
      <c r="I661" s="182" t="s">
        <v>10</v>
      </c>
      <c r="J661" s="182" t="s">
        <v>3340</v>
      </c>
      <c r="K661" s="182" t="s">
        <v>3341</v>
      </c>
      <c r="L661" s="182" t="s">
        <v>19</v>
      </c>
      <c r="M661"/>
      <c r="R661"/>
      <c r="T661"/>
    </row>
    <row r="662" spans="1:20">
      <c r="A662" s="170" t="s">
        <v>3342</v>
      </c>
      <c r="B662" s="170" t="s">
        <v>3343</v>
      </c>
      <c r="C662" s="170"/>
      <c r="D662" s="170" t="s">
        <v>11</v>
      </c>
      <c r="E662" s="170" t="s">
        <v>12</v>
      </c>
      <c r="H662" s="207">
        <v>497955</v>
      </c>
      <c r="I662" s="182" t="s">
        <v>3344</v>
      </c>
      <c r="J662" s="182" t="s">
        <v>3345</v>
      </c>
      <c r="K662" s="182" t="s">
        <v>3346</v>
      </c>
      <c r="L662" s="182" t="s">
        <v>15</v>
      </c>
      <c r="M662"/>
      <c r="R662"/>
      <c r="T662"/>
    </row>
    <row r="663" spans="1:20">
      <c r="A663" s="170" t="s">
        <v>3347</v>
      </c>
      <c r="B663" s="170" t="s">
        <v>3348</v>
      </c>
      <c r="C663" s="170"/>
      <c r="D663" s="170" t="s">
        <v>11</v>
      </c>
      <c r="E663" s="170" t="s">
        <v>12</v>
      </c>
      <c r="H663" s="207">
        <v>348441</v>
      </c>
      <c r="I663" s="182" t="s">
        <v>3349</v>
      </c>
      <c r="J663" s="182" t="s">
        <v>3350</v>
      </c>
      <c r="K663" s="182" t="s">
        <v>3351</v>
      </c>
      <c r="L663" s="182" t="s">
        <v>15</v>
      </c>
      <c r="M663"/>
      <c r="R663"/>
      <c r="T663"/>
    </row>
    <row r="664" spans="1:20">
      <c r="A664" s="170" t="s">
        <v>3352</v>
      </c>
      <c r="B664" s="170" t="s">
        <v>3353</v>
      </c>
      <c r="C664" s="170"/>
      <c r="D664" s="170" t="s">
        <v>11</v>
      </c>
      <c r="E664" s="170" t="s">
        <v>12</v>
      </c>
      <c r="H664" s="207">
        <v>500608</v>
      </c>
      <c r="I664" s="182" t="s">
        <v>3354</v>
      </c>
      <c r="J664" s="182" t="s">
        <v>3355</v>
      </c>
      <c r="K664" s="182"/>
      <c r="L664" s="182" t="s">
        <v>15</v>
      </c>
      <c r="M664"/>
      <c r="R664"/>
      <c r="T664"/>
    </row>
    <row r="665" spans="1:20">
      <c r="A665" s="170" t="s">
        <v>3356</v>
      </c>
      <c r="B665" s="170" t="s">
        <v>3357</v>
      </c>
      <c r="C665" s="170"/>
      <c r="D665" s="170" t="s">
        <v>11</v>
      </c>
      <c r="E665" s="170" t="s">
        <v>12</v>
      </c>
      <c r="H665" s="207">
        <v>478498</v>
      </c>
      <c r="I665" s="182" t="s">
        <v>3358</v>
      </c>
      <c r="J665" s="182" t="s">
        <v>3359</v>
      </c>
      <c r="K665" s="182" t="s">
        <v>3360</v>
      </c>
      <c r="L665" s="182" t="s">
        <v>15</v>
      </c>
      <c r="M665"/>
      <c r="R665"/>
      <c r="T665"/>
    </row>
    <row r="666" spans="1:20">
      <c r="A666" s="170" t="s">
        <v>3361</v>
      </c>
      <c r="B666" s="170" t="s">
        <v>3362</v>
      </c>
      <c r="C666" s="170"/>
      <c r="D666" s="170" t="s">
        <v>11</v>
      </c>
      <c r="E666" s="170" t="s">
        <v>12</v>
      </c>
      <c r="H666" s="207">
        <v>340169</v>
      </c>
      <c r="I666" s="182" t="s">
        <v>3363</v>
      </c>
      <c r="J666" s="182" t="s">
        <v>3364</v>
      </c>
      <c r="K666" s="182" t="s">
        <v>3365</v>
      </c>
      <c r="L666" s="182" t="s">
        <v>15</v>
      </c>
      <c r="M666"/>
      <c r="R666"/>
      <c r="T666"/>
    </row>
    <row r="667" spans="1:20">
      <c r="A667" s="170" t="s">
        <v>3366</v>
      </c>
      <c r="B667" s="170" t="s">
        <v>3367</v>
      </c>
      <c r="C667" s="170"/>
      <c r="D667" s="170" t="s">
        <v>11</v>
      </c>
      <c r="E667" s="170" t="s">
        <v>12</v>
      </c>
      <c r="H667" s="207">
        <v>456510</v>
      </c>
      <c r="I667" s="182" t="s">
        <v>3368</v>
      </c>
      <c r="J667" s="182" t="s">
        <v>3369</v>
      </c>
      <c r="K667" s="182" t="s">
        <v>3370</v>
      </c>
      <c r="L667" s="182" t="s">
        <v>15</v>
      </c>
      <c r="M667"/>
      <c r="R667"/>
      <c r="T667"/>
    </row>
    <row r="668" spans="1:20">
      <c r="A668" s="170" t="s">
        <v>3371</v>
      </c>
      <c r="B668" s="170" t="s">
        <v>3372</v>
      </c>
      <c r="C668" s="170"/>
      <c r="D668" s="170" t="s">
        <v>11</v>
      </c>
      <c r="E668" s="170" t="s">
        <v>12</v>
      </c>
      <c r="H668" s="207">
        <v>496484</v>
      </c>
      <c r="I668" s="182" t="s">
        <v>3373</v>
      </c>
      <c r="J668" s="182" t="s">
        <v>3374</v>
      </c>
      <c r="K668" s="182" t="s">
        <v>3375</v>
      </c>
      <c r="L668" s="182" t="s">
        <v>15</v>
      </c>
      <c r="M668"/>
      <c r="R668"/>
      <c r="T668"/>
    </row>
    <row r="669" spans="1:20">
      <c r="A669" s="170" t="s">
        <v>3376</v>
      </c>
      <c r="B669" s="170" t="s">
        <v>3377</v>
      </c>
      <c r="C669" s="170"/>
      <c r="D669" s="170" t="s">
        <v>11</v>
      </c>
      <c r="E669" s="170" t="s">
        <v>12</v>
      </c>
      <c r="H669" s="207" t="s">
        <v>3378</v>
      </c>
      <c r="I669" s="182" t="s">
        <v>10</v>
      </c>
      <c r="J669" s="182" t="s">
        <v>3378</v>
      </c>
      <c r="K669" s="182"/>
      <c r="L669" s="182" t="s">
        <v>53</v>
      </c>
      <c r="M669"/>
      <c r="R669"/>
      <c r="T669"/>
    </row>
    <row r="670" spans="1:20">
      <c r="A670" s="170" t="s">
        <v>3379</v>
      </c>
      <c r="B670" s="170" t="s">
        <v>3380</v>
      </c>
      <c r="C670" s="170"/>
      <c r="D670" s="170" t="s">
        <v>11</v>
      </c>
      <c r="E670" s="170" t="s">
        <v>12</v>
      </c>
      <c r="H670" s="207">
        <v>486367</v>
      </c>
      <c r="I670" s="182" t="s">
        <v>3381</v>
      </c>
      <c r="J670" s="182" t="s">
        <v>3382</v>
      </c>
      <c r="K670" s="182" t="s">
        <v>3383</v>
      </c>
      <c r="L670" s="182" t="s">
        <v>15</v>
      </c>
      <c r="M670"/>
      <c r="R670"/>
      <c r="T670"/>
    </row>
    <row r="671" spans="1:20">
      <c r="A671" s="170" t="s">
        <v>3384</v>
      </c>
      <c r="B671" s="170" t="s">
        <v>3385</v>
      </c>
      <c r="C671" s="170"/>
      <c r="D671" s="170" t="s">
        <v>11</v>
      </c>
      <c r="E671" s="170" t="s">
        <v>12</v>
      </c>
      <c r="H671" s="207">
        <v>509664</v>
      </c>
      <c r="I671" s="182" t="s">
        <v>3386</v>
      </c>
      <c r="J671" s="182" t="s">
        <v>3387</v>
      </c>
      <c r="K671" s="182"/>
      <c r="L671" s="182" t="s">
        <v>15</v>
      </c>
      <c r="M671"/>
      <c r="R671"/>
      <c r="T671"/>
    </row>
    <row r="672" spans="1:20">
      <c r="A672" s="170" t="s">
        <v>3388</v>
      </c>
      <c r="B672" s="170" t="s">
        <v>3389</v>
      </c>
      <c r="C672" s="170"/>
      <c r="D672" s="170" t="s">
        <v>11</v>
      </c>
      <c r="E672" s="170" t="s">
        <v>12</v>
      </c>
      <c r="H672" s="207">
        <v>500589</v>
      </c>
      <c r="I672" s="182" t="s">
        <v>3390</v>
      </c>
      <c r="J672" s="182" t="s">
        <v>3391</v>
      </c>
      <c r="K672" s="182" t="s">
        <v>3392</v>
      </c>
      <c r="L672" s="182" t="s">
        <v>15</v>
      </c>
      <c r="M672"/>
      <c r="R672"/>
      <c r="T672"/>
    </row>
    <row r="673" spans="1:20">
      <c r="A673" s="170" t="s">
        <v>3393</v>
      </c>
      <c r="B673" s="170" t="s">
        <v>3394</v>
      </c>
      <c r="C673" s="170"/>
      <c r="D673" s="170" t="s">
        <v>11</v>
      </c>
      <c r="E673" s="170" t="s">
        <v>12</v>
      </c>
      <c r="H673" s="207">
        <v>455338</v>
      </c>
      <c r="I673" s="182" t="s">
        <v>3395</v>
      </c>
      <c r="J673" s="182" t="s">
        <v>3396</v>
      </c>
      <c r="K673" s="182" t="s">
        <v>3397</v>
      </c>
      <c r="L673" s="182" t="s">
        <v>15</v>
      </c>
      <c r="M673"/>
      <c r="R673"/>
      <c r="T673"/>
    </row>
    <row r="674" spans="1:20">
      <c r="A674" s="170" t="s">
        <v>3398</v>
      </c>
      <c r="B674" s="170" t="s">
        <v>3399</v>
      </c>
      <c r="C674" s="170"/>
      <c r="D674" s="170" t="s">
        <v>11</v>
      </c>
      <c r="E674" s="170" t="s">
        <v>12</v>
      </c>
      <c r="H674" s="207" t="s">
        <v>3400</v>
      </c>
      <c r="I674" s="182" t="s">
        <v>10</v>
      </c>
      <c r="J674" s="182" t="s">
        <v>3400</v>
      </c>
      <c r="K674" s="182" t="s">
        <v>3401</v>
      </c>
      <c r="L674" s="182" t="s">
        <v>53</v>
      </c>
      <c r="M674"/>
      <c r="R674"/>
      <c r="T674"/>
    </row>
    <row r="675" spans="1:20">
      <c r="A675" s="170" t="s">
        <v>3402</v>
      </c>
      <c r="B675" s="170" t="s">
        <v>3403</v>
      </c>
      <c r="C675" s="170"/>
      <c r="D675" s="170" t="s">
        <v>11</v>
      </c>
      <c r="E675" s="170" t="s">
        <v>12</v>
      </c>
      <c r="H675" s="207">
        <v>450798</v>
      </c>
      <c r="I675" s="182" t="s">
        <v>3404</v>
      </c>
      <c r="J675" s="182" t="s">
        <v>3405</v>
      </c>
      <c r="K675" s="182" t="s">
        <v>3406</v>
      </c>
      <c r="L675" s="182" t="s">
        <v>15</v>
      </c>
      <c r="M675"/>
      <c r="R675"/>
      <c r="T675"/>
    </row>
    <row r="676" spans="1:20">
      <c r="A676" s="170" t="s">
        <v>3407</v>
      </c>
      <c r="B676" s="170" t="s">
        <v>3408</v>
      </c>
      <c r="C676" s="170"/>
      <c r="D676" s="170" t="s">
        <v>11</v>
      </c>
      <c r="E676" s="170" t="s">
        <v>12</v>
      </c>
      <c r="H676" s="207">
        <v>483857</v>
      </c>
      <c r="I676" s="182" t="s">
        <v>3409</v>
      </c>
      <c r="J676" s="182" t="s">
        <v>3410</v>
      </c>
      <c r="K676" s="182" t="s">
        <v>3411</v>
      </c>
      <c r="L676" s="182" t="s">
        <v>15</v>
      </c>
      <c r="M676"/>
      <c r="R676"/>
      <c r="T676"/>
    </row>
    <row r="677" spans="1:20">
      <c r="A677" s="170" t="s">
        <v>3412</v>
      </c>
      <c r="B677" s="170" t="s">
        <v>3413</v>
      </c>
      <c r="C677" s="170"/>
      <c r="D677" s="170" t="s">
        <v>11</v>
      </c>
      <c r="E677" s="170" t="s">
        <v>12</v>
      </c>
      <c r="H677" s="207">
        <v>435720</v>
      </c>
      <c r="I677" s="182" t="s">
        <v>3414</v>
      </c>
      <c r="J677" s="182" t="s">
        <v>3415</v>
      </c>
      <c r="K677" s="182" t="s">
        <v>3416</v>
      </c>
      <c r="L677" s="182" t="s">
        <v>15</v>
      </c>
      <c r="M677"/>
      <c r="R677"/>
      <c r="T677"/>
    </row>
    <row r="678" spans="1:20">
      <c r="A678" s="170" t="s">
        <v>3417</v>
      </c>
      <c r="B678" s="170" t="s">
        <v>3418</v>
      </c>
      <c r="C678" s="170"/>
      <c r="D678" s="170" t="s">
        <v>11</v>
      </c>
      <c r="E678" s="170" t="s">
        <v>12</v>
      </c>
      <c r="H678" s="207">
        <v>469484</v>
      </c>
      <c r="I678" s="182" t="s">
        <v>3419</v>
      </c>
      <c r="J678" s="182" t="s">
        <v>3420</v>
      </c>
      <c r="K678" s="182" t="s">
        <v>3421</v>
      </c>
      <c r="L678" s="182" t="s">
        <v>15</v>
      </c>
      <c r="M678"/>
      <c r="R678"/>
      <c r="T678"/>
    </row>
    <row r="679" spans="1:20">
      <c r="A679" s="170" t="s">
        <v>3422</v>
      </c>
      <c r="B679" s="170" t="s">
        <v>3423</v>
      </c>
      <c r="C679" s="170"/>
      <c r="D679" s="170" t="s">
        <v>11</v>
      </c>
      <c r="E679" s="170" t="s">
        <v>12</v>
      </c>
      <c r="H679" s="207" t="s">
        <v>3424</v>
      </c>
      <c r="I679" s="182" t="s">
        <v>10</v>
      </c>
      <c r="J679" s="182" t="s">
        <v>3424</v>
      </c>
      <c r="K679" s="182" t="s">
        <v>3425</v>
      </c>
      <c r="L679" s="182" t="s">
        <v>53</v>
      </c>
      <c r="M679"/>
      <c r="R679"/>
      <c r="T679"/>
    </row>
    <row r="680" spans="1:20">
      <c r="A680" s="170" t="s">
        <v>3426</v>
      </c>
      <c r="B680" s="170" t="s">
        <v>3427</v>
      </c>
      <c r="C680" s="170"/>
      <c r="D680" s="170" t="s">
        <v>11</v>
      </c>
      <c r="E680" s="170" t="s">
        <v>12</v>
      </c>
      <c r="H680" s="207">
        <v>128987</v>
      </c>
      <c r="I680" s="182" t="s">
        <v>3428</v>
      </c>
      <c r="J680" s="182" t="s">
        <v>3429</v>
      </c>
      <c r="K680" s="182" t="s">
        <v>3430</v>
      </c>
      <c r="L680" s="182" t="s">
        <v>15</v>
      </c>
      <c r="M680"/>
      <c r="R680"/>
      <c r="T680"/>
    </row>
    <row r="681" spans="1:20">
      <c r="A681" s="170" t="s">
        <v>3431</v>
      </c>
      <c r="B681" s="170" t="s">
        <v>3432</v>
      </c>
      <c r="C681" s="170"/>
      <c r="D681" s="170" t="s">
        <v>11</v>
      </c>
      <c r="E681" s="170" t="s">
        <v>12</v>
      </c>
      <c r="H681" s="207">
        <v>323557</v>
      </c>
      <c r="I681" s="182" t="s">
        <v>3433</v>
      </c>
      <c r="J681" s="182" t="s">
        <v>3434</v>
      </c>
      <c r="K681" s="182" t="s">
        <v>3435</v>
      </c>
      <c r="L681" s="182" t="s">
        <v>15</v>
      </c>
      <c r="M681"/>
      <c r="R681"/>
      <c r="T681"/>
    </row>
    <row r="682" spans="1:20">
      <c r="A682" s="170" t="s">
        <v>3436</v>
      </c>
      <c r="B682" s="170" t="s">
        <v>3437</v>
      </c>
      <c r="C682" s="170"/>
      <c r="D682" s="170" t="s">
        <v>11</v>
      </c>
      <c r="E682" s="170" t="s">
        <v>12</v>
      </c>
      <c r="H682" s="207">
        <v>447427</v>
      </c>
      <c r="I682" s="182" t="s">
        <v>3438</v>
      </c>
      <c r="J682" s="182" t="s">
        <v>3439</v>
      </c>
      <c r="K682" s="182" t="s">
        <v>3440</v>
      </c>
      <c r="L682" s="182" t="s">
        <v>15</v>
      </c>
      <c r="M682"/>
      <c r="R682"/>
      <c r="T682"/>
    </row>
    <row r="683" spans="1:20">
      <c r="A683" s="170" t="s">
        <v>3441</v>
      </c>
      <c r="B683" s="170" t="s">
        <v>3442</v>
      </c>
      <c r="C683" s="170"/>
      <c r="D683" s="170" t="s">
        <v>11</v>
      </c>
      <c r="E683" s="170" t="s">
        <v>12</v>
      </c>
      <c r="H683" s="207">
        <v>442768</v>
      </c>
      <c r="I683" s="182" t="s">
        <v>3443</v>
      </c>
      <c r="J683" s="182" t="s">
        <v>3444</v>
      </c>
      <c r="K683" s="182" t="s">
        <v>3445</v>
      </c>
      <c r="L683" s="182" t="s">
        <v>15</v>
      </c>
      <c r="M683"/>
      <c r="R683"/>
      <c r="T683"/>
    </row>
    <row r="684" spans="1:20">
      <c r="A684" s="170" t="s">
        <v>3446</v>
      </c>
      <c r="B684" s="170" t="s">
        <v>3447</v>
      </c>
      <c r="C684" s="170"/>
      <c r="D684" s="170" t="s">
        <v>11</v>
      </c>
      <c r="E684" s="170" t="s">
        <v>12</v>
      </c>
      <c r="H684" s="207" t="s">
        <v>3448</v>
      </c>
      <c r="I684" s="182" t="s">
        <v>10</v>
      </c>
      <c r="J684" s="182" t="s">
        <v>3448</v>
      </c>
      <c r="K684" s="182" t="s">
        <v>3449</v>
      </c>
      <c r="L684" s="182" t="s">
        <v>53</v>
      </c>
      <c r="M684"/>
      <c r="R684"/>
      <c r="T684"/>
    </row>
    <row r="685" spans="1:20">
      <c r="A685" s="170" t="s">
        <v>3450</v>
      </c>
      <c r="B685" s="170" t="s">
        <v>3451</v>
      </c>
      <c r="C685" s="178" t="s">
        <v>10</v>
      </c>
      <c r="D685" s="170" t="s">
        <v>11</v>
      </c>
      <c r="E685" s="170" t="s">
        <v>12</v>
      </c>
      <c r="H685" s="207">
        <v>485963</v>
      </c>
      <c r="I685" s="182" t="s">
        <v>3452</v>
      </c>
      <c r="J685" s="182" t="s">
        <v>3453</v>
      </c>
      <c r="K685" s="182"/>
      <c r="L685" s="182" t="s">
        <v>15</v>
      </c>
      <c r="M685"/>
      <c r="R685"/>
      <c r="T685"/>
    </row>
    <row r="686" spans="1:20">
      <c r="A686" s="170" t="s">
        <v>3454</v>
      </c>
      <c r="B686" s="170" t="s">
        <v>3455</v>
      </c>
      <c r="C686" s="178" t="s">
        <v>10</v>
      </c>
      <c r="D686" s="170" t="s">
        <v>11</v>
      </c>
      <c r="E686" s="170" t="s">
        <v>12</v>
      </c>
      <c r="H686" s="207">
        <v>492238</v>
      </c>
      <c r="I686" s="182" t="s">
        <v>3456</v>
      </c>
      <c r="J686" s="182" t="s">
        <v>3457</v>
      </c>
      <c r="K686" s="182" t="s">
        <v>3458</v>
      </c>
      <c r="L686" s="182" t="s">
        <v>15</v>
      </c>
      <c r="M686"/>
      <c r="R686"/>
      <c r="T686"/>
    </row>
    <row r="687" spans="1:20">
      <c r="A687" s="170" t="s">
        <v>3459</v>
      </c>
      <c r="B687" s="170" t="s">
        <v>3460</v>
      </c>
      <c r="C687" s="178" t="s">
        <v>10</v>
      </c>
      <c r="D687" s="170" t="s">
        <v>11</v>
      </c>
      <c r="E687" s="170" t="s">
        <v>12</v>
      </c>
      <c r="H687" s="207">
        <v>444638</v>
      </c>
      <c r="I687" s="182" t="s">
        <v>3461</v>
      </c>
      <c r="J687" s="182" t="s">
        <v>3462</v>
      </c>
      <c r="K687" s="182" t="s">
        <v>3463</v>
      </c>
      <c r="L687" s="182" t="s">
        <v>15</v>
      </c>
      <c r="M687"/>
      <c r="R687"/>
      <c r="T687"/>
    </row>
    <row r="688" spans="1:20">
      <c r="A688" s="170" t="s">
        <v>3464</v>
      </c>
      <c r="B688" s="170" t="s">
        <v>3465</v>
      </c>
      <c r="C688" s="178" t="s">
        <v>10</v>
      </c>
      <c r="D688" s="170" t="s">
        <v>11</v>
      </c>
      <c r="E688" s="170" t="s">
        <v>12</v>
      </c>
      <c r="H688" s="207">
        <v>476791</v>
      </c>
      <c r="I688" s="182" t="s">
        <v>3466</v>
      </c>
      <c r="J688" s="182" t="s">
        <v>3467</v>
      </c>
      <c r="K688" s="182" t="s">
        <v>3468</v>
      </c>
      <c r="L688" s="182" t="s">
        <v>15</v>
      </c>
      <c r="M688"/>
      <c r="R688"/>
      <c r="T688"/>
    </row>
    <row r="689" spans="1:20">
      <c r="A689" s="170" t="s">
        <v>3469</v>
      </c>
      <c r="B689" s="170" t="s">
        <v>3470</v>
      </c>
      <c r="C689" s="178" t="s">
        <v>10</v>
      </c>
      <c r="D689" s="170" t="s">
        <v>11</v>
      </c>
      <c r="E689" s="170" t="s">
        <v>12</v>
      </c>
      <c r="H689" s="207">
        <v>506675</v>
      </c>
      <c r="I689" s="182" t="s">
        <v>3471</v>
      </c>
      <c r="J689" s="182" t="s">
        <v>3472</v>
      </c>
      <c r="K689" s="182" t="s">
        <v>3473</v>
      </c>
      <c r="L689" s="182" t="s">
        <v>15</v>
      </c>
      <c r="M689"/>
      <c r="R689"/>
      <c r="T689"/>
    </row>
    <row r="690" spans="1:20">
      <c r="A690" s="170" t="s">
        <v>3474</v>
      </c>
      <c r="B690" s="170" t="s">
        <v>3475</v>
      </c>
      <c r="C690" s="178" t="s">
        <v>10</v>
      </c>
      <c r="D690" s="170" t="s">
        <v>11</v>
      </c>
      <c r="E690" s="170" t="s">
        <v>12</v>
      </c>
      <c r="H690" s="207">
        <v>496827</v>
      </c>
      <c r="I690" s="182" t="s">
        <v>3476</v>
      </c>
      <c r="J690" s="182" t="s">
        <v>3477</v>
      </c>
      <c r="K690" s="182" t="s">
        <v>3478</v>
      </c>
      <c r="L690" s="182" t="s">
        <v>15</v>
      </c>
      <c r="M690"/>
      <c r="R690"/>
      <c r="T690"/>
    </row>
    <row r="691" spans="1:20">
      <c r="A691" s="170" t="s">
        <v>3479</v>
      </c>
      <c r="B691" s="170" t="s">
        <v>3480</v>
      </c>
      <c r="C691" s="178" t="s">
        <v>10</v>
      </c>
      <c r="D691" s="170" t="s">
        <v>11</v>
      </c>
      <c r="E691" s="170" t="s">
        <v>12</v>
      </c>
      <c r="H691" s="207">
        <v>149951</v>
      </c>
      <c r="I691" s="182" t="s">
        <v>3481</v>
      </c>
      <c r="J691" s="182" t="s">
        <v>3482</v>
      </c>
      <c r="K691" s="182" t="s">
        <v>3483</v>
      </c>
      <c r="L691" s="182" t="s">
        <v>15</v>
      </c>
      <c r="M691"/>
      <c r="R691"/>
      <c r="T691"/>
    </row>
    <row r="692" spans="1:20">
      <c r="A692" s="170" t="s">
        <v>3484</v>
      </c>
      <c r="B692" s="170" t="s">
        <v>3485</v>
      </c>
      <c r="C692" s="178" t="s">
        <v>10</v>
      </c>
      <c r="D692" s="170" t="s">
        <v>11</v>
      </c>
      <c r="E692" s="170" t="s">
        <v>12</v>
      </c>
      <c r="H692" s="207" t="s">
        <v>3486</v>
      </c>
      <c r="I692" s="182" t="s">
        <v>10</v>
      </c>
      <c r="J692" s="182" t="s">
        <v>3486</v>
      </c>
      <c r="K692" s="182" t="s">
        <v>3487</v>
      </c>
      <c r="L692" s="182" t="s">
        <v>53</v>
      </c>
      <c r="M692"/>
      <c r="R692"/>
      <c r="T692"/>
    </row>
    <row r="693" spans="1:20">
      <c r="A693" s="170" t="s">
        <v>3488</v>
      </c>
      <c r="B693" s="170" t="s">
        <v>3489</v>
      </c>
      <c r="C693" s="178" t="s">
        <v>10</v>
      </c>
      <c r="D693" s="170" t="s">
        <v>11</v>
      </c>
      <c r="E693" s="170" t="s">
        <v>12</v>
      </c>
      <c r="H693" s="207" t="s">
        <v>3490</v>
      </c>
      <c r="I693" s="182" t="s">
        <v>10</v>
      </c>
      <c r="J693" s="182" t="s">
        <v>3490</v>
      </c>
      <c r="K693" s="182" t="s">
        <v>3491</v>
      </c>
      <c r="L693" s="182" t="s">
        <v>53</v>
      </c>
      <c r="M693"/>
      <c r="R693"/>
      <c r="T693"/>
    </row>
    <row r="694" spans="1:20">
      <c r="A694" s="170" t="s">
        <v>3492</v>
      </c>
      <c r="B694" s="170" t="s">
        <v>3493</v>
      </c>
      <c r="C694" s="178" t="s">
        <v>10</v>
      </c>
      <c r="D694" s="170" t="s">
        <v>11</v>
      </c>
      <c r="E694" s="170" t="s">
        <v>12</v>
      </c>
      <c r="H694" s="207" t="s">
        <v>3494</v>
      </c>
      <c r="I694" s="182" t="s">
        <v>10</v>
      </c>
      <c r="J694" s="182" t="s">
        <v>3494</v>
      </c>
      <c r="K694" s="182" t="s">
        <v>3495</v>
      </c>
      <c r="L694" s="182" t="s">
        <v>19</v>
      </c>
      <c r="M694"/>
      <c r="R694"/>
      <c r="T694"/>
    </row>
    <row r="695" spans="1:20">
      <c r="A695" s="170" t="s">
        <v>3496</v>
      </c>
      <c r="B695" s="170" t="s">
        <v>3497</v>
      </c>
      <c r="C695" s="178" t="s">
        <v>10</v>
      </c>
      <c r="D695" s="170" t="s">
        <v>11</v>
      </c>
      <c r="E695" s="170" t="s">
        <v>12</v>
      </c>
      <c r="H695" s="207">
        <v>464753</v>
      </c>
      <c r="I695" s="182" t="s">
        <v>3498</v>
      </c>
      <c r="J695" s="182" t="s">
        <v>3499</v>
      </c>
      <c r="K695" s="182"/>
      <c r="L695" s="182" t="s">
        <v>415</v>
      </c>
      <c r="M695"/>
      <c r="R695"/>
      <c r="T695"/>
    </row>
    <row r="696" spans="1:20">
      <c r="A696" s="170" t="s">
        <v>3284</v>
      </c>
      <c r="B696" s="170" t="s">
        <v>3285</v>
      </c>
      <c r="C696" s="170" t="s">
        <v>3500</v>
      </c>
      <c r="D696" s="170" t="s">
        <v>11</v>
      </c>
      <c r="E696" s="170" t="s">
        <v>12</v>
      </c>
      <c r="H696" s="207"/>
      <c r="I696" s="182"/>
      <c r="J696" s="182"/>
      <c r="K696" s="182"/>
      <c r="L696" s="182"/>
      <c r="M696" t="s">
        <v>3285</v>
      </c>
      <c r="R696"/>
      <c r="T696"/>
    </row>
    <row r="697" spans="1:20">
      <c r="A697" s="170" t="s">
        <v>3288</v>
      </c>
      <c r="B697" s="170" t="s">
        <v>3289</v>
      </c>
      <c r="C697" s="170" t="s">
        <v>3501</v>
      </c>
      <c r="D697" s="170" t="s">
        <v>11</v>
      </c>
      <c r="E697" s="170" t="s">
        <v>12</v>
      </c>
      <c r="H697" s="207"/>
      <c r="I697" s="182"/>
      <c r="J697" s="182"/>
      <c r="K697" s="182"/>
      <c r="L697" s="182"/>
      <c r="M697" t="s">
        <v>3289</v>
      </c>
      <c r="R697"/>
      <c r="T697"/>
    </row>
    <row r="698" spans="1:20">
      <c r="A698" s="170" t="s">
        <v>3297</v>
      </c>
      <c r="B698" s="170" t="s">
        <v>3298</v>
      </c>
      <c r="C698" s="170" t="s">
        <v>3502</v>
      </c>
      <c r="D698" s="170" t="s">
        <v>11</v>
      </c>
      <c r="E698" s="170" t="s">
        <v>12</v>
      </c>
      <c r="H698" s="207"/>
      <c r="I698" s="182"/>
      <c r="J698" s="182"/>
      <c r="K698" s="182"/>
      <c r="L698" s="182"/>
      <c r="M698" t="s">
        <v>3298</v>
      </c>
      <c r="R698"/>
      <c r="T698"/>
    </row>
    <row r="699" spans="1:20">
      <c r="A699" s="170" t="s">
        <v>3302</v>
      </c>
      <c r="B699" s="170" t="s">
        <v>3303</v>
      </c>
      <c r="C699" s="170" t="s">
        <v>3503</v>
      </c>
      <c r="D699" s="170" t="s">
        <v>11</v>
      </c>
      <c r="E699" s="170" t="s">
        <v>12</v>
      </c>
      <c r="H699" s="207"/>
      <c r="I699" s="182"/>
      <c r="J699" s="182"/>
      <c r="K699" s="182"/>
      <c r="L699" s="182"/>
      <c r="M699" t="s">
        <v>3303</v>
      </c>
      <c r="R699"/>
      <c r="T699"/>
    </row>
    <row r="700" spans="1:20">
      <c r="A700" s="170" t="s">
        <v>3311</v>
      </c>
      <c r="B700" s="170" t="s">
        <v>3312</v>
      </c>
      <c r="C700" s="170" t="s">
        <v>3504</v>
      </c>
      <c r="D700" s="170" t="s">
        <v>11</v>
      </c>
      <c r="E700" s="170" t="s">
        <v>12</v>
      </c>
      <c r="H700" s="207"/>
      <c r="I700" s="182"/>
      <c r="J700" s="182"/>
      <c r="K700" s="182"/>
      <c r="L700" s="182"/>
      <c r="M700" t="s">
        <v>3312</v>
      </c>
      <c r="R700"/>
      <c r="T700"/>
    </row>
    <row r="701" spans="1:20">
      <c r="A701" s="170" t="s">
        <v>3316</v>
      </c>
      <c r="B701" s="170" t="s">
        <v>3317</v>
      </c>
      <c r="C701" s="170" t="s">
        <v>3505</v>
      </c>
      <c r="D701" s="170" t="s">
        <v>11</v>
      </c>
      <c r="E701" s="170" t="s">
        <v>12</v>
      </c>
      <c r="H701" s="207"/>
      <c r="I701" s="182"/>
      <c r="J701" s="182"/>
      <c r="K701" s="182"/>
      <c r="L701" s="182"/>
      <c r="M701" t="s">
        <v>3317</v>
      </c>
      <c r="R701"/>
      <c r="T701"/>
    </row>
    <row r="702" spans="1:20">
      <c r="A702" s="170" t="s">
        <v>3325</v>
      </c>
      <c r="B702" s="170" t="s">
        <v>3326</v>
      </c>
      <c r="C702" s="170" t="s">
        <v>3506</v>
      </c>
      <c r="D702" s="170" t="s">
        <v>11</v>
      </c>
      <c r="E702" s="170" t="s">
        <v>12</v>
      </c>
      <c r="H702" s="207"/>
      <c r="I702" s="182"/>
      <c r="J702" s="182"/>
      <c r="K702" s="182"/>
      <c r="L702" s="182"/>
      <c r="M702" t="s">
        <v>3326</v>
      </c>
      <c r="R702"/>
      <c r="T702"/>
    </row>
    <row r="703" spans="1:20">
      <c r="A703" s="170" t="s">
        <v>3329</v>
      </c>
      <c r="B703" s="170" t="s">
        <v>3330</v>
      </c>
      <c r="C703" s="170" t="s">
        <v>3507</v>
      </c>
      <c r="D703" s="170" t="s">
        <v>11</v>
      </c>
      <c r="E703" s="170" t="s">
        <v>12</v>
      </c>
      <c r="H703" s="207"/>
      <c r="I703" s="182"/>
      <c r="J703" s="182"/>
      <c r="K703" s="182"/>
      <c r="L703" s="182"/>
      <c r="M703" t="s">
        <v>3330</v>
      </c>
      <c r="R703"/>
      <c r="T703"/>
    </row>
    <row r="704" spans="1:20">
      <c r="A704" s="170" t="s">
        <v>3338</v>
      </c>
      <c r="B704" s="170" t="s">
        <v>3339</v>
      </c>
      <c r="C704" s="170" t="s">
        <v>3508</v>
      </c>
      <c r="D704" s="170" t="s">
        <v>11</v>
      </c>
      <c r="E704" s="170" t="s">
        <v>12</v>
      </c>
      <c r="H704" s="207">
        <v>442964</v>
      </c>
      <c r="I704" s="182" t="s">
        <v>3509</v>
      </c>
      <c r="J704" s="182" t="s">
        <v>3510</v>
      </c>
      <c r="K704" s="182" t="s">
        <v>3511</v>
      </c>
      <c r="L704" s="182" t="s">
        <v>15</v>
      </c>
      <c r="M704"/>
      <c r="R704"/>
      <c r="T704"/>
    </row>
    <row r="705" spans="1:20">
      <c r="A705" s="170" t="s">
        <v>3338</v>
      </c>
      <c r="B705" s="170" t="s">
        <v>3339</v>
      </c>
      <c r="C705" s="170" t="s">
        <v>3508</v>
      </c>
      <c r="D705" s="170" t="s">
        <v>11</v>
      </c>
      <c r="E705" s="170" t="s">
        <v>12</v>
      </c>
      <c r="H705" s="207"/>
      <c r="I705" s="182"/>
      <c r="J705" s="182"/>
      <c r="K705" s="182"/>
      <c r="L705" s="182"/>
      <c r="M705" t="s">
        <v>3339</v>
      </c>
      <c r="R705"/>
      <c r="T705"/>
    </row>
    <row r="706" spans="1:20">
      <c r="A706" s="170" t="s">
        <v>3342</v>
      </c>
      <c r="B706" s="170" t="s">
        <v>3343</v>
      </c>
      <c r="C706" s="170" t="s">
        <v>3512</v>
      </c>
      <c r="D706" s="170" t="s">
        <v>11</v>
      </c>
      <c r="E706" s="170" t="s">
        <v>12</v>
      </c>
      <c r="H706" s="207"/>
      <c r="I706" s="182"/>
      <c r="J706" s="182"/>
      <c r="K706" s="182"/>
      <c r="L706" s="182"/>
      <c r="M706" t="s">
        <v>3343</v>
      </c>
      <c r="R706"/>
      <c r="T706"/>
    </row>
    <row r="707" spans="1:20">
      <c r="A707" s="170" t="s">
        <v>3352</v>
      </c>
      <c r="B707" t="s">
        <v>3513</v>
      </c>
      <c r="C707" s="170" t="s">
        <v>3514</v>
      </c>
      <c r="D707" s="170" t="s">
        <v>11</v>
      </c>
      <c r="E707" s="170" t="s">
        <v>12</v>
      </c>
      <c r="H707" s="207"/>
      <c r="I707" s="182"/>
      <c r="J707" s="182"/>
      <c r="K707" s="182"/>
      <c r="L707" s="182"/>
      <c r="M707" t="s">
        <v>3513</v>
      </c>
      <c r="R707"/>
      <c r="T707"/>
    </row>
    <row r="708" spans="1:20">
      <c r="A708" s="170" t="s">
        <v>3356</v>
      </c>
      <c r="B708" s="170" t="s">
        <v>3357</v>
      </c>
      <c r="C708" s="170" t="s">
        <v>3515</v>
      </c>
      <c r="D708" s="170" t="s">
        <v>11</v>
      </c>
      <c r="E708" s="170" t="s">
        <v>12</v>
      </c>
      <c r="H708" s="207"/>
      <c r="I708" s="182"/>
      <c r="J708" s="182"/>
      <c r="K708" s="182"/>
      <c r="L708" s="182"/>
      <c r="M708" t="s">
        <v>3357</v>
      </c>
      <c r="R708"/>
      <c r="T708"/>
    </row>
    <row r="709" spans="1:13">
      <c r="A709" s="170" t="s">
        <v>3516</v>
      </c>
      <c r="B709" s="170" t="s">
        <v>3517</v>
      </c>
      <c r="C709" s="192"/>
      <c r="D709" s="170" t="s">
        <v>11</v>
      </c>
      <c r="E709" s="170" t="s">
        <v>12</v>
      </c>
      <c r="H709" s="207">
        <v>499890</v>
      </c>
      <c r="I709" s="182" t="s">
        <v>3518</v>
      </c>
      <c r="J709" s="182" t="s">
        <v>3519</v>
      </c>
      <c r="K709" s="182" t="s">
        <v>3520</v>
      </c>
      <c r="L709" s="182" t="s">
        <v>15</v>
      </c>
      <c r="M709" s="289" t="s">
        <v>3521</v>
      </c>
    </row>
    <row r="710" spans="1:20">
      <c r="A710" s="170" t="s">
        <v>3522</v>
      </c>
      <c r="B710" s="170" t="s">
        <v>3521</v>
      </c>
      <c r="C710" s="170"/>
      <c r="D710" s="170" t="s">
        <v>11</v>
      </c>
      <c r="E710" s="170" t="s">
        <v>12</v>
      </c>
      <c r="H710" s="207">
        <v>506898</v>
      </c>
      <c r="I710" s="182" t="s">
        <v>3523</v>
      </c>
      <c r="J710" s="182" t="s">
        <v>3524</v>
      </c>
      <c r="K710" s="182" t="s">
        <v>3525</v>
      </c>
      <c r="L710" s="182" t="s">
        <v>15</v>
      </c>
      <c r="M710"/>
      <c r="R710"/>
      <c r="T710"/>
    </row>
    <row r="711" spans="1:20">
      <c r="A711" s="170" t="s">
        <v>3526</v>
      </c>
      <c r="B711" s="170" t="s">
        <v>3527</v>
      </c>
      <c r="C711" s="170"/>
      <c r="D711" s="170" t="s">
        <v>11</v>
      </c>
      <c r="E711" s="170" t="s">
        <v>12</v>
      </c>
      <c r="H711" s="207">
        <v>197317</v>
      </c>
      <c r="I711" s="182" t="s">
        <v>3528</v>
      </c>
      <c r="J711" s="182" t="s">
        <v>3529</v>
      </c>
      <c r="K711" s="182" t="s">
        <v>3530</v>
      </c>
      <c r="L711" s="182" t="s">
        <v>15</v>
      </c>
      <c r="M711"/>
      <c r="R711"/>
      <c r="T711"/>
    </row>
    <row r="712" spans="1:20">
      <c r="A712" s="170" t="s">
        <v>3531</v>
      </c>
      <c r="B712" s="170" t="s">
        <v>3532</v>
      </c>
      <c r="C712" s="170"/>
      <c r="D712" s="170" t="s">
        <v>11</v>
      </c>
      <c r="E712" s="170" t="s">
        <v>12</v>
      </c>
      <c r="H712" s="207">
        <v>482349</v>
      </c>
      <c r="I712" s="182" t="s">
        <v>3533</v>
      </c>
      <c r="J712" s="182" t="s">
        <v>3534</v>
      </c>
      <c r="K712" s="182" t="s">
        <v>3535</v>
      </c>
      <c r="L712" s="182" t="s">
        <v>15</v>
      </c>
      <c r="M712"/>
      <c r="R712"/>
      <c r="T712"/>
    </row>
    <row r="713" spans="1:13">
      <c r="A713" s="170" t="s">
        <v>3536</v>
      </c>
      <c r="B713" s="170" t="s">
        <v>3537</v>
      </c>
      <c r="C713" s="192" t="s">
        <v>3538</v>
      </c>
      <c r="D713" s="170" t="s">
        <v>11</v>
      </c>
      <c r="E713" s="170" t="s">
        <v>12</v>
      </c>
      <c r="H713" s="207" t="s">
        <v>3539</v>
      </c>
      <c r="I713" s="182" t="s">
        <v>10</v>
      </c>
      <c r="J713" s="182" t="s">
        <v>3539</v>
      </c>
      <c r="K713" s="182" t="s">
        <v>3540</v>
      </c>
      <c r="L713" s="182" t="s">
        <v>53</v>
      </c>
      <c r="M713" s="289" t="s">
        <v>3537</v>
      </c>
    </row>
    <row r="714" spans="1:21">
      <c r="A714" s="170" t="s">
        <v>3541</v>
      </c>
      <c r="B714" s="170" t="s">
        <v>3542</v>
      </c>
      <c r="C714" s="192" t="s">
        <v>3543</v>
      </c>
      <c r="D714" s="170" t="s">
        <v>11</v>
      </c>
      <c r="E714" s="170" t="s">
        <v>12</v>
      </c>
      <c r="H714" s="207" t="s">
        <v>3544</v>
      </c>
      <c r="I714" s="182" t="s">
        <v>10</v>
      </c>
      <c r="J714" s="182" t="s">
        <v>3544</v>
      </c>
      <c r="K714" s="182" t="s">
        <v>3545</v>
      </c>
      <c r="L714" s="182" t="s">
        <v>53</v>
      </c>
      <c r="M714" s="289" t="s">
        <v>3542</v>
      </c>
      <c r="Q714" s="171" t="s">
        <v>5</v>
      </c>
      <c r="R714" s="172"/>
      <c r="S714" s="184"/>
      <c r="T714" s="185" t="s">
        <v>6</v>
      </c>
      <c r="U714" s="182" t="s">
        <v>7</v>
      </c>
    </row>
    <row r="715" spans="1:21">
      <c r="A715" s="170" t="s">
        <v>3546</v>
      </c>
      <c r="B715" s="170" t="s">
        <v>3547</v>
      </c>
      <c r="C715" s="170"/>
      <c r="D715" s="170" t="s">
        <v>11</v>
      </c>
      <c r="E715" s="170" t="s">
        <v>12</v>
      </c>
      <c r="H715" s="207">
        <v>482192</v>
      </c>
      <c r="I715" s="182" t="s">
        <v>3548</v>
      </c>
      <c r="J715" s="182" t="s">
        <v>3549</v>
      </c>
      <c r="K715" s="182" t="s">
        <v>3550</v>
      </c>
      <c r="L715" s="182" t="s">
        <v>15</v>
      </c>
      <c r="M715"/>
      <c r="Q715" s="175" t="s">
        <v>41</v>
      </c>
      <c r="R715" s="176" t="s">
        <v>42</v>
      </c>
      <c r="S715" s="186" t="s">
        <v>43</v>
      </c>
      <c r="T715" s="187" t="s">
        <v>44</v>
      </c>
      <c r="U715" s="188">
        <v>893</v>
      </c>
    </row>
    <row r="716" spans="1:21">
      <c r="A716" s="170" t="s">
        <v>3551</v>
      </c>
      <c r="B716" s="170" t="s">
        <v>3552</v>
      </c>
      <c r="C716" s="170"/>
      <c r="D716" s="170" t="s">
        <v>11</v>
      </c>
      <c r="E716" s="170" t="s">
        <v>12</v>
      </c>
      <c r="H716" s="207">
        <v>229653</v>
      </c>
      <c r="I716" s="182" t="s">
        <v>3553</v>
      </c>
      <c r="J716" s="182" t="s">
        <v>3554</v>
      </c>
      <c r="K716" s="182" t="s">
        <v>3555</v>
      </c>
      <c r="L716" s="182" t="s">
        <v>15</v>
      </c>
      <c r="M716"/>
      <c r="Q716" s="175" t="s">
        <v>60</v>
      </c>
      <c r="R716" s="176" t="s">
        <v>61</v>
      </c>
      <c r="S716" s="186" t="s">
        <v>49</v>
      </c>
      <c r="T716" s="187"/>
      <c r="U716" s="188"/>
    </row>
    <row r="717" spans="1:21">
      <c r="A717" s="170" t="s">
        <v>3556</v>
      </c>
      <c r="B717" s="170" t="s">
        <v>3557</v>
      </c>
      <c r="C717" s="192" t="s">
        <v>3558</v>
      </c>
      <c r="D717" s="170" t="s">
        <v>11</v>
      </c>
      <c r="E717" s="170" t="s">
        <v>12</v>
      </c>
      <c r="H717" s="207" t="s">
        <v>3559</v>
      </c>
      <c r="I717" s="182" t="s">
        <v>10</v>
      </c>
      <c r="J717" s="182" t="s">
        <v>3559</v>
      </c>
      <c r="K717" s="182" t="s">
        <v>3560</v>
      </c>
      <c r="L717" s="182" t="s">
        <v>19</v>
      </c>
      <c r="M717" s="289" t="s">
        <v>3557</v>
      </c>
      <c r="Q717" s="175" t="s">
        <v>73</v>
      </c>
      <c r="R717" s="176" t="s">
        <v>74</v>
      </c>
      <c r="S717" s="186" t="s">
        <v>54</v>
      </c>
      <c r="T717" s="187"/>
      <c r="U717" s="188"/>
    </row>
    <row r="718" spans="1:21">
      <c r="A718" s="170" t="s">
        <v>3561</v>
      </c>
      <c r="B718" s="170" t="s">
        <v>3562</v>
      </c>
      <c r="C718" s="192" t="s">
        <v>3563</v>
      </c>
      <c r="D718" s="170" t="s">
        <v>11</v>
      </c>
      <c r="E718" s="170" t="s">
        <v>12</v>
      </c>
      <c r="H718" s="207">
        <v>487503</v>
      </c>
      <c r="I718" s="182" t="s">
        <v>3564</v>
      </c>
      <c r="J718" s="182" t="s">
        <v>3565</v>
      </c>
      <c r="K718" s="182" t="s">
        <v>3566</v>
      </c>
      <c r="L718" s="182" t="s">
        <v>15</v>
      </c>
      <c r="M718" s="289" t="s">
        <v>3562</v>
      </c>
      <c r="Q718" s="175" t="s">
        <v>87</v>
      </c>
      <c r="R718" s="176" t="s">
        <v>88</v>
      </c>
      <c r="S718" s="186" t="s">
        <v>89</v>
      </c>
      <c r="T718" s="187"/>
      <c r="U718" s="188"/>
    </row>
    <row r="719" spans="1:21">
      <c r="A719" s="170" t="s">
        <v>3567</v>
      </c>
      <c r="B719" s="170" t="s">
        <v>3568</v>
      </c>
      <c r="C719" s="170"/>
      <c r="D719" s="170" t="s">
        <v>11</v>
      </c>
      <c r="E719" s="170" t="s">
        <v>12</v>
      </c>
      <c r="H719" s="207">
        <v>519670</v>
      </c>
      <c r="I719" s="182" t="s">
        <v>3569</v>
      </c>
      <c r="J719" s="182" t="s">
        <v>3570</v>
      </c>
      <c r="K719" s="182" t="s">
        <v>3571</v>
      </c>
      <c r="L719" s="182" t="s">
        <v>15</v>
      </c>
      <c r="M719"/>
      <c r="Q719" s="175" t="s">
        <v>102</v>
      </c>
      <c r="R719" s="176" t="s">
        <v>103</v>
      </c>
      <c r="S719" s="186" t="s">
        <v>104</v>
      </c>
      <c r="T719" s="187"/>
      <c r="U719" s="188"/>
    </row>
    <row r="720" spans="1:21">
      <c r="A720" s="170" t="s">
        <v>3572</v>
      </c>
      <c r="B720" s="170" t="s">
        <v>3573</v>
      </c>
      <c r="C720" s="170"/>
      <c r="D720" s="170" t="s">
        <v>11</v>
      </c>
      <c r="E720" s="170" t="s">
        <v>12</v>
      </c>
      <c r="H720" s="207">
        <v>402790</v>
      </c>
      <c r="I720" s="182" t="s">
        <v>3574</v>
      </c>
      <c r="J720" s="182" t="s">
        <v>3575</v>
      </c>
      <c r="K720" s="182" t="s">
        <v>3576</v>
      </c>
      <c r="L720" s="182" t="s">
        <v>15</v>
      </c>
      <c r="M720"/>
      <c r="Q720" s="180" t="s">
        <v>3577</v>
      </c>
      <c r="R720" s="181" t="s">
        <v>3578</v>
      </c>
      <c r="S720" s="188" t="s">
        <v>3579</v>
      </c>
      <c r="T720" s="189" t="s">
        <v>3580</v>
      </c>
      <c r="U720" s="182">
        <v>246</v>
      </c>
    </row>
    <row r="721" spans="1:21">
      <c r="A721" s="170" t="s">
        <v>3581</v>
      </c>
      <c r="B721" s="170" t="s">
        <v>3582</v>
      </c>
      <c r="C721" s="192" t="s">
        <v>3583</v>
      </c>
      <c r="D721" s="170" t="s">
        <v>11</v>
      </c>
      <c r="E721" s="170" t="s">
        <v>12</v>
      </c>
      <c r="H721" s="207">
        <v>480306</v>
      </c>
      <c r="I721" s="182" t="s">
        <v>3584</v>
      </c>
      <c r="J721" s="182" t="s">
        <v>3585</v>
      </c>
      <c r="K721" s="182" t="s">
        <v>3586</v>
      </c>
      <c r="L721" s="182" t="s">
        <v>15</v>
      </c>
      <c r="M721" s="289" t="s">
        <v>3582</v>
      </c>
      <c r="Q721" s="180" t="s">
        <v>3587</v>
      </c>
      <c r="R721" s="181" t="s">
        <v>3588</v>
      </c>
      <c r="S721" s="188" t="s">
        <v>3589</v>
      </c>
      <c r="T721" s="189" t="s">
        <v>3590</v>
      </c>
      <c r="U721" s="182">
        <v>600</v>
      </c>
    </row>
    <row r="722" spans="1:21">
      <c r="A722" s="170" t="s">
        <v>3591</v>
      </c>
      <c r="B722" s="170" t="s">
        <v>3592</v>
      </c>
      <c r="C722" s="192" t="s">
        <v>3593</v>
      </c>
      <c r="D722" s="170" t="s">
        <v>11</v>
      </c>
      <c r="E722" s="170" t="s">
        <v>12</v>
      </c>
      <c r="H722" s="207">
        <v>486827</v>
      </c>
      <c r="I722" s="182" t="s">
        <v>3594</v>
      </c>
      <c r="J722" s="182" t="s">
        <v>3595</v>
      </c>
      <c r="K722" s="182" t="s">
        <v>3596</v>
      </c>
      <c r="L722" s="182" t="s">
        <v>15</v>
      </c>
      <c r="M722" s="289" t="s">
        <v>3592</v>
      </c>
      <c r="Q722" s="180" t="s">
        <v>3597</v>
      </c>
      <c r="R722" s="181" t="s">
        <v>3598</v>
      </c>
      <c r="S722" s="188" t="s">
        <v>3599</v>
      </c>
      <c r="T722" s="189" t="s">
        <v>3600</v>
      </c>
      <c r="U722" s="182">
        <v>628</v>
      </c>
    </row>
    <row r="723" spans="1:21">
      <c r="A723" s="170" t="s">
        <v>3601</v>
      </c>
      <c r="B723" s="170" t="s">
        <v>3602</v>
      </c>
      <c r="C723" s="170"/>
      <c r="D723" s="170" t="s">
        <v>11</v>
      </c>
      <c r="E723" s="170" t="s">
        <v>12</v>
      </c>
      <c r="H723" s="207">
        <v>501883</v>
      </c>
      <c r="I723" s="182" t="s">
        <v>3603</v>
      </c>
      <c r="J723" s="182" t="s">
        <v>3604</v>
      </c>
      <c r="K723" s="182" t="s">
        <v>3605</v>
      </c>
      <c r="L723" s="182" t="s">
        <v>15</v>
      </c>
      <c r="M723"/>
      <c r="Q723" s="180" t="s">
        <v>3606</v>
      </c>
      <c r="R723" s="182" t="s">
        <v>3607</v>
      </c>
      <c r="S723" s="188" t="s">
        <v>3608</v>
      </c>
      <c r="T723" s="189" t="s">
        <v>3609</v>
      </c>
      <c r="U723" s="182">
        <v>1094</v>
      </c>
    </row>
    <row r="724" spans="1:21">
      <c r="A724" s="170" t="s">
        <v>3610</v>
      </c>
      <c r="B724" s="170" t="s">
        <v>3611</v>
      </c>
      <c r="C724" s="170"/>
      <c r="D724" s="170" t="s">
        <v>11</v>
      </c>
      <c r="E724" s="170" t="s">
        <v>12</v>
      </c>
      <c r="H724" s="207">
        <v>444070</v>
      </c>
      <c r="I724" s="182" t="s">
        <v>3612</v>
      </c>
      <c r="J724" s="182" t="s">
        <v>3613</v>
      </c>
      <c r="K724" s="182" t="s">
        <v>3614</v>
      </c>
      <c r="L724" s="182" t="s">
        <v>15</v>
      </c>
      <c r="M724"/>
      <c r="Q724" s="180" t="s">
        <v>3615</v>
      </c>
      <c r="R724" s="182" t="s">
        <v>3616</v>
      </c>
      <c r="S724" s="188" t="s">
        <v>3617</v>
      </c>
      <c r="T724" s="190" t="s">
        <v>3618</v>
      </c>
      <c r="U724" s="182">
        <v>1058</v>
      </c>
    </row>
    <row r="725" spans="1:13">
      <c r="A725" s="170" t="s">
        <v>3619</v>
      </c>
      <c r="B725" s="170" t="s">
        <v>3620</v>
      </c>
      <c r="C725" s="192" t="s">
        <v>3621</v>
      </c>
      <c r="D725" s="170" t="s">
        <v>11</v>
      </c>
      <c r="E725" s="170" t="s">
        <v>12</v>
      </c>
      <c r="H725" s="207" t="s">
        <v>3622</v>
      </c>
      <c r="I725" s="182" t="s">
        <v>10</v>
      </c>
      <c r="J725" s="182" t="s">
        <v>3622</v>
      </c>
      <c r="K725" s="182" t="s">
        <v>3623</v>
      </c>
      <c r="L725" s="182" t="s">
        <v>53</v>
      </c>
      <c r="M725" s="289" t="s">
        <v>3620</v>
      </c>
    </row>
    <row r="726" spans="1:13">
      <c r="A726" s="170" t="s">
        <v>3624</v>
      </c>
      <c r="B726" s="170" t="s">
        <v>3625</v>
      </c>
      <c r="C726" s="192" t="s">
        <v>3626</v>
      </c>
      <c r="D726" s="170" t="s">
        <v>11</v>
      </c>
      <c r="E726" s="170" t="s">
        <v>12</v>
      </c>
      <c r="H726" s="207">
        <v>464053</v>
      </c>
      <c r="I726" s="182" t="s">
        <v>3627</v>
      </c>
      <c r="J726" s="182" t="s">
        <v>3628</v>
      </c>
      <c r="K726" s="182" t="s">
        <v>3629</v>
      </c>
      <c r="L726" s="182" t="s">
        <v>15</v>
      </c>
      <c r="M726" s="289" t="s">
        <v>3625</v>
      </c>
    </row>
    <row r="727" spans="1:20">
      <c r="A727" s="170" t="s">
        <v>3630</v>
      </c>
      <c r="B727" s="170" t="s">
        <v>3631</v>
      </c>
      <c r="C727" s="170"/>
      <c r="D727" s="170" t="s">
        <v>11</v>
      </c>
      <c r="E727" s="170" t="s">
        <v>12</v>
      </c>
      <c r="H727" s="207">
        <v>493011</v>
      </c>
      <c r="I727" s="182" t="s">
        <v>3632</v>
      </c>
      <c r="J727" s="182" t="s">
        <v>3633</v>
      </c>
      <c r="K727" s="182" t="s">
        <v>3634</v>
      </c>
      <c r="L727" s="182" t="s">
        <v>15</v>
      </c>
      <c r="M727"/>
      <c r="R727"/>
      <c r="T727"/>
    </row>
    <row r="728" spans="1:20">
      <c r="A728" s="170" t="s">
        <v>3635</v>
      </c>
      <c r="B728" s="170" t="s">
        <v>3636</v>
      </c>
      <c r="C728" s="170"/>
      <c r="D728" s="170" t="s">
        <v>11</v>
      </c>
      <c r="E728" s="170" t="s">
        <v>12</v>
      </c>
      <c r="H728" s="207">
        <v>500558</v>
      </c>
      <c r="I728" s="182" t="s">
        <v>3637</v>
      </c>
      <c r="J728" s="182" t="s">
        <v>3638</v>
      </c>
      <c r="K728" s="182" t="s">
        <v>3639</v>
      </c>
      <c r="L728" s="182" t="s">
        <v>15</v>
      </c>
      <c r="M728"/>
      <c r="R728"/>
      <c r="T728"/>
    </row>
    <row r="729" spans="1:13">
      <c r="A729" s="170" t="s">
        <v>3640</v>
      </c>
      <c r="B729" s="300" t="s">
        <v>3641</v>
      </c>
      <c r="C729" s="192" t="s">
        <v>3642</v>
      </c>
      <c r="D729" s="170" t="s">
        <v>11</v>
      </c>
      <c r="E729" s="170" t="s">
        <v>12</v>
      </c>
      <c r="H729" s="207">
        <v>456567</v>
      </c>
      <c r="I729" s="182" t="s">
        <v>3643</v>
      </c>
      <c r="J729" s="182" t="s">
        <v>3644</v>
      </c>
      <c r="K729" s="182" t="s">
        <v>3645</v>
      </c>
      <c r="L729" s="182" t="s">
        <v>15</v>
      </c>
      <c r="M729" s="300" t="s">
        <v>3641</v>
      </c>
    </row>
    <row r="730" spans="1:13">
      <c r="A730" s="170" t="s">
        <v>3646</v>
      </c>
      <c r="B730" s="170" t="s">
        <v>3647</v>
      </c>
      <c r="C730" s="192" t="s">
        <v>3648</v>
      </c>
      <c r="D730" s="170" t="s">
        <v>11</v>
      </c>
      <c r="E730" s="170" t="s">
        <v>12</v>
      </c>
      <c r="H730" s="207">
        <v>444558</v>
      </c>
      <c r="I730" s="182" t="s">
        <v>3649</v>
      </c>
      <c r="J730" s="182" t="s">
        <v>3650</v>
      </c>
      <c r="K730" s="182" t="s">
        <v>3651</v>
      </c>
      <c r="L730" s="182" t="s">
        <v>15</v>
      </c>
      <c r="M730" s="289" t="s">
        <v>3647</v>
      </c>
    </row>
    <row r="731" spans="1:20">
      <c r="A731" s="170" t="s">
        <v>3652</v>
      </c>
      <c r="B731" s="170" t="s">
        <v>3641</v>
      </c>
      <c r="C731" s="170"/>
      <c r="D731" s="170" t="s">
        <v>11</v>
      </c>
      <c r="E731" s="170" t="s">
        <v>12</v>
      </c>
      <c r="H731" s="207">
        <v>916367</v>
      </c>
      <c r="I731" s="182" t="s">
        <v>3653</v>
      </c>
      <c r="J731" s="182" t="s">
        <v>3654</v>
      </c>
      <c r="K731" s="182" t="s">
        <v>3655</v>
      </c>
      <c r="L731" s="182" t="s">
        <v>415</v>
      </c>
      <c r="M731"/>
      <c r="R731"/>
      <c r="T731"/>
    </row>
    <row r="732" spans="1:20">
      <c r="A732" s="170" t="s">
        <v>3656</v>
      </c>
      <c r="B732" s="170" t="s">
        <v>3657</v>
      </c>
      <c r="C732" s="170"/>
      <c r="D732" s="170" t="s">
        <v>11</v>
      </c>
      <c r="E732" s="170" t="s">
        <v>12</v>
      </c>
      <c r="H732" s="207" t="s">
        <v>3658</v>
      </c>
      <c r="I732" s="182" t="s">
        <v>10</v>
      </c>
      <c r="J732" s="182" t="s">
        <v>3658</v>
      </c>
      <c r="K732" s="182" t="s">
        <v>3659</v>
      </c>
      <c r="L732" s="182" t="s">
        <v>19</v>
      </c>
      <c r="M732"/>
      <c r="R732"/>
      <c r="T732"/>
    </row>
    <row r="733" spans="1:20">
      <c r="A733" s="170" t="s">
        <v>3660</v>
      </c>
      <c r="B733" s="170" t="s">
        <v>3661</v>
      </c>
      <c r="C733" s="192" t="s">
        <v>3662</v>
      </c>
      <c r="D733" s="170" t="s">
        <v>11</v>
      </c>
      <c r="E733" s="170" t="s">
        <v>12</v>
      </c>
      <c r="H733" s="207">
        <v>99134</v>
      </c>
      <c r="I733" s="182" t="s">
        <v>3663</v>
      </c>
      <c r="J733" s="182" t="s">
        <v>3664</v>
      </c>
      <c r="K733" s="182" t="s">
        <v>3665</v>
      </c>
      <c r="L733" s="182" t="s">
        <v>15</v>
      </c>
      <c r="M733"/>
      <c r="R733"/>
      <c r="T733"/>
    </row>
    <row r="734" spans="1:20">
      <c r="A734" s="170" t="s">
        <v>3666</v>
      </c>
      <c r="B734" s="170" t="s">
        <v>3667</v>
      </c>
      <c r="C734" s="170"/>
      <c r="D734" s="170" t="s">
        <v>11</v>
      </c>
      <c r="E734" s="170" t="s">
        <v>12</v>
      </c>
      <c r="H734" s="207">
        <v>513193</v>
      </c>
      <c r="I734" s="182" t="s">
        <v>3668</v>
      </c>
      <c r="J734" s="182" t="s">
        <v>3669</v>
      </c>
      <c r="K734" s="182" t="s">
        <v>3670</v>
      </c>
      <c r="L734" s="182" t="s">
        <v>15</v>
      </c>
      <c r="M734"/>
      <c r="R734"/>
      <c r="T734"/>
    </row>
    <row r="735" spans="1:20">
      <c r="A735" s="170" t="s">
        <v>3671</v>
      </c>
      <c r="B735" s="170" t="s">
        <v>3672</v>
      </c>
      <c r="C735" s="170"/>
      <c r="D735" s="170" t="s">
        <v>11</v>
      </c>
      <c r="E735" s="170" t="s">
        <v>12</v>
      </c>
      <c r="H735" s="207">
        <v>518439</v>
      </c>
      <c r="I735" s="182" t="s">
        <v>3673</v>
      </c>
      <c r="J735" s="182" t="s">
        <v>3674</v>
      </c>
      <c r="K735" s="182" t="s">
        <v>3675</v>
      </c>
      <c r="L735" s="182" t="s">
        <v>15</v>
      </c>
      <c r="M735"/>
      <c r="R735"/>
      <c r="T735"/>
    </row>
    <row r="736" spans="1:20">
      <c r="A736" s="170" t="s">
        <v>3676</v>
      </c>
      <c r="B736" s="170" t="s">
        <v>3677</v>
      </c>
      <c r="C736" s="170"/>
      <c r="D736" s="170" t="s">
        <v>11</v>
      </c>
      <c r="E736" s="170" t="s">
        <v>12</v>
      </c>
      <c r="H736" s="207">
        <v>503205</v>
      </c>
      <c r="I736" s="182" t="s">
        <v>3678</v>
      </c>
      <c r="J736" s="182" t="s">
        <v>3679</v>
      </c>
      <c r="K736" s="182" t="s">
        <v>3680</v>
      </c>
      <c r="L736" s="182" t="s">
        <v>15</v>
      </c>
      <c r="M736"/>
      <c r="R736"/>
      <c r="T736"/>
    </row>
    <row r="737" spans="1:20">
      <c r="A737" s="170" t="s">
        <v>3681</v>
      </c>
      <c r="B737" s="170" t="s">
        <v>3682</v>
      </c>
      <c r="C737" s="192" t="s">
        <v>3683</v>
      </c>
      <c r="D737" s="170" t="s">
        <v>11</v>
      </c>
      <c r="E737" s="170" t="s">
        <v>12</v>
      </c>
      <c r="H737" s="207">
        <v>184621</v>
      </c>
      <c r="I737" s="182" t="s">
        <v>3684</v>
      </c>
      <c r="J737" s="182" t="s">
        <v>3685</v>
      </c>
      <c r="K737" s="182"/>
      <c r="L737" s="182" t="s">
        <v>15</v>
      </c>
      <c r="M737"/>
      <c r="R737"/>
      <c r="T737"/>
    </row>
    <row r="738" spans="1:20">
      <c r="A738" s="170" t="s">
        <v>3686</v>
      </c>
      <c r="B738" s="170" t="s">
        <v>3687</v>
      </c>
      <c r="C738" s="170"/>
      <c r="D738" s="170" t="s">
        <v>11</v>
      </c>
      <c r="E738" s="170" t="s">
        <v>12</v>
      </c>
      <c r="H738" s="207">
        <v>331022</v>
      </c>
      <c r="I738" s="182" t="s">
        <v>3688</v>
      </c>
      <c r="J738" s="182" t="s">
        <v>3689</v>
      </c>
      <c r="K738" s="182" t="s">
        <v>3690</v>
      </c>
      <c r="L738" s="182" t="s">
        <v>15</v>
      </c>
      <c r="M738"/>
      <c r="R738"/>
      <c r="T738"/>
    </row>
    <row r="739" spans="1:20">
      <c r="A739" s="170" t="s">
        <v>3691</v>
      </c>
      <c r="B739" s="170" t="s">
        <v>3692</v>
      </c>
      <c r="C739" s="170"/>
      <c r="D739" s="170" t="s">
        <v>11</v>
      </c>
      <c r="E739" s="170" t="s">
        <v>12</v>
      </c>
      <c r="H739" s="207" t="s">
        <v>3693</v>
      </c>
      <c r="I739" s="182" t="s">
        <v>10</v>
      </c>
      <c r="J739" s="182" t="s">
        <v>3693</v>
      </c>
      <c r="K739" s="182" t="s">
        <v>3694</v>
      </c>
      <c r="L739" s="182" t="s">
        <v>53</v>
      </c>
      <c r="M739"/>
      <c r="R739"/>
      <c r="T739"/>
    </row>
    <row r="740" spans="1:20">
      <c r="A740" s="170" t="s">
        <v>3695</v>
      </c>
      <c r="B740" s="170" t="s">
        <v>3696</v>
      </c>
      <c r="C740" s="170"/>
      <c r="D740" s="170" t="s">
        <v>11</v>
      </c>
      <c r="E740" s="170" t="s">
        <v>12</v>
      </c>
      <c r="H740" s="207">
        <v>513088</v>
      </c>
      <c r="I740" s="182" t="s">
        <v>3697</v>
      </c>
      <c r="J740" s="182" t="s">
        <v>3698</v>
      </c>
      <c r="K740" s="182"/>
      <c r="L740" s="182" t="s">
        <v>15</v>
      </c>
      <c r="M740"/>
      <c r="R740"/>
      <c r="T740"/>
    </row>
    <row r="741" spans="1:20">
      <c r="A741" s="170" t="s">
        <v>3699</v>
      </c>
      <c r="B741" s="170" t="s">
        <v>3700</v>
      </c>
      <c r="C741" s="170"/>
      <c r="D741" s="170" t="s">
        <v>11</v>
      </c>
      <c r="E741" s="170" t="s">
        <v>12</v>
      </c>
      <c r="H741" s="207">
        <v>462968</v>
      </c>
      <c r="I741" s="182" t="s">
        <v>3701</v>
      </c>
      <c r="J741" s="182" t="s">
        <v>3702</v>
      </c>
      <c r="K741" s="182" t="s">
        <v>3703</v>
      </c>
      <c r="L741" s="182" t="s">
        <v>15</v>
      </c>
      <c r="M741"/>
      <c r="R741"/>
      <c r="T741"/>
    </row>
    <row r="742" spans="1:20">
      <c r="A742" s="170" t="s">
        <v>3704</v>
      </c>
      <c r="B742" s="170" t="s">
        <v>3705</v>
      </c>
      <c r="C742" s="170"/>
      <c r="D742" s="170" t="s">
        <v>11</v>
      </c>
      <c r="E742" s="170" t="s">
        <v>12</v>
      </c>
      <c r="H742" s="207" t="s">
        <v>3706</v>
      </c>
      <c r="I742" s="182" t="s">
        <v>10</v>
      </c>
      <c r="J742" s="182" t="s">
        <v>3706</v>
      </c>
      <c r="K742" s="182" t="s">
        <v>3707</v>
      </c>
      <c r="L742" s="182" t="s">
        <v>19</v>
      </c>
      <c r="M742"/>
      <c r="R742"/>
      <c r="T742"/>
    </row>
    <row r="743" spans="1:20">
      <c r="A743" s="170" t="s">
        <v>3708</v>
      </c>
      <c r="B743" s="170" t="s">
        <v>3709</v>
      </c>
      <c r="C743" s="170"/>
      <c r="D743" s="170" t="s">
        <v>11</v>
      </c>
      <c r="E743" s="170" t="s">
        <v>12</v>
      </c>
      <c r="H743" s="207">
        <v>511218</v>
      </c>
      <c r="I743" s="182" t="s">
        <v>109</v>
      </c>
      <c r="J743" s="182" t="s">
        <v>3710</v>
      </c>
      <c r="K743" s="182" t="s">
        <v>3711</v>
      </c>
      <c r="L743" s="182" t="s">
        <v>15</v>
      </c>
      <c r="M743"/>
      <c r="R743"/>
      <c r="T743"/>
    </row>
    <row r="744" spans="1:20">
      <c r="A744" s="170" t="s">
        <v>3712</v>
      </c>
      <c r="B744" s="170" t="s">
        <v>3713</v>
      </c>
      <c r="C744" s="170"/>
      <c r="D744" s="170" t="s">
        <v>11</v>
      </c>
      <c r="E744" s="170" t="s">
        <v>12</v>
      </c>
      <c r="H744" s="207">
        <v>504290</v>
      </c>
      <c r="I744" s="182" t="s">
        <v>109</v>
      </c>
      <c r="J744" s="182" t="s">
        <v>3714</v>
      </c>
      <c r="K744" s="182" t="s">
        <v>3715</v>
      </c>
      <c r="L744" s="182" t="s">
        <v>15</v>
      </c>
      <c r="M744"/>
      <c r="R744"/>
      <c r="T744"/>
    </row>
    <row r="745" spans="1:20">
      <c r="A745" s="170" t="s">
        <v>3716</v>
      </c>
      <c r="B745" s="170" t="s">
        <v>3717</v>
      </c>
      <c r="C745" s="170"/>
      <c r="D745" s="170" t="s">
        <v>11</v>
      </c>
      <c r="E745" s="170" t="s">
        <v>12</v>
      </c>
      <c r="H745" s="207">
        <v>472561</v>
      </c>
      <c r="I745" s="182" t="s">
        <v>3718</v>
      </c>
      <c r="J745" s="182" t="s">
        <v>3719</v>
      </c>
      <c r="K745" s="182" t="s">
        <v>3720</v>
      </c>
      <c r="L745" s="182" t="s">
        <v>15</v>
      </c>
      <c r="M745"/>
      <c r="R745"/>
      <c r="T745"/>
    </row>
    <row r="746" spans="1:20">
      <c r="A746" s="170" t="s">
        <v>3721</v>
      </c>
      <c r="B746" s="170" t="s">
        <v>3722</v>
      </c>
      <c r="C746" s="170"/>
      <c r="D746" s="170" t="s">
        <v>11</v>
      </c>
      <c r="E746" s="170" t="s">
        <v>12</v>
      </c>
      <c r="H746" s="207">
        <v>451932</v>
      </c>
      <c r="I746" s="182" t="s">
        <v>3723</v>
      </c>
      <c r="J746" s="182" t="s">
        <v>3724</v>
      </c>
      <c r="K746" s="182" t="s">
        <v>3725</v>
      </c>
      <c r="L746" s="182" t="s">
        <v>15</v>
      </c>
      <c r="M746"/>
      <c r="R746"/>
      <c r="T746"/>
    </row>
    <row r="747" spans="1:20">
      <c r="A747" s="170" t="s">
        <v>3726</v>
      </c>
      <c r="B747" s="170" t="s">
        <v>3727</v>
      </c>
      <c r="C747" s="170"/>
      <c r="D747" s="170" t="s">
        <v>11</v>
      </c>
      <c r="E747" s="170" t="s">
        <v>12</v>
      </c>
      <c r="H747" s="207" t="s">
        <v>3728</v>
      </c>
      <c r="I747" s="182" t="s">
        <v>10</v>
      </c>
      <c r="J747" s="182" t="s">
        <v>3728</v>
      </c>
      <c r="K747" s="182" t="s">
        <v>3729</v>
      </c>
      <c r="L747" s="182" t="s">
        <v>53</v>
      </c>
      <c r="M747"/>
      <c r="R747"/>
      <c r="T747"/>
    </row>
    <row r="748" spans="1:20">
      <c r="A748" s="170" t="s">
        <v>3730</v>
      </c>
      <c r="B748" s="170" t="s">
        <v>3731</v>
      </c>
      <c r="C748" s="170"/>
      <c r="D748" s="170" t="s">
        <v>11</v>
      </c>
      <c r="E748" s="170" t="s">
        <v>12</v>
      </c>
      <c r="H748" s="207">
        <v>455022</v>
      </c>
      <c r="I748" s="182" t="s">
        <v>3732</v>
      </c>
      <c r="J748" s="182" t="s">
        <v>3733</v>
      </c>
      <c r="K748" s="182"/>
      <c r="L748" s="182" t="s">
        <v>15</v>
      </c>
      <c r="M748"/>
      <c r="R748"/>
      <c r="T748"/>
    </row>
    <row r="749" spans="1:20">
      <c r="A749" s="170" t="s">
        <v>3734</v>
      </c>
      <c r="B749" s="170" t="s">
        <v>3735</v>
      </c>
      <c r="C749" s="170"/>
      <c r="D749" s="170" t="s">
        <v>11</v>
      </c>
      <c r="E749" s="170" t="s">
        <v>12</v>
      </c>
      <c r="H749" s="207">
        <v>503470</v>
      </c>
      <c r="I749" s="182" t="s">
        <v>3736</v>
      </c>
      <c r="J749" s="182" t="s">
        <v>3737</v>
      </c>
      <c r="K749" s="182" t="s">
        <v>3738</v>
      </c>
      <c r="L749" s="182" t="s">
        <v>15</v>
      </c>
      <c r="M749"/>
      <c r="R749"/>
      <c r="T749"/>
    </row>
    <row r="750" spans="1:20">
      <c r="A750" s="170" t="s">
        <v>3739</v>
      </c>
      <c r="B750" s="170" t="s">
        <v>3740</v>
      </c>
      <c r="C750" s="170"/>
      <c r="D750" s="170" t="s">
        <v>11</v>
      </c>
      <c r="E750" s="170" t="s">
        <v>12</v>
      </c>
      <c r="H750" s="207">
        <v>231513</v>
      </c>
      <c r="I750" s="182" t="s">
        <v>3741</v>
      </c>
      <c r="J750" s="182" t="s">
        <v>3742</v>
      </c>
      <c r="K750" s="182" t="s">
        <v>3743</v>
      </c>
      <c r="L750" s="182" t="s">
        <v>369</v>
      </c>
      <c r="M750"/>
      <c r="R750"/>
      <c r="T750"/>
    </row>
    <row r="751" spans="1:20">
      <c r="A751" s="170" t="s">
        <v>3744</v>
      </c>
      <c r="B751" s="170" t="s">
        <v>3745</v>
      </c>
      <c r="C751" s="170"/>
      <c r="D751" s="170" t="s">
        <v>11</v>
      </c>
      <c r="E751" s="170" t="s">
        <v>12</v>
      </c>
      <c r="H751" s="207">
        <v>513580</v>
      </c>
      <c r="I751" s="182" t="s">
        <v>3746</v>
      </c>
      <c r="J751" s="182" t="s">
        <v>3747</v>
      </c>
      <c r="K751" s="182" t="s">
        <v>3748</v>
      </c>
      <c r="L751" s="182" t="s">
        <v>15</v>
      </c>
      <c r="M751"/>
      <c r="R751"/>
      <c r="T751"/>
    </row>
    <row r="752" spans="1:20">
      <c r="A752" s="170" t="s">
        <v>3749</v>
      </c>
      <c r="B752" s="170" t="s">
        <v>3750</v>
      </c>
      <c r="C752" s="170"/>
      <c r="D752" s="170" t="s">
        <v>11</v>
      </c>
      <c r="E752" s="170" t="s">
        <v>12</v>
      </c>
      <c r="H752" s="207">
        <v>771679</v>
      </c>
      <c r="I752" s="182" t="s">
        <v>3751</v>
      </c>
      <c r="J752" s="182" t="s">
        <v>3752</v>
      </c>
      <c r="K752" s="182" t="s">
        <v>3753</v>
      </c>
      <c r="L752" s="182" t="s">
        <v>369</v>
      </c>
      <c r="M752"/>
      <c r="R752"/>
      <c r="T752"/>
    </row>
    <row r="753" spans="1:20">
      <c r="A753" s="170" t="s">
        <v>3754</v>
      </c>
      <c r="B753" s="170" t="s">
        <v>3755</v>
      </c>
      <c r="C753" s="170"/>
      <c r="D753" s="170" t="s">
        <v>11</v>
      </c>
      <c r="E753" s="170" t="s">
        <v>12</v>
      </c>
      <c r="H753" s="207">
        <v>437354</v>
      </c>
      <c r="I753" s="182" t="s">
        <v>3756</v>
      </c>
      <c r="J753" s="182" t="s">
        <v>3757</v>
      </c>
      <c r="K753" s="182"/>
      <c r="L753" s="182" t="s">
        <v>15</v>
      </c>
      <c r="M753"/>
      <c r="R753"/>
      <c r="T753"/>
    </row>
    <row r="754" spans="1:20">
      <c r="A754" s="170" t="s">
        <v>3758</v>
      </c>
      <c r="B754" s="170" t="s">
        <v>3759</v>
      </c>
      <c r="C754" s="170"/>
      <c r="D754" s="170" t="s">
        <v>11</v>
      </c>
      <c r="E754" s="170" t="s">
        <v>12</v>
      </c>
      <c r="H754" s="207">
        <v>500524</v>
      </c>
      <c r="I754" s="182" t="s">
        <v>3760</v>
      </c>
      <c r="J754" s="182" t="s">
        <v>3761</v>
      </c>
      <c r="K754" s="182" t="s">
        <v>3762</v>
      </c>
      <c r="L754" s="182" t="s">
        <v>15</v>
      </c>
      <c r="M754"/>
      <c r="R754"/>
      <c r="T754"/>
    </row>
    <row r="755" spans="1:20">
      <c r="A755" s="170" t="s">
        <v>3763</v>
      </c>
      <c r="B755" s="170" t="s">
        <v>3764</v>
      </c>
      <c r="C755" s="170"/>
      <c r="D755" s="170" t="s">
        <v>11</v>
      </c>
      <c r="E755" s="170" t="s">
        <v>12</v>
      </c>
      <c r="H755" s="207">
        <v>476610</v>
      </c>
      <c r="I755" s="182" t="s">
        <v>3765</v>
      </c>
      <c r="J755" s="182" t="s">
        <v>3766</v>
      </c>
      <c r="K755" s="182" t="s">
        <v>3767</v>
      </c>
      <c r="L755" s="182" t="s">
        <v>15</v>
      </c>
      <c r="M755"/>
      <c r="R755"/>
      <c r="T755"/>
    </row>
    <row r="756" spans="1:20">
      <c r="A756" s="170" t="s">
        <v>3768</v>
      </c>
      <c r="B756" s="170" t="s">
        <v>3769</v>
      </c>
      <c r="C756" s="170"/>
      <c r="D756" s="170" t="s">
        <v>11</v>
      </c>
      <c r="E756" s="170" t="s">
        <v>12</v>
      </c>
      <c r="H756" s="207">
        <v>464029</v>
      </c>
      <c r="I756" s="182" t="s">
        <v>3770</v>
      </c>
      <c r="J756" s="182" t="s">
        <v>3771</v>
      </c>
      <c r="K756" s="182" t="s">
        <v>3772</v>
      </c>
      <c r="L756" s="182" t="s">
        <v>15</v>
      </c>
      <c r="M756"/>
      <c r="R756"/>
      <c r="T756"/>
    </row>
    <row r="757" spans="1:20">
      <c r="A757" s="170" t="s">
        <v>3773</v>
      </c>
      <c r="B757" s="170" t="s">
        <v>3774</v>
      </c>
      <c r="C757" s="170"/>
      <c r="D757" s="170" t="s">
        <v>11</v>
      </c>
      <c r="E757" s="170" t="s">
        <v>12</v>
      </c>
      <c r="H757" s="207" t="s">
        <v>3775</v>
      </c>
      <c r="I757" s="182" t="s">
        <v>10</v>
      </c>
      <c r="J757" s="182" t="s">
        <v>3775</v>
      </c>
      <c r="K757" s="182" t="s">
        <v>3776</v>
      </c>
      <c r="L757" s="182" t="s">
        <v>19</v>
      </c>
      <c r="M757"/>
      <c r="R757"/>
      <c r="T757"/>
    </row>
    <row r="758" spans="1:20">
      <c r="A758" s="170" t="s">
        <v>3777</v>
      </c>
      <c r="B758" s="170" t="s">
        <v>3778</v>
      </c>
      <c r="C758" s="170"/>
      <c r="D758" s="170" t="s">
        <v>11</v>
      </c>
      <c r="E758" s="170" t="s">
        <v>12</v>
      </c>
      <c r="H758" s="207" t="s">
        <v>3779</v>
      </c>
      <c r="I758" s="182" t="s">
        <v>10</v>
      </c>
      <c r="J758" s="182" t="s">
        <v>3779</v>
      </c>
      <c r="K758" s="182" t="s">
        <v>3780</v>
      </c>
      <c r="L758" s="182" t="s">
        <v>19</v>
      </c>
      <c r="M758"/>
      <c r="R758"/>
      <c r="T758"/>
    </row>
    <row r="759" spans="1:20">
      <c r="A759" s="170" t="s">
        <v>3781</v>
      </c>
      <c r="B759" s="170" t="s">
        <v>3782</v>
      </c>
      <c r="C759" s="170"/>
      <c r="D759" s="170" t="s">
        <v>11</v>
      </c>
      <c r="E759" s="170" t="s">
        <v>12</v>
      </c>
      <c r="H759" s="207" t="s">
        <v>3783</v>
      </c>
      <c r="I759" s="182" t="s">
        <v>10</v>
      </c>
      <c r="J759" s="182" t="s">
        <v>3783</v>
      </c>
      <c r="K759" s="182" t="s">
        <v>3784</v>
      </c>
      <c r="L759" s="182" t="s">
        <v>19</v>
      </c>
      <c r="M759"/>
      <c r="R759"/>
      <c r="T759"/>
    </row>
    <row r="760" spans="1:20">
      <c r="A760" s="170" t="s">
        <v>3785</v>
      </c>
      <c r="B760" s="170" t="s">
        <v>3786</v>
      </c>
      <c r="C760" s="170"/>
      <c r="D760" s="170" t="s">
        <v>11</v>
      </c>
      <c r="E760" s="170" t="s">
        <v>12</v>
      </c>
      <c r="H760" s="207">
        <v>492041</v>
      </c>
      <c r="I760" s="182" t="s">
        <v>3787</v>
      </c>
      <c r="J760" s="182" t="s">
        <v>3788</v>
      </c>
      <c r="K760" s="182"/>
      <c r="L760" s="182" t="s">
        <v>15</v>
      </c>
      <c r="M760"/>
      <c r="R760"/>
      <c r="T760"/>
    </row>
    <row r="761" spans="1:20">
      <c r="A761" s="170" t="s">
        <v>3789</v>
      </c>
      <c r="B761" s="170" t="s">
        <v>3790</v>
      </c>
      <c r="C761" s="170"/>
      <c r="D761" s="170" t="s">
        <v>11</v>
      </c>
      <c r="E761" s="170" t="s">
        <v>12</v>
      </c>
      <c r="H761" s="207" t="s">
        <v>3791</v>
      </c>
      <c r="I761" s="182" t="s">
        <v>10</v>
      </c>
      <c r="J761" s="182" t="s">
        <v>3791</v>
      </c>
      <c r="K761" s="182" t="s">
        <v>3792</v>
      </c>
      <c r="L761" s="182" t="s">
        <v>53</v>
      </c>
      <c r="M761"/>
      <c r="R761"/>
      <c r="T761"/>
    </row>
    <row r="762" spans="1:20">
      <c r="A762" s="170" t="s">
        <v>3793</v>
      </c>
      <c r="B762" s="170" t="s">
        <v>3794</v>
      </c>
      <c r="C762" s="170"/>
      <c r="D762" s="170" t="s">
        <v>11</v>
      </c>
      <c r="E762" s="170" t="s">
        <v>12</v>
      </c>
      <c r="H762" s="207" t="s">
        <v>3795</v>
      </c>
      <c r="I762" s="182" t="s">
        <v>10</v>
      </c>
      <c r="J762" s="182" t="s">
        <v>3795</v>
      </c>
      <c r="K762" s="182" t="s">
        <v>3796</v>
      </c>
      <c r="L762" s="182" t="s">
        <v>53</v>
      </c>
      <c r="M762"/>
      <c r="R762"/>
      <c r="T762"/>
    </row>
    <row r="763" spans="1:20">
      <c r="A763" s="170" t="s">
        <v>3797</v>
      </c>
      <c r="B763" s="170" t="s">
        <v>3798</v>
      </c>
      <c r="C763" s="170"/>
      <c r="D763" s="170" t="s">
        <v>11</v>
      </c>
      <c r="E763" s="170" t="s">
        <v>12</v>
      </c>
      <c r="H763" s="207">
        <v>199791</v>
      </c>
      <c r="I763" s="182" t="s">
        <v>3799</v>
      </c>
      <c r="J763" s="182" t="s">
        <v>3800</v>
      </c>
      <c r="K763" s="182" t="s">
        <v>3801</v>
      </c>
      <c r="L763" s="182" t="s">
        <v>15</v>
      </c>
      <c r="M763"/>
      <c r="R763"/>
      <c r="T763"/>
    </row>
    <row r="764" spans="1:20">
      <c r="A764" s="170" t="s">
        <v>3802</v>
      </c>
      <c r="B764" s="170" t="s">
        <v>3803</v>
      </c>
      <c r="C764" s="170"/>
      <c r="D764" s="170" t="s">
        <v>11</v>
      </c>
      <c r="E764" s="170" t="s">
        <v>12</v>
      </c>
      <c r="H764" s="207" t="s">
        <v>3804</v>
      </c>
      <c r="I764" s="182" t="s">
        <v>10</v>
      </c>
      <c r="J764" s="182" t="s">
        <v>3804</v>
      </c>
      <c r="K764" s="182" t="s">
        <v>3805</v>
      </c>
      <c r="L764" s="182" t="s">
        <v>53</v>
      </c>
      <c r="M764"/>
      <c r="R764"/>
      <c r="T764"/>
    </row>
    <row r="765" spans="1:13">
      <c r="A765" s="170" t="s">
        <v>3806</v>
      </c>
      <c r="B765" s="170" t="s">
        <v>3807</v>
      </c>
      <c r="C765" s="192" t="s">
        <v>3808</v>
      </c>
      <c r="D765" s="170" t="s">
        <v>11</v>
      </c>
      <c r="E765" s="170" t="s">
        <v>12</v>
      </c>
      <c r="H765" s="207">
        <v>496669</v>
      </c>
      <c r="I765" s="182" t="s">
        <v>3809</v>
      </c>
      <c r="J765" s="182" t="s">
        <v>3810</v>
      </c>
      <c r="K765" s="182"/>
      <c r="L765" s="182" t="s">
        <v>15</v>
      </c>
      <c r="M765" s="289" t="s">
        <v>3807</v>
      </c>
    </row>
    <row r="766" spans="1:20">
      <c r="A766" s="170" t="s">
        <v>3811</v>
      </c>
      <c r="B766" s="170" t="s">
        <v>3812</v>
      </c>
      <c r="C766" s="170"/>
      <c r="D766" s="170" t="s">
        <v>11</v>
      </c>
      <c r="E766" s="170" t="s">
        <v>12</v>
      </c>
      <c r="H766" s="207">
        <v>492513</v>
      </c>
      <c r="I766" s="182" t="s">
        <v>3813</v>
      </c>
      <c r="J766" s="182" t="s">
        <v>3814</v>
      </c>
      <c r="K766" s="182" t="s">
        <v>3815</v>
      </c>
      <c r="L766" s="182" t="s">
        <v>15</v>
      </c>
      <c r="M766"/>
      <c r="R766"/>
      <c r="T766"/>
    </row>
    <row r="767" spans="1:20">
      <c r="A767" s="170" t="s">
        <v>3816</v>
      </c>
      <c r="B767" s="170" t="s">
        <v>3817</v>
      </c>
      <c r="C767" s="170"/>
      <c r="D767" s="170" t="s">
        <v>11</v>
      </c>
      <c r="E767" s="170" t="s">
        <v>12</v>
      </c>
      <c r="H767" s="207">
        <v>472052</v>
      </c>
      <c r="I767" s="182" t="s">
        <v>3818</v>
      </c>
      <c r="J767" s="182" t="s">
        <v>3819</v>
      </c>
      <c r="K767" s="182" t="s">
        <v>3820</v>
      </c>
      <c r="L767" s="182" t="s">
        <v>15</v>
      </c>
      <c r="M767"/>
      <c r="R767"/>
      <c r="T767"/>
    </row>
    <row r="768" spans="1:20">
      <c r="A768" s="170" t="s">
        <v>3821</v>
      </c>
      <c r="B768" s="170" t="s">
        <v>3822</v>
      </c>
      <c r="C768" s="170"/>
      <c r="D768" s="170" t="s">
        <v>11</v>
      </c>
      <c r="E768" s="170" t="s">
        <v>12</v>
      </c>
      <c r="H768" s="207">
        <v>469831</v>
      </c>
      <c r="I768" s="182" t="s">
        <v>3823</v>
      </c>
      <c r="J768" s="182" t="s">
        <v>3824</v>
      </c>
      <c r="K768" s="182" t="s">
        <v>3825</v>
      </c>
      <c r="L768" s="182" t="s">
        <v>15</v>
      </c>
      <c r="M768"/>
      <c r="R768"/>
      <c r="T768"/>
    </row>
    <row r="769" spans="1:13">
      <c r="A769" s="170" t="s">
        <v>3826</v>
      </c>
      <c r="B769" s="170" t="s">
        <v>3827</v>
      </c>
      <c r="C769" s="192" t="s">
        <v>3828</v>
      </c>
      <c r="D769" s="170" t="s">
        <v>11</v>
      </c>
      <c r="E769" s="170" t="s">
        <v>12</v>
      </c>
      <c r="H769" s="207">
        <v>486332</v>
      </c>
      <c r="I769" s="182" t="s">
        <v>3829</v>
      </c>
      <c r="J769" s="182" t="s">
        <v>3830</v>
      </c>
      <c r="K769" s="182" t="s">
        <v>3831</v>
      </c>
      <c r="L769" s="182" t="s">
        <v>15</v>
      </c>
      <c r="M769" s="289" t="s">
        <v>3827</v>
      </c>
    </row>
    <row r="770" spans="1:13">
      <c r="A770" s="170" t="s">
        <v>3832</v>
      </c>
      <c r="B770" s="170" t="s">
        <v>3833</v>
      </c>
      <c r="C770" s="192" t="s">
        <v>3834</v>
      </c>
      <c r="D770" s="170" t="s">
        <v>11</v>
      </c>
      <c r="E770" s="170" t="s">
        <v>12</v>
      </c>
      <c r="H770" s="207">
        <v>492323</v>
      </c>
      <c r="I770" s="182" t="s">
        <v>3835</v>
      </c>
      <c r="J770" s="182" t="s">
        <v>3836</v>
      </c>
      <c r="K770" s="182" t="s">
        <v>3837</v>
      </c>
      <c r="L770" s="182" t="s">
        <v>15</v>
      </c>
      <c r="M770" s="289" t="s">
        <v>3833</v>
      </c>
    </row>
    <row r="771" spans="1:20">
      <c r="A771" s="170" t="s">
        <v>3838</v>
      </c>
      <c r="B771" s="170" t="s">
        <v>3839</v>
      </c>
      <c r="C771" s="170"/>
      <c r="D771" s="170" t="s">
        <v>11</v>
      </c>
      <c r="E771" s="170" t="s">
        <v>12</v>
      </c>
      <c r="H771" s="207" t="s">
        <v>3840</v>
      </c>
      <c r="I771" s="182" t="s">
        <v>10</v>
      </c>
      <c r="J771" s="182" t="s">
        <v>3840</v>
      </c>
      <c r="K771" s="182" t="s">
        <v>3841</v>
      </c>
      <c r="L771" s="182" t="s">
        <v>53</v>
      </c>
      <c r="M771"/>
      <c r="R771"/>
      <c r="T771"/>
    </row>
    <row r="772" spans="1:20">
      <c r="A772" s="170" t="s">
        <v>3842</v>
      </c>
      <c r="B772" s="170" t="s">
        <v>3843</v>
      </c>
      <c r="C772" s="170"/>
      <c r="D772" s="170" t="s">
        <v>11</v>
      </c>
      <c r="E772" s="170" t="s">
        <v>12</v>
      </c>
      <c r="H772" s="207">
        <v>311577</v>
      </c>
      <c r="I772" s="182" t="s">
        <v>3844</v>
      </c>
      <c r="J772" s="182" t="s">
        <v>3845</v>
      </c>
      <c r="K772" s="182" t="s">
        <v>3846</v>
      </c>
      <c r="L772" s="182" t="s">
        <v>15</v>
      </c>
      <c r="M772"/>
      <c r="R772"/>
      <c r="T772"/>
    </row>
    <row r="773" spans="1:13">
      <c r="A773" s="170" t="s">
        <v>3847</v>
      </c>
      <c r="B773" s="170" t="s">
        <v>3848</v>
      </c>
      <c r="C773" s="192" t="s">
        <v>3849</v>
      </c>
      <c r="D773" s="170" t="s">
        <v>11</v>
      </c>
      <c r="E773" s="170" t="s">
        <v>12</v>
      </c>
      <c r="H773" s="207">
        <v>477465</v>
      </c>
      <c r="I773" s="182" t="s">
        <v>3850</v>
      </c>
      <c r="J773" s="182" t="s">
        <v>3851</v>
      </c>
      <c r="K773" s="182" t="s">
        <v>3852</v>
      </c>
      <c r="L773" s="182" t="s">
        <v>15</v>
      </c>
      <c r="M773" s="289" t="s">
        <v>3848</v>
      </c>
    </row>
    <row r="774" spans="1:13">
      <c r="A774" s="170" t="s">
        <v>3853</v>
      </c>
      <c r="B774" s="170" t="s">
        <v>3854</v>
      </c>
      <c r="C774" s="192" t="s">
        <v>3855</v>
      </c>
      <c r="D774" s="170" t="s">
        <v>11</v>
      </c>
      <c r="E774" s="170" t="s">
        <v>12</v>
      </c>
      <c r="H774" s="207" t="s">
        <v>3856</v>
      </c>
      <c r="I774" s="182" t="s">
        <v>10</v>
      </c>
      <c r="J774" s="182" t="s">
        <v>3856</v>
      </c>
      <c r="K774" s="182" t="s">
        <v>3857</v>
      </c>
      <c r="L774" s="182" t="s">
        <v>19</v>
      </c>
      <c r="M774" s="289" t="s">
        <v>3854</v>
      </c>
    </row>
    <row r="775" spans="1:20">
      <c r="A775" s="170" t="s">
        <v>3858</v>
      </c>
      <c r="B775" s="170" t="s">
        <v>3859</v>
      </c>
      <c r="C775" s="170"/>
      <c r="D775" s="170" t="s">
        <v>11</v>
      </c>
      <c r="E775" s="170" t="s">
        <v>12</v>
      </c>
      <c r="H775" s="207" t="s">
        <v>3860</v>
      </c>
      <c r="I775" s="182" t="s">
        <v>10</v>
      </c>
      <c r="J775" s="182" t="s">
        <v>3860</v>
      </c>
      <c r="K775" s="182" t="s">
        <v>3861</v>
      </c>
      <c r="L775" s="182" t="s">
        <v>19</v>
      </c>
      <c r="M775"/>
      <c r="R775"/>
      <c r="T775"/>
    </row>
    <row r="776" spans="1:20">
      <c r="A776" s="170" t="s">
        <v>3862</v>
      </c>
      <c r="B776" s="170" t="s">
        <v>3863</v>
      </c>
      <c r="C776" s="170"/>
      <c r="D776" s="170" t="s">
        <v>11</v>
      </c>
      <c r="E776" s="170" t="s">
        <v>12</v>
      </c>
      <c r="H776" s="207">
        <v>427758</v>
      </c>
      <c r="I776" s="182" t="s">
        <v>3864</v>
      </c>
      <c r="J776" s="182" t="s">
        <v>3865</v>
      </c>
      <c r="K776" s="182" t="s">
        <v>3866</v>
      </c>
      <c r="L776" s="182" t="s">
        <v>15</v>
      </c>
      <c r="M776"/>
      <c r="R776"/>
      <c r="T776"/>
    </row>
    <row r="777" spans="1:13">
      <c r="A777" s="170" t="s">
        <v>3867</v>
      </c>
      <c r="B777" s="170" t="s">
        <v>3868</v>
      </c>
      <c r="C777" s="192" t="s">
        <v>3869</v>
      </c>
      <c r="D777" s="170" t="s">
        <v>11</v>
      </c>
      <c r="E777" s="170" t="s">
        <v>12</v>
      </c>
      <c r="H777" s="207">
        <v>478585</v>
      </c>
      <c r="I777" s="182" t="s">
        <v>3870</v>
      </c>
      <c r="J777" s="182" t="s">
        <v>3871</v>
      </c>
      <c r="K777" s="182"/>
      <c r="L777" s="182" t="s">
        <v>15</v>
      </c>
      <c r="M777" s="289" t="s">
        <v>3868</v>
      </c>
    </row>
    <row r="778" spans="1:13">
      <c r="A778" s="170" t="s">
        <v>3872</v>
      </c>
      <c r="B778" s="170" t="s">
        <v>3873</v>
      </c>
      <c r="C778" s="192" t="s">
        <v>3874</v>
      </c>
      <c r="D778" s="170" t="s">
        <v>11</v>
      </c>
      <c r="E778" s="170" t="s">
        <v>12</v>
      </c>
      <c r="H778" s="207">
        <v>918691</v>
      </c>
      <c r="I778" s="182" t="s">
        <v>3875</v>
      </c>
      <c r="J778" s="182" t="s">
        <v>3876</v>
      </c>
      <c r="K778" s="182" t="s">
        <v>3877</v>
      </c>
      <c r="L778" s="182" t="s">
        <v>15</v>
      </c>
      <c r="M778" s="289" t="s">
        <v>3873</v>
      </c>
    </row>
    <row r="779" spans="1:20">
      <c r="A779" s="170" t="s">
        <v>3878</v>
      </c>
      <c r="B779" s="170" t="s">
        <v>3879</v>
      </c>
      <c r="C779" s="170"/>
      <c r="D779" s="170" t="s">
        <v>11</v>
      </c>
      <c r="E779" s="170" t="s">
        <v>12</v>
      </c>
      <c r="H779" s="207" t="s">
        <v>3880</v>
      </c>
      <c r="I779" s="182" t="s">
        <v>10</v>
      </c>
      <c r="J779" s="182" t="s">
        <v>3880</v>
      </c>
      <c r="K779" s="182" t="s">
        <v>3881</v>
      </c>
      <c r="L779" s="182" t="s">
        <v>53</v>
      </c>
      <c r="M779"/>
      <c r="R779"/>
      <c r="T779"/>
    </row>
    <row r="780" spans="1:20">
      <c r="A780" s="170" t="s">
        <v>3882</v>
      </c>
      <c r="B780" s="170" t="s">
        <v>3883</v>
      </c>
      <c r="C780" s="170"/>
      <c r="D780" s="170" t="s">
        <v>11</v>
      </c>
      <c r="E780" s="170" t="s">
        <v>12</v>
      </c>
      <c r="H780" s="207">
        <v>373728</v>
      </c>
      <c r="I780" s="182" t="s">
        <v>3884</v>
      </c>
      <c r="J780" s="182" t="s">
        <v>3885</v>
      </c>
      <c r="K780" s="182" t="s">
        <v>3886</v>
      </c>
      <c r="L780" s="182" t="s">
        <v>369</v>
      </c>
      <c r="M780"/>
      <c r="R780"/>
      <c r="T780"/>
    </row>
    <row r="781" spans="1:13">
      <c r="A781" s="170" t="s">
        <v>3887</v>
      </c>
      <c r="B781" s="170" t="s">
        <v>3888</v>
      </c>
      <c r="C781" s="192" t="s">
        <v>3889</v>
      </c>
      <c r="D781" s="170" t="s">
        <v>11</v>
      </c>
      <c r="E781" s="170" t="s">
        <v>12</v>
      </c>
      <c r="H781" s="207">
        <v>478576</v>
      </c>
      <c r="I781" s="182" t="s">
        <v>3890</v>
      </c>
      <c r="J781" s="182" t="s">
        <v>3891</v>
      </c>
      <c r="K781" s="182"/>
      <c r="L781" s="182" t="s">
        <v>15</v>
      </c>
      <c r="M781" s="289" t="s">
        <v>3888</v>
      </c>
    </row>
    <row r="782" spans="1:13">
      <c r="A782" s="170" t="s">
        <v>3892</v>
      </c>
      <c r="B782" s="170" t="s">
        <v>3893</v>
      </c>
      <c r="C782" s="192" t="s">
        <v>3894</v>
      </c>
      <c r="D782" s="170" t="s">
        <v>11</v>
      </c>
      <c r="E782" s="170" t="s">
        <v>12</v>
      </c>
      <c r="H782" s="207">
        <v>509928</v>
      </c>
      <c r="I782" s="182" t="s">
        <v>3895</v>
      </c>
      <c r="J782" s="182" t="s">
        <v>3896</v>
      </c>
      <c r="K782" s="182" t="s">
        <v>3897</v>
      </c>
      <c r="L782" s="182" t="s">
        <v>15</v>
      </c>
      <c r="M782" s="289" t="s">
        <v>3893</v>
      </c>
    </row>
    <row r="783" spans="1:20">
      <c r="A783" s="170" t="s">
        <v>3898</v>
      </c>
      <c r="B783" s="170" t="s">
        <v>3899</v>
      </c>
      <c r="C783" s="170"/>
      <c r="D783" s="170" t="s">
        <v>11</v>
      </c>
      <c r="E783" s="170" t="s">
        <v>12</v>
      </c>
      <c r="H783" s="207" t="s">
        <v>3900</v>
      </c>
      <c r="I783" s="182" t="s">
        <v>10</v>
      </c>
      <c r="J783" s="182" t="s">
        <v>3900</v>
      </c>
      <c r="K783" s="182" t="s">
        <v>3901</v>
      </c>
      <c r="L783" s="182" t="s">
        <v>19</v>
      </c>
      <c r="M783"/>
      <c r="R783"/>
      <c r="T783"/>
    </row>
    <row r="784" spans="1:20">
      <c r="A784" s="170" t="s">
        <v>3902</v>
      </c>
      <c r="B784" s="170" t="s">
        <v>3903</v>
      </c>
      <c r="C784" s="170"/>
      <c r="D784" s="170" t="s">
        <v>11</v>
      </c>
      <c r="E784" s="170" t="s">
        <v>12</v>
      </c>
      <c r="H784" s="207">
        <v>481063</v>
      </c>
      <c r="I784" s="182" t="s">
        <v>3904</v>
      </c>
      <c r="J784" s="182" t="s">
        <v>3905</v>
      </c>
      <c r="K784" s="182" t="s">
        <v>3906</v>
      </c>
      <c r="L784" s="182" t="s">
        <v>15</v>
      </c>
      <c r="M784"/>
      <c r="R784"/>
      <c r="T784"/>
    </row>
    <row r="785" spans="1:13">
      <c r="A785" s="170" t="s">
        <v>3907</v>
      </c>
      <c r="B785" s="170" t="s">
        <v>3908</v>
      </c>
      <c r="C785" s="192"/>
      <c r="D785" s="170" t="s">
        <v>11</v>
      </c>
      <c r="E785" s="170" t="s">
        <v>12</v>
      </c>
      <c r="H785" s="207">
        <v>447137</v>
      </c>
      <c r="I785" s="182" t="s">
        <v>3909</v>
      </c>
      <c r="J785" s="182" t="s">
        <v>3910</v>
      </c>
      <c r="K785" s="182" t="s">
        <v>3911</v>
      </c>
      <c r="L785" s="182" t="s">
        <v>15</v>
      </c>
      <c r="M785" s="289" t="s">
        <v>3908</v>
      </c>
    </row>
    <row r="786" spans="1:20">
      <c r="A786" s="170" t="s">
        <v>3912</v>
      </c>
      <c r="B786" s="170" t="s">
        <v>3913</v>
      </c>
      <c r="C786" s="170"/>
      <c r="D786" s="170" t="s">
        <v>11</v>
      </c>
      <c r="E786" s="170" t="s">
        <v>12</v>
      </c>
      <c r="H786" s="207">
        <v>434562</v>
      </c>
      <c r="I786" s="182" t="s">
        <v>3914</v>
      </c>
      <c r="J786" s="182" t="s">
        <v>3915</v>
      </c>
      <c r="K786" s="182" t="s">
        <v>3916</v>
      </c>
      <c r="L786" s="182" t="s">
        <v>15</v>
      </c>
      <c r="M786"/>
      <c r="R786"/>
      <c r="T786"/>
    </row>
    <row r="787" spans="1:20">
      <c r="A787" s="170" t="s">
        <v>3917</v>
      </c>
      <c r="B787" s="170" t="s">
        <v>3918</v>
      </c>
      <c r="C787" s="170"/>
      <c r="D787" s="170" t="s">
        <v>11</v>
      </c>
      <c r="E787" s="170" t="s">
        <v>12</v>
      </c>
      <c r="H787" s="207">
        <v>476484</v>
      </c>
      <c r="I787" s="182" t="s">
        <v>3919</v>
      </c>
      <c r="J787" s="182" t="s">
        <v>3920</v>
      </c>
      <c r="K787" s="182" t="s">
        <v>3921</v>
      </c>
      <c r="L787" s="182" t="s">
        <v>15</v>
      </c>
      <c r="M787"/>
      <c r="R787"/>
      <c r="T787"/>
    </row>
    <row r="788" spans="1:20">
      <c r="A788" s="170" t="s">
        <v>3922</v>
      </c>
      <c r="B788" s="170" t="s">
        <v>3923</v>
      </c>
      <c r="C788" s="170"/>
      <c r="D788" s="170" t="s">
        <v>11</v>
      </c>
      <c r="E788" s="170" t="s">
        <v>12</v>
      </c>
      <c r="H788" s="207">
        <v>519045</v>
      </c>
      <c r="I788" s="182" t="s">
        <v>3924</v>
      </c>
      <c r="J788" s="182" t="s">
        <v>3925</v>
      </c>
      <c r="K788" s="182"/>
      <c r="L788" s="182" t="s">
        <v>15</v>
      </c>
      <c r="M788"/>
      <c r="R788"/>
      <c r="T788"/>
    </row>
    <row r="789" spans="1:20">
      <c r="A789" s="170" t="s">
        <v>3926</v>
      </c>
      <c r="B789" s="170" t="s">
        <v>3927</v>
      </c>
      <c r="C789" s="170"/>
      <c r="D789" s="170" t="s">
        <v>11</v>
      </c>
      <c r="E789" s="170" t="s">
        <v>12</v>
      </c>
      <c r="H789" s="207" t="s">
        <v>3928</v>
      </c>
      <c r="I789" s="182" t="s">
        <v>10</v>
      </c>
      <c r="J789" s="182" t="s">
        <v>3928</v>
      </c>
      <c r="K789" s="182" t="s">
        <v>3929</v>
      </c>
      <c r="L789" s="182" t="s">
        <v>53</v>
      </c>
      <c r="M789"/>
      <c r="R789"/>
      <c r="T789"/>
    </row>
    <row r="790" spans="1:20">
      <c r="A790" s="170" t="s">
        <v>3930</v>
      </c>
      <c r="B790" s="170" t="s">
        <v>3931</v>
      </c>
      <c r="C790" s="170"/>
      <c r="D790" s="170" t="s">
        <v>11</v>
      </c>
      <c r="E790" s="170" t="s">
        <v>12</v>
      </c>
      <c r="H790" s="207">
        <v>342550</v>
      </c>
      <c r="I790" s="182" t="s">
        <v>3932</v>
      </c>
      <c r="J790" s="182" t="s">
        <v>3933</v>
      </c>
      <c r="K790" s="182"/>
      <c r="L790" s="182" t="s">
        <v>15</v>
      </c>
      <c r="M790"/>
      <c r="R790"/>
      <c r="T790"/>
    </row>
    <row r="791" spans="1:20">
      <c r="A791" s="170" t="s">
        <v>3934</v>
      </c>
      <c r="B791" s="170" t="s">
        <v>3935</v>
      </c>
      <c r="C791" s="170"/>
      <c r="D791" s="170" t="s">
        <v>11</v>
      </c>
      <c r="E791" s="170" t="s">
        <v>12</v>
      </c>
      <c r="H791" s="207">
        <v>450600</v>
      </c>
      <c r="I791" s="182" t="s">
        <v>3936</v>
      </c>
      <c r="J791" s="182" t="s">
        <v>3937</v>
      </c>
      <c r="K791" s="182" t="s">
        <v>3938</v>
      </c>
      <c r="L791" s="182" t="s">
        <v>15</v>
      </c>
      <c r="M791"/>
      <c r="R791"/>
      <c r="T791"/>
    </row>
    <row r="792" spans="1:20">
      <c r="A792" s="170" t="s">
        <v>3939</v>
      </c>
      <c r="B792" s="170" t="s">
        <v>3940</v>
      </c>
      <c r="C792" s="170"/>
      <c r="D792" s="170" t="s">
        <v>11</v>
      </c>
      <c r="E792" s="170" t="s">
        <v>12</v>
      </c>
      <c r="H792" s="207">
        <v>467551</v>
      </c>
      <c r="I792" s="182" t="s">
        <v>3941</v>
      </c>
      <c r="J792" s="182" t="s">
        <v>3942</v>
      </c>
      <c r="K792" s="182"/>
      <c r="L792" s="182" t="s">
        <v>15</v>
      </c>
      <c r="M792"/>
      <c r="R792"/>
      <c r="T792"/>
    </row>
    <row r="793" spans="1:20">
      <c r="A793" s="170" t="s">
        <v>3943</v>
      </c>
      <c r="B793" s="170" t="s">
        <v>3944</v>
      </c>
      <c r="C793" s="170"/>
      <c r="D793" s="170" t="s">
        <v>11</v>
      </c>
      <c r="E793" s="170" t="s">
        <v>12</v>
      </c>
      <c r="H793" s="207">
        <v>509191</v>
      </c>
      <c r="I793" s="182" t="s">
        <v>3945</v>
      </c>
      <c r="J793" s="182" t="s">
        <v>3946</v>
      </c>
      <c r="K793" s="182" t="s">
        <v>3947</v>
      </c>
      <c r="L793" s="182" t="s">
        <v>15</v>
      </c>
      <c r="M793"/>
      <c r="R793"/>
      <c r="T793"/>
    </row>
    <row r="794" spans="1:20">
      <c r="A794" s="170" t="s">
        <v>3948</v>
      </c>
      <c r="B794" s="170" t="s">
        <v>3949</v>
      </c>
      <c r="C794" s="170"/>
      <c r="D794" s="170" t="s">
        <v>11</v>
      </c>
      <c r="E794" s="170" t="s">
        <v>12</v>
      </c>
      <c r="H794" s="207">
        <v>411727</v>
      </c>
      <c r="I794" s="182" t="s">
        <v>3950</v>
      </c>
      <c r="J794" s="182" t="s">
        <v>3951</v>
      </c>
      <c r="K794" s="182" t="s">
        <v>3952</v>
      </c>
      <c r="L794" s="182" t="s">
        <v>15</v>
      </c>
      <c r="M794"/>
      <c r="R794"/>
      <c r="T794"/>
    </row>
    <row r="795" spans="1:20">
      <c r="A795" s="170" t="s">
        <v>3953</v>
      </c>
      <c r="B795" s="170" t="s">
        <v>3954</v>
      </c>
      <c r="C795" s="170"/>
      <c r="D795" s="170" t="s">
        <v>11</v>
      </c>
      <c r="E795" s="170" t="s">
        <v>12</v>
      </c>
      <c r="H795" s="207">
        <v>501105</v>
      </c>
      <c r="I795" s="182" t="s">
        <v>3955</v>
      </c>
      <c r="J795" s="182" t="s">
        <v>3956</v>
      </c>
      <c r="K795" s="182" t="s">
        <v>3957</v>
      </c>
      <c r="L795" s="182" t="s">
        <v>15</v>
      </c>
      <c r="M795"/>
      <c r="R795"/>
      <c r="T795"/>
    </row>
    <row r="796" spans="1:20">
      <c r="A796" s="170" t="s">
        <v>3958</v>
      </c>
      <c r="B796" s="170" t="s">
        <v>3959</v>
      </c>
      <c r="C796" s="170"/>
      <c r="D796" s="170" t="s">
        <v>11</v>
      </c>
      <c r="E796" s="170" t="s">
        <v>12</v>
      </c>
      <c r="H796" s="207">
        <v>497138</v>
      </c>
      <c r="I796" s="182" t="s">
        <v>3960</v>
      </c>
      <c r="J796" s="182" t="s">
        <v>3961</v>
      </c>
      <c r="K796" s="182" t="s">
        <v>3962</v>
      </c>
      <c r="L796" s="182" t="s">
        <v>15</v>
      </c>
      <c r="M796"/>
      <c r="R796"/>
      <c r="T796"/>
    </row>
    <row r="797" spans="1:20">
      <c r="A797" s="170" t="s">
        <v>3963</v>
      </c>
      <c r="B797" s="170" t="s">
        <v>3964</v>
      </c>
      <c r="C797" s="170"/>
      <c r="D797" s="170" t="s">
        <v>11</v>
      </c>
      <c r="E797" s="170" t="s">
        <v>12</v>
      </c>
      <c r="H797" s="207" t="s">
        <v>3965</v>
      </c>
      <c r="I797" s="182" t="s">
        <v>10</v>
      </c>
      <c r="J797" s="182" t="s">
        <v>3965</v>
      </c>
      <c r="K797" s="182" t="s">
        <v>3966</v>
      </c>
      <c r="L797" s="182" t="s">
        <v>53</v>
      </c>
      <c r="M797"/>
      <c r="R797"/>
      <c r="T797"/>
    </row>
    <row r="798" spans="1:20">
      <c r="A798" s="170" t="s">
        <v>3967</v>
      </c>
      <c r="B798" s="170" t="s">
        <v>3968</v>
      </c>
      <c r="C798" s="170"/>
      <c r="D798" s="170" t="s">
        <v>11</v>
      </c>
      <c r="E798" s="170" t="s">
        <v>12</v>
      </c>
      <c r="H798" s="207">
        <v>464693</v>
      </c>
      <c r="I798" s="182" t="s">
        <v>3969</v>
      </c>
      <c r="J798" s="182" t="s">
        <v>3970</v>
      </c>
      <c r="K798" s="182" t="s">
        <v>3971</v>
      </c>
      <c r="L798" s="182" t="s">
        <v>15</v>
      </c>
      <c r="M798"/>
      <c r="R798"/>
      <c r="T798"/>
    </row>
    <row r="799" spans="1:20">
      <c r="A799" s="170" t="s">
        <v>3972</v>
      </c>
      <c r="B799" s="170" t="s">
        <v>3973</v>
      </c>
      <c r="C799" s="170"/>
      <c r="D799" s="170" t="s">
        <v>11</v>
      </c>
      <c r="E799" s="170" t="s">
        <v>12</v>
      </c>
      <c r="H799" s="207">
        <v>493142</v>
      </c>
      <c r="I799" s="182" t="s">
        <v>3974</v>
      </c>
      <c r="J799" s="182" t="s">
        <v>3975</v>
      </c>
      <c r="K799" s="182" t="s">
        <v>3976</v>
      </c>
      <c r="L799" s="182" t="s">
        <v>15</v>
      </c>
      <c r="M799"/>
      <c r="R799"/>
      <c r="T799"/>
    </row>
    <row r="800" spans="1:20">
      <c r="A800" s="170" t="s">
        <v>3977</v>
      </c>
      <c r="B800" s="170" t="s">
        <v>3978</v>
      </c>
      <c r="C800" s="170"/>
      <c r="D800" s="170" t="s">
        <v>11</v>
      </c>
      <c r="E800" s="170" t="s">
        <v>12</v>
      </c>
      <c r="H800" s="207" t="s">
        <v>3979</v>
      </c>
      <c r="I800" s="182" t="s">
        <v>10</v>
      </c>
      <c r="J800" s="182" t="s">
        <v>3979</v>
      </c>
      <c r="K800" s="182" t="s">
        <v>3980</v>
      </c>
      <c r="L800" s="182" t="s">
        <v>19</v>
      </c>
      <c r="M800"/>
      <c r="R800"/>
      <c r="T800"/>
    </row>
    <row r="801" spans="1:20">
      <c r="A801" s="170" t="s">
        <v>3577</v>
      </c>
      <c r="B801" s="170" t="s">
        <v>3578</v>
      </c>
      <c r="C801" s="188" t="s">
        <v>3579</v>
      </c>
      <c r="D801" s="170" t="s">
        <v>11</v>
      </c>
      <c r="E801" s="170" t="s">
        <v>12</v>
      </c>
      <c r="H801" s="207">
        <v>509390</v>
      </c>
      <c r="I801" s="182" t="s">
        <v>3981</v>
      </c>
      <c r="J801" s="182" t="s">
        <v>3982</v>
      </c>
      <c r="K801" s="182" t="s">
        <v>3983</v>
      </c>
      <c r="L801" s="182" t="s">
        <v>15</v>
      </c>
      <c r="M801"/>
      <c r="R801"/>
      <c r="T801"/>
    </row>
    <row r="802" spans="1:20">
      <c r="A802" s="170" t="s">
        <v>3984</v>
      </c>
      <c r="B802" s="170" t="s">
        <v>3985</v>
      </c>
      <c r="C802" s="170"/>
      <c r="D802" s="170" t="s">
        <v>11</v>
      </c>
      <c r="E802" s="170" t="s">
        <v>12</v>
      </c>
      <c r="H802" s="207">
        <v>443646</v>
      </c>
      <c r="I802" s="182" t="s">
        <v>3986</v>
      </c>
      <c r="J802" s="182" t="s">
        <v>3987</v>
      </c>
      <c r="K802" s="182"/>
      <c r="L802" s="182" t="s">
        <v>15</v>
      </c>
      <c r="M802"/>
      <c r="R802"/>
      <c r="T802"/>
    </row>
    <row r="803" spans="1:20">
      <c r="A803" s="170" t="s">
        <v>3988</v>
      </c>
      <c r="B803" s="170" t="s">
        <v>3989</v>
      </c>
      <c r="C803" s="170"/>
      <c r="D803" s="170" t="s">
        <v>11</v>
      </c>
      <c r="E803" s="170" t="s">
        <v>12</v>
      </c>
      <c r="H803" s="207" t="s">
        <v>3990</v>
      </c>
      <c r="I803" s="182" t="s">
        <v>10</v>
      </c>
      <c r="J803" s="182" t="s">
        <v>3990</v>
      </c>
      <c r="K803" s="182" t="s">
        <v>3991</v>
      </c>
      <c r="L803" s="182" t="s">
        <v>19</v>
      </c>
      <c r="M803"/>
      <c r="R803"/>
      <c r="T803"/>
    </row>
    <row r="804" spans="1:20">
      <c r="A804" s="170" t="s">
        <v>3992</v>
      </c>
      <c r="B804" s="170" t="s">
        <v>3993</v>
      </c>
      <c r="C804" s="170"/>
      <c r="D804" s="170" t="s">
        <v>11</v>
      </c>
      <c r="E804" s="170" t="s">
        <v>12</v>
      </c>
      <c r="H804" s="207" t="s">
        <v>3994</v>
      </c>
      <c r="I804" s="182" t="s">
        <v>10</v>
      </c>
      <c r="J804" s="182" t="s">
        <v>3994</v>
      </c>
      <c r="K804" s="182" t="s">
        <v>3995</v>
      </c>
      <c r="L804" s="182" t="s">
        <v>19</v>
      </c>
      <c r="M804"/>
      <c r="R804"/>
      <c r="T804"/>
    </row>
    <row r="805" spans="1:20">
      <c r="A805" s="170" t="s">
        <v>3587</v>
      </c>
      <c r="B805" s="170" t="s">
        <v>3996</v>
      </c>
      <c r="C805" s="188" t="s">
        <v>3997</v>
      </c>
      <c r="D805" s="170" t="s">
        <v>11</v>
      </c>
      <c r="E805" s="170" t="s">
        <v>12</v>
      </c>
      <c r="H805" s="207">
        <v>485740</v>
      </c>
      <c r="I805" s="182" t="s">
        <v>3998</v>
      </c>
      <c r="J805" s="182" t="s">
        <v>3999</v>
      </c>
      <c r="K805" s="182" t="s">
        <v>4000</v>
      </c>
      <c r="L805" s="182" t="s">
        <v>15</v>
      </c>
      <c r="M805"/>
      <c r="R805"/>
      <c r="T805"/>
    </row>
    <row r="806" spans="1:20">
      <c r="A806" s="170" t="s">
        <v>4001</v>
      </c>
      <c r="B806" s="170" t="s">
        <v>4002</v>
      </c>
      <c r="C806" s="170"/>
      <c r="D806" s="170" t="s">
        <v>11</v>
      </c>
      <c r="E806" s="170" t="s">
        <v>12</v>
      </c>
      <c r="H806" s="207">
        <v>505372</v>
      </c>
      <c r="I806" s="182" t="s">
        <v>4003</v>
      </c>
      <c r="J806" s="182" t="s">
        <v>4004</v>
      </c>
      <c r="K806" s="182" t="s">
        <v>4005</v>
      </c>
      <c r="L806" s="182" t="s">
        <v>15</v>
      </c>
      <c r="M806"/>
      <c r="R806"/>
      <c r="T806"/>
    </row>
    <row r="807" spans="1:20">
      <c r="A807" s="170" t="s">
        <v>4006</v>
      </c>
      <c r="B807" s="170" t="s">
        <v>4007</v>
      </c>
      <c r="C807" s="170"/>
      <c r="D807" s="170" t="s">
        <v>11</v>
      </c>
      <c r="E807" s="170" t="s">
        <v>12</v>
      </c>
      <c r="H807" s="207">
        <v>469819</v>
      </c>
      <c r="I807" s="182" t="s">
        <v>4008</v>
      </c>
      <c r="J807" s="182" t="s">
        <v>4009</v>
      </c>
      <c r="K807" s="182" t="s">
        <v>4010</v>
      </c>
      <c r="L807" s="182" t="s">
        <v>15</v>
      </c>
      <c r="M807"/>
      <c r="R807"/>
      <c r="T807"/>
    </row>
    <row r="808" spans="1:20">
      <c r="A808" s="170" t="s">
        <v>4011</v>
      </c>
      <c r="B808" s="170" t="s">
        <v>4012</v>
      </c>
      <c r="C808" s="170"/>
      <c r="D808" s="170" t="s">
        <v>11</v>
      </c>
      <c r="E808" s="170" t="s">
        <v>12</v>
      </c>
      <c r="H808" s="207">
        <v>494372</v>
      </c>
      <c r="I808" s="182" t="s">
        <v>4013</v>
      </c>
      <c r="J808" s="182" t="s">
        <v>4014</v>
      </c>
      <c r="K808" s="182" t="s">
        <v>4015</v>
      </c>
      <c r="L808" s="182" t="s">
        <v>15</v>
      </c>
      <c r="M808"/>
      <c r="R808"/>
      <c r="T808"/>
    </row>
    <row r="809" spans="1:20">
      <c r="A809" s="170" t="s">
        <v>41</v>
      </c>
      <c r="B809" s="170" t="s">
        <v>42</v>
      </c>
      <c r="C809" s="186" t="s">
        <v>43</v>
      </c>
      <c r="D809" s="170" t="s">
        <v>11</v>
      </c>
      <c r="E809" s="170" t="s">
        <v>12</v>
      </c>
      <c r="H809" s="207">
        <v>507699</v>
      </c>
      <c r="I809" s="182" t="s">
        <v>4016</v>
      </c>
      <c r="J809" s="182" t="s">
        <v>4017</v>
      </c>
      <c r="K809" s="182"/>
      <c r="L809" s="182" t="s">
        <v>15</v>
      </c>
      <c r="M809"/>
      <c r="R809"/>
      <c r="T809"/>
    </row>
    <row r="810" spans="1:20">
      <c r="A810" s="170" t="s">
        <v>4018</v>
      </c>
      <c r="B810" s="170" t="s">
        <v>4019</v>
      </c>
      <c r="C810" s="170"/>
      <c r="D810" s="170" t="s">
        <v>11</v>
      </c>
      <c r="E810" s="170" t="s">
        <v>12</v>
      </c>
      <c r="H810" s="207">
        <v>458054</v>
      </c>
      <c r="I810" s="182" t="s">
        <v>4020</v>
      </c>
      <c r="J810" s="182" t="s">
        <v>4021</v>
      </c>
      <c r="K810" s="182"/>
      <c r="L810" s="182" t="s">
        <v>15</v>
      </c>
      <c r="M810"/>
      <c r="R810"/>
      <c r="T810"/>
    </row>
    <row r="811" spans="1:20">
      <c r="A811" s="170" t="s">
        <v>4022</v>
      </c>
      <c r="B811" s="170" t="s">
        <v>4023</v>
      </c>
      <c r="C811" s="170"/>
      <c r="D811" s="170" t="s">
        <v>11</v>
      </c>
      <c r="E811" s="170" t="s">
        <v>12</v>
      </c>
      <c r="H811" s="207">
        <v>198041</v>
      </c>
      <c r="I811" s="182" t="s">
        <v>4024</v>
      </c>
      <c r="J811" s="182" t="s">
        <v>4025</v>
      </c>
      <c r="K811" s="182" t="s">
        <v>4026</v>
      </c>
      <c r="L811" s="182" t="s">
        <v>15</v>
      </c>
      <c r="M811"/>
      <c r="R811"/>
      <c r="T811"/>
    </row>
    <row r="812" spans="1:20">
      <c r="A812" s="170" t="s">
        <v>4027</v>
      </c>
      <c r="B812" s="170" t="s">
        <v>4028</v>
      </c>
      <c r="C812" s="170"/>
      <c r="D812" s="170" t="s">
        <v>11</v>
      </c>
      <c r="E812" s="170" t="s">
        <v>12</v>
      </c>
      <c r="H812" s="207">
        <v>469111</v>
      </c>
      <c r="I812" s="182" t="s">
        <v>4029</v>
      </c>
      <c r="J812" s="182" t="s">
        <v>4030</v>
      </c>
      <c r="K812" s="182" t="s">
        <v>4031</v>
      </c>
      <c r="L812" s="182" t="s">
        <v>15</v>
      </c>
      <c r="M812"/>
      <c r="R812"/>
      <c r="T812"/>
    </row>
    <row r="813" spans="1:20">
      <c r="A813" s="170" t="s">
        <v>60</v>
      </c>
      <c r="B813" s="170" t="s">
        <v>61</v>
      </c>
      <c r="C813" s="186" t="s">
        <v>49</v>
      </c>
      <c r="D813" s="170" t="s">
        <v>11</v>
      </c>
      <c r="E813" s="170" t="s">
        <v>12</v>
      </c>
      <c r="H813" s="207">
        <v>501897</v>
      </c>
      <c r="I813" s="182" t="s">
        <v>4032</v>
      </c>
      <c r="J813" s="182" t="s">
        <v>4033</v>
      </c>
      <c r="K813" s="182" t="s">
        <v>4034</v>
      </c>
      <c r="L813" s="182" t="s">
        <v>15</v>
      </c>
      <c r="M813"/>
      <c r="R813"/>
      <c r="T813"/>
    </row>
    <row r="814" spans="1:20">
      <c r="A814" s="170" t="s">
        <v>4035</v>
      </c>
      <c r="B814" s="170" t="s">
        <v>4036</v>
      </c>
      <c r="C814" s="170"/>
      <c r="D814" s="170" t="s">
        <v>11</v>
      </c>
      <c r="E814" s="170" t="s">
        <v>12</v>
      </c>
      <c r="H814" s="207">
        <v>724439</v>
      </c>
      <c r="I814" s="182" t="s">
        <v>4037</v>
      </c>
      <c r="J814" s="182" t="s">
        <v>4038</v>
      </c>
      <c r="K814" s="182" t="s">
        <v>4039</v>
      </c>
      <c r="L814" s="182" t="s">
        <v>15</v>
      </c>
      <c r="M814"/>
      <c r="R814"/>
      <c r="T814"/>
    </row>
    <row r="815" spans="1:20">
      <c r="A815" s="170" t="s">
        <v>4040</v>
      </c>
      <c r="B815" s="170" t="s">
        <v>4041</v>
      </c>
      <c r="C815" s="170"/>
      <c r="D815" s="170" t="s">
        <v>11</v>
      </c>
      <c r="E815" s="170" t="s">
        <v>12</v>
      </c>
      <c r="H815" s="207">
        <v>493242</v>
      </c>
      <c r="I815" s="182" t="s">
        <v>4042</v>
      </c>
      <c r="J815" s="182" t="s">
        <v>4043</v>
      </c>
      <c r="K815" s="182"/>
      <c r="L815" s="182" t="s">
        <v>15</v>
      </c>
      <c r="M815"/>
      <c r="R815"/>
      <c r="T815"/>
    </row>
    <row r="816" spans="1:20">
      <c r="A816" s="170" t="s">
        <v>4044</v>
      </c>
      <c r="B816" s="170" t="s">
        <v>4045</v>
      </c>
      <c r="C816" s="170"/>
      <c r="D816" s="170" t="s">
        <v>11</v>
      </c>
      <c r="E816" s="170" t="s">
        <v>12</v>
      </c>
      <c r="H816" s="207">
        <v>976538</v>
      </c>
      <c r="I816" s="182" t="s">
        <v>4046</v>
      </c>
      <c r="J816" s="182" t="s">
        <v>4047</v>
      </c>
      <c r="K816" s="182" t="s">
        <v>4048</v>
      </c>
      <c r="L816" s="182" t="s">
        <v>415</v>
      </c>
      <c r="M816"/>
      <c r="R816"/>
      <c r="T816"/>
    </row>
    <row r="817" spans="1:20">
      <c r="A817" s="170" t="s">
        <v>73</v>
      </c>
      <c r="B817" s="170" t="s">
        <v>74</v>
      </c>
      <c r="C817" s="186" t="s">
        <v>54</v>
      </c>
      <c r="D817" s="170" t="s">
        <v>11</v>
      </c>
      <c r="E817" s="170" t="s">
        <v>12</v>
      </c>
      <c r="H817" s="207">
        <v>189252</v>
      </c>
      <c r="I817" s="182" t="s">
        <v>4049</v>
      </c>
      <c r="J817" s="182" t="s">
        <v>4050</v>
      </c>
      <c r="K817" s="182" t="s">
        <v>4051</v>
      </c>
      <c r="L817" s="182" t="s">
        <v>415</v>
      </c>
      <c r="M817"/>
      <c r="R817"/>
      <c r="T817"/>
    </row>
    <row r="818" spans="1:20">
      <c r="A818" s="170" t="s">
        <v>4052</v>
      </c>
      <c r="B818" s="170" t="s">
        <v>4053</v>
      </c>
      <c r="C818" s="170"/>
      <c r="D818" s="170" t="s">
        <v>11</v>
      </c>
      <c r="E818" s="170" t="s">
        <v>12</v>
      </c>
      <c r="H818" s="207">
        <v>447085</v>
      </c>
      <c r="I818" s="182" t="s">
        <v>4054</v>
      </c>
      <c r="J818" s="182" t="s">
        <v>4055</v>
      </c>
      <c r="K818" s="182" t="s">
        <v>4056</v>
      </c>
      <c r="L818" s="182" t="s">
        <v>15</v>
      </c>
      <c r="M818"/>
      <c r="R818"/>
      <c r="T818"/>
    </row>
    <row r="819" spans="1:20">
      <c r="A819" s="170" t="s">
        <v>4057</v>
      </c>
      <c r="B819" s="170" t="s">
        <v>4058</v>
      </c>
      <c r="C819" s="170"/>
      <c r="D819" s="170" t="s">
        <v>11</v>
      </c>
      <c r="E819" s="170" t="s">
        <v>12</v>
      </c>
      <c r="H819" s="207">
        <v>364989</v>
      </c>
      <c r="I819" s="182" t="s">
        <v>4059</v>
      </c>
      <c r="J819" s="182" t="s">
        <v>4060</v>
      </c>
      <c r="K819" s="182" t="s">
        <v>4061</v>
      </c>
      <c r="L819" s="182" t="s">
        <v>15</v>
      </c>
      <c r="M819"/>
      <c r="R819"/>
      <c r="T819"/>
    </row>
    <row r="820" spans="1:20">
      <c r="A820" s="170" t="s">
        <v>4062</v>
      </c>
      <c r="B820" s="170" t="s">
        <v>4063</v>
      </c>
      <c r="C820" s="170"/>
      <c r="D820" s="170" t="s">
        <v>11</v>
      </c>
      <c r="E820" s="170" t="s">
        <v>12</v>
      </c>
      <c r="H820" s="207" t="s">
        <v>4064</v>
      </c>
      <c r="I820" s="182" t="s">
        <v>10</v>
      </c>
      <c r="J820" s="182" t="s">
        <v>4064</v>
      </c>
      <c r="K820" s="182" t="s">
        <v>4065</v>
      </c>
      <c r="L820" s="182" t="s">
        <v>53</v>
      </c>
      <c r="M820"/>
      <c r="R820"/>
      <c r="T820"/>
    </row>
    <row r="821" spans="1:20">
      <c r="A821" s="170" t="s">
        <v>102</v>
      </c>
      <c r="B821" s="170" t="s">
        <v>103</v>
      </c>
      <c r="C821" s="186" t="s">
        <v>104</v>
      </c>
      <c r="D821" s="170" t="s">
        <v>11</v>
      </c>
      <c r="E821" s="170" t="s">
        <v>12</v>
      </c>
      <c r="H821" s="207">
        <v>83806</v>
      </c>
      <c r="I821" s="182" t="s">
        <v>4066</v>
      </c>
      <c r="J821" s="182" t="s">
        <v>4067</v>
      </c>
      <c r="K821" s="182" t="s">
        <v>4068</v>
      </c>
      <c r="L821" s="182" t="s">
        <v>15</v>
      </c>
      <c r="M821"/>
      <c r="R821"/>
      <c r="T821"/>
    </row>
    <row r="822" spans="1:20">
      <c r="A822" s="170" t="s">
        <v>4069</v>
      </c>
      <c r="B822" s="170" t="s">
        <v>4070</v>
      </c>
      <c r="C822" s="170"/>
      <c r="D822" s="170" t="s">
        <v>11</v>
      </c>
      <c r="E822" s="170" t="s">
        <v>12</v>
      </c>
      <c r="H822" s="207">
        <v>513279</v>
      </c>
      <c r="I822" s="182" t="s">
        <v>4071</v>
      </c>
      <c r="J822" s="182" t="s">
        <v>4072</v>
      </c>
      <c r="K822" s="182"/>
      <c r="L822" s="182" t="s">
        <v>15</v>
      </c>
      <c r="M822"/>
      <c r="R822"/>
      <c r="T822"/>
    </row>
    <row r="823" spans="1:20">
      <c r="A823" s="170" t="s">
        <v>4073</v>
      </c>
      <c r="B823" s="170" t="s">
        <v>4074</v>
      </c>
      <c r="C823" s="170"/>
      <c r="D823" s="170" t="s">
        <v>11</v>
      </c>
      <c r="E823" s="170" t="s">
        <v>12</v>
      </c>
      <c r="H823" s="207">
        <v>436503</v>
      </c>
      <c r="I823" s="182" t="s">
        <v>4075</v>
      </c>
      <c r="J823" s="182" t="s">
        <v>4076</v>
      </c>
      <c r="K823" s="182" t="s">
        <v>4077</v>
      </c>
      <c r="L823" s="182" t="s">
        <v>15</v>
      </c>
      <c r="M823"/>
      <c r="R823"/>
      <c r="T823"/>
    </row>
    <row r="824" spans="1:20">
      <c r="A824" s="170" t="s">
        <v>4078</v>
      </c>
      <c r="B824" s="170" t="s">
        <v>4079</v>
      </c>
      <c r="C824" s="170"/>
      <c r="D824" s="170" t="s">
        <v>11</v>
      </c>
      <c r="E824" s="170" t="s">
        <v>12</v>
      </c>
      <c r="H824" s="207">
        <v>506456</v>
      </c>
      <c r="I824" s="182" t="s">
        <v>4080</v>
      </c>
      <c r="J824" s="182" t="s">
        <v>4081</v>
      </c>
      <c r="K824" s="182" t="s">
        <v>4082</v>
      </c>
      <c r="L824" s="182" t="s">
        <v>15</v>
      </c>
      <c r="M824"/>
      <c r="R824"/>
      <c r="T824"/>
    </row>
    <row r="825" spans="1:20">
      <c r="A825" s="170" t="s">
        <v>4083</v>
      </c>
      <c r="B825" s="170" t="s">
        <v>4084</v>
      </c>
      <c r="C825" s="170"/>
      <c r="D825" s="170" t="s">
        <v>11</v>
      </c>
      <c r="E825" s="170" t="s">
        <v>12</v>
      </c>
      <c r="H825" s="207" t="s">
        <v>4085</v>
      </c>
      <c r="I825" s="182" t="s">
        <v>10</v>
      </c>
      <c r="J825" s="182" t="s">
        <v>4085</v>
      </c>
      <c r="K825" s="182" t="s">
        <v>4086</v>
      </c>
      <c r="L825" s="182" t="s">
        <v>53</v>
      </c>
      <c r="M825"/>
      <c r="R825"/>
      <c r="T825"/>
    </row>
    <row r="826" spans="1:20">
      <c r="A826" s="170" t="s">
        <v>4087</v>
      </c>
      <c r="B826" s="170" t="s">
        <v>4088</v>
      </c>
      <c r="C826" s="170"/>
      <c r="D826" s="170" t="s">
        <v>11</v>
      </c>
      <c r="E826" s="170" t="s">
        <v>12</v>
      </c>
      <c r="H826" s="207">
        <v>211169</v>
      </c>
      <c r="I826" s="182" t="s">
        <v>4089</v>
      </c>
      <c r="J826" s="182" t="s">
        <v>4090</v>
      </c>
      <c r="K826" s="182" t="s">
        <v>4091</v>
      </c>
      <c r="L826" s="182" t="s">
        <v>369</v>
      </c>
      <c r="M826"/>
      <c r="R826"/>
      <c r="T826"/>
    </row>
    <row r="827" spans="1:20">
      <c r="A827" s="170" t="s">
        <v>4092</v>
      </c>
      <c r="B827" s="170" t="s">
        <v>4093</v>
      </c>
      <c r="C827" s="170"/>
      <c r="D827" s="170" t="s">
        <v>11</v>
      </c>
      <c r="E827" s="170" t="s">
        <v>12</v>
      </c>
      <c r="H827" s="207">
        <v>454374</v>
      </c>
      <c r="I827" s="182" t="s">
        <v>4094</v>
      </c>
      <c r="J827" s="182" t="s">
        <v>4095</v>
      </c>
      <c r="K827" s="182" t="s">
        <v>4096</v>
      </c>
      <c r="L827" s="182" t="s">
        <v>15</v>
      </c>
      <c r="M827"/>
      <c r="R827"/>
      <c r="T827"/>
    </row>
    <row r="828" spans="1:20">
      <c r="A828" s="170" t="s">
        <v>4097</v>
      </c>
      <c r="B828" s="170" t="s">
        <v>4098</v>
      </c>
      <c r="C828" s="170"/>
      <c r="D828" s="170" t="s">
        <v>11</v>
      </c>
      <c r="E828" s="170" t="s">
        <v>12</v>
      </c>
      <c r="H828" s="207">
        <v>68218</v>
      </c>
      <c r="I828" s="182" t="s">
        <v>4099</v>
      </c>
      <c r="J828" s="182" t="s">
        <v>4100</v>
      </c>
      <c r="K828" s="182" t="s">
        <v>4101</v>
      </c>
      <c r="L828" s="182" t="s">
        <v>369</v>
      </c>
      <c r="M828"/>
      <c r="R828"/>
      <c r="T828"/>
    </row>
    <row r="829" spans="1:20">
      <c r="A829" s="170" t="s">
        <v>4102</v>
      </c>
      <c r="B829" s="170" t="s">
        <v>4103</v>
      </c>
      <c r="C829" s="170"/>
      <c r="D829" s="170" t="s">
        <v>11</v>
      </c>
      <c r="E829" s="170" t="s">
        <v>12</v>
      </c>
      <c r="H829" s="207" t="s">
        <v>4104</v>
      </c>
      <c r="I829" s="182" t="s">
        <v>10</v>
      </c>
      <c r="J829" s="182" t="s">
        <v>4104</v>
      </c>
      <c r="K829" s="182" t="s">
        <v>4105</v>
      </c>
      <c r="L829" s="182" t="s">
        <v>53</v>
      </c>
      <c r="M829"/>
      <c r="R829"/>
      <c r="T829"/>
    </row>
    <row r="830" spans="1:20">
      <c r="A830" s="170" t="s">
        <v>4106</v>
      </c>
      <c r="B830" s="170" t="s">
        <v>4107</v>
      </c>
      <c r="C830" s="170"/>
      <c r="D830" s="170" t="s">
        <v>11</v>
      </c>
      <c r="E830" s="170" t="s">
        <v>12</v>
      </c>
      <c r="H830" s="207">
        <v>490483</v>
      </c>
      <c r="I830" s="182" t="s">
        <v>4108</v>
      </c>
      <c r="J830" s="182" t="s">
        <v>4109</v>
      </c>
      <c r="K830" s="182" t="s">
        <v>4110</v>
      </c>
      <c r="L830" s="182" t="s">
        <v>15</v>
      </c>
      <c r="M830"/>
      <c r="R830"/>
      <c r="T830"/>
    </row>
    <row r="831" spans="1:20">
      <c r="A831" s="170" t="s">
        <v>4111</v>
      </c>
      <c r="B831" s="170" t="s">
        <v>4112</v>
      </c>
      <c r="C831" s="170"/>
      <c r="D831" s="170" t="s">
        <v>11</v>
      </c>
      <c r="E831" s="170" t="s">
        <v>12</v>
      </c>
      <c r="H831" s="207">
        <v>443815</v>
      </c>
      <c r="I831" s="182" t="s">
        <v>4113</v>
      </c>
      <c r="J831" s="182" t="s">
        <v>4114</v>
      </c>
      <c r="K831" s="182" t="s">
        <v>4115</v>
      </c>
      <c r="L831" s="182" t="s">
        <v>15</v>
      </c>
      <c r="M831"/>
      <c r="R831"/>
      <c r="T831"/>
    </row>
    <row r="832" spans="1:20">
      <c r="A832" s="170" t="s">
        <v>4116</v>
      </c>
      <c r="B832" s="170" t="s">
        <v>4117</v>
      </c>
      <c r="C832" s="178"/>
      <c r="D832" s="170" t="s">
        <v>11</v>
      </c>
      <c r="E832" s="170" t="s">
        <v>12</v>
      </c>
      <c r="H832" s="207">
        <v>336185</v>
      </c>
      <c r="I832" s="182" t="s">
        <v>4118</v>
      </c>
      <c r="J832" s="182" t="s">
        <v>4119</v>
      </c>
      <c r="K832" s="182" t="s">
        <v>4120</v>
      </c>
      <c r="L832" s="182" t="s">
        <v>15</v>
      </c>
      <c r="M832"/>
      <c r="R832"/>
      <c r="T832"/>
    </row>
    <row r="833" spans="1:20">
      <c r="A833" s="170" t="s">
        <v>4121</v>
      </c>
      <c r="B833" s="170" t="s">
        <v>4122</v>
      </c>
      <c r="C833" s="170"/>
      <c r="D833" s="170" t="s">
        <v>11</v>
      </c>
      <c r="E833" s="170" t="s">
        <v>12</v>
      </c>
      <c r="H833" s="207" t="s">
        <v>4123</v>
      </c>
      <c r="I833" s="182" t="s">
        <v>10</v>
      </c>
      <c r="J833" s="182" t="s">
        <v>4123</v>
      </c>
      <c r="K833" s="182" t="s">
        <v>4124</v>
      </c>
      <c r="L833" s="182" t="s">
        <v>53</v>
      </c>
      <c r="M833"/>
      <c r="R833"/>
      <c r="T833"/>
    </row>
    <row r="834" spans="1:20">
      <c r="A834" s="170" t="s">
        <v>4125</v>
      </c>
      <c r="B834" s="170" t="s">
        <v>4126</v>
      </c>
      <c r="C834" s="170"/>
      <c r="D834" s="170" t="s">
        <v>11</v>
      </c>
      <c r="E834" s="170" t="s">
        <v>12</v>
      </c>
      <c r="H834" s="207">
        <v>433879</v>
      </c>
      <c r="I834" s="182" t="s">
        <v>4127</v>
      </c>
      <c r="J834" s="182" t="s">
        <v>4128</v>
      </c>
      <c r="K834" s="182" t="s">
        <v>4129</v>
      </c>
      <c r="L834" s="182" t="s">
        <v>15</v>
      </c>
      <c r="M834"/>
      <c r="R834"/>
      <c r="T834"/>
    </row>
    <row r="835" spans="1:20">
      <c r="A835" s="170" t="s">
        <v>4130</v>
      </c>
      <c r="B835" s="170" t="s">
        <v>4131</v>
      </c>
      <c r="C835" s="170"/>
      <c r="D835" s="170" t="s">
        <v>11</v>
      </c>
      <c r="E835" s="170" t="s">
        <v>12</v>
      </c>
      <c r="H835" s="207">
        <v>485275</v>
      </c>
      <c r="I835" s="182" t="s">
        <v>4132</v>
      </c>
      <c r="J835" s="182" t="s">
        <v>4133</v>
      </c>
      <c r="K835" s="182" t="s">
        <v>4134</v>
      </c>
      <c r="L835" s="182" t="s">
        <v>15</v>
      </c>
      <c r="M835"/>
      <c r="R835"/>
      <c r="T835"/>
    </row>
    <row r="836" spans="1:20">
      <c r="A836" s="170" t="s">
        <v>4135</v>
      </c>
      <c r="B836" s="170" t="s">
        <v>4136</v>
      </c>
      <c r="C836" s="170"/>
      <c r="D836" s="170" t="s">
        <v>11</v>
      </c>
      <c r="E836" s="170" t="s">
        <v>12</v>
      </c>
      <c r="H836" s="207" t="s">
        <v>4137</v>
      </c>
      <c r="I836" s="182" t="s">
        <v>10</v>
      </c>
      <c r="J836" s="182" t="s">
        <v>4137</v>
      </c>
      <c r="K836" s="182" t="s">
        <v>4138</v>
      </c>
      <c r="L836" s="182" t="s">
        <v>53</v>
      </c>
      <c r="M836"/>
      <c r="R836"/>
      <c r="T836"/>
    </row>
    <row r="837" spans="1:20">
      <c r="A837" s="170" t="s">
        <v>4139</v>
      </c>
      <c r="B837" s="170" t="s">
        <v>4140</v>
      </c>
      <c r="C837" s="170"/>
      <c r="D837" s="170" t="s">
        <v>11</v>
      </c>
      <c r="E837" s="170" t="s">
        <v>12</v>
      </c>
      <c r="H837" s="207">
        <v>494152</v>
      </c>
      <c r="I837" s="182" t="s">
        <v>4141</v>
      </c>
      <c r="J837" s="182" t="s">
        <v>4142</v>
      </c>
      <c r="K837" s="182" t="s">
        <v>4143</v>
      </c>
      <c r="L837" s="182" t="s">
        <v>15</v>
      </c>
      <c r="M837"/>
      <c r="R837"/>
      <c r="T837"/>
    </row>
    <row r="838" spans="1:20">
      <c r="A838" s="170" t="s">
        <v>4144</v>
      </c>
      <c r="B838" s="170" t="s">
        <v>4145</v>
      </c>
      <c r="C838" s="170"/>
      <c r="D838" s="170" t="s">
        <v>11</v>
      </c>
      <c r="E838" s="170" t="s">
        <v>12</v>
      </c>
      <c r="H838" s="207">
        <v>514523</v>
      </c>
      <c r="I838" s="182" t="s">
        <v>4146</v>
      </c>
      <c r="J838" s="182" t="s">
        <v>4147</v>
      </c>
      <c r="K838" s="182" t="s">
        <v>4148</v>
      </c>
      <c r="L838" s="182" t="s">
        <v>15</v>
      </c>
      <c r="M838"/>
      <c r="R838"/>
      <c r="T838"/>
    </row>
    <row r="839" spans="1:20">
      <c r="A839" s="170" t="s">
        <v>4149</v>
      </c>
      <c r="B839" s="170" t="s">
        <v>4150</v>
      </c>
      <c r="C839" s="170"/>
      <c r="D839" s="170" t="s">
        <v>11</v>
      </c>
      <c r="E839" s="170" t="s">
        <v>12</v>
      </c>
      <c r="H839" s="207">
        <v>412603</v>
      </c>
      <c r="I839" s="182" t="s">
        <v>4151</v>
      </c>
      <c r="J839" s="182" t="s">
        <v>4152</v>
      </c>
      <c r="K839" s="182" t="s">
        <v>4153</v>
      </c>
      <c r="L839" s="182" t="s">
        <v>15</v>
      </c>
      <c r="M839"/>
      <c r="R839"/>
      <c r="T839"/>
    </row>
    <row r="840" spans="1:20">
      <c r="A840" s="170" t="s">
        <v>4154</v>
      </c>
      <c r="B840" s="170" t="s">
        <v>4155</v>
      </c>
      <c r="C840" s="170"/>
      <c r="D840" s="170" t="s">
        <v>11</v>
      </c>
      <c r="E840" s="170" t="s">
        <v>12</v>
      </c>
      <c r="H840" s="207">
        <v>496683</v>
      </c>
      <c r="I840" s="182" t="s">
        <v>4156</v>
      </c>
      <c r="J840" s="182" t="s">
        <v>4157</v>
      </c>
      <c r="K840" s="182"/>
      <c r="L840" s="182" t="s">
        <v>15</v>
      </c>
      <c r="M840"/>
      <c r="R840"/>
      <c r="T840"/>
    </row>
    <row r="841" spans="1:20">
      <c r="A841" s="170" t="s">
        <v>4158</v>
      </c>
      <c r="B841" s="170" t="s">
        <v>4159</v>
      </c>
      <c r="C841" s="170"/>
      <c r="D841" s="170" t="s">
        <v>11</v>
      </c>
      <c r="E841" s="170" t="s">
        <v>12</v>
      </c>
      <c r="H841" s="207" t="s">
        <v>4160</v>
      </c>
      <c r="I841" s="182" t="s">
        <v>10</v>
      </c>
      <c r="J841" s="182" t="s">
        <v>4160</v>
      </c>
      <c r="K841" s="182" t="s">
        <v>4161</v>
      </c>
      <c r="L841" s="182" t="s">
        <v>19</v>
      </c>
      <c r="M841"/>
      <c r="R841"/>
      <c r="T841"/>
    </row>
    <row r="842" spans="1:20">
      <c r="A842" s="170" t="s">
        <v>4162</v>
      </c>
      <c r="B842" s="170" t="s">
        <v>4163</v>
      </c>
      <c r="C842" s="170"/>
      <c r="D842" s="170" t="s">
        <v>11</v>
      </c>
      <c r="E842" s="170" t="s">
        <v>12</v>
      </c>
      <c r="H842" s="207">
        <v>514451</v>
      </c>
      <c r="I842" s="182" t="s">
        <v>4164</v>
      </c>
      <c r="J842" s="182" t="s">
        <v>4165</v>
      </c>
      <c r="K842" s="182" t="s">
        <v>4166</v>
      </c>
      <c r="L842" s="182" t="s">
        <v>15</v>
      </c>
      <c r="M842"/>
      <c r="R842"/>
      <c r="T842"/>
    </row>
    <row r="843" spans="1:20">
      <c r="A843" s="170" t="s">
        <v>4167</v>
      </c>
      <c r="B843" s="170" t="s">
        <v>4168</v>
      </c>
      <c r="C843" s="170"/>
      <c r="D843" s="170" t="s">
        <v>11</v>
      </c>
      <c r="E843" s="170" t="s">
        <v>12</v>
      </c>
      <c r="H843" s="207">
        <v>463716</v>
      </c>
      <c r="I843" s="182" t="s">
        <v>4169</v>
      </c>
      <c r="J843" s="182" t="s">
        <v>4170</v>
      </c>
      <c r="K843" s="182" t="s">
        <v>4171</v>
      </c>
      <c r="L843" s="182" t="s">
        <v>15</v>
      </c>
      <c r="M843"/>
      <c r="R843"/>
      <c r="T843"/>
    </row>
    <row r="844" spans="1:20">
      <c r="A844" s="170" t="s">
        <v>4172</v>
      </c>
      <c r="B844" s="170" t="s">
        <v>4173</v>
      </c>
      <c r="C844" s="170"/>
      <c r="D844" s="170" t="s">
        <v>11</v>
      </c>
      <c r="E844" s="170" t="s">
        <v>12</v>
      </c>
      <c r="H844" s="207" t="s">
        <v>4174</v>
      </c>
      <c r="I844" s="182" t="s">
        <v>10</v>
      </c>
      <c r="J844" s="182" t="s">
        <v>4174</v>
      </c>
      <c r="K844" s="182" t="s">
        <v>4175</v>
      </c>
      <c r="L844" s="182" t="s">
        <v>19</v>
      </c>
      <c r="M844"/>
      <c r="R844"/>
      <c r="T844"/>
    </row>
    <row r="845" spans="1:20">
      <c r="A845" s="170" t="s">
        <v>4176</v>
      </c>
      <c r="B845" s="170" t="s">
        <v>4177</v>
      </c>
      <c r="C845" s="170"/>
      <c r="D845" s="170" t="s">
        <v>11</v>
      </c>
      <c r="E845" s="170" t="s">
        <v>12</v>
      </c>
      <c r="H845" s="207">
        <v>513443</v>
      </c>
      <c r="I845" s="182" t="s">
        <v>4178</v>
      </c>
      <c r="J845" s="182" t="s">
        <v>4179</v>
      </c>
      <c r="K845" s="182" t="s">
        <v>4180</v>
      </c>
      <c r="L845" s="182" t="s">
        <v>15</v>
      </c>
      <c r="M845"/>
      <c r="R845"/>
      <c r="T845"/>
    </row>
    <row r="846" spans="1:20">
      <c r="A846" s="170" t="s">
        <v>4181</v>
      </c>
      <c r="B846" s="170" t="s">
        <v>4182</v>
      </c>
      <c r="C846" s="170"/>
      <c r="D846" s="170" t="s">
        <v>11</v>
      </c>
      <c r="E846" s="170" t="s">
        <v>12</v>
      </c>
      <c r="H846" s="207">
        <v>501532</v>
      </c>
      <c r="I846" s="182" t="s">
        <v>4183</v>
      </c>
      <c r="J846" s="182" t="s">
        <v>4184</v>
      </c>
      <c r="K846" s="182" t="s">
        <v>4185</v>
      </c>
      <c r="L846" s="182" t="s">
        <v>15</v>
      </c>
      <c r="M846"/>
      <c r="R846"/>
      <c r="T846"/>
    </row>
    <row r="847" spans="1:20">
      <c r="A847" s="170" t="s">
        <v>4186</v>
      </c>
      <c r="B847" s="170" t="s">
        <v>4187</v>
      </c>
      <c r="C847" s="170"/>
      <c r="D847" s="170" t="s">
        <v>11</v>
      </c>
      <c r="E847" s="170" t="s">
        <v>12</v>
      </c>
      <c r="H847" s="207">
        <v>772312</v>
      </c>
      <c r="I847" s="182" t="s">
        <v>4188</v>
      </c>
      <c r="J847" s="182" t="s">
        <v>4189</v>
      </c>
      <c r="K847" s="182" t="s">
        <v>4190</v>
      </c>
      <c r="L847" s="182" t="s">
        <v>369</v>
      </c>
      <c r="M847"/>
      <c r="R847"/>
      <c r="T847"/>
    </row>
    <row r="848" spans="1:20">
      <c r="A848" s="170" t="s">
        <v>4191</v>
      </c>
      <c r="B848" s="170" t="s">
        <v>4192</v>
      </c>
      <c r="C848" s="170"/>
      <c r="D848" s="170" t="s">
        <v>11</v>
      </c>
      <c r="E848" s="170" t="s">
        <v>12</v>
      </c>
      <c r="H848" s="207">
        <v>62727</v>
      </c>
      <c r="I848" s="182" t="s">
        <v>4193</v>
      </c>
      <c r="J848" s="182" t="s">
        <v>4194</v>
      </c>
      <c r="K848" s="182" t="s">
        <v>4195</v>
      </c>
      <c r="L848" s="182" t="s">
        <v>369</v>
      </c>
      <c r="M848"/>
      <c r="R848"/>
      <c r="T848"/>
    </row>
    <row r="849" spans="1:20">
      <c r="A849" s="170" t="s">
        <v>87</v>
      </c>
      <c r="B849" s="170" t="s">
        <v>4196</v>
      </c>
      <c r="C849" s="186" t="s">
        <v>89</v>
      </c>
      <c r="D849" s="170" t="s">
        <v>11</v>
      </c>
      <c r="E849" s="170" t="s">
        <v>12</v>
      </c>
      <c r="H849" s="207">
        <v>212716</v>
      </c>
      <c r="I849" s="182" t="s">
        <v>4197</v>
      </c>
      <c r="J849" s="182" t="s">
        <v>4198</v>
      </c>
      <c r="K849" s="182" t="s">
        <v>4199</v>
      </c>
      <c r="L849" s="182" t="s">
        <v>15</v>
      </c>
      <c r="M849"/>
      <c r="R849"/>
      <c r="T849"/>
    </row>
    <row r="850" spans="1:20">
      <c r="A850" s="170" t="s">
        <v>4200</v>
      </c>
      <c r="B850" s="170" t="s">
        <v>4201</v>
      </c>
      <c r="C850" s="170"/>
      <c r="D850" s="170" t="s">
        <v>11</v>
      </c>
      <c r="E850" s="170" t="s">
        <v>12</v>
      </c>
      <c r="H850" s="207">
        <v>469386</v>
      </c>
      <c r="I850" s="182" t="s">
        <v>4202</v>
      </c>
      <c r="J850" s="182" t="s">
        <v>4203</v>
      </c>
      <c r="K850" s="182" t="s">
        <v>4204</v>
      </c>
      <c r="L850" s="182" t="s">
        <v>15</v>
      </c>
      <c r="M850"/>
      <c r="R850"/>
      <c r="T850"/>
    </row>
    <row r="851" spans="1:20">
      <c r="A851" s="170" t="s">
        <v>4205</v>
      </c>
      <c r="B851" s="170" t="s">
        <v>4206</v>
      </c>
      <c r="C851" s="170"/>
      <c r="D851" s="170" t="s">
        <v>11</v>
      </c>
      <c r="E851" s="170" t="s">
        <v>12</v>
      </c>
      <c r="H851" s="207">
        <v>509728</v>
      </c>
      <c r="I851" s="182" t="s">
        <v>4207</v>
      </c>
      <c r="J851" s="182" t="s">
        <v>4208</v>
      </c>
      <c r="K851" s="182" t="s">
        <v>4209</v>
      </c>
      <c r="L851" s="182" t="s">
        <v>15</v>
      </c>
      <c r="M851"/>
      <c r="R851"/>
      <c r="T851"/>
    </row>
    <row r="852" spans="1:20">
      <c r="A852" s="170" t="s">
        <v>4210</v>
      </c>
      <c r="B852" s="170" t="s">
        <v>4211</v>
      </c>
      <c r="C852" s="170"/>
      <c r="D852" s="170" t="s">
        <v>11</v>
      </c>
      <c r="E852" s="170" t="s">
        <v>12</v>
      </c>
      <c r="H852" s="207">
        <v>446010</v>
      </c>
      <c r="I852" s="182" t="s">
        <v>4212</v>
      </c>
      <c r="J852" s="182" t="s">
        <v>4213</v>
      </c>
      <c r="K852" s="182"/>
      <c r="L852" s="182" t="s">
        <v>15</v>
      </c>
      <c r="M852"/>
      <c r="R852"/>
      <c r="T852"/>
    </row>
    <row r="853" spans="1:20">
      <c r="A853" s="170" t="s">
        <v>3597</v>
      </c>
      <c r="B853" s="170" t="s">
        <v>3598</v>
      </c>
      <c r="C853" s="188" t="s">
        <v>3599</v>
      </c>
      <c r="D853" s="170" t="s">
        <v>11</v>
      </c>
      <c r="E853" s="170" t="s">
        <v>12</v>
      </c>
      <c r="H853" s="207">
        <v>497645</v>
      </c>
      <c r="I853" s="182" t="s">
        <v>4214</v>
      </c>
      <c r="J853" s="182" t="s">
        <v>4215</v>
      </c>
      <c r="K853" s="182" t="s">
        <v>4216</v>
      </c>
      <c r="L853" s="182" t="s">
        <v>15</v>
      </c>
      <c r="M853"/>
      <c r="R853"/>
      <c r="T853"/>
    </row>
    <row r="854" spans="1:20">
      <c r="A854" s="170" t="s">
        <v>4217</v>
      </c>
      <c r="B854" s="170" t="s">
        <v>4218</v>
      </c>
      <c r="C854" s="170"/>
      <c r="D854" s="170" t="s">
        <v>11</v>
      </c>
      <c r="E854" s="170" t="s">
        <v>12</v>
      </c>
      <c r="H854" s="207">
        <v>203893</v>
      </c>
      <c r="I854" s="182" t="s">
        <v>4219</v>
      </c>
      <c r="J854" s="182" t="s">
        <v>4220</v>
      </c>
      <c r="K854" s="182" t="s">
        <v>4221</v>
      </c>
      <c r="L854" s="182" t="s">
        <v>15</v>
      </c>
      <c r="M854"/>
      <c r="R854"/>
      <c r="T854"/>
    </row>
    <row r="855" spans="1:20">
      <c r="A855" s="170" t="s">
        <v>4222</v>
      </c>
      <c r="B855" s="170" t="s">
        <v>4223</v>
      </c>
      <c r="C855" s="170"/>
      <c r="D855" s="170" t="s">
        <v>11</v>
      </c>
      <c r="E855" s="170" t="s">
        <v>12</v>
      </c>
      <c r="H855" s="207">
        <v>477658</v>
      </c>
      <c r="I855" s="182" t="s">
        <v>4224</v>
      </c>
      <c r="J855" s="182" t="s">
        <v>4225</v>
      </c>
      <c r="K855" s="182" t="s">
        <v>4226</v>
      </c>
      <c r="L855" s="182" t="s">
        <v>15</v>
      </c>
      <c r="M855"/>
      <c r="R855"/>
      <c r="T855"/>
    </row>
    <row r="856" spans="1:20">
      <c r="A856" s="170" t="s">
        <v>4227</v>
      </c>
      <c r="B856" s="170" t="s">
        <v>4228</v>
      </c>
      <c r="C856" s="170"/>
      <c r="D856" s="170" t="s">
        <v>11</v>
      </c>
      <c r="E856" s="170" t="s">
        <v>12</v>
      </c>
      <c r="H856" s="207">
        <v>458536</v>
      </c>
      <c r="I856" s="182" t="s">
        <v>4229</v>
      </c>
      <c r="J856" s="182" t="s">
        <v>4230</v>
      </c>
      <c r="K856" s="182" t="s">
        <v>4231</v>
      </c>
      <c r="L856" s="182" t="s">
        <v>15</v>
      </c>
      <c r="M856"/>
      <c r="R856"/>
      <c r="T856"/>
    </row>
    <row r="857" spans="1:20">
      <c r="A857" s="170" t="s">
        <v>3606</v>
      </c>
      <c r="B857" s="170" t="s">
        <v>3607</v>
      </c>
      <c r="C857" s="188" t="s">
        <v>3608</v>
      </c>
      <c r="D857" s="170" t="s">
        <v>11</v>
      </c>
      <c r="E857" s="170" t="s">
        <v>12</v>
      </c>
      <c r="H857" s="207">
        <v>446984</v>
      </c>
      <c r="I857" s="182" t="s">
        <v>4232</v>
      </c>
      <c r="J857" s="182" t="s">
        <v>4233</v>
      </c>
      <c r="K857" s="182"/>
      <c r="L857" s="182" t="s">
        <v>15</v>
      </c>
      <c r="M857"/>
      <c r="R857"/>
      <c r="T857"/>
    </row>
    <row r="858" spans="1:20">
      <c r="A858" s="170" t="s">
        <v>4234</v>
      </c>
      <c r="B858" s="170" t="s">
        <v>4235</v>
      </c>
      <c r="C858" s="170"/>
      <c r="D858" s="170" t="s">
        <v>11</v>
      </c>
      <c r="E858" s="170" t="s">
        <v>12</v>
      </c>
      <c r="H858" s="207">
        <v>477013</v>
      </c>
      <c r="I858" s="182" t="s">
        <v>4236</v>
      </c>
      <c r="J858" s="182" t="s">
        <v>4237</v>
      </c>
      <c r="K858" s="182" t="s">
        <v>4238</v>
      </c>
      <c r="L858" s="182" t="s">
        <v>15</v>
      </c>
      <c r="M858"/>
      <c r="R858"/>
      <c r="T858"/>
    </row>
    <row r="859" spans="1:20">
      <c r="A859" s="170" t="s">
        <v>4239</v>
      </c>
      <c r="B859" s="170" t="s">
        <v>4240</v>
      </c>
      <c r="C859" s="170"/>
      <c r="D859" s="170" t="s">
        <v>11</v>
      </c>
      <c r="E859" s="170" t="s">
        <v>12</v>
      </c>
      <c r="H859" s="207" t="s">
        <v>4241</v>
      </c>
      <c r="I859" s="182" t="s">
        <v>10</v>
      </c>
      <c r="J859" s="182" t="s">
        <v>4241</v>
      </c>
      <c r="K859" s="182" t="s">
        <v>4242</v>
      </c>
      <c r="L859" s="182" t="s">
        <v>53</v>
      </c>
      <c r="M859"/>
      <c r="R859"/>
      <c r="T859"/>
    </row>
    <row r="860" spans="1:20">
      <c r="A860" s="170" t="s">
        <v>4243</v>
      </c>
      <c r="B860" s="170" t="s">
        <v>4244</v>
      </c>
      <c r="C860" s="170"/>
      <c r="D860" s="170" t="s">
        <v>11</v>
      </c>
      <c r="E860" s="170" t="s">
        <v>12</v>
      </c>
      <c r="H860" s="207" t="s">
        <v>4245</v>
      </c>
      <c r="I860" s="182" t="s">
        <v>10</v>
      </c>
      <c r="J860" s="182" t="s">
        <v>4245</v>
      </c>
      <c r="K860" s="182" t="s">
        <v>4246</v>
      </c>
      <c r="L860" s="182" t="s">
        <v>19</v>
      </c>
      <c r="M860"/>
      <c r="R860"/>
      <c r="T860"/>
    </row>
    <row r="861" spans="1:20">
      <c r="A861" s="170" t="s">
        <v>3615</v>
      </c>
      <c r="B861" s="170" t="s">
        <v>3616</v>
      </c>
      <c r="C861" s="188" t="s">
        <v>3617</v>
      </c>
      <c r="D861" s="170" t="s">
        <v>11</v>
      </c>
      <c r="E861" s="170" t="s">
        <v>12</v>
      </c>
      <c r="H861" s="207">
        <v>841824</v>
      </c>
      <c r="I861" s="182" t="s">
        <v>4247</v>
      </c>
      <c r="J861" s="182" t="s">
        <v>4248</v>
      </c>
      <c r="K861" s="182" t="s">
        <v>4249</v>
      </c>
      <c r="L861" s="182" t="s">
        <v>415</v>
      </c>
      <c r="M861"/>
      <c r="R861"/>
      <c r="T861"/>
    </row>
    <row r="862" spans="1:20">
      <c r="A862" s="170" t="s">
        <v>4250</v>
      </c>
      <c r="B862" s="170" t="s">
        <v>4251</v>
      </c>
      <c r="C862" s="170"/>
      <c r="D862" s="170" t="s">
        <v>11</v>
      </c>
      <c r="E862" s="170" t="s">
        <v>12</v>
      </c>
      <c r="H862" s="207" t="s">
        <v>4252</v>
      </c>
      <c r="I862" s="182" t="s">
        <v>10</v>
      </c>
      <c r="J862" s="182" t="s">
        <v>4252</v>
      </c>
      <c r="K862" s="182" t="s">
        <v>4253</v>
      </c>
      <c r="L862" s="182" t="s">
        <v>19</v>
      </c>
      <c r="M862"/>
      <c r="R862"/>
      <c r="T862"/>
    </row>
    <row r="863" spans="1:20">
      <c r="A863" s="170" t="s">
        <v>4254</v>
      </c>
      <c r="B863" s="170" t="s">
        <v>4255</v>
      </c>
      <c r="C863" s="170"/>
      <c r="D863" s="170" t="s">
        <v>11</v>
      </c>
      <c r="E863" s="170" t="s">
        <v>12</v>
      </c>
      <c r="H863" s="207">
        <v>434488</v>
      </c>
      <c r="I863" s="182" t="s">
        <v>4256</v>
      </c>
      <c r="J863" s="182" t="s">
        <v>4257</v>
      </c>
      <c r="K863" s="182" t="s">
        <v>4258</v>
      </c>
      <c r="L863" s="182" t="s">
        <v>15</v>
      </c>
      <c r="M863"/>
      <c r="R863"/>
      <c r="T863"/>
    </row>
    <row r="864" spans="1:20">
      <c r="A864" s="170" t="s">
        <v>4259</v>
      </c>
      <c r="B864" s="170" t="s">
        <v>4260</v>
      </c>
      <c r="C864" s="170"/>
      <c r="D864" s="170" t="s">
        <v>11</v>
      </c>
      <c r="E864" s="170" t="s">
        <v>12</v>
      </c>
      <c r="H864" s="207">
        <v>515295</v>
      </c>
      <c r="I864" s="182" t="s">
        <v>4261</v>
      </c>
      <c r="J864" s="182" t="s">
        <v>4262</v>
      </c>
      <c r="K864" s="182" t="s">
        <v>4263</v>
      </c>
      <c r="L864" s="182" t="s">
        <v>15</v>
      </c>
      <c r="M864"/>
      <c r="R864"/>
      <c r="T864"/>
    </row>
    <row r="865" spans="1:20">
      <c r="A865" s="170" t="s">
        <v>4264</v>
      </c>
      <c r="B865" s="170" t="s">
        <v>4265</v>
      </c>
      <c r="C865" s="170"/>
      <c r="D865" s="170" t="s">
        <v>11</v>
      </c>
      <c r="E865" s="170" t="s">
        <v>12</v>
      </c>
      <c r="H865" s="207" t="s">
        <v>4266</v>
      </c>
      <c r="I865" s="182" t="s">
        <v>10</v>
      </c>
      <c r="J865" s="182" t="s">
        <v>4266</v>
      </c>
      <c r="K865" s="182" t="s">
        <v>4267</v>
      </c>
      <c r="L865" s="182" t="s">
        <v>19</v>
      </c>
      <c r="M865"/>
      <c r="R865"/>
      <c r="T865"/>
    </row>
    <row r="866" spans="1:20">
      <c r="A866" s="170" t="s">
        <v>4268</v>
      </c>
      <c r="B866" s="170" t="s">
        <v>4269</v>
      </c>
      <c r="C866" s="170"/>
      <c r="D866" s="170" t="s">
        <v>11</v>
      </c>
      <c r="E866" s="170" t="s">
        <v>12</v>
      </c>
      <c r="H866" s="207">
        <v>272313</v>
      </c>
      <c r="I866" s="182" t="s">
        <v>4270</v>
      </c>
      <c r="J866" s="182" t="s">
        <v>4271</v>
      </c>
      <c r="K866" s="182" t="s">
        <v>4272</v>
      </c>
      <c r="L866" s="182" t="s">
        <v>15</v>
      </c>
      <c r="M866"/>
      <c r="R866"/>
      <c r="T866"/>
    </row>
    <row r="867" spans="1:20">
      <c r="A867" s="170" t="s">
        <v>4273</v>
      </c>
      <c r="B867" s="170" t="s">
        <v>4274</v>
      </c>
      <c r="C867" s="170"/>
      <c r="D867" s="170" t="s">
        <v>11</v>
      </c>
      <c r="E867" s="170" t="s">
        <v>12</v>
      </c>
      <c r="H867" s="207">
        <v>497045</v>
      </c>
      <c r="I867" s="182" t="s">
        <v>4275</v>
      </c>
      <c r="J867" s="182" t="s">
        <v>4276</v>
      </c>
      <c r="K867" s="182" t="s">
        <v>4277</v>
      </c>
      <c r="L867" s="182" t="s">
        <v>15</v>
      </c>
      <c r="M867"/>
      <c r="R867"/>
      <c r="T867"/>
    </row>
    <row r="868" spans="1:20">
      <c r="A868" s="170" t="s">
        <v>4278</v>
      </c>
      <c r="B868" s="170" t="s">
        <v>4279</v>
      </c>
      <c r="C868" s="170"/>
      <c r="D868" s="170" t="s">
        <v>11</v>
      </c>
      <c r="E868" s="170" t="s">
        <v>12</v>
      </c>
      <c r="H868" s="207">
        <v>513635</v>
      </c>
      <c r="I868" s="182" t="s">
        <v>4280</v>
      </c>
      <c r="J868" s="182" t="s">
        <v>4281</v>
      </c>
      <c r="K868" s="182" t="s">
        <v>4282</v>
      </c>
      <c r="L868" s="182" t="s">
        <v>15</v>
      </c>
      <c r="M868"/>
      <c r="R868"/>
      <c r="T868"/>
    </row>
    <row r="869" spans="1:20">
      <c r="A869" s="170" t="s">
        <v>4283</v>
      </c>
      <c r="B869" s="170" t="s">
        <v>4284</v>
      </c>
      <c r="C869" s="170"/>
      <c r="D869" s="170" t="s">
        <v>11</v>
      </c>
      <c r="E869" s="170" t="s">
        <v>12</v>
      </c>
      <c r="H869" s="207">
        <v>618794</v>
      </c>
      <c r="I869" s="182" t="s">
        <v>4285</v>
      </c>
      <c r="J869" s="182" t="s">
        <v>4286</v>
      </c>
      <c r="K869" s="182" t="s">
        <v>4287</v>
      </c>
      <c r="L869" s="182" t="s">
        <v>15</v>
      </c>
      <c r="M869"/>
      <c r="R869"/>
      <c r="T869"/>
    </row>
    <row r="870" spans="1:20">
      <c r="A870" s="170" t="s">
        <v>4288</v>
      </c>
      <c r="B870" s="170" t="s">
        <v>4289</v>
      </c>
      <c r="C870" s="170"/>
      <c r="D870" s="170" t="s">
        <v>11</v>
      </c>
      <c r="E870" s="170" t="s">
        <v>12</v>
      </c>
      <c r="H870" s="207">
        <v>505711</v>
      </c>
      <c r="I870" s="182" t="s">
        <v>4290</v>
      </c>
      <c r="J870" s="182" t="s">
        <v>4291</v>
      </c>
      <c r="K870" s="182" t="s">
        <v>4292</v>
      </c>
      <c r="L870" s="182" t="s">
        <v>15</v>
      </c>
      <c r="M870"/>
      <c r="R870"/>
      <c r="T870"/>
    </row>
    <row r="871" spans="1:20">
      <c r="A871" s="170" t="s">
        <v>4293</v>
      </c>
      <c r="B871" s="170" t="s">
        <v>4294</v>
      </c>
      <c r="C871" s="178" t="s">
        <v>10</v>
      </c>
      <c r="D871" s="170" t="s">
        <v>11</v>
      </c>
      <c r="E871" s="170" t="s">
        <v>12</v>
      </c>
      <c r="H871" s="207">
        <v>161117</v>
      </c>
      <c r="I871" s="182" t="s">
        <v>4295</v>
      </c>
      <c r="J871" s="182" t="s">
        <v>4296</v>
      </c>
      <c r="K871" s="182" t="s">
        <v>4297</v>
      </c>
      <c r="L871" s="182" t="s">
        <v>15</v>
      </c>
      <c r="M871"/>
      <c r="R871"/>
      <c r="T871"/>
    </row>
    <row r="872" spans="1:20">
      <c r="A872" s="170" t="s">
        <v>4298</v>
      </c>
      <c r="B872" s="170" t="s">
        <v>4299</v>
      </c>
      <c r="C872" s="178" t="s">
        <v>10</v>
      </c>
      <c r="D872" s="170" t="s">
        <v>11</v>
      </c>
      <c r="E872" s="170" t="s">
        <v>12</v>
      </c>
      <c r="H872" s="207">
        <v>473595</v>
      </c>
      <c r="I872" s="182" t="s">
        <v>4300</v>
      </c>
      <c r="J872" s="182" t="s">
        <v>4301</v>
      </c>
      <c r="K872" s="182" t="s">
        <v>4302</v>
      </c>
      <c r="L872" s="182" t="s">
        <v>15</v>
      </c>
      <c r="M872"/>
      <c r="R872"/>
      <c r="T872"/>
    </row>
    <row r="873" spans="1:20">
      <c r="A873" s="170" t="s">
        <v>4303</v>
      </c>
      <c r="B873" s="170" t="s">
        <v>4304</v>
      </c>
      <c r="C873" s="178" t="s">
        <v>10</v>
      </c>
      <c r="D873" s="170" t="s">
        <v>11</v>
      </c>
      <c r="E873" s="170" t="s">
        <v>12</v>
      </c>
      <c r="H873" s="207">
        <v>413270</v>
      </c>
      <c r="I873" s="182" t="s">
        <v>4305</v>
      </c>
      <c r="J873" s="182" t="s">
        <v>4306</v>
      </c>
      <c r="K873" s="182" t="s">
        <v>4307</v>
      </c>
      <c r="L873" s="182" t="s">
        <v>369</v>
      </c>
      <c r="M873"/>
      <c r="R873"/>
      <c r="T873"/>
    </row>
    <row r="874" spans="1:20">
      <c r="A874" s="170" t="s">
        <v>4308</v>
      </c>
      <c r="B874" s="170" t="s">
        <v>4309</v>
      </c>
      <c r="C874" s="178" t="s">
        <v>10</v>
      </c>
      <c r="D874" s="170" t="s">
        <v>11</v>
      </c>
      <c r="E874" s="170" t="s">
        <v>12</v>
      </c>
      <c r="H874" s="207">
        <v>514172</v>
      </c>
      <c r="I874" s="182" t="s">
        <v>4310</v>
      </c>
      <c r="J874" s="182" t="s">
        <v>4311</v>
      </c>
      <c r="K874" s="182" t="s">
        <v>4312</v>
      </c>
      <c r="L874" s="182" t="s">
        <v>15</v>
      </c>
      <c r="M874"/>
      <c r="R874"/>
      <c r="T874"/>
    </row>
    <row r="875" spans="1:20">
      <c r="A875" s="170" t="s">
        <v>4313</v>
      </c>
      <c r="B875" s="170" t="s">
        <v>4314</v>
      </c>
      <c r="C875" s="178" t="s">
        <v>10</v>
      </c>
      <c r="D875" s="170" t="s">
        <v>11</v>
      </c>
      <c r="E875" s="170" t="s">
        <v>12</v>
      </c>
      <c r="H875" s="207">
        <v>152015</v>
      </c>
      <c r="I875" s="182" t="s">
        <v>4315</v>
      </c>
      <c r="J875" s="182" t="s">
        <v>4316</v>
      </c>
      <c r="K875" s="182" t="s">
        <v>4317</v>
      </c>
      <c r="L875" s="182" t="s">
        <v>15</v>
      </c>
      <c r="M875"/>
      <c r="R875"/>
      <c r="T875"/>
    </row>
    <row r="876" spans="1:20">
      <c r="A876" s="170" t="s">
        <v>4318</v>
      </c>
      <c r="B876" s="170" t="s">
        <v>4319</v>
      </c>
      <c r="C876" s="178" t="s">
        <v>10</v>
      </c>
      <c r="D876" s="170" t="s">
        <v>11</v>
      </c>
      <c r="E876" s="170" t="s">
        <v>12</v>
      </c>
      <c r="H876" s="207">
        <v>472823</v>
      </c>
      <c r="I876" s="182" t="s">
        <v>4320</v>
      </c>
      <c r="J876" s="182" t="s">
        <v>4321</v>
      </c>
      <c r="K876" s="182" t="s">
        <v>4322</v>
      </c>
      <c r="L876" s="182" t="s">
        <v>15</v>
      </c>
      <c r="M876"/>
      <c r="R876"/>
      <c r="T876"/>
    </row>
    <row r="877" spans="1:20">
      <c r="A877" s="170" t="s">
        <v>4323</v>
      </c>
      <c r="B877" s="170" t="s">
        <v>4324</v>
      </c>
      <c r="C877" s="178" t="s">
        <v>10</v>
      </c>
      <c r="D877" s="170" t="s">
        <v>11</v>
      </c>
      <c r="E877" s="170" t="s">
        <v>12</v>
      </c>
      <c r="H877" s="207">
        <v>472922</v>
      </c>
      <c r="I877" s="182" t="s">
        <v>4325</v>
      </c>
      <c r="J877" s="182" t="s">
        <v>4326</v>
      </c>
      <c r="K877" s="182"/>
      <c r="L877" s="182" t="s">
        <v>15</v>
      </c>
      <c r="M877"/>
      <c r="R877"/>
      <c r="T877"/>
    </row>
    <row r="878" spans="1:20">
      <c r="A878" s="170" t="s">
        <v>4327</v>
      </c>
      <c r="B878" s="170" t="s">
        <v>4328</v>
      </c>
      <c r="C878" s="178" t="s">
        <v>10</v>
      </c>
      <c r="D878" s="170" t="s">
        <v>11</v>
      </c>
      <c r="E878" s="170" t="s">
        <v>12</v>
      </c>
      <c r="H878" s="207">
        <v>738360</v>
      </c>
      <c r="I878" s="182" t="s">
        <v>4329</v>
      </c>
      <c r="J878" s="182" t="s">
        <v>4330</v>
      </c>
      <c r="K878" s="182" t="s">
        <v>4331</v>
      </c>
      <c r="L878" s="182" t="s">
        <v>15</v>
      </c>
      <c r="M878"/>
      <c r="R878"/>
      <c r="T878"/>
    </row>
    <row r="879" spans="1:20">
      <c r="A879" s="170" t="s">
        <v>4332</v>
      </c>
      <c r="B879" s="170" t="s">
        <v>4333</v>
      </c>
      <c r="C879" s="178" t="s">
        <v>10</v>
      </c>
      <c r="D879" s="170" t="s">
        <v>11</v>
      </c>
      <c r="E879" s="170" t="s">
        <v>12</v>
      </c>
      <c r="H879" s="207">
        <v>487759</v>
      </c>
      <c r="I879" s="182" t="s">
        <v>4334</v>
      </c>
      <c r="J879" s="182" t="s">
        <v>4335</v>
      </c>
      <c r="K879" s="182" t="s">
        <v>4336</v>
      </c>
      <c r="L879" s="182" t="s">
        <v>15</v>
      </c>
      <c r="M879"/>
      <c r="R879"/>
      <c r="T879"/>
    </row>
    <row r="880" spans="1:20">
      <c r="A880" s="170" t="s">
        <v>4337</v>
      </c>
      <c r="B880" s="170" t="s">
        <v>4338</v>
      </c>
      <c r="C880" s="178" t="s">
        <v>10</v>
      </c>
      <c r="D880" s="170" t="s">
        <v>11</v>
      </c>
      <c r="E880" s="170" t="s">
        <v>12</v>
      </c>
      <c r="H880" s="207" t="s">
        <v>4339</v>
      </c>
      <c r="I880" s="182" t="s">
        <v>10</v>
      </c>
      <c r="J880" s="182" t="s">
        <v>4339</v>
      </c>
      <c r="K880" s="182" t="s">
        <v>4340</v>
      </c>
      <c r="L880" s="182" t="s">
        <v>19</v>
      </c>
      <c r="M880"/>
      <c r="R880"/>
      <c r="T880"/>
    </row>
    <row r="881" spans="1:20">
      <c r="A881" s="170" t="s">
        <v>4341</v>
      </c>
      <c r="B881" s="170" t="s">
        <v>4342</v>
      </c>
      <c r="C881" s="178" t="s">
        <v>10</v>
      </c>
      <c r="D881" s="170" t="s">
        <v>11</v>
      </c>
      <c r="E881" s="170" t="s">
        <v>12</v>
      </c>
      <c r="H881" s="207">
        <v>501135</v>
      </c>
      <c r="I881" s="182" t="s">
        <v>4343</v>
      </c>
      <c r="J881" s="182" t="s">
        <v>4344</v>
      </c>
      <c r="K881" s="182" t="s">
        <v>4345</v>
      </c>
      <c r="L881" s="182" t="s">
        <v>15</v>
      </c>
      <c r="M881"/>
      <c r="R881"/>
      <c r="T881"/>
    </row>
    <row r="882" spans="1:20">
      <c r="A882" s="170" t="s">
        <v>4346</v>
      </c>
      <c r="B882" s="170" t="s">
        <v>4347</v>
      </c>
      <c r="C882" s="178" t="s">
        <v>10</v>
      </c>
      <c r="D882" s="170" t="s">
        <v>11</v>
      </c>
      <c r="E882" s="170" t="s">
        <v>12</v>
      </c>
      <c r="H882" s="207" t="s">
        <v>4348</v>
      </c>
      <c r="I882" s="182" t="s">
        <v>10</v>
      </c>
      <c r="J882" s="182" t="s">
        <v>4348</v>
      </c>
      <c r="K882" s="182" t="s">
        <v>4349</v>
      </c>
      <c r="L882" s="182" t="s">
        <v>19</v>
      </c>
      <c r="M882"/>
      <c r="R882"/>
      <c r="T882"/>
    </row>
    <row r="883" spans="1:13">
      <c r="A883" s="170" t="s">
        <v>4350</v>
      </c>
      <c r="B883" s="170" t="s">
        <v>4351</v>
      </c>
      <c r="C883" s="225" t="s">
        <v>4352</v>
      </c>
      <c r="D883" s="170" t="s">
        <v>11</v>
      </c>
      <c r="E883" s="170" t="s">
        <v>12</v>
      </c>
      <c r="H883" s="207">
        <v>454104</v>
      </c>
      <c r="I883" s="182" t="s">
        <v>4353</v>
      </c>
      <c r="J883" s="182" t="s">
        <v>4354</v>
      </c>
      <c r="K883" s="182" t="s">
        <v>4355</v>
      </c>
      <c r="L883" s="182" t="s">
        <v>15</v>
      </c>
      <c r="M883" s="289" t="s">
        <v>4351</v>
      </c>
    </row>
    <row r="884" spans="1:20">
      <c r="A884" s="170" t="s">
        <v>4356</v>
      </c>
      <c r="B884" s="170" t="s">
        <v>4357</v>
      </c>
      <c r="C884" s="170"/>
      <c r="D884" s="170" t="s">
        <v>11</v>
      </c>
      <c r="E884" s="170" t="s">
        <v>12</v>
      </c>
      <c r="H884" s="207">
        <v>485238</v>
      </c>
      <c r="I884" s="182" t="s">
        <v>4358</v>
      </c>
      <c r="J884" s="182" t="s">
        <v>4359</v>
      </c>
      <c r="K884" s="182" t="s">
        <v>4360</v>
      </c>
      <c r="L884" s="182" t="s">
        <v>15</v>
      </c>
      <c r="M884"/>
      <c r="R884"/>
      <c r="T884"/>
    </row>
    <row r="885" spans="1:20">
      <c r="A885" s="170" t="s">
        <v>4361</v>
      </c>
      <c r="B885" s="170" t="s">
        <v>4362</v>
      </c>
      <c r="C885" s="170"/>
      <c r="D885" s="170" t="s">
        <v>11</v>
      </c>
      <c r="E885" s="170" t="s">
        <v>12</v>
      </c>
      <c r="H885" s="207">
        <v>482048</v>
      </c>
      <c r="I885" s="182" t="s">
        <v>4363</v>
      </c>
      <c r="J885" s="182" t="s">
        <v>4364</v>
      </c>
      <c r="K885" s="182" t="s">
        <v>4365</v>
      </c>
      <c r="L885" s="182" t="s">
        <v>15</v>
      </c>
      <c r="M885"/>
      <c r="R885"/>
      <c r="T885"/>
    </row>
    <row r="886" spans="1:13">
      <c r="A886" s="170" t="s">
        <v>4366</v>
      </c>
      <c r="B886" s="170" t="s">
        <v>4367</v>
      </c>
      <c r="C886" s="192" t="s">
        <v>4368</v>
      </c>
      <c r="D886" s="170" t="s">
        <v>11</v>
      </c>
      <c r="E886" s="170" t="s">
        <v>12</v>
      </c>
      <c r="H886" s="207">
        <v>490455</v>
      </c>
      <c r="I886" s="182" t="s">
        <v>4369</v>
      </c>
      <c r="J886" s="182" t="s">
        <v>4370</v>
      </c>
      <c r="K886" s="182" t="s">
        <v>4371</v>
      </c>
      <c r="L886" s="182" t="s">
        <v>15</v>
      </c>
      <c r="M886" s="289" t="s">
        <v>4367</v>
      </c>
    </row>
    <row r="887" spans="1:13">
      <c r="A887" s="170" t="s">
        <v>4372</v>
      </c>
      <c r="B887" s="170" t="s">
        <v>4373</v>
      </c>
      <c r="C887" s="192" t="s">
        <v>4374</v>
      </c>
      <c r="D887" s="170" t="s">
        <v>11</v>
      </c>
      <c r="E887" s="170" t="s">
        <v>12</v>
      </c>
      <c r="H887" s="207">
        <v>465198</v>
      </c>
      <c r="I887" s="182" t="s">
        <v>4375</v>
      </c>
      <c r="J887" s="182" t="s">
        <v>4376</v>
      </c>
      <c r="K887" s="182"/>
      <c r="L887" s="182" t="s">
        <v>15</v>
      </c>
      <c r="M887" s="289" t="s">
        <v>4373</v>
      </c>
    </row>
    <row r="888" spans="1:20">
      <c r="A888" s="170" t="s">
        <v>4377</v>
      </c>
      <c r="B888" s="170" t="s">
        <v>4378</v>
      </c>
      <c r="C888" s="170"/>
      <c r="D888" s="170" t="s">
        <v>11</v>
      </c>
      <c r="E888" s="170" t="s">
        <v>12</v>
      </c>
      <c r="H888" s="207">
        <v>142471</v>
      </c>
      <c r="I888" s="182" t="s">
        <v>4379</v>
      </c>
      <c r="J888" s="182" t="s">
        <v>4380</v>
      </c>
      <c r="K888" s="182" t="s">
        <v>4381</v>
      </c>
      <c r="L888" s="182" t="s">
        <v>15</v>
      </c>
      <c r="M888"/>
      <c r="R888"/>
      <c r="T888"/>
    </row>
    <row r="889" spans="1:13">
      <c r="A889" s="170" t="s">
        <v>4382</v>
      </c>
      <c r="B889" s="299" t="s">
        <v>4383</v>
      </c>
      <c r="C889" t="s">
        <v>4384</v>
      </c>
      <c r="D889" s="170" t="s">
        <v>11</v>
      </c>
      <c r="E889" s="170" t="s">
        <v>12</v>
      </c>
      <c r="H889" s="207">
        <v>458151</v>
      </c>
      <c r="I889" s="182" t="s">
        <v>4385</v>
      </c>
      <c r="J889" s="182" t="s">
        <v>4386</v>
      </c>
      <c r="K889" s="182"/>
      <c r="L889" s="182" t="s">
        <v>15</v>
      </c>
      <c r="M889" s="303" t="s">
        <v>4387</v>
      </c>
    </row>
    <row r="890" spans="1:13">
      <c r="A890" s="170" t="s">
        <v>4388</v>
      </c>
      <c r="B890" s="299" t="s">
        <v>4389</v>
      </c>
      <c r="C890" s="192" t="s">
        <v>4390</v>
      </c>
      <c r="D890" s="170" t="s">
        <v>11</v>
      </c>
      <c r="E890" s="170" t="s">
        <v>12</v>
      </c>
      <c r="H890" s="207">
        <v>509128</v>
      </c>
      <c r="I890" s="182" t="s">
        <v>4391</v>
      </c>
      <c r="J890" s="182" t="s">
        <v>4392</v>
      </c>
      <c r="K890" s="182" t="s">
        <v>4393</v>
      </c>
      <c r="L890" s="182" t="s">
        <v>15</v>
      </c>
      <c r="M890" s="300" t="s">
        <v>4394</v>
      </c>
    </row>
    <row r="891" spans="1:20">
      <c r="A891" s="170" t="s">
        <v>4395</v>
      </c>
      <c r="B891" s="170" t="s">
        <v>4396</v>
      </c>
      <c r="C891" s="170"/>
      <c r="D891" s="170" t="s">
        <v>11</v>
      </c>
      <c r="E891" s="170" t="s">
        <v>12</v>
      </c>
      <c r="H891" s="207">
        <v>195186</v>
      </c>
      <c r="I891" s="182" t="s">
        <v>4397</v>
      </c>
      <c r="J891" s="182" t="s">
        <v>4398</v>
      </c>
      <c r="K891" s="182"/>
      <c r="L891" s="182" t="s">
        <v>15</v>
      </c>
      <c r="M891"/>
      <c r="R891"/>
      <c r="T891"/>
    </row>
    <row r="892" spans="1:13">
      <c r="A892" s="170" t="s">
        <v>4399</v>
      </c>
      <c r="B892" s="170" t="s">
        <v>4400</v>
      </c>
      <c r="C892" s="192" t="s">
        <v>4401</v>
      </c>
      <c r="D892" s="170" t="s">
        <v>11</v>
      </c>
      <c r="E892" s="170" t="s">
        <v>12</v>
      </c>
      <c r="H892" s="207">
        <v>481846</v>
      </c>
      <c r="I892" s="182" t="s">
        <v>4402</v>
      </c>
      <c r="J892" s="182" t="s">
        <v>4403</v>
      </c>
      <c r="K892" s="182" t="s">
        <v>4404</v>
      </c>
      <c r="L892" s="182" t="s">
        <v>15</v>
      </c>
      <c r="M892" s="305" t="s">
        <v>4400</v>
      </c>
    </row>
    <row r="893" spans="1:20">
      <c r="A893" s="170" t="s">
        <v>4405</v>
      </c>
      <c r="B893" s="170" t="s">
        <v>4406</v>
      </c>
      <c r="C893" s="192" t="s">
        <v>4407</v>
      </c>
      <c r="D893" s="170" t="s">
        <v>11</v>
      </c>
      <c r="E893" s="170" t="s">
        <v>12</v>
      </c>
      <c r="H893" s="207" t="s">
        <v>4408</v>
      </c>
      <c r="I893" s="182" t="s">
        <v>10</v>
      </c>
      <c r="J893" s="182" t="s">
        <v>4408</v>
      </c>
      <c r="K893" s="182" t="s">
        <v>4409</v>
      </c>
      <c r="L893" s="182" t="s">
        <v>19</v>
      </c>
      <c r="M893" s="289" t="s">
        <v>4406</v>
      </c>
      <c r="T893"/>
    </row>
    <row r="894" spans="1:20">
      <c r="A894" s="170" t="s">
        <v>4410</v>
      </c>
      <c r="B894" s="170" t="s">
        <v>4411</v>
      </c>
      <c r="C894" s="170"/>
      <c r="D894" s="170" t="s">
        <v>11</v>
      </c>
      <c r="E894" s="170" t="s">
        <v>12</v>
      </c>
      <c r="H894" s="207">
        <v>478226</v>
      </c>
      <c r="I894" s="182" t="s">
        <v>4412</v>
      </c>
      <c r="J894" s="182" t="s">
        <v>4413</v>
      </c>
      <c r="K894" s="182"/>
      <c r="L894" s="182" t="s">
        <v>15</v>
      </c>
      <c r="M894"/>
      <c r="R894"/>
      <c r="T894"/>
    </row>
    <row r="895" spans="1:13">
      <c r="A895" s="170" t="s">
        <v>4414</v>
      </c>
      <c r="B895" s="170" t="s">
        <v>4415</v>
      </c>
      <c r="C895" s="192" t="s">
        <v>4416</v>
      </c>
      <c r="D895" s="170" t="s">
        <v>11</v>
      </c>
      <c r="E895" s="170" t="s">
        <v>12</v>
      </c>
      <c r="H895" s="207">
        <v>496072</v>
      </c>
      <c r="I895" s="182" t="s">
        <v>4417</v>
      </c>
      <c r="J895" s="182" t="s">
        <v>4418</v>
      </c>
      <c r="K895" s="182"/>
      <c r="L895" s="182" t="s">
        <v>15</v>
      </c>
      <c r="M895" s="289" t="s">
        <v>4415</v>
      </c>
    </row>
    <row r="896" spans="1:13">
      <c r="A896" s="170" t="s">
        <v>4419</v>
      </c>
      <c r="B896" s="170" t="s">
        <v>4420</v>
      </c>
      <c r="C896" s="192" t="s">
        <v>4421</v>
      </c>
      <c r="D896" s="170" t="s">
        <v>11</v>
      </c>
      <c r="E896" s="170" t="s">
        <v>12</v>
      </c>
      <c r="H896" s="207">
        <v>493291</v>
      </c>
      <c r="I896" s="182" t="s">
        <v>4422</v>
      </c>
      <c r="J896" s="182" t="s">
        <v>4423</v>
      </c>
      <c r="K896" s="182" t="s">
        <v>4424</v>
      </c>
      <c r="L896" s="182" t="s">
        <v>15</v>
      </c>
      <c r="M896" s="289" t="s">
        <v>4420</v>
      </c>
    </row>
    <row r="897" spans="1:20">
      <c r="A897" s="170" t="s">
        <v>4425</v>
      </c>
      <c r="B897" s="170" t="s">
        <v>4426</v>
      </c>
      <c r="C897" s="178"/>
      <c r="D897" s="170" t="s">
        <v>11</v>
      </c>
      <c r="E897" s="170" t="s">
        <v>12</v>
      </c>
      <c r="H897" s="207">
        <v>501774</v>
      </c>
      <c r="I897" s="182" t="s">
        <v>4427</v>
      </c>
      <c r="J897" s="182" t="s">
        <v>4428</v>
      </c>
      <c r="K897" s="182" t="s">
        <v>4429</v>
      </c>
      <c r="L897" s="182" t="s">
        <v>15</v>
      </c>
      <c r="M897"/>
      <c r="R897"/>
      <c r="T897"/>
    </row>
    <row r="898" spans="1:13">
      <c r="A898" s="170" t="s">
        <v>4430</v>
      </c>
      <c r="B898" s="170" t="s">
        <v>4431</v>
      </c>
      <c r="C898" s="192" t="s">
        <v>4432</v>
      </c>
      <c r="D898" s="170" t="s">
        <v>11</v>
      </c>
      <c r="E898" s="170" t="s">
        <v>12</v>
      </c>
      <c r="H898" s="207">
        <v>497779</v>
      </c>
      <c r="I898" s="182" t="s">
        <v>4433</v>
      </c>
      <c r="J898" s="182" t="s">
        <v>4434</v>
      </c>
      <c r="K898" s="182" t="s">
        <v>4435</v>
      </c>
      <c r="L898" s="182" t="s">
        <v>15</v>
      </c>
      <c r="M898" s="289" t="s">
        <v>4431</v>
      </c>
    </row>
    <row r="899" spans="1:13">
      <c r="A899" s="170" t="s">
        <v>4436</v>
      </c>
      <c r="B899" s="170" t="s">
        <v>4437</v>
      </c>
      <c r="C899" s="192" t="s">
        <v>4438</v>
      </c>
      <c r="D899" s="170" t="s">
        <v>11</v>
      </c>
      <c r="E899" s="170" t="s">
        <v>12</v>
      </c>
      <c r="H899" s="207">
        <v>421903</v>
      </c>
      <c r="I899" s="182" t="s">
        <v>4439</v>
      </c>
      <c r="J899" s="182" t="s">
        <v>4440</v>
      </c>
      <c r="K899" s="182" t="s">
        <v>4441</v>
      </c>
      <c r="L899" s="182" t="s">
        <v>15</v>
      </c>
      <c r="M899" s="289" t="s">
        <v>4437</v>
      </c>
    </row>
    <row r="900" spans="1:20">
      <c r="A900" s="170" t="s">
        <v>4442</v>
      </c>
      <c r="B900" s="170" t="s">
        <v>4443</v>
      </c>
      <c r="C900" s="170"/>
      <c r="D900" s="170" t="s">
        <v>11</v>
      </c>
      <c r="E900" s="170" t="s">
        <v>12</v>
      </c>
      <c r="H900" s="207">
        <v>364409</v>
      </c>
      <c r="I900" s="182" t="s">
        <v>4444</v>
      </c>
      <c r="J900" s="182" t="s">
        <v>4445</v>
      </c>
      <c r="K900" s="182" t="s">
        <v>4446</v>
      </c>
      <c r="L900" s="182" t="s">
        <v>15</v>
      </c>
      <c r="M900"/>
      <c r="R900"/>
      <c r="T900"/>
    </row>
    <row r="901" spans="1:13">
      <c r="A901" s="170" t="s">
        <v>4447</v>
      </c>
      <c r="B901" s="170" t="s">
        <v>4448</v>
      </c>
      <c r="C901" s="192" t="s">
        <v>4449</v>
      </c>
      <c r="D901" s="170" t="s">
        <v>11</v>
      </c>
      <c r="E901" s="170" t="s">
        <v>12</v>
      </c>
      <c r="H901" s="207">
        <v>419245</v>
      </c>
      <c r="I901" s="182" t="s">
        <v>4450</v>
      </c>
      <c r="J901" s="182" t="s">
        <v>4451</v>
      </c>
      <c r="K901" s="182" t="s">
        <v>4452</v>
      </c>
      <c r="L901" s="182" t="s">
        <v>15</v>
      </c>
      <c r="M901" s="289" t="s">
        <v>4448</v>
      </c>
    </row>
    <row r="902" spans="1:13">
      <c r="A902" s="170" t="s">
        <v>4453</v>
      </c>
      <c r="B902" s="170" t="s">
        <v>4454</v>
      </c>
      <c r="C902" s="192" t="s">
        <v>4455</v>
      </c>
      <c r="D902" s="170" t="s">
        <v>11</v>
      </c>
      <c r="E902" s="170" t="s">
        <v>12</v>
      </c>
      <c r="H902" s="207">
        <v>464046</v>
      </c>
      <c r="I902" s="182" t="s">
        <v>4456</v>
      </c>
      <c r="J902" s="182" t="s">
        <v>4457</v>
      </c>
      <c r="K902" s="182" t="s">
        <v>4458</v>
      </c>
      <c r="L902" s="182" t="s">
        <v>15</v>
      </c>
      <c r="M902" s="289" t="s">
        <v>4454</v>
      </c>
    </row>
    <row r="903" spans="1:20">
      <c r="A903" s="170" t="s">
        <v>4459</v>
      </c>
      <c r="B903" s="170" t="s">
        <v>4460</v>
      </c>
      <c r="C903" s="170"/>
      <c r="D903" s="170" t="s">
        <v>11</v>
      </c>
      <c r="E903" s="170" t="s">
        <v>12</v>
      </c>
      <c r="H903" s="207">
        <v>500865</v>
      </c>
      <c r="I903" s="182" t="s">
        <v>4461</v>
      </c>
      <c r="J903" s="182" t="s">
        <v>4462</v>
      </c>
      <c r="K903" s="182" t="s">
        <v>4463</v>
      </c>
      <c r="L903" s="182" t="s">
        <v>15</v>
      </c>
      <c r="M903"/>
      <c r="R903"/>
      <c r="T903"/>
    </row>
    <row r="904" spans="1:13">
      <c r="A904" s="170" t="s">
        <v>4464</v>
      </c>
      <c r="B904" s="170" t="s">
        <v>4465</v>
      </c>
      <c r="C904" s="192" t="s">
        <v>4466</v>
      </c>
      <c r="D904" s="170" t="s">
        <v>11</v>
      </c>
      <c r="E904" s="170" t="s">
        <v>12</v>
      </c>
      <c r="H904" s="207">
        <v>329515</v>
      </c>
      <c r="I904" s="182" t="s">
        <v>4467</v>
      </c>
      <c r="J904" s="182" t="s">
        <v>4468</v>
      </c>
      <c r="K904" s="182" t="s">
        <v>4469</v>
      </c>
      <c r="L904" s="182" t="s">
        <v>15</v>
      </c>
      <c r="M904" s="289" t="s">
        <v>4465</v>
      </c>
    </row>
    <row r="905" spans="1:13">
      <c r="A905" s="170" t="s">
        <v>4470</v>
      </c>
      <c r="B905" s="170" t="s">
        <v>4471</v>
      </c>
      <c r="C905" s="192" t="s">
        <v>4472</v>
      </c>
      <c r="D905" s="170" t="s">
        <v>11</v>
      </c>
      <c r="E905" s="170" t="s">
        <v>12</v>
      </c>
      <c r="H905" s="207">
        <v>513450</v>
      </c>
      <c r="I905" s="182" t="s">
        <v>4473</v>
      </c>
      <c r="J905" s="182" t="s">
        <v>4474</v>
      </c>
      <c r="K905" s="182" t="s">
        <v>4475</v>
      </c>
      <c r="L905" s="182" t="s">
        <v>15</v>
      </c>
      <c r="M905" s="289" t="s">
        <v>4471</v>
      </c>
    </row>
    <row r="906" spans="1:20">
      <c r="A906" s="170" t="s">
        <v>4476</v>
      </c>
      <c r="B906" s="170" t="s">
        <v>4477</v>
      </c>
      <c r="C906" s="170"/>
      <c r="D906" s="170" t="s">
        <v>11</v>
      </c>
      <c r="E906" s="170" t="s">
        <v>12</v>
      </c>
      <c r="H906" s="207">
        <v>436623</v>
      </c>
      <c r="I906" s="182" t="s">
        <v>4478</v>
      </c>
      <c r="J906" s="182" t="s">
        <v>4479</v>
      </c>
      <c r="K906" s="182" t="s">
        <v>4480</v>
      </c>
      <c r="L906" s="182" t="s">
        <v>15</v>
      </c>
      <c r="M906"/>
      <c r="R906"/>
      <c r="T906"/>
    </row>
    <row r="907" spans="1:13">
      <c r="A907" s="170" t="s">
        <v>4481</v>
      </c>
      <c r="B907" s="299" t="s">
        <v>4482</v>
      </c>
      <c r="C907" s="192" t="s">
        <v>4421</v>
      </c>
      <c r="D907" s="170" t="s">
        <v>11</v>
      </c>
      <c r="E907" s="170" t="s">
        <v>12</v>
      </c>
      <c r="H907" s="207">
        <v>417390</v>
      </c>
      <c r="I907" s="182" t="s">
        <v>4483</v>
      </c>
      <c r="J907" s="182" t="s">
        <v>4484</v>
      </c>
      <c r="K907" s="182"/>
      <c r="L907" s="182" t="s">
        <v>15</v>
      </c>
      <c r="M907" s="303" t="s">
        <v>4485</v>
      </c>
    </row>
    <row r="908" spans="1:13">
      <c r="A908" s="170" t="s">
        <v>4486</v>
      </c>
      <c r="B908" s="170" t="s">
        <v>4487</v>
      </c>
      <c r="C908" s="192" t="s">
        <v>4488</v>
      </c>
      <c r="D908" s="170" t="s">
        <v>11</v>
      </c>
      <c r="E908" s="170" t="s">
        <v>12</v>
      </c>
      <c r="H908" s="207">
        <v>460045</v>
      </c>
      <c r="I908" s="182" t="s">
        <v>4489</v>
      </c>
      <c r="J908" s="182" t="s">
        <v>4490</v>
      </c>
      <c r="K908" s="182" t="s">
        <v>4491</v>
      </c>
      <c r="L908" s="182" t="s">
        <v>15</v>
      </c>
      <c r="M908" s="289" t="s">
        <v>4487</v>
      </c>
    </row>
    <row r="909" spans="1:20">
      <c r="A909" s="170" t="s">
        <v>4492</v>
      </c>
      <c r="B909" s="170" t="s">
        <v>4485</v>
      </c>
      <c r="C909" s="170"/>
      <c r="D909" s="170" t="s">
        <v>11</v>
      </c>
      <c r="E909" s="170" t="s">
        <v>12</v>
      </c>
      <c r="H909" s="207">
        <v>159347</v>
      </c>
      <c r="I909" s="182" t="s">
        <v>4493</v>
      </c>
      <c r="J909" s="182" t="s">
        <v>4494</v>
      </c>
      <c r="K909" s="182" t="s">
        <v>4495</v>
      </c>
      <c r="L909" s="182" t="s">
        <v>15</v>
      </c>
      <c r="M909"/>
      <c r="R909"/>
      <c r="T909"/>
    </row>
    <row r="910" spans="1:13">
      <c r="A910" s="170" t="s">
        <v>4496</v>
      </c>
      <c r="B910" s="299" t="s">
        <v>4497</v>
      </c>
      <c r="C910" s="192" t="s">
        <v>4498</v>
      </c>
      <c r="D910" s="170" t="s">
        <v>11</v>
      </c>
      <c r="E910" s="170" t="s">
        <v>12</v>
      </c>
      <c r="H910" s="207">
        <v>488623</v>
      </c>
      <c r="I910" s="182" t="s">
        <v>4499</v>
      </c>
      <c r="J910" s="182" t="s">
        <v>4500</v>
      </c>
      <c r="K910" s="182" t="s">
        <v>4501</v>
      </c>
      <c r="L910" s="182" t="s">
        <v>15</v>
      </c>
      <c r="M910" s="303" t="s">
        <v>4502</v>
      </c>
    </row>
    <row r="911" spans="1:13">
      <c r="A911" s="170" t="s">
        <v>4503</v>
      </c>
      <c r="B911" s="170" t="s">
        <v>4504</v>
      </c>
      <c r="C911" s="192" t="s">
        <v>4505</v>
      </c>
      <c r="D911" s="170" t="s">
        <v>11</v>
      </c>
      <c r="E911" s="170" t="s">
        <v>12</v>
      </c>
      <c r="H911" s="207">
        <v>497871</v>
      </c>
      <c r="I911" s="182" t="s">
        <v>4506</v>
      </c>
      <c r="J911" s="182" t="s">
        <v>4507</v>
      </c>
      <c r="K911" s="182" t="s">
        <v>4508</v>
      </c>
      <c r="L911" s="182" t="s">
        <v>15</v>
      </c>
      <c r="M911" s="289" t="s">
        <v>4504</v>
      </c>
    </row>
    <row r="912" spans="1:20">
      <c r="A912" s="170" t="s">
        <v>4509</v>
      </c>
      <c r="B912" s="170" t="s">
        <v>4502</v>
      </c>
      <c r="C912" s="170"/>
      <c r="D912" s="170" t="s">
        <v>11</v>
      </c>
      <c r="E912" s="170" t="s">
        <v>12</v>
      </c>
      <c r="H912" s="207">
        <v>472915</v>
      </c>
      <c r="I912" s="182" t="s">
        <v>4510</v>
      </c>
      <c r="J912" s="182" t="s">
        <v>4511</v>
      </c>
      <c r="K912" s="182"/>
      <c r="L912" s="182" t="s">
        <v>15</v>
      </c>
      <c r="M912"/>
      <c r="R912"/>
      <c r="T912"/>
    </row>
    <row r="913" spans="1:20">
      <c r="A913" s="170" t="s">
        <v>4512</v>
      </c>
      <c r="B913" s="170" t="s">
        <v>4513</v>
      </c>
      <c r="C913" s="170"/>
      <c r="D913" s="170" t="s">
        <v>11</v>
      </c>
      <c r="E913" s="170" t="s">
        <v>12</v>
      </c>
      <c r="H913" s="207">
        <v>513252</v>
      </c>
      <c r="I913" s="182" t="s">
        <v>4514</v>
      </c>
      <c r="J913" s="182" t="s">
        <v>4515</v>
      </c>
      <c r="K913" s="182"/>
      <c r="L913" s="182" t="s">
        <v>15</v>
      </c>
      <c r="M913"/>
      <c r="R913"/>
      <c r="T913"/>
    </row>
    <row r="914" spans="1:20">
      <c r="A914" s="170" t="s">
        <v>4516</v>
      </c>
      <c r="B914" s="170" t="s">
        <v>4517</v>
      </c>
      <c r="C914" s="170"/>
      <c r="D914" s="170" t="s">
        <v>11</v>
      </c>
      <c r="E914" s="170" t="s">
        <v>12</v>
      </c>
      <c r="H914" s="207">
        <v>493249</v>
      </c>
      <c r="I914" s="182" t="s">
        <v>4518</v>
      </c>
      <c r="J914" s="182" t="s">
        <v>4519</v>
      </c>
      <c r="K914" s="182" t="s">
        <v>4520</v>
      </c>
      <c r="L914" s="182" t="s">
        <v>15</v>
      </c>
      <c r="M914"/>
      <c r="R914"/>
      <c r="T914"/>
    </row>
    <row r="915" spans="1:20">
      <c r="A915" s="170" t="s">
        <v>4521</v>
      </c>
      <c r="B915" s="170" t="s">
        <v>4522</v>
      </c>
      <c r="C915" s="170"/>
      <c r="D915" s="170" t="s">
        <v>11</v>
      </c>
      <c r="E915" s="170" t="s">
        <v>12</v>
      </c>
      <c r="H915" s="207">
        <v>468285</v>
      </c>
      <c r="I915" s="182" t="s">
        <v>4523</v>
      </c>
      <c r="J915" s="182" t="s">
        <v>4524</v>
      </c>
      <c r="K915" s="182"/>
      <c r="L915" s="182" t="s">
        <v>15</v>
      </c>
      <c r="M915"/>
      <c r="R915"/>
      <c r="T915"/>
    </row>
    <row r="916" spans="1:13">
      <c r="A916" s="170" t="s">
        <v>4525</v>
      </c>
      <c r="B916" s="299" t="s">
        <v>4526</v>
      </c>
      <c r="C916" s="230" t="s">
        <v>4527</v>
      </c>
      <c r="D916" s="170" t="s">
        <v>11</v>
      </c>
      <c r="E916" s="170" t="s">
        <v>12</v>
      </c>
      <c r="H916" s="207" t="s">
        <v>4528</v>
      </c>
      <c r="I916" s="182" t="s">
        <v>10</v>
      </c>
      <c r="J916" s="182" t="s">
        <v>4528</v>
      </c>
      <c r="K916" s="182" t="s">
        <v>4529</v>
      </c>
      <c r="L916" s="182" t="s">
        <v>19</v>
      </c>
      <c r="M916" s="303" t="s">
        <v>4530</v>
      </c>
    </row>
    <row r="917" spans="1:20">
      <c r="A917" s="170" t="s">
        <v>4531</v>
      </c>
      <c r="B917" s="170" t="s">
        <v>4532</v>
      </c>
      <c r="C917" s="170"/>
      <c r="D917" s="170" t="s">
        <v>11</v>
      </c>
      <c r="E917" s="170" t="s">
        <v>12</v>
      </c>
      <c r="H917" s="207" t="s">
        <v>4533</v>
      </c>
      <c r="I917" s="182" t="s">
        <v>10</v>
      </c>
      <c r="J917" s="182" t="s">
        <v>4533</v>
      </c>
      <c r="K917" s="182" t="s">
        <v>4534</v>
      </c>
      <c r="L917" s="182" t="s">
        <v>53</v>
      </c>
      <c r="M917"/>
      <c r="R917"/>
      <c r="T917"/>
    </row>
    <row r="918" spans="1:20">
      <c r="A918" s="170" t="s">
        <v>4535</v>
      </c>
      <c r="B918" s="170" t="s">
        <v>4530</v>
      </c>
      <c r="C918" s="170"/>
      <c r="D918" s="170" t="s">
        <v>11</v>
      </c>
      <c r="E918" s="170" t="s">
        <v>12</v>
      </c>
      <c r="H918" s="207">
        <v>195268</v>
      </c>
      <c r="I918" s="182" t="s">
        <v>4536</v>
      </c>
      <c r="J918" s="182" t="s">
        <v>4537</v>
      </c>
      <c r="K918" s="182" t="s">
        <v>4538</v>
      </c>
      <c r="L918" s="182" t="s">
        <v>415</v>
      </c>
      <c r="M918"/>
      <c r="R918"/>
      <c r="T918"/>
    </row>
    <row r="919" spans="1:13">
      <c r="A919" s="170" t="s">
        <v>4539</v>
      </c>
      <c r="B919" s="299" t="s">
        <v>4540</v>
      </c>
      <c r="C919" s="230" t="s">
        <v>4541</v>
      </c>
      <c r="D919" s="170" t="s">
        <v>11</v>
      </c>
      <c r="E919" s="170" t="s">
        <v>12</v>
      </c>
      <c r="H919" s="207">
        <v>463802</v>
      </c>
      <c r="I919" s="182" t="s">
        <v>4542</v>
      </c>
      <c r="J919" s="182" t="s">
        <v>4543</v>
      </c>
      <c r="K919" s="182" t="s">
        <v>4544</v>
      </c>
      <c r="L919" s="182" t="s">
        <v>15</v>
      </c>
      <c r="M919" s="303" t="s">
        <v>4545</v>
      </c>
    </row>
    <row r="920" spans="1:20">
      <c r="A920" s="170" t="s">
        <v>4546</v>
      </c>
      <c r="B920" s="170" t="s">
        <v>4547</v>
      </c>
      <c r="C920" s="170"/>
      <c r="D920" s="170" t="s">
        <v>11</v>
      </c>
      <c r="E920" s="170" t="s">
        <v>12</v>
      </c>
      <c r="H920" s="207" t="s">
        <v>4548</v>
      </c>
      <c r="I920" s="182" t="s">
        <v>10</v>
      </c>
      <c r="J920" s="182" t="s">
        <v>4548</v>
      </c>
      <c r="K920" s="182" t="s">
        <v>4549</v>
      </c>
      <c r="L920" s="182" t="s">
        <v>53</v>
      </c>
      <c r="M920"/>
      <c r="R920"/>
      <c r="T920"/>
    </row>
    <row r="921" spans="1:20">
      <c r="A921" s="170" t="s">
        <v>4550</v>
      </c>
      <c r="B921" s="170" t="s">
        <v>4545</v>
      </c>
      <c r="C921" s="170"/>
      <c r="D921" s="170" t="s">
        <v>11</v>
      </c>
      <c r="E921" s="170" t="s">
        <v>12</v>
      </c>
      <c r="H921" s="207">
        <v>478000</v>
      </c>
      <c r="I921" s="182" t="s">
        <v>4551</v>
      </c>
      <c r="J921" s="182" t="s">
        <v>4552</v>
      </c>
      <c r="K921" s="182" t="s">
        <v>4553</v>
      </c>
      <c r="L921" s="182" t="s">
        <v>15</v>
      </c>
      <c r="M921"/>
      <c r="R921"/>
      <c r="T921"/>
    </row>
    <row r="922" spans="1:13">
      <c r="A922" s="170" t="s">
        <v>4554</v>
      </c>
      <c r="B922" s="170" t="s">
        <v>4555</v>
      </c>
      <c r="C922" s="192" t="s">
        <v>4556</v>
      </c>
      <c r="D922" s="170" t="s">
        <v>11</v>
      </c>
      <c r="E922" s="170" t="s">
        <v>12</v>
      </c>
      <c r="H922" s="207">
        <v>506340</v>
      </c>
      <c r="I922" s="182" t="s">
        <v>4557</v>
      </c>
      <c r="J922" s="182" t="s">
        <v>4558</v>
      </c>
      <c r="K922" s="182"/>
      <c r="L922" s="182" t="s">
        <v>15</v>
      </c>
      <c r="M922" s="289" t="s">
        <v>4555</v>
      </c>
    </row>
    <row r="923" spans="1:13">
      <c r="A923" s="170" t="s">
        <v>4559</v>
      </c>
      <c r="B923" s="170" t="s">
        <v>4560</v>
      </c>
      <c r="C923" s="192" t="s">
        <v>4561</v>
      </c>
      <c r="D923" s="170" t="s">
        <v>11</v>
      </c>
      <c r="E923" s="170" t="s">
        <v>12</v>
      </c>
      <c r="H923" s="207">
        <v>652812</v>
      </c>
      <c r="I923" s="182" t="s">
        <v>4562</v>
      </c>
      <c r="J923" s="182" t="s">
        <v>4563</v>
      </c>
      <c r="K923" s="182" t="s">
        <v>4564</v>
      </c>
      <c r="L923" s="182" t="s">
        <v>15</v>
      </c>
      <c r="M923" s="289" t="s">
        <v>4560</v>
      </c>
    </row>
    <row r="924" spans="1:20">
      <c r="A924" s="170" t="s">
        <v>4565</v>
      </c>
      <c r="B924" s="170" t="s">
        <v>4566</v>
      </c>
      <c r="C924" s="170"/>
      <c r="D924" s="170" t="s">
        <v>11</v>
      </c>
      <c r="E924" s="170" t="s">
        <v>12</v>
      </c>
      <c r="H924" s="207">
        <v>493357</v>
      </c>
      <c r="I924" s="182" t="s">
        <v>4567</v>
      </c>
      <c r="J924" s="182" t="s">
        <v>4568</v>
      </c>
      <c r="K924" s="182"/>
      <c r="L924" s="182" t="s">
        <v>15</v>
      </c>
      <c r="M924"/>
      <c r="R924"/>
      <c r="T924"/>
    </row>
    <row r="925" spans="1:13">
      <c r="A925" s="170" t="s">
        <v>4569</v>
      </c>
      <c r="B925" s="170" t="s">
        <v>4570</v>
      </c>
      <c r="C925" s="192" t="s">
        <v>4571</v>
      </c>
      <c r="D925" s="170" t="s">
        <v>11</v>
      </c>
      <c r="E925" s="170" t="s">
        <v>12</v>
      </c>
      <c r="H925" s="207">
        <v>459216</v>
      </c>
      <c r="I925" s="182" t="s">
        <v>4572</v>
      </c>
      <c r="J925" s="182" t="s">
        <v>4573</v>
      </c>
      <c r="K925" s="182" t="s">
        <v>4574</v>
      </c>
      <c r="L925" s="182" t="s">
        <v>15</v>
      </c>
      <c r="M925" s="289" t="s">
        <v>4570</v>
      </c>
    </row>
    <row r="926" spans="1:13">
      <c r="A926" s="170" t="s">
        <v>4575</v>
      </c>
      <c r="B926" s="170" t="s">
        <v>4576</v>
      </c>
      <c r="C926" s="192" t="s">
        <v>4577</v>
      </c>
      <c r="D926" s="170" t="s">
        <v>11</v>
      </c>
      <c r="E926" s="170" t="s">
        <v>12</v>
      </c>
      <c r="H926" s="207">
        <v>156921</v>
      </c>
      <c r="I926" s="182" t="s">
        <v>4578</v>
      </c>
      <c r="J926" s="182" t="s">
        <v>4579</v>
      </c>
      <c r="K926" s="182" t="s">
        <v>4580</v>
      </c>
      <c r="L926" s="182" t="s">
        <v>15</v>
      </c>
      <c r="M926" s="289" t="s">
        <v>4576</v>
      </c>
    </row>
    <row r="927" spans="1:20">
      <c r="A927" s="170" t="s">
        <v>4581</v>
      </c>
      <c r="B927" s="170" t="s">
        <v>4582</v>
      </c>
      <c r="C927" s="170"/>
      <c r="D927" s="170" t="s">
        <v>11</v>
      </c>
      <c r="E927" s="170" t="s">
        <v>12</v>
      </c>
      <c r="H927" s="207">
        <v>472500</v>
      </c>
      <c r="I927" s="182" t="s">
        <v>4583</v>
      </c>
      <c r="J927" s="182" t="s">
        <v>4584</v>
      </c>
      <c r="K927" s="182" t="s">
        <v>4585</v>
      </c>
      <c r="L927" s="182" t="s">
        <v>15</v>
      </c>
      <c r="M927"/>
      <c r="R927"/>
      <c r="T927"/>
    </row>
    <row r="928" spans="1:13">
      <c r="A928" s="170" t="s">
        <v>4586</v>
      </c>
      <c r="B928" s="170" t="s">
        <v>4587</v>
      </c>
      <c r="C928" s="192" t="s">
        <v>4588</v>
      </c>
      <c r="D928" s="170" t="s">
        <v>11</v>
      </c>
      <c r="E928" s="170" t="s">
        <v>12</v>
      </c>
      <c r="H928" s="207">
        <v>478453</v>
      </c>
      <c r="I928" s="182" t="s">
        <v>4589</v>
      </c>
      <c r="J928" s="182" t="s">
        <v>4590</v>
      </c>
      <c r="K928" s="182" t="s">
        <v>4591</v>
      </c>
      <c r="L928" s="182" t="s">
        <v>15</v>
      </c>
      <c r="M928" s="289" t="s">
        <v>4587</v>
      </c>
    </row>
    <row r="929" spans="1:13">
      <c r="A929" s="170" t="s">
        <v>4592</v>
      </c>
      <c r="B929" s="170" t="s">
        <v>4593</v>
      </c>
      <c r="C929" s="192" t="s">
        <v>4594</v>
      </c>
      <c r="D929" s="170" t="s">
        <v>11</v>
      </c>
      <c r="E929" s="170" t="s">
        <v>12</v>
      </c>
      <c r="H929" s="207" t="s">
        <v>4595</v>
      </c>
      <c r="I929" s="182" t="s">
        <v>4596</v>
      </c>
      <c r="J929" s="182" t="s">
        <v>4595</v>
      </c>
      <c r="K929" s="182" t="s">
        <v>4597</v>
      </c>
      <c r="L929" s="182" t="s">
        <v>15</v>
      </c>
      <c r="M929" s="289" t="s">
        <v>4593</v>
      </c>
    </row>
    <row r="930" spans="1:20">
      <c r="A930" s="170" t="s">
        <v>4598</v>
      </c>
      <c r="B930" s="170" t="s">
        <v>4599</v>
      </c>
      <c r="C930" s="170"/>
      <c r="D930" s="170" t="s">
        <v>11</v>
      </c>
      <c r="E930" s="170" t="s">
        <v>12</v>
      </c>
      <c r="H930" s="207">
        <v>507807</v>
      </c>
      <c r="I930" s="182" t="s">
        <v>4600</v>
      </c>
      <c r="J930" s="182" t="s">
        <v>4601</v>
      </c>
      <c r="K930" s="182"/>
      <c r="L930" s="182" t="s">
        <v>15</v>
      </c>
      <c r="M930"/>
      <c r="R930"/>
      <c r="T930"/>
    </row>
    <row r="931" spans="1:13">
      <c r="A931" s="170" t="s">
        <v>4602</v>
      </c>
      <c r="B931" s="170" t="s">
        <v>4603</v>
      </c>
      <c r="C931" s="192" t="s">
        <v>4604</v>
      </c>
      <c r="D931" s="170" t="s">
        <v>11</v>
      </c>
      <c r="E931" s="170" t="s">
        <v>12</v>
      </c>
      <c r="H931" s="207" t="s">
        <v>4605</v>
      </c>
      <c r="I931" s="182" t="s">
        <v>10</v>
      </c>
      <c r="J931" s="182" t="s">
        <v>4605</v>
      </c>
      <c r="K931" s="182" t="s">
        <v>4606</v>
      </c>
      <c r="L931" s="182" t="s">
        <v>19</v>
      </c>
      <c r="M931" s="289" t="s">
        <v>4603</v>
      </c>
    </row>
    <row r="932" spans="1:13">
      <c r="A932" s="170" t="s">
        <v>4607</v>
      </c>
      <c r="B932" s="299" t="s">
        <v>4608</v>
      </c>
      <c r="C932" s="192" t="s">
        <v>4609</v>
      </c>
      <c r="D932" s="170" t="s">
        <v>11</v>
      </c>
      <c r="E932" s="170" t="s">
        <v>12</v>
      </c>
      <c r="H932" s="207">
        <v>408151</v>
      </c>
      <c r="I932" s="182" t="s">
        <v>4610</v>
      </c>
      <c r="J932" s="182" t="s">
        <v>4611</v>
      </c>
      <c r="K932" s="182" t="s">
        <v>4612</v>
      </c>
      <c r="L932" s="182" t="s">
        <v>15</v>
      </c>
      <c r="M932" s="303" t="s">
        <v>4613</v>
      </c>
    </row>
    <row r="933" spans="1:20">
      <c r="A933" s="170" t="s">
        <v>4614</v>
      </c>
      <c r="B933" s="170" t="s">
        <v>4615</v>
      </c>
      <c r="C933" s="170"/>
      <c r="D933" s="170" t="s">
        <v>11</v>
      </c>
      <c r="E933" s="170" t="s">
        <v>12</v>
      </c>
      <c r="H933" s="207">
        <v>508839</v>
      </c>
      <c r="I933" s="182" t="s">
        <v>4616</v>
      </c>
      <c r="J933" s="182" t="s">
        <v>4617</v>
      </c>
      <c r="K933" s="182" t="s">
        <v>4618</v>
      </c>
      <c r="L933" s="182" t="s">
        <v>15</v>
      </c>
      <c r="M933"/>
      <c r="R933"/>
      <c r="T933"/>
    </row>
    <row r="934" spans="1:13">
      <c r="A934" s="170" t="s">
        <v>4619</v>
      </c>
      <c r="B934" s="170" t="s">
        <v>4620</v>
      </c>
      <c r="C934" s="192" t="s">
        <v>4621</v>
      </c>
      <c r="D934" s="170" t="s">
        <v>11</v>
      </c>
      <c r="E934" s="170" t="s">
        <v>12</v>
      </c>
      <c r="H934" s="207" t="s">
        <v>4622</v>
      </c>
      <c r="I934" s="182" t="s">
        <v>10</v>
      </c>
      <c r="J934" s="182" t="s">
        <v>4622</v>
      </c>
      <c r="K934" s="182" t="s">
        <v>4623</v>
      </c>
      <c r="L934" s="182" t="s">
        <v>19</v>
      </c>
      <c r="M934" s="289" t="s">
        <v>4620</v>
      </c>
    </row>
    <row r="935" spans="1:13">
      <c r="A935" s="170" t="s">
        <v>4624</v>
      </c>
      <c r="B935" s="170" t="s">
        <v>4625</v>
      </c>
      <c r="C935" s="192" t="s">
        <v>4626</v>
      </c>
      <c r="D935" s="170" t="s">
        <v>11</v>
      </c>
      <c r="E935" s="170" t="s">
        <v>12</v>
      </c>
      <c r="H935" s="207">
        <v>505414</v>
      </c>
      <c r="I935" s="182" t="s">
        <v>4627</v>
      </c>
      <c r="J935" s="182" t="s">
        <v>4628</v>
      </c>
      <c r="K935" s="182" t="s">
        <v>4629</v>
      </c>
      <c r="L935" s="182" t="s">
        <v>15</v>
      </c>
      <c r="M935" s="289" t="s">
        <v>4625</v>
      </c>
    </row>
    <row r="936" spans="1:20">
      <c r="A936" s="170" t="s">
        <v>4630</v>
      </c>
      <c r="B936" s="170" t="s">
        <v>4631</v>
      </c>
      <c r="C936" s="170"/>
      <c r="D936" s="170" t="s">
        <v>11</v>
      </c>
      <c r="E936" s="170" t="s">
        <v>12</v>
      </c>
      <c r="H936" s="207">
        <v>513700</v>
      </c>
      <c r="I936" s="182" t="s">
        <v>4632</v>
      </c>
      <c r="J936" s="182" t="s">
        <v>4633</v>
      </c>
      <c r="K936" s="182"/>
      <c r="L936" s="182" t="s">
        <v>15</v>
      </c>
      <c r="M936"/>
      <c r="R936"/>
      <c r="T936"/>
    </row>
    <row r="937" spans="1:13">
      <c r="A937" s="170" t="s">
        <v>4634</v>
      </c>
      <c r="B937" s="170" t="s">
        <v>4635</v>
      </c>
      <c r="C937" s="231" t="s">
        <v>4636</v>
      </c>
      <c r="D937" s="170" t="s">
        <v>11</v>
      </c>
      <c r="E937" s="170" t="s">
        <v>12</v>
      </c>
      <c r="H937" s="207">
        <v>482625</v>
      </c>
      <c r="I937" s="182" t="s">
        <v>4637</v>
      </c>
      <c r="J937" s="182" t="s">
        <v>4638</v>
      </c>
      <c r="K937" s="182" t="s">
        <v>4639</v>
      </c>
      <c r="L937" s="182" t="s">
        <v>15</v>
      </c>
      <c r="M937" s="289" t="s">
        <v>4635</v>
      </c>
    </row>
    <row r="938" spans="1:13">
      <c r="A938" s="170" t="s">
        <v>4640</v>
      </c>
      <c r="B938" s="170" t="s">
        <v>4641</v>
      </c>
      <c r="C938" s="192" t="s">
        <v>4642</v>
      </c>
      <c r="D938" s="170" t="s">
        <v>11</v>
      </c>
      <c r="E938" s="170" t="s">
        <v>12</v>
      </c>
      <c r="H938" s="207">
        <v>446127</v>
      </c>
      <c r="I938" s="182" t="s">
        <v>4643</v>
      </c>
      <c r="J938" s="182" t="s">
        <v>4644</v>
      </c>
      <c r="K938" s="182" t="s">
        <v>4645</v>
      </c>
      <c r="L938" s="182" t="s">
        <v>15</v>
      </c>
      <c r="M938" s="289" t="s">
        <v>4641</v>
      </c>
    </row>
    <row r="939" spans="1:20">
      <c r="A939" s="170" t="s">
        <v>4646</v>
      </c>
      <c r="B939" s="170" t="s">
        <v>4647</v>
      </c>
      <c r="C939" s="170"/>
      <c r="D939" s="170" t="s">
        <v>11</v>
      </c>
      <c r="E939" s="170" t="s">
        <v>12</v>
      </c>
      <c r="H939" s="207">
        <v>478464</v>
      </c>
      <c r="I939" s="182" t="s">
        <v>4648</v>
      </c>
      <c r="J939" s="182" t="s">
        <v>4649</v>
      </c>
      <c r="K939" s="182" t="s">
        <v>4650</v>
      </c>
      <c r="L939" s="182" t="s">
        <v>15</v>
      </c>
      <c r="M939"/>
      <c r="R939"/>
      <c r="T939"/>
    </row>
    <row r="940" spans="1:13">
      <c r="A940" s="170" t="s">
        <v>4651</v>
      </c>
      <c r="B940" s="170" t="s">
        <v>4652</v>
      </c>
      <c r="C940" t="s">
        <v>4653</v>
      </c>
      <c r="D940" s="170" t="s">
        <v>11</v>
      </c>
      <c r="E940" s="170" t="s">
        <v>12</v>
      </c>
      <c r="H940" s="207" t="s">
        <v>4654</v>
      </c>
      <c r="I940" s="182" t="s">
        <v>10</v>
      </c>
      <c r="J940" s="182" t="s">
        <v>4654</v>
      </c>
      <c r="K940" s="182" t="s">
        <v>4655</v>
      </c>
      <c r="L940" s="182" t="s">
        <v>19</v>
      </c>
      <c r="M940" s="289" t="s">
        <v>4652</v>
      </c>
    </row>
    <row r="941" spans="1:20">
      <c r="A941" s="170" t="s">
        <v>4656</v>
      </c>
      <c r="B941" s="170" t="s">
        <v>4657</v>
      </c>
      <c r="C941" s="170"/>
      <c r="D941" s="170" t="s">
        <v>11</v>
      </c>
      <c r="E941" s="170" t="s">
        <v>12</v>
      </c>
      <c r="H941" s="207">
        <v>216556</v>
      </c>
      <c r="I941" s="182" t="s">
        <v>4658</v>
      </c>
      <c r="J941" s="182" t="s">
        <v>4659</v>
      </c>
      <c r="K941" s="182" t="s">
        <v>4660</v>
      </c>
      <c r="L941" s="182" t="s">
        <v>15</v>
      </c>
      <c r="M941"/>
      <c r="R941"/>
      <c r="T941"/>
    </row>
    <row r="942" spans="1:20">
      <c r="A942" s="170" t="s">
        <v>4661</v>
      </c>
      <c r="B942" s="170" t="s">
        <v>4662</v>
      </c>
      <c r="C942" s="170"/>
      <c r="D942" s="170" t="s">
        <v>11</v>
      </c>
      <c r="E942" s="170" t="s">
        <v>12</v>
      </c>
      <c r="H942" s="207">
        <v>508172</v>
      </c>
      <c r="I942" s="182" t="s">
        <v>4663</v>
      </c>
      <c r="J942" s="182" t="s">
        <v>4664</v>
      </c>
      <c r="K942" s="182"/>
      <c r="L942" s="182" t="s">
        <v>15</v>
      </c>
      <c r="M942"/>
      <c r="R942"/>
      <c r="T942"/>
    </row>
    <row r="943" spans="1:20">
      <c r="A943" s="170" t="s">
        <v>4665</v>
      </c>
      <c r="B943" s="170" t="s">
        <v>4666</v>
      </c>
      <c r="C943" s="178" t="s">
        <v>10</v>
      </c>
      <c r="D943" s="170" t="s">
        <v>11</v>
      </c>
      <c r="E943" s="170" t="s">
        <v>12</v>
      </c>
      <c r="H943" s="207">
        <v>518661</v>
      </c>
      <c r="I943" s="182" t="s">
        <v>4667</v>
      </c>
      <c r="J943" s="182" t="s">
        <v>4668</v>
      </c>
      <c r="K943" s="182" t="s">
        <v>4669</v>
      </c>
      <c r="L943" s="182" t="s">
        <v>15</v>
      </c>
      <c r="M943"/>
      <c r="R943"/>
      <c r="T943"/>
    </row>
    <row r="944" spans="1:20">
      <c r="A944" s="170" t="s">
        <v>4670</v>
      </c>
      <c r="B944" s="170" t="s">
        <v>4671</v>
      </c>
      <c r="C944" s="178" t="s">
        <v>10</v>
      </c>
      <c r="D944" s="170" t="s">
        <v>11</v>
      </c>
      <c r="E944" s="170" t="s">
        <v>12</v>
      </c>
      <c r="H944" s="207">
        <v>433771</v>
      </c>
      <c r="I944" s="182" t="s">
        <v>4672</v>
      </c>
      <c r="J944" s="182" t="s">
        <v>4673</v>
      </c>
      <c r="K944" s="182"/>
      <c r="L944" s="182" t="s">
        <v>15</v>
      </c>
      <c r="M944"/>
      <c r="R944"/>
      <c r="T944"/>
    </row>
    <row r="945" spans="1:20">
      <c r="A945" s="170" t="s">
        <v>4674</v>
      </c>
      <c r="B945" s="170" t="s">
        <v>4675</v>
      </c>
      <c r="C945" s="178" t="s">
        <v>10</v>
      </c>
      <c r="D945" s="170" t="s">
        <v>11</v>
      </c>
      <c r="E945" s="170" t="s">
        <v>12</v>
      </c>
      <c r="H945" s="207" t="s">
        <v>4676</v>
      </c>
      <c r="I945" s="182" t="s">
        <v>10</v>
      </c>
      <c r="J945" s="182" t="s">
        <v>4676</v>
      </c>
      <c r="K945" s="182" t="s">
        <v>4677</v>
      </c>
      <c r="L945" s="182" t="s">
        <v>19</v>
      </c>
      <c r="M945"/>
      <c r="R945"/>
      <c r="T945"/>
    </row>
    <row r="946" spans="1:20">
      <c r="A946" s="170" t="s">
        <v>4678</v>
      </c>
      <c r="B946" s="170" t="s">
        <v>4679</v>
      </c>
      <c r="C946" s="178" t="s">
        <v>10</v>
      </c>
      <c r="D946" s="170" t="s">
        <v>11</v>
      </c>
      <c r="E946" s="170" t="s">
        <v>12</v>
      </c>
      <c r="H946" s="207">
        <v>748290</v>
      </c>
      <c r="I946" s="182" t="s">
        <v>4680</v>
      </c>
      <c r="J946" s="182" t="s">
        <v>4681</v>
      </c>
      <c r="K946" s="182" t="s">
        <v>4682</v>
      </c>
      <c r="L946" s="182" t="s">
        <v>15</v>
      </c>
      <c r="M946"/>
      <c r="R946"/>
      <c r="T946"/>
    </row>
    <row r="947" spans="1:20">
      <c r="A947" s="170" t="s">
        <v>4683</v>
      </c>
      <c r="B947" s="170" t="s">
        <v>4684</v>
      </c>
      <c r="C947" s="178" t="s">
        <v>10</v>
      </c>
      <c r="D947" s="170" t="s">
        <v>11</v>
      </c>
      <c r="E947" s="170" t="s">
        <v>12</v>
      </c>
      <c r="H947" s="207" t="s">
        <v>4685</v>
      </c>
      <c r="I947" s="182" t="s">
        <v>10</v>
      </c>
      <c r="J947" s="182" t="s">
        <v>4685</v>
      </c>
      <c r="K947" s="182" t="s">
        <v>4686</v>
      </c>
      <c r="L947" s="182" t="s">
        <v>19</v>
      </c>
      <c r="M947"/>
      <c r="R947"/>
      <c r="T947"/>
    </row>
    <row r="948" spans="1:20">
      <c r="A948" s="170" t="s">
        <v>4687</v>
      </c>
      <c r="B948" s="170" t="s">
        <v>4688</v>
      </c>
      <c r="C948" s="178" t="s">
        <v>10</v>
      </c>
      <c r="D948" s="170" t="s">
        <v>11</v>
      </c>
      <c r="E948" s="170" t="s">
        <v>12</v>
      </c>
      <c r="H948" s="207" t="s">
        <v>4689</v>
      </c>
      <c r="I948" s="182" t="s">
        <v>10</v>
      </c>
      <c r="J948" s="182" t="s">
        <v>4689</v>
      </c>
      <c r="K948" s="182" t="s">
        <v>4690</v>
      </c>
      <c r="L948" s="182" t="s">
        <v>53</v>
      </c>
      <c r="M948"/>
      <c r="R948"/>
      <c r="T948"/>
    </row>
    <row r="949" spans="1:13">
      <c r="A949" s="170" t="s">
        <v>4691</v>
      </c>
      <c r="B949" s="170" t="s">
        <v>4692</v>
      </c>
      <c r="C949" s="225" t="s">
        <v>4693</v>
      </c>
      <c r="D949" s="170" t="s">
        <v>11</v>
      </c>
      <c r="E949" s="170" t="s">
        <v>12</v>
      </c>
      <c r="H949" s="207" t="s">
        <v>4694</v>
      </c>
      <c r="I949" s="182" t="s">
        <v>4695</v>
      </c>
      <c r="J949" s="182" t="s">
        <v>4696</v>
      </c>
      <c r="K949" s="182" t="s">
        <v>4697</v>
      </c>
      <c r="L949" s="182" t="s">
        <v>15</v>
      </c>
      <c r="M949" s="289" t="s">
        <v>4692</v>
      </c>
    </row>
    <row r="950" spans="1:20">
      <c r="A950" s="170" t="s">
        <v>4698</v>
      </c>
      <c r="B950" s="170" t="s">
        <v>4699</v>
      </c>
      <c r="C950" s="170"/>
      <c r="D950" s="170" t="s">
        <v>11</v>
      </c>
      <c r="E950" s="170" t="s">
        <v>12</v>
      </c>
      <c r="H950" s="207">
        <v>505752</v>
      </c>
      <c r="I950" s="182" t="s">
        <v>4700</v>
      </c>
      <c r="J950" s="182" t="s">
        <v>4701</v>
      </c>
      <c r="K950" s="182" t="s">
        <v>4702</v>
      </c>
      <c r="L950" s="182" t="s">
        <v>15</v>
      </c>
      <c r="M950"/>
      <c r="R950"/>
      <c r="T950"/>
    </row>
    <row r="951" spans="1:20">
      <c r="A951" s="170" t="s">
        <v>4703</v>
      </c>
      <c r="B951" s="170" t="s">
        <v>4704</v>
      </c>
      <c r="C951" s="170"/>
      <c r="D951" s="170" t="s">
        <v>11</v>
      </c>
      <c r="E951" s="170" t="s">
        <v>12</v>
      </c>
      <c r="H951" s="207" t="s">
        <v>4705</v>
      </c>
      <c r="I951" s="182" t="s">
        <v>10</v>
      </c>
      <c r="J951" s="182" t="s">
        <v>4705</v>
      </c>
      <c r="K951" s="182" t="s">
        <v>4706</v>
      </c>
      <c r="L951" s="182" t="s">
        <v>19</v>
      </c>
      <c r="M951"/>
      <c r="R951"/>
      <c r="T951"/>
    </row>
    <row r="952" spans="1:13">
      <c r="A952" s="170" t="s">
        <v>4707</v>
      </c>
      <c r="B952" s="170" t="s">
        <v>4708</v>
      </c>
      <c r="C952" s="192" t="s">
        <v>4709</v>
      </c>
      <c r="D952" s="170" t="s">
        <v>11</v>
      </c>
      <c r="E952" s="170" t="s">
        <v>12</v>
      </c>
      <c r="H952" s="207">
        <v>499584</v>
      </c>
      <c r="I952" s="182" t="s">
        <v>4710</v>
      </c>
      <c r="J952" s="182" t="s">
        <v>4711</v>
      </c>
      <c r="K952" s="182" t="s">
        <v>4712</v>
      </c>
      <c r="L952" s="182" t="s">
        <v>15</v>
      </c>
      <c r="M952" s="289" t="s">
        <v>4708</v>
      </c>
    </row>
    <row r="953" spans="1:20">
      <c r="A953" s="170" t="s">
        <v>4713</v>
      </c>
      <c r="B953" s="170" t="s">
        <v>4714</v>
      </c>
      <c r="C953" s="170"/>
      <c r="D953" s="170" t="s">
        <v>11</v>
      </c>
      <c r="E953" s="170" t="s">
        <v>12</v>
      </c>
      <c r="H953" s="207">
        <v>493502</v>
      </c>
      <c r="I953" s="182" t="s">
        <v>4715</v>
      </c>
      <c r="J953" s="182" t="s">
        <v>4716</v>
      </c>
      <c r="K953" s="182" t="s">
        <v>4717</v>
      </c>
      <c r="L953" s="182" t="s">
        <v>15</v>
      </c>
      <c r="M953"/>
      <c r="R953"/>
      <c r="T953"/>
    </row>
    <row r="954" spans="1:20">
      <c r="A954" s="170" t="s">
        <v>4718</v>
      </c>
      <c r="B954" s="170" t="s">
        <v>4719</v>
      </c>
      <c r="C954" s="170"/>
      <c r="D954" s="170" t="s">
        <v>11</v>
      </c>
      <c r="E954" s="170" t="s">
        <v>12</v>
      </c>
      <c r="H954" s="207" t="s">
        <v>4720</v>
      </c>
      <c r="I954" s="182" t="s">
        <v>10</v>
      </c>
      <c r="J954" s="182" t="s">
        <v>4720</v>
      </c>
      <c r="K954" s="182" t="s">
        <v>4721</v>
      </c>
      <c r="L954" s="182" t="s">
        <v>19</v>
      </c>
      <c r="M954"/>
      <c r="R954"/>
      <c r="T954"/>
    </row>
    <row r="955" spans="1:13">
      <c r="A955" s="170" t="s">
        <v>4722</v>
      </c>
      <c r="B955" s="170" t="s">
        <v>4723</v>
      </c>
      <c r="C955" s="192" t="s">
        <v>4724</v>
      </c>
      <c r="D955" s="170" t="s">
        <v>11</v>
      </c>
      <c r="E955" s="170" t="s">
        <v>12</v>
      </c>
      <c r="H955" s="207">
        <v>513639</v>
      </c>
      <c r="I955" s="182" t="s">
        <v>4725</v>
      </c>
      <c r="J955" s="182" t="s">
        <v>4726</v>
      </c>
      <c r="K955" s="182" t="s">
        <v>4727</v>
      </c>
      <c r="L955" s="182" t="s">
        <v>15</v>
      </c>
      <c r="M955" s="289" t="s">
        <v>4723</v>
      </c>
    </row>
    <row r="956" spans="1:20">
      <c r="A956" s="170" t="s">
        <v>4728</v>
      </c>
      <c r="B956" s="170" t="s">
        <v>4729</v>
      </c>
      <c r="C956" s="170"/>
      <c r="D956" s="170" t="s">
        <v>11</v>
      </c>
      <c r="E956" s="170" t="s">
        <v>12</v>
      </c>
      <c r="H956" s="207">
        <v>812007</v>
      </c>
      <c r="I956" s="182" t="s">
        <v>4730</v>
      </c>
      <c r="J956" s="182" t="s">
        <v>4731</v>
      </c>
      <c r="K956" s="182" t="s">
        <v>4732</v>
      </c>
      <c r="L956" s="182" t="s">
        <v>15</v>
      </c>
      <c r="M956"/>
      <c r="R956"/>
      <c r="T956"/>
    </row>
    <row r="957" spans="1:20">
      <c r="A957" s="170" t="s">
        <v>4733</v>
      </c>
      <c r="B957" s="170" t="s">
        <v>4734</v>
      </c>
      <c r="C957" s="170"/>
      <c r="D957" s="170" t="s">
        <v>11</v>
      </c>
      <c r="E957" s="170" t="s">
        <v>12</v>
      </c>
      <c r="H957" s="207">
        <v>469156</v>
      </c>
      <c r="I957" s="182" t="s">
        <v>4735</v>
      </c>
      <c r="J957" s="182" t="s">
        <v>4736</v>
      </c>
      <c r="K957" s="182"/>
      <c r="L957" s="182" t="s">
        <v>15</v>
      </c>
      <c r="M957"/>
      <c r="R957"/>
      <c r="T957"/>
    </row>
    <row r="958" spans="1:13">
      <c r="A958" s="170" t="s">
        <v>4737</v>
      </c>
      <c r="B958" s="170" t="s">
        <v>4738</v>
      </c>
      <c r="C958" s="192" t="s">
        <v>4739</v>
      </c>
      <c r="D958" s="170" t="s">
        <v>11</v>
      </c>
      <c r="E958" s="170" t="s">
        <v>12</v>
      </c>
      <c r="H958" s="207">
        <v>465359</v>
      </c>
      <c r="I958" s="182" t="s">
        <v>4740</v>
      </c>
      <c r="J958" s="182" t="s">
        <v>4741</v>
      </c>
      <c r="K958" s="182" t="s">
        <v>4742</v>
      </c>
      <c r="L958" s="182" t="s">
        <v>15</v>
      </c>
      <c r="M958" s="289" t="s">
        <v>4738</v>
      </c>
    </row>
    <row r="959" spans="1:20">
      <c r="A959" s="170" t="s">
        <v>4743</v>
      </c>
      <c r="B959" s="170" t="s">
        <v>4744</v>
      </c>
      <c r="C959" s="170"/>
      <c r="D959" s="170" t="s">
        <v>11</v>
      </c>
      <c r="E959" s="170" t="s">
        <v>12</v>
      </c>
      <c r="H959" s="207">
        <v>500972</v>
      </c>
      <c r="I959" s="182" t="s">
        <v>4745</v>
      </c>
      <c r="J959" s="182" t="s">
        <v>4746</v>
      </c>
      <c r="K959" s="182" t="s">
        <v>4747</v>
      </c>
      <c r="L959" s="182" t="s">
        <v>15</v>
      </c>
      <c r="M959"/>
      <c r="R959"/>
      <c r="T959"/>
    </row>
    <row r="960" spans="1:20">
      <c r="A960" s="170" t="s">
        <v>4748</v>
      </c>
      <c r="B960" s="170" t="s">
        <v>4749</v>
      </c>
      <c r="C960" s="170"/>
      <c r="D960" s="170" t="s">
        <v>11</v>
      </c>
      <c r="E960" s="170" t="s">
        <v>12</v>
      </c>
      <c r="H960" s="207">
        <v>508030</v>
      </c>
      <c r="I960" s="182" t="s">
        <v>4750</v>
      </c>
      <c r="J960" s="182" t="s">
        <v>4751</v>
      </c>
      <c r="K960" s="182" t="s">
        <v>4752</v>
      </c>
      <c r="L960" s="182" t="s">
        <v>15</v>
      </c>
      <c r="M960"/>
      <c r="R960"/>
      <c r="T960"/>
    </row>
    <row r="961" spans="1:13">
      <c r="A961" s="170" t="s">
        <v>4753</v>
      </c>
      <c r="B961" s="170" t="s">
        <v>4754</v>
      </c>
      <c r="C961" s="192" t="s">
        <v>4755</v>
      </c>
      <c r="D961" s="170" t="s">
        <v>11</v>
      </c>
      <c r="E961" s="170" t="s">
        <v>12</v>
      </c>
      <c r="H961" s="207">
        <v>504292</v>
      </c>
      <c r="I961" s="182" t="s">
        <v>4756</v>
      </c>
      <c r="J961" s="182" t="s">
        <v>4757</v>
      </c>
      <c r="K961" s="182" t="s">
        <v>4758</v>
      </c>
      <c r="L961" s="182" t="s">
        <v>15</v>
      </c>
      <c r="M961" s="289" t="s">
        <v>4754</v>
      </c>
    </row>
    <row r="962" spans="1:13">
      <c r="A962" s="170" t="s">
        <v>4759</v>
      </c>
      <c r="B962" s="170" t="s">
        <v>4760</v>
      </c>
      <c r="C962" s="232" t="s">
        <v>4761</v>
      </c>
      <c r="D962" s="170" t="s">
        <v>11</v>
      </c>
      <c r="E962" s="170" t="s">
        <v>12</v>
      </c>
      <c r="H962" s="207">
        <v>497634</v>
      </c>
      <c r="I962" s="182" t="s">
        <v>4762</v>
      </c>
      <c r="J962" s="182" t="s">
        <v>4763</v>
      </c>
      <c r="K962" s="182" t="s">
        <v>4764</v>
      </c>
      <c r="L962" s="182" t="s">
        <v>415</v>
      </c>
      <c r="M962" s="289" t="s">
        <v>4760</v>
      </c>
    </row>
    <row r="963" spans="1:20">
      <c r="A963" s="170" t="s">
        <v>4765</v>
      </c>
      <c r="B963" s="170" t="s">
        <v>4766</v>
      </c>
      <c r="C963" s="170"/>
      <c r="D963" s="170" t="s">
        <v>11</v>
      </c>
      <c r="E963" s="170" t="s">
        <v>12</v>
      </c>
      <c r="H963" s="207">
        <v>410162</v>
      </c>
      <c r="I963" s="182" t="s">
        <v>4767</v>
      </c>
      <c r="J963" s="182" t="s">
        <v>4768</v>
      </c>
      <c r="K963" s="182" t="s">
        <v>4769</v>
      </c>
      <c r="L963" s="182" t="s">
        <v>15</v>
      </c>
      <c r="M963"/>
      <c r="R963"/>
      <c r="T963"/>
    </row>
    <row r="964" spans="1:13">
      <c r="A964" s="170" t="s">
        <v>4770</v>
      </c>
      <c r="B964" s="299" t="s">
        <v>4771</v>
      </c>
      <c r="C964" s="230" t="s">
        <v>4772</v>
      </c>
      <c r="D964" s="170" t="s">
        <v>11</v>
      </c>
      <c r="E964" s="170" t="s">
        <v>12</v>
      </c>
      <c r="H964" s="207">
        <v>507542</v>
      </c>
      <c r="I964" s="182" t="s">
        <v>4773</v>
      </c>
      <c r="J964" s="182" t="s">
        <v>4774</v>
      </c>
      <c r="K964" s="182" t="s">
        <v>4775</v>
      </c>
      <c r="L964" s="182" t="s">
        <v>15</v>
      </c>
      <c r="M964" s="303" t="s">
        <v>4776</v>
      </c>
    </row>
    <row r="965" spans="1:13">
      <c r="A965" s="170" t="s">
        <v>4777</v>
      </c>
      <c r="B965" s="170" t="s">
        <v>4778</v>
      </c>
      <c r="C965" s="230" t="s">
        <v>4779</v>
      </c>
      <c r="D965" s="170" t="s">
        <v>11</v>
      </c>
      <c r="E965" s="170" t="s">
        <v>12</v>
      </c>
      <c r="H965" s="207" t="s">
        <v>4780</v>
      </c>
      <c r="I965" s="182" t="s">
        <v>10</v>
      </c>
      <c r="J965" s="182" t="s">
        <v>4780</v>
      </c>
      <c r="K965" s="182" t="s">
        <v>4781</v>
      </c>
      <c r="L965" s="182" t="s">
        <v>15</v>
      </c>
      <c r="M965" s="289" t="s">
        <v>4778</v>
      </c>
    </row>
    <row r="966" spans="1:20">
      <c r="A966" s="170" t="s">
        <v>4782</v>
      </c>
      <c r="B966" s="170" t="s">
        <v>4776</v>
      </c>
      <c r="C966" s="170"/>
      <c r="D966" s="170" t="s">
        <v>11</v>
      </c>
      <c r="E966" s="170" t="s">
        <v>12</v>
      </c>
      <c r="H966" s="207">
        <v>465234</v>
      </c>
      <c r="I966" s="182" t="s">
        <v>4783</v>
      </c>
      <c r="J966" s="182" t="s">
        <v>4784</v>
      </c>
      <c r="K966" s="182"/>
      <c r="L966" s="182" t="s">
        <v>15</v>
      </c>
      <c r="M966"/>
      <c r="R966"/>
      <c r="T966"/>
    </row>
    <row r="967" spans="1:13">
      <c r="A967" s="306" t="s">
        <v>4785</v>
      </c>
      <c r="B967" s="299" t="s">
        <v>4786</v>
      </c>
      <c r="C967" s="230" t="s">
        <v>4787</v>
      </c>
      <c r="D967" s="170" t="s">
        <v>11</v>
      </c>
      <c r="E967" s="170" t="s">
        <v>12</v>
      </c>
      <c r="H967" s="207">
        <v>514113</v>
      </c>
      <c r="I967" s="182" t="s">
        <v>104</v>
      </c>
      <c r="J967" s="182" t="s">
        <v>4788</v>
      </c>
      <c r="K967" s="182" t="s">
        <v>4789</v>
      </c>
      <c r="L967" s="182" t="s">
        <v>15</v>
      </c>
      <c r="M967" s="300" t="s">
        <v>4790</v>
      </c>
    </row>
    <row r="968" spans="1:13">
      <c r="A968" s="170" t="s">
        <v>4791</v>
      </c>
      <c r="B968" s="170" t="s">
        <v>4792</v>
      </c>
      <c r="C968" s="230" t="s">
        <v>4793</v>
      </c>
      <c r="D968" s="170" t="s">
        <v>11</v>
      </c>
      <c r="E968" s="170" t="s">
        <v>12</v>
      </c>
      <c r="H968" s="207" t="s">
        <v>4794</v>
      </c>
      <c r="I968" s="182" t="s">
        <v>10</v>
      </c>
      <c r="J968" s="182" t="s">
        <v>4794</v>
      </c>
      <c r="K968" s="182" t="s">
        <v>4795</v>
      </c>
      <c r="L968" s="182" t="s">
        <v>19</v>
      </c>
      <c r="M968" s="307" t="s">
        <v>4792</v>
      </c>
    </row>
    <row r="969" spans="1:20">
      <c r="A969" s="306" t="s">
        <v>4796</v>
      </c>
      <c r="B969" s="170" t="s">
        <v>4790</v>
      </c>
      <c r="D969" s="170" t="s">
        <v>11</v>
      </c>
      <c r="E969" s="170" t="s">
        <v>12</v>
      </c>
      <c r="H969" s="207">
        <v>501462</v>
      </c>
      <c r="I969" s="182" t="s">
        <v>4797</v>
      </c>
      <c r="J969" s="182" t="s">
        <v>4798</v>
      </c>
      <c r="K969" s="182" t="s">
        <v>4799</v>
      </c>
      <c r="L969" s="182" t="s">
        <v>15</v>
      </c>
      <c r="R969"/>
      <c r="T969"/>
    </row>
    <row r="970" spans="1:13">
      <c r="A970" s="170" t="s">
        <v>4800</v>
      </c>
      <c r="B970" s="299" t="s">
        <v>4801</v>
      </c>
      <c r="C970" s="230" t="s">
        <v>4802</v>
      </c>
      <c r="D970" s="170" t="s">
        <v>11</v>
      </c>
      <c r="E970" s="170" t="s">
        <v>12</v>
      </c>
      <c r="H970" s="207" t="s">
        <v>4803</v>
      </c>
      <c r="I970" s="182" t="s">
        <v>10</v>
      </c>
      <c r="J970" s="182" t="s">
        <v>4803</v>
      </c>
      <c r="K970" s="182" t="s">
        <v>4804</v>
      </c>
      <c r="L970" s="182" t="s">
        <v>53</v>
      </c>
      <c r="M970" s="303" t="s">
        <v>4805</v>
      </c>
    </row>
    <row r="971" spans="1:13">
      <c r="A971" s="170" t="s">
        <v>4806</v>
      </c>
      <c r="B971" s="170" t="s">
        <v>4807</v>
      </c>
      <c r="C971" s="230" t="s">
        <v>4808</v>
      </c>
      <c r="D971" s="170" t="s">
        <v>11</v>
      </c>
      <c r="E971" s="170" t="s">
        <v>12</v>
      </c>
      <c r="H971" s="207">
        <v>473912</v>
      </c>
      <c r="I971" s="182" t="s">
        <v>4809</v>
      </c>
      <c r="J971" s="182" t="s">
        <v>4810</v>
      </c>
      <c r="K971" s="182" t="s">
        <v>4811</v>
      </c>
      <c r="L971" s="182" t="s">
        <v>15</v>
      </c>
      <c r="M971" s="289" t="s">
        <v>4807</v>
      </c>
    </row>
    <row r="972" spans="1:20">
      <c r="A972" s="170" t="s">
        <v>4812</v>
      </c>
      <c r="B972" s="170" t="s">
        <v>4805</v>
      </c>
      <c r="C972" s="170"/>
      <c r="D972" s="170" t="s">
        <v>11</v>
      </c>
      <c r="E972" s="170" t="s">
        <v>12</v>
      </c>
      <c r="H972" s="207">
        <v>900006</v>
      </c>
      <c r="I972" s="182" t="s">
        <v>4813</v>
      </c>
      <c r="J972" s="182" t="s">
        <v>4814</v>
      </c>
      <c r="K972" s="182" t="s">
        <v>4815</v>
      </c>
      <c r="L972" s="182" t="s">
        <v>15</v>
      </c>
      <c r="M972"/>
      <c r="R972"/>
      <c r="T972"/>
    </row>
    <row r="973" spans="1:13">
      <c r="A973" s="170" t="s">
        <v>4816</v>
      </c>
      <c r="B973" s="299" t="s">
        <v>4817</v>
      </c>
      <c r="C973" s="230" t="s">
        <v>4818</v>
      </c>
      <c r="D973" s="170" t="s">
        <v>11</v>
      </c>
      <c r="E973" s="170" t="s">
        <v>12</v>
      </c>
      <c r="H973" s="207">
        <v>493095</v>
      </c>
      <c r="I973" s="182" t="s">
        <v>4819</v>
      </c>
      <c r="J973" s="182" t="s">
        <v>4820</v>
      </c>
      <c r="K973" s="182" t="s">
        <v>4821</v>
      </c>
      <c r="L973" s="182" t="s">
        <v>15</v>
      </c>
      <c r="M973" s="303" t="s">
        <v>4822</v>
      </c>
    </row>
    <row r="974" spans="1:20">
      <c r="A974" s="170" t="s">
        <v>4823</v>
      </c>
      <c r="B974" s="170" t="s">
        <v>4824</v>
      </c>
      <c r="C974" s="170"/>
      <c r="D974" s="170" t="s">
        <v>11</v>
      </c>
      <c r="E974" s="170" t="s">
        <v>12</v>
      </c>
      <c r="H974" s="207">
        <v>443274</v>
      </c>
      <c r="I974" s="182" t="s">
        <v>4825</v>
      </c>
      <c r="J974" s="182" t="s">
        <v>4826</v>
      </c>
      <c r="K974" s="182" t="s">
        <v>4827</v>
      </c>
      <c r="L974" s="182" t="s">
        <v>15</v>
      </c>
      <c r="M974"/>
      <c r="R974"/>
      <c r="T974"/>
    </row>
    <row r="975" spans="1:20">
      <c r="A975" s="170" t="s">
        <v>4828</v>
      </c>
      <c r="B975" s="170" t="s">
        <v>4822</v>
      </c>
      <c r="C975" s="170"/>
      <c r="D975" s="170" t="s">
        <v>11</v>
      </c>
      <c r="E975" s="170" t="s">
        <v>12</v>
      </c>
      <c r="H975" s="207">
        <v>732211</v>
      </c>
      <c r="I975" s="182" t="s">
        <v>4829</v>
      </c>
      <c r="J975" s="182" t="s">
        <v>4830</v>
      </c>
      <c r="K975" s="182" t="s">
        <v>4831</v>
      </c>
      <c r="L975" s="182" t="s">
        <v>15</v>
      </c>
      <c r="M975"/>
      <c r="R975"/>
      <c r="T975"/>
    </row>
    <row r="976" spans="1:13">
      <c r="A976" s="170" t="s">
        <v>4832</v>
      </c>
      <c r="B976" s="299" t="s">
        <v>4833</v>
      </c>
      <c r="C976" s="230" t="s">
        <v>4834</v>
      </c>
      <c r="D976" s="170" t="s">
        <v>11</v>
      </c>
      <c r="E976" s="170" t="s">
        <v>12</v>
      </c>
      <c r="H976" s="207">
        <v>493204</v>
      </c>
      <c r="I976" s="182" t="s">
        <v>4835</v>
      </c>
      <c r="J976" s="182" t="s">
        <v>4836</v>
      </c>
      <c r="K976" s="182" t="s">
        <v>4837</v>
      </c>
      <c r="L976" s="182" t="s">
        <v>15</v>
      </c>
      <c r="M976" s="303" t="s">
        <v>4838</v>
      </c>
    </row>
    <row r="977" spans="1:20">
      <c r="A977" s="170" t="s">
        <v>4839</v>
      </c>
      <c r="B977" s="170" t="s">
        <v>4840</v>
      </c>
      <c r="C977" s="170"/>
      <c r="D977" s="170" t="s">
        <v>11</v>
      </c>
      <c r="E977" s="170" t="s">
        <v>12</v>
      </c>
      <c r="H977" s="207">
        <v>825108</v>
      </c>
      <c r="I977" s="182" t="s">
        <v>4841</v>
      </c>
      <c r="J977" s="182" t="s">
        <v>4842</v>
      </c>
      <c r="K977" s="182" t="s">
        <v>4843</v>
      </c>
      <c r="L977" s="182" t="s">
        <v>15</v>
      </c>
      <c r="M977"/>
      <c r="R977"/>
      <c r="T977"/>
    </row>
    <row r="978" spans="1:20">
      <c r="A978" s="170" t="s">
        <v>4844</v>
      </c>
      <c r="B978" s="170" t="s">
        <v>4838</v>
      </c>
      <c r="C978" s="170"/>
      <c r="D978" s="170" t="s">
        <v>11</v>
      </c>
      <c r="E978" s="170" t="s">
        <v>12</v>
      </c>
      <c r="H978" s="207" t="s">
        <v>4845</v>
      </c>
      <c r="I978" s="182" t="s">
        <v>10</v>
      </c>
      <c r="J978" s="182" t="s">
        <v>4845</v>
      </c>
      <c r="K978" s="182" t="s">
        <v>4846</v>
      </c>
      <c r="L978" s="182" t="s">
        <v>19</v>
      </c>
      <c r="M978"/>
      <c r="R978"/>
      <c r="T978"/>
    </row>
    <row r="979" spans="1:13">
      <c r="A979" s="170" t="s">
        <v>4847</v>
      </c>
      <c r="B979" s="299" t="s">
        <v>4848</v>
      </c>
      <c r="C979" s="230" t="s">
        <v>4849</v>
      </c>
      <c r="D979" s="170" t="s">
        <v>11</v>
      </c>
      <c r="E979" s="170" t="s">
        <v>12</v>
      </c>
      <c r="H979" s="207" t="s">
        <v>4850</v>
      </c>
      <c r="I979" s="182" t="s">
        <v>10</v>
      </c>
      <c r="J979" s="182" t="s">
        <v>4850</v>
      </c>
      <c r="K979" s="182" t="s">
        <v>4851</v>
      </c>
      <c r="L979" s="182" t="s">
        <v>19</v>
      </c>
      <c r="M979" s="300" t="s">
        <v>4852</v>
      </c>
    </row>
    <row r="980" spans="1:20">
      <c r="A980" s="170" t="s">
        <v>4853</v>
      </c>
      <c r="B980" s="170" t="s">
        <v>4854</v>
      </c>
      <c r="C980" s="170"/>
      <c r="D980" s="170" t="s">
        <v>11</v>
      </c>
      <c r="E980" s="170" t="s">
        <v>12</v>
      </c>
      <c r="H980" s="207">
        <v>492054</v>
      </c>
      <c r="I980" s="182" t="s">
        <v>4855</v>
      </c>
      <c r="J980" s="182" t="s">
        <v>4856</v>
      </c>
      <c r="K980" s="182" t="s">
        <v>4857</v>
      </c>
      <c r="L980" s="182" t="s">
        <v>15</v>
      </c>
      <c r="M980"/>
      <c r="R980"/>
      <c r="T980"/>
    </row>
    <row r="981" spans="1:20">
      <c r="A981" s="170" t="s">
        <v>4858</v>
      </c>
      <c r="B981" s="170" t="s">
        <v>4852</v>
      </c>
      <c r="C981" s="170"/>
      <c r="D981" s="170" t="s">
        <v>11</v>
      </c>
      <c r="E981" s="170" t="s">
        <v>12</v>
      </c>
      <c r="H981" s="207">
        <v>606958</v>
      </c>
      <c r="I981" s="182" t="s">
        <v>4859</v>
      </c>
      <c r="J981" s="182" t="s">
        <v>4860</v>
      </c>
      <c r="K981" s="182" t="s">
        <v>4861</v>
      </c>
      <c r="L981" s="182" t="s">
        <v>15</v>
      </c>
      <c r="M981"/>
      <c r="R981"/>
      <c r="T981"/>
    </row>
    <row r="982" spans="1:13">
      <c r="A982" s="170" t="s">
        <v>4862</v>
      </c>
      <c r="B982" s="299" t="s">
        <v>4863</v>
      </c>
      <c r="C982" s="230" t="s">
        <v>4864</v>
      </c>
      <c r="D982" s="170" t="s">
        <v>11</v>
      </c>
      <c r="E982" s="170" t="s">
        <v>12</v>
      </c>
      <c r="H982" s="207">
        <v>512927</v>
      </c>
      <c r="I982" s="182" t="s">
        <v>4865</v>
      </c>
      <c r="J982" s="182" t="s">
        <v>4866</v>
      </c>
      <c r="K982" s="182"/>
      <c r="L982" s="182" t="s">
        <v>15</v>
      </c>
      <c r="M982" s="300" t="s">
        <v>4863</v>
      </c>
    </row>
    <row r="983" spans="1:20">
      <c r="A983" s="170" t="s">
        <v>4867</v>
      </c>
      <c r="B983" s="170" t="s">
        <v>4868</v>
      </c>
      <c r="C983" s="170"/>
      <c r="D983" s="170" t="s">
        <v>11</v>
      </c>
      <c r="E983" s="170" t="s">
        <v>12</v>
      </c>
      <c r="H983" s="207">
        <v>514271</v>
      </c>
      <c r="I983" s="182" t="s">
        <v>4869</v>
      </c>
      <c r="J983" s="182" t="s">
        <v>4870</v>
      </c>
      <c r="K983" s="182"/>
      <c r="L983" s="182" t="s">
        <v>15</v>
      </c>
      <c r="M983"/>
      <c r="R983"/>
      <c r="T983"/>
    </row>
    <row r="984" spans="1:20">
      <c r="A984" s="170" t="s">
        <v>4871</v>
      </c>
      <c r="B984" s="170" t="s">
        <v>4872</v>
      </c>
      <c r="C984" s="170"/>
      <c r="D984" s="170" t="s">
        <v>11</v>
      </c>
      <c r="E984" s="170" t="s">
        <v>12</v>
      </c>
      <c r="H984" s="207">
        <v>846612</v>
      </c>
      <c r="I984" s="182" t="s">
        <v>4873</v>
      </c>
      <c r="J984" s="182" t="s">
        <v>4874</v>
      </c>
      <c r="K984" s="182" t="s">
        <v>4875</v>
      </c>
      <c r="L984" s="182" t="s">
        <v>15</v>
      </c>
      <c r="M984"/>
      <c r="R984"/>
      <c r="T984"/>
    </row>
    <row r="985" spans="1:13">
      <c r="A985" s="170" t="s">
        <v>4876</v>
      </c>
      <c r="B985" s="299" t="s">
        <v>4877</v>
      </c>
      <c r="C985" s="192" t="s">
        <v>4878</v>
      </c>
      <c r="D985" s="170" t="s">
        <v>11</v>
      </c>
      <c r="E985" s="170" t="s">
        <v>12</v>
      </c>
      <c r="H985" s="207">
        <v>494363</v>
      </c>
      <c r="I985" s="182" t="s">
        <v>4879</v>
      </c>
      <c r="J985" s="182" t="s">
        <v>4880</v>
      </c>
      <c r="K985" s="182" t="s">
        <v>4881</v>
      </c>
      <c r="L985" s="182" t="s">
        <v>15</v>
      </c>
      <c r="M985" s="300" t="s">
        <v>4882</v>
      </c>
    </row>
    <row r="986" spans="1:20">
      <c r="A986" s="170" t="s">
        <v>4883</v>
      </c>
      <c r="B986" s="170" t="s">
        <v>4884</v>
      </c>
      <c r="C986" s="170"/>
      <c r="D986" s="170" t="s">
        <v>11</v>
      </c>
      <c r="E986" s="170" t="s">
        <v>12</v>
      </c>
      <c r="H986" s="207" t="s">
        <v>4885</v>
      </c>
      <c r="I986" s="182" t="s">
        <v>10</v>
      </c>
      <c r="J986" s="182" t="s">
        <v>4885</v>
      </c>
      <c r="K986" s="182" t="s">
        <v>4886</v>
      </c>
      <c r="L986" s="182" t="s">
        <v>19</v>
      </c>
      <c r="M986"/>
      <c r="R986"/>
      <c r="T986"/>
    </row>
    <row r="987" spans="1:20">
      <c r="A987" s="170" t="s">
        <v>4887</v>
      </c>
      <c r="B987" s="170" t="s">
        <v>4882</v>
      </c>
      <c r="C987" s="170"/>
      <c r="D987" s="170" t="s">
        <v>11</v>
      </c>
      <c r="E987" s="170" t="s">
        <v>12</v>
      </c>
      <c r="H987" s="207">
        <v>497481</v>
      </c>
      <c r="I987" s="182" t="s">
        <v>4888</v>
      </c>
      <c r="J987" s="182" t="s">
        <v>4889</v>
      </c>
      <c r="K987" s="182"/>
      <c r="L987" s="182" t="s">
        <v>15</v>
      </c>
      <c r="M987"/>
      <c r="R987"/>
      <c r="T987"/>
    </row>
    <row r="988" spans="1:13">
      <c r="A988" s="178" t="s">
        <v>4890</v>
      </c>
      <c r="B988" s="299" t="s">
        <v>4891</v>
      </c>
      <c r="C988" s="230" t="s">
        <v>4892</v>
      </c>
      <c r="D988" s="170" t="s">
        <v>11</v>
      </c>
      <c r="E988" s="170" t="s">
        <v>12</v>
      </c>
      <c r="H988" s="207">
        <v>485600</v>
      </c>
      <c r="I988" s="182" t="s">
        <v>4893</v>
      </c>
      <c r="J988" s="182" t="s">
        <v>4894</v>
      </c>
      <c r="K988" s="182" t="s">
        <v>4895</v>
      </c>
      <c r="L988" s="182" t="s">
        <v>15</v>
      </c>
      <c r="M988" s="300" t="s">
        <v>4896</v>
      </c>
    </row>
    <row r="989" spans="1:20">
      <c r="A989" s="170" t="s">
        <v>4897</v>
      </c>
      <c r="B989" s="170" t="s">
        <v>4898</v>
      </c>
      <c r="C989" s="170"/>
      <c r="D989" s="170" t="s">
        <v>11</v>
      </c>
      <c r="E989" s="170" t="s">
        <v>12</v>
      </c>
      <c r="H989" s="207">
        <v>493412</v>
      </c>
      <c r="I989" s="182" t="s">
        <v>4899</v>
      </c>
      <c r="J989" s="182" t="s">
        <v>4900</v>
      </c>
      <c r="K989" s="182"/>
      <c r="L989" s="182" t="s">
        <v>15</v>
      </c>
      <c r="M989"/>
      <c r="R989"/>
      <c r="T989"/>
    </row>
    <row r="990" spans="1:20">
      <c r="A990" s="170" t="s">
        <v>4901</v>
      </c>
      <c r="B990" s="170" t="s">
        <v>4896</v>
      </c>
      <c r="C990" s="170"/>
      <c r="D990" s="170" t="s">
        <v>11</v>
      </c>
      <c r="E990" s="170" t="s">
        <v>12</v>
      </c>
      <c r="H990" s="207">
        <v>355782</v>
      </c>
      <c r="I990" s="182" t="s">
        <v>4902</v>
      </c>
      <c r="J990" s="182" t="s">
        <v>4903</v>
      </c>
      <c r="K990" s="182" t="s">
        <v>4904</v>
      </c>
      <c r="L990" s="182" t="s">
        <v>15</v>
      </c>
      <c r="M990"/>
      <c r="R990"/>
      <c r="T990"/>
    </row>
    <row r="991" spans="1:13">
      <c r="A991" s="178" t="s">
        <v>4905</v>
      </c>
      <c r="B991" s="299" t="s">
        <v>4906</v>
      </c>
      <c r="C991" s="230" t="s">
        <v>4907</v>
      </c>
      <c r="D991" s="170" t="s">
        <v>11</v>
      </c>
      <c r="E991" s="170" t="s">
        <v>12</v>
      </c>
      <c r="H991" s="207">
        <v>476162</v>
      </c>
      <c r="I991" s="182" t="s">
        <v>4908</v>
      </c>
      <c r="J991" s="182" t="s">
        <v>4909</v>
      </c>
      <c r="K991" s="182" t="s">
        <v>4910</v>
      </c>
      <c r="L991" s="182" t="s">
        <v>15</v>
      </c>
      <c r="M991" s="303" t="s">
        <v>4911</v>
      </c>
    </row>
    <row r="992" spans="1:13">
      <c r="A992" s="170" t="s">
        <v>4912</v>
      </c>
      <c r="B992" s="170" t="s">
        <v>4913</v>
      </c>
      <c r="C992" s="230" t="s">
        <v>4914</v>
      </c>
      <c r="D992" s="170" t="s">
        <v>11</v>
      </c>
      <c r="E992" s="170" t="s">
        <v>12</v>
      </c>
      <c r="H992" s="207">
        <v>436447</v>
      </c>
      <c r="I992" s="182" t="s">
        <v>4915</v>
      </c>
      <c r="J992" s="182" t="s">
        <v>4916</v>
      </c>
      <c r="K992" s="182" t="s">
        <v>4917</v>
      </c>
      <c r="L992" s="182" t="s">
        <v>15</v>
      </c>
      <c r="M992" s="289" t="s">
        <v>4913</v>
      </c>
    </row>
    <row r="993" spans="1:20">
      <c r="A993" s="170" t="s">
        <v>4918</v>
      </c>
      <c r="B993" s="170" t="s">
        <v>4911</v>
      </c>
      <c r="C993" s="170"/>
      <c r="D993" s="170" t="s">
        <v>11</v>
      </c>
      <c r="E993" s="170" t="s">
        <v>12</v>
      </c>
      <c r="H993" s="207">
        <v>492956</v>
      </c>
      <c r="I993" s="182" t="s">
        <v>4919</v>
      </c>
      <c r="J993" s="182" t="s">
        <v>4920</v>
      </c>
      <c r="K993" s="182" t="s">
        <v>4921</v>
      </c>
      <c r="L993" s="182" t="s">
        <v>15</v>
      </c>
      <c r="M993"/>
      <c r="R993"/>
      <c r="T993"/>
    </row>
    <row r="994" spans="1:13">
      <c r="A994" s="170" t="s">
        <v>4922</v>
      </c>
      <c r="B994" s="299" t="s">
        <v>4923</v>
      </c>
      <c r="C994" s="230" t="s">
        <v>4924</v>
      </c>
      <c r="D994" s="170" t="s">
        <v>11</v>
      </c>
      <c r="E994" s="170" t="s">
        <v>12</v>
      </c>
      <c r="H994" s="207">
        <v>514335</v>
      </c>
      <c r="I994" s="182" t="s">
        <v>4925</v>
      </c>
      <c r="J994" s="182" t="s">
        <v>4926</v>
      </c>
      <c r="K994" s="182"/>
      <c r="L994" s="182" t="s">
        <v>15</v>
      </c>
      <c r="M994" s="303" t="s">
        <v>4927</v>
      </c>
    </row>
    <row r="995" spans="1:13">
      <c r="A995" s="170" t="s">
        <v>4928</v>
      </c>
      <c r="B995" s="170" t="s">
        <v>4929</v>
      </c>
      <c r="C995" s="230" t="s">
        <v>4930</v>
      </c>
      <c r="D995" s="170" t="s">
        <v>11</v>
      </c>
      <c r="E995" s="170" t="s">
        <v>12</v>
      </c>
      <c r="H995" s="207">
        <v>211628</v>
      </c>
      <c r="I995" s="182" t="s">
        <v>4931</v>
      </c>
      <c r="J995" s="182" t="s">
        <v>4932</v>
      </c>
      <c r="K995" s="182" t="s">
        <v>4933</v>
      </c>
      <c r="L995" s="182" t="s">
        <v>15</v>
      </c>
      <c r="M995" s="289" t="s">
        <v>4929</v>
      </c>
    </row>
    <row r="996" spans="1:20">
      <c r="A996" s="170" t="s">
        <v>4934</v>
      </c>
      <c r="B996" s="170" t="s">
        <v>4935</v>
      </c>
      <c r="C996" s="170"/>
      <c r="D996" s="170" t="s">
        <v>11</v>
      </c>
      <c r="E996" s="170" t="s">
        <v>12</v>
      </c>
      <c r="H996" s="207">
        <v>392647</v>
      </c>
      <c r="I996" s="182" t="s">
        <v>4936</v>
      </c>
      <c r="J996" s="182" t="s">
        <v>4937</v>
      </c>
      <c r="K996" s="182" t="s">
        <v>4938</v>
      </c>
      <c r="L996" s="182" t="s">
        <v>15</v>
      </c>
      <c r="M996"/>
      <c r="R996"/>
      <c r="T996"/>
    </row>
    <row r="997" spans="1:13">
      <c r="A997" s="170" t="s">
        <v>4939</v>
      </c>
      <c r="B997" s="170" t="s">
        <v>4940</v>
      </c>
      <c r="C997" s="192" t="s">
        <v>4941</v>
      </c>
      <c r="D997" s="170" t="s">
        <v>11</v>
      </c>
      <c r="E997" s="170" t="s">
        <v>12</v>
      </c>
      <c r="H997" s="207">
        <v>481895</v>
      </c>
      <c r="I997" s="182" t="s">
        <v>4942</v>
      </c>
      <c r="J997" s="182" t="s">
        <v>4943</v>
      </c>
      <c r="K997" s="182" t="s">
        <v>4944</v>
      </c>
      <c r="L997" s="182" t="s">
        <v>15</v>
      </c>
      <c r="M997" s="289" t="s">
        <v>4940</v>
      </c>
    </row>
    <row r="998" spans="1:13">
      <c r="A998" s="170" t="s">
        <v>4945</v>
      </c>
      <c r="B998" s="170" t="s">
        <v>4946</v>
      </c>
      <c r="C998" s="192" t="s">
        <v>4947</v>
      </c>
      <c r="D998" s="170" t="s">
        <v>11</v>
      </c>
      <c r="E998" s="170" t="s">
        <v>12</v>
      </c>
      <c r="H998" s="207" t="s">
        <v>4948</v>
      </c>
      <c r="I998" s="182" t="s">
        <v>10</v>
      </c>
      <c r="J998" s="182" t="s">
        <v>4948</v>
      </c>
      <c r="K998" s="182" t="s">
        <v>4949</v>
      </c>
      <c r="L998" s="182" t="s">
        <v>53</v>
      </c>
      <c r="M998" s="289" t="s">
        <v>4946</v>
      </c>
    </row>
    <row r="999" spans="1:20">
      <c r="A999" s="170" t="s">
        <v>4950</v>
      </c>
      <c r="B999" s="170" t="s">
        <v>4951</v>
      </c>
      <c r="C999" s="170"/>
      <c r="D999" s="170" t="s">
        <v>11</v>
      </c>
      <c r="E999" s="170" t="s">
        <v>12</v>
      </c>
      <c r="H999" s="207" t="s">
        <v>4952</v>
      </c>
      <c r="I999" s="182" t="s">
        <v>10</v>
      </c>
      <c r="J999" s="182" t="s">
        <v>4952</v>
      </c>
      <c r="K999" s="182" t="s">
        <v>4953</v>
      </c>
      <c r="L999" s="182" t="s">
        <v>19</v>
      </c>
      <c r="M999"/>
      <c r="R999"/>
      <c r="T999"/>
    </row>
    <row r="1000" spans="1:13">
      <c r="A1000" s="170" t="s">
        <v>4954</v>
      </c>
      <c r="B1000" s="170" t="s">
        <v>4955</v>
      </c>
      <c r="C1000" s="192" t="s">
        <v>4956</v>
      </c>
      <c r="D1000" s="170" t="s">
        <v>11</v>
      </c>
      <c r="E1000" s="170" t="s">
        <v>12</v>
      </c>
      <c r="H1000" s="207">
        <v>417332</v>
      </c>
      <c r="I1000" s="182" t="s">
        <v>4957</v>
      </c>
      <c r="J1000" s="182" t="s">
        <v>4958</v>
      </c>
      <c r="K1000" s="182" t="s">
        <v>4959</v>
      </c>
      <c r="L1000" s="182" t="s">
        <v>415</v>
      </c>
      <c r="M1000" s="289" t="s">
        <v>4955</v>
      </c>
    </row>
    <row r="1001" spans="1:20">
      <c r="A1001" s="170" t="s">
        <v>4960</v>
      </c>
      <c r="B1001" s="170" t="s">
        <v>4961</v>
      </c>
      <c r="C1001" s="170"/>
      <c r="D1001" s="170" t="s">
        <v>11</v>
      </c>
      <c r="E1001" s="170" t="s">
        <v>12</v>
      </c>
      <c r="H1001" s="207">
        <v>517872</v>
      </c>
      <c r="I1001" s="182" t="s">
        <v>4962</v>
      </c>
      <c r="J1001" s="182" t="s">
        <v>4963</v>
      </c>
      <c r="K1001" s="182"/>
      <c r="L1001" s="182" t="s">
        <v>15</v>
      </c>
      <c r="M1001"/>
      <c r="R1001"/>
      <c r="T1001"/>
    </row>
    <row r="1002" spans="1:20">
      <c r="A1002" s="170" t="s">
        <v>4964</v>
      </c>
      <c r="B1002" s="170" t="s">
        <v>4965</v>
      </c>
      <c r="C1002" s="170"/>
      <c r="D1002" s="170" t="s">
        <v>11</v>
      </c>
      <c r="E1002" s="170" t="s">
        <v>12</v>
      </c>
      <c r="H1002" s="207">
        <v>480549</v>
      </c>
      <c r="I1002" s="182" t="s">
        <v>4966</v>
      </c>
      <c r="J1002" s="182" t="s">
        <v>4967</v>
      </c>
      <c r="K1002" s="182" t="s">
        <v>4968</v>
      </c>
      <c r="L1002" s="182" t="s">
        <v>15</v>
      </c>
      <c r="M1002"/>
      <c r="R1002"/>
      <c r="T1002"/>
    </row>
    <row r="1003" spans="1:13">
      <c r="A1003" s="170" t="s">
        <v>4969</v>
      </c>
      <c r="B1003" s="170" t="s">
        <v>4970</v>
      </c>
      <c r="C1003" s="192" t="s">
        <v>4971</v>
      </c>
      <c r="D1003" s="170" t="s">
        <v>11</v>
      </c>
      <c r="E1003" s="170" t="s">
        <v>12</v>
      </c>
      <c r="H1003" s="207">
        <v>454098</v>
      </c>
      <c r="I1003" s="182" t="s">
        <v>4972</v>
      </c>
      <c r="J1003" s="182" t="s">
        <v>4973</v>
      </c>
      <c r="K1003" s="182" t="s">
        <v>4974</v>
      </c>
      <c r="L1003" s="182" t="s">
        <v>15</v>
      </c>
      <c r="M1003" s="289" t="s">
        <v>4970</v>
      </c>
    </row>
    <row r="1004" spans="1:20">
      <c r="A1004" s="170" t="s">
        <v>4975</v>
      </c>
      <c r="B1004" s="170" t="s">
        <v>4976</v>
      </c>
      <c r="C1004" s="170"/>
      <c r="D1004" s="170" t="s">
        <v>11</v>
      </c>
      <c r="E1004" s="170" t="s">
        <v>12</v>
      </c>
      <c r="H1004" s="207">
        <v>509828</v>
      </c>
      <c r="I1004" s="182" t="s">
        <v>4977</v>
      </c>
      <c r="J1004" s="182" t="s">
        <v>4978</v>
      </c>
      <c r="K1004" s="182"/>
      <c r="L1004" s="182" t="s">
        <v>15</v>
      </c>
      <c r="M1004"/>
      <c r="R1004"/>
      <c r="T1004"/>
    </row>
    <row r="1005" spans="1:20">
      <c r="A1005" s="170" t="s">
        <v>4979</v>
      </c>
      <c r="B1005" s="170" t="s">
        <v>4980</v>
      </c>
      <c r="C1005" s="170"/>
      <c r="D1005" s="170" t="s">
        <v>11</v>
      </c>
      <c r="E1005" s="170" t="s">
        <v>12</v>
      </c>
      <c r="H1005" s="207">
        <v>458670</v>
      </c>
      <c r="I1005" s="182" t="s">
        <v>4981</v>
      </c>
      <c r="J1005" s="182" t="s">
        <v>4982</v>
      </c>
      <c r="K1005" s="182" t="s">
        <v>4983</v>
      </c>
      <c r="L1005" s="182" t="s">
        <v>15</v>
      </c>
      <c r="M1005"/>
      <c r="R1005"/>
      <c r="T1005"/>
    </row>
    <row r="1006" spans="1:13">
      <c r="A1006" s="170" t="s">
        <v>4984</v>
      </c>
      <c r="B1006" s="170" t="s">
        <v>4985</v>
      </c>
      <c r="C1006" s="192" t="s">
        <v>4986</v>
      </c>
      <c r="D1006" s="170" t="s">
        <v>11</v>
      </c>
      <c r="E1006" s="170" t="s">
        <v>12</v>
      </c>
      <c r="H1006" s="207">
        <v>500586</v>
      </c>
      <c r="I1006" s="182" t="s">
        <v>4987</v>
      </c>
      <c r="J1006" s="182" t="s">
        <v>4988</v>
      </c>
      <c r="K1006" s="182" t="s">
        <v>4989</v>
      </c>
      <c r="L1006" s="182" t="s">
        <v>15</v>
      </c>
      <c r="M1006" s="289" t="s">
        <v>4985</v>
      </c>
    </row>
    <row r="1007" spans="1:20">
      <c r="A1007" s="170" t="s">
        <v>4990</v>
      </c>
      <c r="B1007" s="170" t="s">
        <v>4991</v>
      </c>
      <c r="C1007" s="170"/>
      <c r="D1007" s="170" t="s">
        <v>11</v>
      </c>
      <c r="E1007" s="170" t="s">
        <v>12</v>
      </c>
      <c r="H1007" s="207">
        <v>336497</v>
      </c>
      <c r="I1007" s="182" t="s">
        <v>4992</v>
      </c>
      <c r="J1007" s="182" t="s">
        <v>4993</v>
      </c>
      <c r="K1007" s="182" t="s">
        <v>4994</v>
      </c>
      <c r="L1007" s="182" t="s">
        <v>15</v>
      </c>
      <c r="M1007"/>
      <c r="R1007"/>
      <c r="T1007"/>
    </row>
    <row r="1008" spans="1:20">
      <c r="A1008" s="170" t="s">
        <v>4995</v>
      </c>
      <c r="B1008" s="170" t="s">
        <v>4996</v>
      </c>
      <c r="C1008" s="170"/>
      <c r="D1008" s="170" t="s">
        <v>11</v>
      </c>
      <c r="E1008" s="170" t="s">
        <v>12</v>
      </c>
      <c r="H1008" s="207">
        <v>501065</v>
      </c>
      <c r="I1008" s="182" t="s">
        <v>4997</v>
      </c>
      <c r="J1008" s="182" t="s">
        <v>4998</v>
      </c>
      <c r="K1008" s="182" t="s">
        <v>4999</v>
      </c>
      <c r="L1008" s="182" t="s">
        <v>15</v>
      </c>
      <c r="M1008"/>
      <c r="R1008"/>
      <c r="T1008"/>
    </row>
    <row r="1009" spans="1:20">
      <c r="A1009" s="170" t="s">
        <v>5000</v>
      </c>
      <c r="B1009" s="170" t="s">
        <v>5001</v>
      </c>
      <c r="C1009" s="178" t="s">
        <v>10</v>
      </c>
      <c r="D1009" s="170" t="s">
        <v>11</v>
      </c>
      <c r="E1009" s="170" t="s">
        <v>12</v>
      </c>
      <c r="H1009" s="207">
        <v>341369</v>
      </c>
      <c r="I1009" s="182" t="s">
        <v>10</v>
      </c>
      <c r="J1009" s="182" t="s">
        <v>5002</v>
      </c>
      <c r="K1009" s="182" t="s">
        <v>5003</v>
      </c>
      <c r="L1009" s="182" t="s">
        <v>15</v>
      </c>
      <c r="M1009"/>
      <c r="R1009"/>
      <c r="T1009"/>
    </row>
    <row r="1010" spans="1:20">
      <c r="A1010" s="170" t="s">
        <v>5004</v>
      </c>
      <c r="B1010" s="170" t="s">
        <v>5005</v>
      </c>
      <c r="C1010" s="178" t="s">
        <v>10</v>
      </c>
      <c r="D1010" s="170" t="s">
        <v>11</v>
      </c>
      <c r="E1010" s="170" t="s">
        <v>12</v>
      </c>
      <c r="H1010" s="207">
        <v>500836</v>
      </c>
      <c r="I1010" s="182" t="s">
        <v>5006</v>
      </c>
      <c r="J1010" s="182" t="s">
        <v>5007</v>
      </c>
      <c r="K1010" s="182" t="s">
        <v>5008</v>
      </c>
      <c r="L1010" s="182" t="s">
        <v>15</v>
      </c>
      <c r="M1010"/>
      <c r="R1010"/>
      <c r="T1010"/>
    </row>
    <row r="1011" spans="1:20">
      <c r="A1011" s="170" t="s">
        <v>5009</v>
      </c>
      <c r="B1011" s="170" t="s">
        <v>5010</v>
      </c>
      <c r="C1011" s="178" t="s">
        <v>10</v>
      </c>
      <c r="D1011" s="170" t="s">
        <v>11</v>
      </c>
      <c r="E1011" s="170" t="s">
        <v>12</v>
      </c>
      <c r="H1011" s="207">
        <v>460124</v>
      </c>
      <c r="I1011" s="182" t="s">
        <v>5011</v>
      </c>
      <c r="J1011" s="182" t="s">
        <v>5012</v>
      </c>
      <c r="K1011" s="182" t="s">
        <v>5013</v>
      </c>
      <c r="L1011" s="182" t="s">
        <v>15</v>
      </c>
      <c r="M1011"/>
      <c r="R1011"/>
      <c r="T1011"/>
    </row>
    <row r="1012" spans="1:20">
      <c r="A1012" s="170" t="s">
        <v>5014</v>
      </c>
      <c r="B1012" s="170" t="s">
        <v>5015</v>
      </c>
      <c r="C1012" s="178" t="s">
        <v>10</v>
      </c>
      <c r="D1012" s="170" t="s">
        <v>11</v>
      </c>
      <c r="E1012" s="170" t="s">
        <v>12</v>
      </c>
      <c r="H1012" s="207">
        <v>223764</v>
      </c>
      <c r="I1012" s="182" t="s">
        <v>5016</v>
      </c>
      <c r="J1012" s="182" t="s">
        <v>5017</v>
      </c>
      <c r="K1012" s="182" t="s">
        <v>5018</v>
      </c>
      <c r="L1012" s="182" t="s">
        <v>15</v>
      </c>
      <c r="M1012"/>
      <c r="R1012"/>
      <c r="T1012"/>
    </row>
    <row r="1013" spans="1:20">
      <c r="A1013" s="170" t="s">
        <v>5019</v>
      </c>
      <c r="B1013" s="170" t="s">
        <v>5020</v>
      </c>
      <c r="C1013" s="178" t="s">
        <v>10</v>
      </c>
      <c r="D1013" s="170" t="s">
        <v>11</v>
      </c>
      <c r="E1013" s="170" t="s">
        <v>12</v>
      </c>
      <c r="H1013" s="207">
        <v>514383</v>
      </c>
      <c r="I1013" s="182" t="s">
        <v>5021</v>
      </c>
      <c r="J1013" s="182" t="s">
        <v>5022</v>
      </c>
      <c r="K1013" s="182" t="s">
        <v>5023</v>
      </c>
      <c r="L1013" s="182" t="s">
        <v>15</v>
      </c>
      <c r="M1013"/>
      <c r="R1013"/>
      <c r="T1013"/>
    </row>
    <row r="1014" spans="1:20">
      <c r="A1014" s="170" t="s">
        <v>5024</v>
      </c>
      <c r="B1014" s="170" t="s">
        <v>5025</v>
      </c>
      <c r="C1014" s="178" t="s">
        <v>10</v>
      </c>
      <c r="D1014" s="170" t="s">
        <v>11</v>
      </c>
      <c r="E1014" s="170" t="s">
        <v>12</v>
      </c>
      <c r="H1014" s="207">
        <v>493028</v>
      </c>
      <c r="I1014" s="182" t="s">
        <v>5026</v>
      </c>
      <c r="J1014" s="182" t="s">
        <v>5027</v>
      </c>
      <c r="K1014" s="182" t="s">
        <v>5028</v>
      </c>
      <c r="L1014" s="182" t="s">
        <v>15</v>
      </c>
      <c r="M1014"/>
      <c r="R1014"/>
      <c r="T1014"/>
    </row>
    <row r="1015" spans="1:20">
      <c r="A1015" s="170" t="s">
        <v>5029</v>
      </c>
      <c r="B1015" s="170" t="s">
        <v>5030</v>
      </c>
      <c r="C1015" s="178" t="s">
        <v>10</v>
      </c>
      <c r="D1015" s="170" t="s">
        <v>11</v>
      </c>
      <c r="E1015" s="170" t="s">
        <v>12</v>
      </c>
      <c r="H1015" s="207">
        <v>221785</v>
      </c>
      <c r="I1015" s="182" t="s">
        <v>5031</v>
      </c>
      <c r="J1015" s="182" t="s">
        <v>5032</v>
      </c>
      <c r="K1015" s="182" t="s">
        <v>5033</v>
      </c>
      <c r="L1015" s="182" t="s">
        <v>15</v>
      </c>
      <c r="M1015"/>
      <c r="R1015"/>
      <c r="T1015"/>
    </row>
    <row r="1016" spans="1:20">
      <c r="A1016" s="170" t="s">
        <v>5034</v>
      </c>
      <c r="B1016" s="170" t="s">
        <v>5035</v>
      </c>
      <c r="C1016" s="178" t="s">
        <v>10</v>
      </c>
      <c r="D1016" s="170" t="s">
        <v>11</v>
      </c>
      <c r="E1016" s="170" t="s">
        <v>12</v>
      </c>
      <c r="H1016" s="207">
        <v>402116</v>
      </c>
      <c r="I1016" s="182" t="s">
        <v>5036</v>
      </c>
      <c r="J1016" s="182" t="s">
        <v>5037</v>
      </c>
      <c r="K1016" s="182" t="s">
        <v>5038</v>
      </c>
      <c r="L1016" s="182" t="s">
        <v>15</v>
      </c>
      <c r="M1016"/>
      <c r="R1016"/>
      <c r="T1016"/>
    </row>
    <row r="1017" spans="1:20">
      <c r="A1017" s="170" t="s">
        <v>5039</v>
      </c>
      <c r="B1017" s="170" t="s">
        <v>5040</v>
      </c>
      <c r="C1017" s="178" t="s">
        <v>10</v>
      </c>
      <c r="D1017" s="170" t="s">
        <v>11</v>
      </c>
      <c r="E1017" s="170" t="s">
        <v>12</v>
      </c>
      <c r="H1017" s="207" t="s">
        <v>5041</v>
      </c>
      <c r="I1017" s="182" t="s">
        <v>10</v>
      </c>
      <c r="J1017" s="182" t="s">
        <v>5041</v>
      </c>
      <c r="K1017" s="182" t="s">
        <v>5042</v>
      </c>
      <c r="L1017" s="182" t="s">
        <v>19</v>
      </c>
      <c r="M1017"/>
      <c r="R1017"/>
      <c r="T1017"/>
    </row>
    <row r="1018" spans="1:20">
      <c r="A1018" s="170" t="s">
        <v>5043</v>
      </c>
      <c r="B1018" s="170" t="s">
        <v>5044</v>
      </c>
      <c r="C1018" s="178" t="s">
        <v>10</v>
      </c>
      <c r="D1018" s="170" t="s">
        <v>11</v>
      </c>
      <c r="E1018" s="170" t="s">
        <v>12</v>
      </c>
      <c r="H1018" s="207" t="s">
        <v>5045</v>
      </c>
      <c r="I1018" s="182" t="s">
        <v>10</v>
      </c>
      <c r="J1018" s="182" t="s">
        <v>5045</v>
      </c>
      <c r="K1018" s="182" t="s">
        <v>5046</v>
      </c>
      <c r="L1018" s="182" t="s">
        <v>53</v>
      </c>
      <c r="M1018"/>
      <c r="R1018"/>
      <c r="T1018"/>
    </row>
    <row r="1019" spans="1:20">
      <c r="A1019" s="170" t="s">
        <v>5047</v>
      </c>
      <c r="B1019" s="170" t="s">
        <v>5048</v>
      </c>
      <c r="C1019" s="178" t="s">
        <v>10</v>
      </c>
      <c r="D1019" s="170" t="s">
        <v>11</v>
      </c>
      <c r="E1019" s="170" t="s">
        <v>12</v>
      </c>
      <c r="H1019" s="207" t="s">
        <v>5049</v>
      </c>
      <c r="I1019" s="182" t="s">
        <v>10</v>
      </c>
      <c r="J1019" s="182" t="s">
        <v>5049</v>
      </c>
      <c r="K1019" s="182" t="s">
        <v>5050</v>
      </c>
      <c r="L1019" s="182" t="s">
        <v>19</v>
      </c>
      <c r="M1019"/>
      <c r="R1019"/>
      <c r="T1019"/>
    </row>
    <row r="1020" spans="1:20">
      <c r="A1020" s="170" t="s">
        <v>5051</v>
      </c>
      <c r="B1020" s="170" t="s">
        <v>5052</v>
      </c>
      <c r="C1020" s="178" t="s">
        <v>10</v>
      </c>
      <c r="D1020" s="170" t="s">
        <v>11</v>
      </c>
      <c r="E1020" s="170" t="s">
        <v>12</v>
      </c>
      <c r="H1020" s="207">
        <v>507550</v>
      </c>
      <c r="I1020" s="182" t="s">
        <v>5053</v>
      </c>
      <c r="J1020" s="182" t="s">
        <v>5054</v>
      </c>
      <c r="K1020" s="182"/>
      <c r="L1020" s="182" t="s">
        <v>15</v>
      </c>
      <c r="M1020"/>
      <c r="R1020"/>
      <c r="T1020"/>
    </row>
    <row r="1021" spans="1:13">
      <c r="A1021" s="170" t="s">
        <v>5055</v>
      </c>
      <c r="B1021" s="170" t="s">
        <v>5056</v>
      </c>
      <c r="C1021" s="182" t="s">
        <v>5057</v>
      </c>
      <c r="D1021" s="170" t="s">
        <v>11</v>
      </c>
      <c r="E1021" s="170" t="s">
        <v>12</v>
      </c>
      <c r="H1021" s="207">
        <v>496511</v>
      </c>
      <c r="I1021" s="182" t="s">
        <v>5058</v>
      </c>
      <c r="J1021" s="182" t="s">
        <v>5059</v>
      </c>
      <c r="K1021" s="182" t="s">
        <v>5060</v>
      </c>
      <c r="L1021" s="182" t="s">
        <v>15</v>
      </c>
      <c r="M1021" s="289" t="s">
        <v>5056</v>
      </c>
    </row>
    <row r="1022" spans="1:13">
      <c r="A1022" s="170" t="s">
        <v>5061</v>
      </c>
      <c r="B1022" s="170" t="s">
        <v>5062</v>
      </c>
      <c r="C1022" s="182" t="s">
        <v>5063</v>
      </c>
      <c r="D1022" s="170" t="s">
        <v>11</v>
      </c>
      <c r="E1022" s="170" t="s">
        <v>12</v>
      </c>
      <c r="H1022" s="207" t="s">
        <v>5064</v>
      </c>
      <c r="I1022" s="182" t="s">
        <v>10</v>
      </c>
      <c r="J1022" s="182" t="s">
        <v>5064</v>
      </c>
      <c r="K1022" s="182" t="s">
        <v>5065</v>
      </c>
      <c r="L1022" s="182" t="s">
        <v>19</v>
      </c>
      <c r="M1022" s="289" t="s">
        <v>5062</v>
      </c>
    </row>
    <row r="1023" spans="1:20">
      <c r="A1023" s="170" t="s">
        <v>5066</v>
      </c>
      <c r="B1023" s="170" t="s">
        <v>5067</v>
      </c>
      <c r="C1023" s="170"/>
      <c r="D1023" s="170" t="s">
        <v>11</v>
      </c>
      <c r="E1023" s="170" t="s">
        <v>12</v>
      </c>
      <c r="H1023" s="207">
        <v>207449</v>
      </c>
      <c r="I1023" s="182" t="s">
        <v>5068</v>
      </c>
      <c r="J1023" s="182" t="s">
        <v>5069</v>
      </c>
      <c r="K1023" s="182" t="s">
        <v>5070</v>
      </c>
      <c r="L1023" s="182" t="s">
        <v>15</v>
      </c>
      <c r="M1023"/>
      <c r="R1023"/>
      <c r="T1023"/>
    </row>
    <row r="1024" spans="1:13">
      <c r="A1024" s="170" t="s">
        <v>5071</v>
      </c>
      <c r="B1024" s="170" t="s">
        <v>5072</v>
      </c>
      <c r="C1024" s="182" t="s">
        <v>5073</v>
      </c>
      <c r="D1024" s="170" t="s">
        <v>11</v>
      </c>
      <c r="E1024" s="170" t="s">
        <v>12</v>
      </c>
      <c r="H1024" s="207" t="s">
        <v>5074</v>
      </c>
      <c r="I1024" s="182" t="s">
        <v>5075</v>
      </c>
      <c r="J1024" s="182" t="s">
        <v>5074</v>
      </c>
      <c r="K1024" s="182" t="s">
        <v>5076</v>
      </c>
      <c r="L1024" s="182" t="s">
        <v>15</v>
      </c>
      <c r="M1024" s="289" t="s">
        <v>5072</v>
      </c>
    </row>
    <row r="1025" spans="1:13">
      <c r="A1025" s="170" t="s">
        <v>5077</v>
      </c>
      <c r="B1025" s="170" t="s">
        <v>5078</v>
      </c>
      <c r="C1025" s="182" t="s">
        <v>5079</v>
      </c>
      <c r="D1025" s="170" t="s">
        <v>11</v>
      </c>
      <c r="E1025" s="170" t="s">
        <v>12</v>
      </c>
      <c r="H1025" s="207">
        <v>202322</v>
      </c>
      <c r="I1025" s="182" t="s">
        <v>5080</v>
      </c>
      <c r="J1025" s="182" t="s">
        <v>5081</v>
      </c>
      <c r="K1025" s="182" t="s">
        <v>5082</v>
      </c>
      <c r="L1025" s="182" t="s">
        <v>15</v>
      </c>
      <c r="M1025" s="289" t="s">
        <v>5078</v>
      </c>
    </row>
    <row r="1026" spans="1:20">
      <c r="A1026" s="170" t="s">
        <v>5083</v>
      </c>
      <c r="B1026" s="170" t="s">
        <v>5084</v>
      </c>
      <c r="C1026" s="170"/>
      <c r="D1026" s="170" t="s">
        <v>11</v>
      </c>
      <c r="E1026" s="170" t="s">
        <v>12</v>
      </c>
      <c r="H1026" s="207">
        <v>514535</v>
      </c>
      <c r="I1026" s="182" t="s">
        <v>5085</v>
      </c>
      <c r="J1026" s="182" t="s">
        <v>5086</v>
      </c>
      <c r="K1026" s="182" t="s">
        <v>5087</v>
      </c>
      <c r="L1026" s="182" t="s">
        <v>15</v>
      </c>
      <c r="M1026"/>
      <c r="R1026"/>
      <c r="T1026"/>
    </row>
    <row r="1027" spans="1:13">
      <c r="A1027" s="170" t="s">
        <v>5088</v>
      </c>
      <c r="B1027" s="170" t="s">
        <v>5089</v>
      </c>
      <c r="C1027" s="182" t="s">
        <v>5090</v>
      </c>
      <c r="D1027" s="170" t="s">
        <v>11</v>
      </c>
      <c r="E1027" s="170" t="s">
        <v>12</v>
      </c>
      <c r="H1027" s="207">
        <v>393276</v>
      </c>
      <c r="I1027" s="182" t="s">
        <v>5091</v>
      </c>
      <c r="J1027" s="182" t="s">
        <v>5092</v>
      </c>
      <c r="K1027" s="182" t="s">
        <v>5093</v>
      </c>
      <c r="L1027" s="182" t="s">
        <v>15</v>
      </c>
      <c r="M1027" s="289" t="s">
        <v>5089</v>
      </c>
    </row>
    <row r="1028" spans="1:13">
      <c r="A1028" s="170" t="s">
        <v>5094</v>
      </c>
      <c r="B1028" s="170" t="s">
        <v>5095</v>
      </c>
      <c r="C1028" s="182" t="s">
        <v>5096</v>
      </c>
      <c r="D1028" s="170" t="s">
        <v>11</v>
      </c>
      <c r="E1028" s="170" t="s">
        <v>12</v>
      </c>
      <c r="H1028" s="207">
        <v>960641</v>
      </c>
      <c r="I1028" s="182" t="s">
        <v>5097</v>
      </c>
      <c r="J1028" s="182" t="s">
        <v>5098</v>
      </c>
      <c r="K1028" s="182" t="s">
        <v>5099</v>
      </c>
      <c r="L1028" s="182" t="s">
        <v>369</v>
      </c>
      <c r="M1028" s="289" t="s">
        <v>5095</v>
      </c>
    </row>
    <row r="1029" spans="1:20">
      <c r="A1029" s="170" t="s">
        <v>5100</v>
      </c>
      <c r="B1029" s="170" t="s">
        <v>5101</v>
      </c>
      <c r="C1029" s="170"/>
      <c r="D1029" s="170" t="s">
        <v>11</v>
      </c>
      <c r="E1029" s="170" t="s">
        <v>12</v>
      </c>
      <c r="H1029" s="207">
        <v>502059</v>
      </c>
      <c r="I1029" s="182" t="s">
        <v>5102</v>
      </c>
      <c r="J1029" s="182" t="s">
        <v>5103</v>
      </c>
      <c r="K1029" s="182" t="s">
        <v>5104</v>
      </c>
      <c r="L1029" s="182" t="s">
        <v>15</v>
      </c>
      <c r="M1029"/>
      <c r="R1029"/>
      <c r="T1029"/>
    </row>
    <row r="1030" spans="1:13">
      <c r="A1030" s="170" t="s">
        <v>5105</v>
      </c>
      <c r="B1030" s="170" t="s">
        <v>5106</v>
      </c>
      <c r="C1030" s="182" t="s">
        <v>5107</v>
      </c>
      <c r="D1030" s="170" t="s">
        <v>11</v>
      </c>
      <c r="E1030" s="170" t="s">
        <v>12</v>
      </c>
      <c r="H1030" s="207" t="s">
        <v>5108</v>
      </c>
      <c r="I1030" s="182" t="s">
        <v>10</v>
      </c>
      <c r="J1030" s="182" t="s">
        <v>5108</v>
      </c>
      <c r="K1030" s="182" t="s">
        <v>5109</v>
      </c>
      <c r="L1030" s="182" t="s">
        <v>19</v>
      </c>
      <c r="M1030" s="289" t="s">
        <v>5106</v>
      </c>
    </row>
    <row r="1031" spans="1:13">
      <c r="A1031" s="170" t="s">
        <v>5110</v>
      </c>
      <c r="B1031" s="170" t="s">
        <v>5111</v>
      </c>
      <c r="C1031" s="182" t="s">
        <v>5112</v>
      </c>
      <c r="D1031" s="170" t="s">
        <v>11</v>
      </c>
      <c r="E1031" s="170" t="s">
        <v>12</v>
      </c>
      <c r="H1031" s="207" t="s">
        <v>5113</v>
      </c>
      <c r="I1031" s="182" t="s">
        <v>10</v>
      </c>
      <c r="J1031" s="182" t="s">
        <v>5113</v>
      </c>
      <c r="K1031" s="182" t="s">
        <v>5114</v>
      </c>
      <c r="L1031" s="182" t="s">
        <v>53</v>
      </c>
      <c r="M1031" s="289" t="s">
        <v>5111</v>
      </c>
    </row>
    <row r="1032" spans="1:20">
      <c r="A1032" s="170" t="s">
        <v>5115</v>
      </c>
      <c r="B1032" s="170" t="s">
        <v>5116</v>
      </c>
      <c r="C1032" s="170"/>
      <c r="D1032" s="170" t="s">
        <v>11</v>
      </c>
      <c r="E1032" s="170" t="s">
        <v>12</v>
      </c>
      <c r="H1032" s="207">
        <v>518303</v>
      </c>
      <c r="I1032" s="182" t="s">
        <v>5117</v>
      </c>
      <c r="J1032" s="182" t="s">
        <v>5118</v>
      </c>
      <c r="K1032" s="182" t="s">
        <v>5119</v>
      </c>
      <c r="L1032" s="182" t="s">
        <v>15</v>
      </c>
      <c r="M1032"/>
      <c r="R1032"/>
      <c r="T1032"/>
    </row>
    <row r="1033" spans="1:13">
      <c r="A1033" s="170" t="s">
        <v>5120</v>
      </c>
      <c r="B1033" s="178" t="s">
        <v>5121</v>
      </c>
      <c r="C1033" s="182" t="s">
        <v>5122</v>
      </c>
      <c r="D1033" s="170" t="s">
        <v>11</v>
      </c>
      <c r="E1033" s="170" t="s">
        <v>12</v>
      </c>
      <c r="H1033" s="207">
        <v>487320</v>
      </c>
      <c r="I1033" s="182" t="s">
        <v>5123</v>
      </c>
      <c r="J1033" s="182" t="s">
        <v>5124</v>
      </c>
      <c r="K1033" s="182" t="s">
        <v>5125</v>
      </c>
      <c r="L1033" s="182" t="s">
        <v>15</v>
      </c>
      <c r="M1033" t="s">
        <v>5121</v>
      </c>
    </row>
    <row r="1034" spans="1:13">
      <c r="A1034" s="170" t="s">
        <v>5126</v>
      </c>
      <c r="B1034" s="170" t="s">
        <v>5127</v>
      </c>
      <c r="C1034" s="182" t="s">
        <v>5128</v>
      </c>
      <c r="D1034" s="170" t="s">
        <v>11</v>
      </c>
      <c r="E1034" s="170" t="s">
        <v>12</v>
      </c>
      <c r="H1034" s="207" t="s">
        <v>5129</v>
      </c>
      <c r="I1034" s="182" t="s">
        <v>10</v>
      </c>
      <c r="J1034" s="182" t="s">
        <v>5129</v>
      </c>
      <c r="K1034" s="182" t="s">
        <v>5130</v>
      </c>
      <c r="L1034" s="182" t="s">
        <v>53</v>
      </c>
      <c r="M1034" s="289" t="s">
        <v>5127</v>
      </c>
    </row>
    <row r="1035" spans="1:20">
      <c r="A1035" s="170" t="s">
        <v>5131</v>
      </c>
      <c r="B1035" s="170" t="s">
        <v>5132</v>
      </c>
      <c r="C1035" s="170"/>
      <c r="D1035" s="170" t="s">
        <v>11</v>
      </c>
      <c r="E1035" s="170" t="s">
        <v>12</v>
      </c>
      <c r="H1035" s="207" t="s">
        <v>5133</v>
      </c>
      <c r="I1035" s="182" t="s">
        <v>10</v>
      </c>
      <c r="J1035" s="182" t="s">
        <v>5133</v>
      </c>
      <c r="K1035" s="182" t="s">
        <v>5134</v>
      </c>
      <c r="L1035" s="182" t="s">
        <v>53</v>
      </c>
      <c r="M1035"/>
      <c r="R1035"/>
      <c r="T1035"/>
    </row>
    <row r="1036" spans="1:13">
      <c r="A1036" s="170" t="s">
        <v>5135</v>
      </c>
      <c r="B1036" s="170" t="s">
        <v>5136</v>
      </c>
      <c r="C1036" s="182" t="s">
        <v>5137</v>
      </c>
      <c r="D1036" s="170" t="s">
        <v>11</v>
      </c>
      <c r="E1036" s="170" t="s">
        <v>12</v>
      </c>
      <c r="H1036" s="207">
        <v>459839</v>
      </c>
      <c r="I1036" s="182" t="s">
        <v>5138</v>
      </c>
      <c r="J1036" s="182" t="s">
        <v>5139</v>
      </c>
      <c r="K1036" s="182"/>
      <c r="L1036" s="182" t="s">
        <v>15</v>
      </c>
      <c r="M1036" s="289" t="s">
        <v>5136</v>
      </c>
    </row>
    <row r="1037" spans="1:13">
      <c r="A1037" s="170" t="s">
        <v>5140</v>
      </c>
      <c r="B1037" s="170" t="s">
        <v>5141</v>
      </c>
      <c r="C1037" s="182" t="s">
        <v>5142</v>
      </c>
      <c r="D1037" s="170" t="s">
        <v>11</v>
      </c>
      <c r="E1037" s="170" t="s">
        <v>12</v>
      </c>
      <c r="H1037" s="207">
        <v>460742</v>
      </c>
      <c r="I1037" s="182" t="s">
        <v>5143</v>
      </c>
      <c r="J1037" s="182" t="s">
        <v>5144</v>
      </c>
      <c r="K1037" s="182" t="s">
        <v>5145</v>
      </c>
      <c r="L1037" s="182" t="s">
        <v>15</v>
      </c>
      <c r="M1037" s="289" t="s">
        <v>5141</v>
      </c>
    </row>
    <row r="1038" spans="1:20">
      <c r="A1038" s="170" t="s">
        <v>5146</v>
      </c>
      <c r="B1038" s="170" t="s">
        <v>5147</v>
      </c>
      <c r="C1038" s="170"/>
      <c r="D1038" s="170" t="s">
        <v>11</v>
      </c>
      <c r="E1038" s="170" t="s">
        <v>12</v>
      </c>
      <c r="H1038" s="207">
        <v>503207</v>
      </c>
      <c r="I1038" s="182" t="s">
        <v>5148</v>
      </c>
      <c r="J1038" s="182" t="s">
        <v>5149</v>
      </c>
      <c r="K1038" s="182"/>
      <c r="L1038" s="182" t="s">
        <v>15</v>
      </c>
      <c r="M1038"/>
      <c r="R1038"/>
      <c r="T1038"/>
    </row>
    <row r="1039" spans="1:13">
      <c r="A1039" s="170" t="s">
        <v>5150</v>
      </c>
      <c r="B1039" s="170" t="s">
        <v>5151</v>
      </c>
      <c r="C1039" s="182" t="s">
        <v>5152</v>
      </c>
      <c r="D1039" s="170" t="s">
        <v>11</v>
      </c>
      <c r="E1039" s="170" t="s">
        <v>12</v>
      </c>
      <c r="H1039" s="207" t="s">
        <v>5153</v>
      </c>
      <c r="I1039" s="182" t="s">
        <v>10</v>
      </c>
      <c r="J1039" s="182" t="s">
        <v>5153</v>
      </c>
      <c r="K1039" s="182" t="s">
        <v>5154</v>
      </c>
      <c r="L1039" s="182" t="s">
        <v>19</v>
      </c>
      <c r="M1039" s="289" t="s">
        <v>5151</v>
      </c>
    </row>
    <row r="1040" spans="1:13">
      <c r="A1040" s="170" t="s">
        <v>5155</v>
      </c>
      <c r="B1040" s="170" t="s">
        <v>5156</v>
      </c>
      <c r="C1040" s="182" t="s">
        <v>5157</v>
      </c>
      <c r="D1040" s="170" t="s">
        <v>11</v>
      </c>
      <c r="E1040" s="170" t="s">
        <v>12</v>
      </c>
      <c r="H1040" s="207">
        <v>970637</v>
      </c>
      <c r="I1040" s="182" t="s">
        <v>5158</v>
      </c>
      <c r="J1040" s="182" t="s">
        <v>5159</v>
      </c>
      <c r="K1040" s="182" t="s">
        <v>5160</v>
      </c>
      <c r="L1040" s="182" t="s">
        <v>15</v>
      </c>
      <c r="M1040" s="289" t="s">
        <v>5156</v>
      </c>
    </row>
    <row r="1041" spans="1:20">
      <c r="A1041" s="170" t="s">
        <v>5161</v>
      </c>
      <c r="B1041" s="170" t="s">
        <v>5162</v>
      </c>
      <c r="C1041" s="170"/>
      <c r="D1041" s="170" t="s">
        <v>11</v>
      </c>
      <c r="E1041" s="170" t="s">
        <v>12</v>
      </c>
      <c r="H1041" s="207">
        <v>459206</v>
      </c>
      <c r="I1041" s="182" t="s">
        <v>5163</v>
      </c>
      <c r="J1041" s="182" t="s">
        <v>5164</v>
      </c>
      <c r="K1041" s="182" t="s">
        <v>5165</v>
      </c>
      <c r="L1041" s="182" t="s">
        <v>15</v>
      </c>
      <c r="M1041"/>
      <c r="R1041"/>
      <c r="T1041"/>
    </row>
    <row r="1042" spans="1:13">
      <c r="A1042" s="170" t="s">
        <v>5166</v>
      </c>
      <c r="B1042" s="170" t="s">
        <v>5167</v>
      </c>
      <c r="C1042" s="182" t="s">
        <v>5168</v>
      </c>
      <c r="D1042" s="170" t="s">
        <v>11</v>
      </c>
      <c r="E1042" s="170" t="s">
        <v>12</v>
      </c>
      <c r="H1042" s="207">
        <v>514524</v>
      </c>
      <c r="I1042" s="182" t="s">
        <v>5169</v>
      </c>
      <c r="J1042" s="182" t="s">
        <v>5170</v>
      </c>
      <c r="K1042" s="182" t="s">
        <v>5171</v>
      </c>
      <c r="L1042" s="182" t="s">
        <v>15</v>
      </c>
      <c r="M1042" s="289" t="s">
        <v>5167</v>
      </c>
    </row>
    <row r="1043" spans="1:13">
      <c r="A1043" s="170" t="s">
        <v>5172</v>
      </c>
      <c r="B1043" s="170" t="s">
        <v>5173</v>
      </c>
      <c r="C1043" s="182" t="s">
        <v>5174</v>
      </c>
      <c r="D1043" s="170" t="s">
        <v>11</v>
      </c>
      <c r="E1043" s="170" t="s">
        <v>12</v>
      </c>
      <c r="H1043" s="207">
        <v>857935</v>
      </c>
      <c r="I1043" s="182" t="s">
        <v>5175</v>
      </c>
      <c r="J1043" s="182" t="s">
        <v>5176</v>
      </c>
      <c r="K1043" s="182" t="s">
        <v>5177</v>
      </c>
      <c r="L1043" s="182" t="s">
        <v>15</v>
      </c>
      <c r="M1043" s="289" t="s">
        <v>5173</v>
      </c>
    </row>
    <row r="1044" spans="1:20">
      <c r="A1044" s="170" t="s">
        <v>5178</v>
      </c>
      <c r="B1044" s="170" t="s">
        <v>5179</v>
      </c>
      <c r="C1044" s="170"/>
      <c r="D1044" s="170" t="s">
        <v>11</v>
      </c>
      <c r="E1044" s="170" t="s">
        <v>12</v>
      </c>
      <c r="H1044" s="207">
        <v>190893</v>
      </c>
      <c r="I1044" s="182" t="s">
        <v>5180</v>
      </c>
      <c r="J1044" s="182" t="s">
        <v>5181</v>
      </c>
      <c r="K1044" s="182" t="s">
        <v>5182</v>
      </c>
      <c r="L1044" s="182" t="s">
        <v>15</v>
      </c>
      <c r="M1044"/>
      <c r="R1044"/>
      <c r="T1044"/>
    </row>
    <row r="1045" spans="1:13">
      <c r="A1045" s="170" t="s">
        <v>5183</v>
      </c>
      <c r="B1045" s="170" t="s">
        <v>5184</v>
      </c>
      <c r="C1045" s="182" t="s">
        <v>5185</v>
      </c>
      <c r="D1045" s="170" t="s">
        <v>11</v>
      </c>
      <c r="E1045" s="170" t="s">
        <v>12</v>
      </c>
      <c r="H1045" s="207">
        <v>459586</v>
      </c>
      <c r="I1045" s="182" t="s">
        <v>5186</v>
      </c>
      <c r="J1045" s="182" t="s">
        <v>5187</v>
      </c>
      <c r="K1045" s="182" t="s">
        <v>5188</v>
      </c>
      <c r="L1045" s="182" t="s">
        <v>15</v>
      </c>
      <c r="M1045" s="289" t="s">
        <v>5184</v>
      </c>
    </row>
    <row r="1046" spans="1:13">
      <c r="A1046" s="170" t="s">
        <v>5189</v>
      </c>
      <c r="B1046" s="170" t="s">
        <v>5190</v>
      </c>
      <c r="C1046" s="182" t="s">
        <v>5191</v>
      </c>
      <c r="D1046" s="170" t="s">
        <v>11</v>
      </c>
      <c r="E1046" s="170" t="s">
        <v>12</v>
      </c>
      <c r="H1046" s="207">
        <v>487036</v>
      </c>
      <c r="I1046" s="182" t="s">
        <v>5192</v>
      </c>
      <c r="J1046" s="182" t="s">
        <v>5193</v>
      </c>
      <c r="K1046" s="182"/>
      <c r="L1046" s="182" t="s">
        <v>15</v>
      </c>
      <c r="M1046" s="289" t="s">
        <v>5190</v>
      </c>
    </row>
    <row r="1047" spans="1:20">
      <c r="A1047" s="170" t="s">
        <v>5194</v>
      </c>
      <c r="B1047" s="170" t="s">
        <v>5195</v>
      </c>
      <c r="C1047" s="170"/>
      <c r="D1047" s="170" t="s">
        <v>11</v>
      </c>
      <c r="E1047" s="170" t="s">
        <v>12</v>
      </c>
      <c r="H1047" s="207" t="s">
        <v>5196</v>
      </c>
      <c r="I1047" s="182" t="s">
        <v>10</v>
      </c>
      <c r="J1047" s="182" t="s">
        <v>5196</v>
      </c>
      <c r="K1047" s="182" t="s">
        <v>5197</v>
      </c>
      <c r="L1047" s="182" t="s">
        <v>53</v>
      </c>
      <c r="M1047"/>
      <c r="R1047"/>
      <c r="T1047"/>
    </row>
    <row r="1048" spans="1:13">
      <c r="A1048" s="170" t="s">
        <v>5198</v>
      </c>
      <c r="B1048" s="170" t="s">
        <v>5199</v>
      </c>
      <c r="C1048" t="s">
        <v>5200</v>
      </c>
      <c r="D1048" s="170" t="s">
        <v>11</v>
      </c>
      <c r="E1048" s="170" t="s">
        <v>12</v>
      </c>
      <c r="H1048" s="207">
        <v>161441</v>
      </c>
      <c r="I1048" s="182" t="s">
        <v>5201</v>
      </c>
      <c r="J1048" s="182" t="s">
        <v>5202</v>
      </c>
      <c r="K1048" s="182"/>
      <c r="L1048" s="182" t="s">
        <v>15</v>
      </c>
      <c r="M1048" s="289" t="s">
        <v>5199</v>
      </c>
    </row>
    <row r="1049" spans="1:20">
      <c r="A1049" s="170" t="s">
        <v>5203</v>
      </c>
      <c r="B1049" s="170" t="s">
        <v>5204</v>
      </c>
      <c r="C1049" s="170"/>
      <c r="D1049" s="170" t="s">
        <v>11</v>
      </c>
      <c r="E1049" s="170" t="s">
        <v>12</v>
      </c>
      <c r="H1049" s="207">
        <v>486897</v>
      </c>
      <c r="I1049" s="182" t="s">
        <v>5205</v>
      </c>
      <c r="J1049" s="182" t="s">
        <v>5206</v>
      </c>
      <c r="K1049" s="182" t="s">
        <v>5207</v>
      </c>
      <c r="L1049" s="182" t="s">
        <v>15</v>
      </c>
      <c r="M1049"/>
      <c r="R1049"/>
      <c r="T1049"/>
    </row>
    <row r="1050" spans="1:20">
      <c r="A1050" s="170" t="s">
        <v>5208</v>
      </c>
      <c r="B1050" s="170" t="s">
        <v>5209</v>
      </c>
      <c r="C1050" s="170"/>
      <c r="D1050" s="170" t="s">
        <v>11</v>
      </c>
      <c r="E1050" s="170" t="s">
        <v>12</v>
      </c>
      <c r="H1050" s="207">
        <v>499431</v>
      </c>
      <c r="I1050" s="182" t="s">
        <v>5210</v>
      </c>
      <c r="J1050" s="182" t="s">
        <v>5211</v>
      </c>
      <c r="K1050" s="182" t="s">
        <v>5212</v>
      </c>
      <c r="L1050" s="182" t="s">
        <v>15</v>
      </c>
      <c r="M1050"/>
      <c r="R1050"/>
      <c r="T1050"/>
    </row>
    <row r="1051" spans="1:13">
      <c r="A1051" s="170" t="s">
        <v>5213</v>
      </c>
      <c r="B1051" s="170" t="s">
        <v>5214</v>
      </c>
      <c r="C1051" s="182" t="s">
        <v>5215</v>
      </c>
      <c r="D1051" s="170" t="s">
        <v>11</v>
      </c>
      <c r="E1051" s="170" t="s">
        <v>12</v>
      </c>
      <c r="H1051" s="207">
        <v>358868</v>
      </c>
      <c r="I1051" s="182" t="s">
        <v>5216</v>
      </c>
      <c r="J1051" s="182" t="s">
        <v>5217</v>
      </c>
      <c r="K1051" s="182" t="s">
        <v>5218</v>
      </c>
      <c r="L1051" s="182" t="s">
        <v>15</v>
      </c>
      <c r="M1051" s="289" t="s">
        <v>5214</v>
      </c>
    </row>
    <row r="1052" spans="1:13">
      <c r="A1052" s="170" t="s">
        <v>5219</v>
      </c>
      <c r="B1052" s="170" t="s">
        <v>5220</v>
      </c>
      <c r="C1052" s="182" t="s">
        <v>5221</v>
      </c>
      <c r="D1052" s="170" t="s">
        <v>11</v>
      </c>
      <c r="E1052" s="170" t="s">
        <v>12</v>
      </c>
      <c r="H1052" s="207" t="s">
        <v>5222</v>
      </c>
      <c r="I1052" s="182" t="s">
        <v>10</v>
      </c>
      <c r="J1052" s="182" t="s">
        <v>5222</v>
      </c>
      <c r="K1052" s="182" t="s">
        <v>5223</v>
      </c>
      <c r="L1052" s="182" t="s">
        <v>53</v>
      </c>
      <c r="M1052" s="289" t="s">
        <v>5220</v>
      </c>
    </row>
    <row r="1053" spans="1:20">
      <c r="A1053" s="170" t="s">
        <v>5224</v>
      </c>
      <c r="B1053" s="170" t="s">
        <v>5225</v>
      </c>
      <c r="C1053" s="170"/>
      <c r="D1053" s="170" t="s">
        <v>11</v>
      </c>
      <c r="E1053" s="170" t="s">
        <v>12</v>
      </c>
      <c r="H1053" s="207">
        <v>496914</v>
      </c>
      <c r="I1053" s="182" t="s">
        <v>5226</v>
      </c>
      <c r="J1053" s="182" t="s">
        <v>5227</v>
      </c>
      <c r="K1053" s="182"/>
      <c r="L1053" s="182" t="s">
        <v>15</v>
      </c>
      <c r="M1053"/>
      <c r="R1053"/>
      <c r="T1053"/>
    </row>
    <row r="1054" spans="1:13">
      <c r="A1054" s="170" t="s">
        <v>5228</v>
      </c>
      <c r="B1054" s="170" t="s">
        <v>5229</v>
      </c>
      <c r="C1054" s="182" t="s">
        <v>5230</v>
      </c>
      <c r="D1054" s="170" t="s">
        <v>11</v>
      </c>
      <c r="E1054" s="170" t="s">
        <v>12</v>
      </c>
      <c r="H1054" s="207">
        <v>510843</v>
      </c>
      <c r="I1054" s="182" t="s">
        <v>5231</v>
      </c>
      <c r="J1054" s="182" t="s">
        <v>5232</v>
      </c>
      <c r="K1054" s="182" t="s">
        <v>5233</v>
      </c>
      <c r="L1054" s="182" t="s">
        <v>15</v>
      </c>
      <c r="M1054" s="289" t="s">
        <v>5229</v>
      </c>
    </row>
    <row r="1055" spans="1:13">
      <c r="A1055" s="170" t="s">
        <v>5234</v>
      </c>
      <c r="B1055" s="170" t="s">
        <v>5235</v>
      </c>
      <c r="C1055" s="182" t="s">
        <v>5236</v>
      </c>
      <c r="D1055" s="170" t="s">
        <v>11</v>
      </c>
      <c r="E1055" s="170" t="s">
        <v>12</v>
      </c>
      <c r="H1055" s="207">
        <v>507066</v>
      </c>
      <c r="I1055" s="182" t="s">
        <v>5237</v>
      </c>
      <c r="J1055" s="182" t="s">
        <v>5238</v>
      </c>
      <c r="K1055" s="182" t="s">
        <v>5239</v>
      </c>
      <c r="L1055" s="182" t="s">
        <v>15</v>
      </c>
      <c r="M1055" s="289" t="s">
        <v>5235</v>
      </c>
    </row>
    <row r="1056" spans="1:20">
      <c r="A1056" s="170" t="s">
        <v>5240</v>
      </c>
      <c r="B1056" s="170" t="s">
        <v>5241</v>
      </c>
      <c r="C1056" s="170"/>
      <c r="D1056" s="170" t="s">
        <v>11</v>
      </c>
      <c r="E1056" s="170" t="s">
        <v>12</v>
      </c>
      <c r="H1056" s="207" t="s">
        <v>10</v>
      </c>
      <c r="I1056" s="182" t="s">
        <v>10</v>
      </c>
      <c r="J1056" s="182" t="s">
        <v>5242</v>
      </c>
      <c r="K1056" s="182" t="s">
        <v>5243</v>
      </c>
      <c r="L1056" s="182" t="s">
        <v>15</v>
      </c>
      <c r="M1056"/>
      <c r="R1056"/>
      <c r="T1056"/>
    </row>
    <row r="1057" spans="1:13">
      <c r="A1057" s="170" t="s">
        <v>5244</v>
      </c>
      <c r="B1057" s="170" t="s">
        <v>5245</v>
      </c>
      <c r="C1057" s="182" t="s">
        <v>5246</v>
      </c>
      <c r="D1057" s="170" t="s">
        <v>11</v>
      </c>
      <c r="E1057" s="170" t="s">
        <v>12</v>
      </c>
      <c r="H1057" s="207">
        <v>39575</v>
      </c>
      <c r="I1057" s="182" t="s">
        <v>5247</v>
      </c>
      <c r="J1057" s="182" t="s">
        <v>5248</v>
      </c>
      <c r="K1057" s="182" t="s">
        <v>5249</v>
      </c>
      <c r="L1057" s="182" t="s">
        <v>15</v>
      </c>
      <c r="M1057" s="289" t="s">
        <v>5245</v>
      </c>
    </row>
    <row r="1058" spans="1:13">
      <c r="A1058" s="170" t="s">
        <v>5250</v>
      </c>
      <c r="B1058" s="170" t="s">
        <v>5251</v>
      </c>
      <c r="C1058" s="182" t="s">
        <v>5252</v>
      </c>
      <c r="D1058" s="170" t="s">
        <v>11</v>
      </c>
      <c r="E1058" s="170" t="s">
        <v>12</v>
      </c>
      <c r="H1058" s="207">
        <v>506906</v>
      </c>
      <c r="I1058" s="182" t="s">
        <v>5253</v>
      </c>
      <c r="J1058" s="182" t="s">
        <v>5254</v>
      </c>
      <c r="K1058" s="182" t="s">
        <v>5255</v>
      </c>
      <c r="L1058" s="182" t="s">
        <v>15</v>
      </c>
      <c r="M1058" s="289" t="s">
        <v>5251</v>
      </c>
    </row>
    <row r="1059" spans="1:20">
      <c r="A1059" s="170" t="s">
        <v>5256</v>
      </c>
      <c r="B1059" s="170" t="s">
        <v>5257</v>
      </c>
      <c r="C1059" s="170"/>
      <c r="D1059" s="170" t="s">
        <v>11</v>
      </c>
      <c r="E1059" s="170" t="s">
        <v>12</v>
      </c>
      <c r="H1059" s="207">
        <v>496560</v>
      </c>
      <c r="I1059" s="182" t="s">
        <v>5258</v>
      </c>
      <c r="J1059" s="182" t="s">
        <v>5259</v>
      </c>
      <c r="K1059" s="182" t="s">
        <v>5260</v>
      </c>
      <c r="L1059" s="182" t="s">
        <v>15</v>
      </c>
      <c r="M1059"/>
      <c r="R1059"/>
      <c r="T1059"/>
    </row>
    <row r="1060" spans="1:13">
      <c r="A1060" s="170" t="s">
        <v>5261</v>
      </c>
      <c r="B1060" s="170" t="s">
        <v>5262</v>
      </c>
      <c r="C1060" s="182" t="s">
        <v>5263</v>
      </c>
      <c r="D1060" s="170" t="s">
        <v>11</v>
      </c>
      <c r="E1060" s="170" t="s">
        <v>12</v>
      </c>
      <c r="H1060" s="207">
        <v>478088</v>
      </c>
      <c r="I1060" s="182" t="s">
        <v>5264</v>
      </c>
      <c r="J1060" s="182" t="s">
        <v>5265</v>
      </c>
      <c r="K1060" s="182" t="s">
        <v>5266</v>
      </c>
      <c r="L1060" s="182" t="s">
        <v>15</v>
      </c>
      <c r="M1060" s="289" t="s">
        <v>5262</v>
      </c>
    </row>
    <row r="1061" spans="1:13">
      <c r="A1061" s="170" t="s">
        <v>5267</v>
      </c>
      <c r="B1061" s="170" t="s">
        <v>5268</v>
      </c>
      <c r="C1061" s="182" t="s">
        <v>5269</v>
      </c>
      <c r="D1061" s="170" t="s">
        <v>11</v>
      </c>
      <c r="E1061" s="170" t="s">
        <v>12</v>
      </c>
      <c r="H1061" s="207" t="s">
        <v>5270</v>
      </c>
      <c r="I1061" s="182" t="s">
        <v>10</v>
      </c>
      <c r="J1061" s="182" t="s">
        <v>5270</v>
      </c>
      <c r="K1061" s="182" t="s">
        <v>5271</v>
      </c>
      <c r="L1061" s="182" t="s">
        <v>53</v>
      </c>
      <c r="M1061" s="289" t="s">
        <v>5268</v>
      </c>
    </row>
    <row r="1062" spans="1:20">
      <c r="A1062" s="170" t="s">
        <v>5272</v>
      </c>
      <c r="B1062" s="170" t="s">
        <v>5273</v>
      </c>
      <c r="C1062" s="170"/>
      <c r="D1062" s="170" t="s">
        <v>11</v>
      </c>
      <c r="E1062" s="170" t="s">
        <v>12</v>
      </c>
      <c r="H1062" s="207">
        <v>487325</v>
      </c>
      <c r="I1062" s="182" t="s">
        <v>5274</v>
      </c>
      <c r="J1062" s="182" t="s">
        <v>5275</v>
      </c>
      <c r="K1062" s="182" t="s">
        <v>5276</v>
      </c>
      <c r="L1062" s="182" t="s">
        <v>15</v>
      </c>
      <c r="M1062"/>
      <c r="R1062"/>
      <c r="T1062"/>
    </row>
    <row r="1063" spans="1:13">
      <c r="A1063" s="170" t="s">
        <v>5277</v>
      </c>
      <c r="B1063" s="170" t="s">
        <v>5278</v>
      </c>
      <c r="C1063" s="182" t="s">
        <v>5279</v>
      </c>
      <c r="D1063" s="170" t="s">
        <v>11</v>
      </c>
      <c r="E1063" s="170" t="s">
        <v>12</v>
      </c>
      <c r="H1063" s="207">
        <v>421626</v>
      </c>
      <c r="I1063" s="182" t="s">
        <v>5280</v>
      </c>
      <c r="J1063" s="182" t="s">
        <v>5281</v>
      </c>
      <c r="K1063" s="182" t="s">
        <v>5282</v>
      </c>
      <c r="L1063" s="182" t="s">
        <v>15</v>
      </c>
      <c r="M1063" s="289" t="s">
        <v>5278</v>
      </c>
    </row>
    <row r="1064" spans="1:13">
      <c r="A1064" s="170" t="s">
        <v>5283</v>
      </c>
      <c r="B1064" s="170" t="s">
        <v>5284</v>
      </c>
      <c r="C1064" s="182" t="s">
        <v>5285</v>
      </c>
      <c r="D1064" s="170" t="s">
        <v>11</v>
      </c>
      <c r="E1064" s="170" t="s">
        <v>12</v>
      </c>
      <c r="H1064" s="207" t="s">
        <v>5286</v>
      </c>
      <c r="I1064" s="182" t="s">
        <v>10</v>
      </c>
      <c r="J1064" s="182" t="s">
        <v>5286</v>
      </c>
      <c r="K1064" s="182" t="s">
        <v>5287</v>
      </c>
      <c r="L1064" s="182" t="s">
        <v>19</v>
      </c>
      <c r="M1064" s="289" t="s">
        <v>5284</v>
      </c>
    </row>
    <row r="1065" spans="1:20">
      <c r="A1065" s="170" t="s">
        <v>5288</v>
      </c>
      <c r="B1065" s="170" t="s">
        <v>5289</v>
      </c>
      <c r="C1065" s="170"/>
      <c r="D1065" s="170" t="s">
        <v>11</v>
      </c>
      <c r="E1065" s="170" t="s">
        <v>12</v>
      </c>
      <c r="H1065" s="207">
        <v>509836</v>
      </c>
      <c r="I1065" s="182" t="s">
        <v>5290</v>
      </c>
      <c r="J1065" s="182" t="s">
        <v>5291</v>
      </c>
      <c r="K1065" s="182" t="s">
        <v>5292</v>
      </c>
      <c r="L1065" s="182" t="s">
        <v>15</v>
      </c>
      <c r="M1065"/>
      <c r="R1065"/>
      <c r="T1065"/>
    </row>
    <row r="1066" spans="1:13">
      <c r="A1066" s="170" t="s">
        <v>5293</v>
      </c>
      <c r="B1066" s="170" t="s">
        <v>5294</v>
      </c>
      <c r="C1066" s="182" t="s">
        <v>5295</v>
      </c>
      <c r="D1066" s="170" t="s">
        <v>11</v>
      </c>
      <c r="E1066" s="170" t="s">
        <v>12</v>
      </c>
      <c r="H1066" s="207">
        <v>361359</v>
      </c>
      <c r="I1066" s="182" t="s">
        <v>5296</v>
      </c>
      <c r="J1066" s="182" t="s">
        <v>5297</v>
      </c>
      <c r="K1066" s="182" t="s">
        <v>5298</v>
      </c>
      <c r="L1066" s="182" t="s">
        <v>15</v>
      </c>
      <c r="M1066" s="289" t="s">
        <v>5294</v>
      </c>
    </row>
    <row r="1067" spans="1:13">
      <c r="A1067" s="170" t="s">
        <v>5299</v>
      </c>
      <c r="B1067" s="170" t="s">
        <v>5300</v>
      </c>
      <c r="C1067" s="182" t="s">
        <v>5301</v>
      </c>
      <c r="D1067" s="170" t="s">
        <v>11</v>
      </c>
      <c r="E1067" s="170" t="s">
        <v>12</v>
      </c>
      <c r="H1067" s="207">
        <v>478271</v>
      </c>
      <c r="I1067" s="182" t="s">
        <v>5302</v>
      </c>
      <c r="J1067" s="182" t="s">
        <v>5303</v>
      </c>
      <c r="K1067" s="182"/>
      <c r="L1067" s="182" t="s">
        <v>15</v>
      </c>
      <c r="M1067" s="289" t="s">
        <v>5300</v>
      </c>
    </row>
    <row r="1068" spans="1:20">
      <c r="A1068" s="170" t="s">
        <v>5304</v>
      </c>
      <c r="B1068" s="170" t="s">
        <v>5305</v>
      </c>
      <c r="C1068" s="170"/>
      <c r="D1068" s="170" t="s">
        <v>11</v>
      </c>
      <c r="E1068" s="170" t="s">
        <v>12</v>
      </c>
      <c r="H1068" s="207">
        <v>809607</v>
      </c>
      <c r="I1068" s="182" t="s">
        <v>5306</v>
      </c>
      <c r="J1068" s="182" t="s">
        <v>5307</v>
      </c>
      <c r="K1068" s="182" t="s">
        <v>5308</v>
      </c>
      <c r="L1068" s="182" t="s">
        <v>15</v>
      </c>
      <c r="M1068"/>
      <c r="R1068"/>
      <c r="T1068"/>
    </row>
    <row r="1069" spans="1:13">
      <c r="A1069" s="170" t="s">
        <v>5309</v>
      </c>
      <c r="B1069" s="170" t="s">
        <v>5310</v>
      </c>
      <c r="C1069" s="182" t="s">
        <v>5311</v>
      </c>
      <c r="D1069" s="170" t="s">
        <v>11</v>
      </c>
      <c r="E1069" s="170" t="s">
        <v>12</v>
      </c>
      <c r="H1069" s="207">
        <v>162449</v>
      </c>
      <c r="I1069" s="182" t="s">
        <v>5312</v>
      </c>
      <c r="J1069" s="182" t="s">
        <v>5313</v>
      </c>
      <c r="K1069" s="182" t="s">
        <v>5314</v>
      </c>
      <c r="L1069" s="182" t="s">
        <v>15</v>
      </c>
      <c r="M1069" s="289" t="s">
        <v>5310</v>
      </c>
    </row>
    <row r="1070" spans="1:13">
      <c r="A1070" s="170" t="s">
        <v>5315</v>
      </c>
      <c r="B1070" s="170" t="s">
        <v>5316</v>
      </c>
      <c r="C1070" s="182" t="s">
        <v>5317</v>
      </c>
      <c r="D1070" s="170" t="s">
        <v>11</v>
      </c>
      <c r="E1070" s="170" t="s">
        <v>12</v>
      </c>
      <c r="H1070" s="207">
        <v>451001</v>
      </c>
      <c r="I1070" s="182" t="s">
        <v>5318</v>
      </c>
      <c r="J1070" s="182" t="s">
        <v>5319</v>
      </c>
      <c r="K1070" s="182" t="s">
        <v>5320</v>
      </c>
      <c r="L1070" s="182" t="s">
        <v>15</v>
      </c>
      <c r="M1070" s="289" t="s">
        <v>5316</v>
      </c>
    </row>
    <row r="1071" spans="1:20">
      <c r="A1071" s="170" t="s">
        <v>5321</v>
      </c>
      <c r="B1071" s="170" t="s">
        <v>5322</v>
      </c>
      <c r="C1071" s="170"/>
      <c r="D1071" s="170" t="s">
        <v>11</v>
      </c>
      <c r="E1071" s="170" t="s">
        <v>12</v>
      </c>
      <c r="H1071" s="207">
        <v>139709</v>
      </c>
      <c r="I1071" s="182" t="s">
        <v>5323</v>
      </c>
      <c r="J1071" s="182" t="s">
        <v>5324</v>
      </c>
      <c r="K1071" s="182" t="s">
        <v>5325</v>
      </c>
      <c r="L1071" s="182" t="s">
        <v>15</v>
      </c>
      <c r="M1071"/>
      <c r="R1071"/>
      <c r="T1071"/>
    </row>
    <row r="1072" spans="1:13">
      <c r="A1072" s="170" t="s">
        <v>5326</v>
      </c>
      <c r="B1072" s="170" t="s">
        <v>5327</v>
      </c>
      <c r="C1072" s="182" t="s">
        <v>5328</v>
      </c>
      <c r="D1072" s="170" t="s">
        <v>11</v>
      </c>
      <c r="E1072" s="170" t="s">
        <v>12</v>
      </c>
      <c r="H1072" s="207">
        <v>492223</v>
      </c>
      <c r="I1072" s="182" t="s">
        <v>5329</v>
      </c>
      <c r="J1072" s="182" t="s">
        <v>5330</v>
      </c>
      <c r="K1072" s="182" t="s">
        <v>5331</v>
      </c>
      <c r="L1072" s="182" t="s">
        <v>15</v>
      </c>
      <c r="M1072" s="289" t="s">
        <v>5327</v>
      </c>
    </row>
    <row r="1073" spans="1:20">
      <c r="A1073" s="170" t="s">
        <v>5332</v>
      </c>
      <c r="B1073" s="170" t="s">
        <v>5333</v>
      </c>
      <c r="C1073" s="170"/>
      <c r="D1073" s="170" t="s">
        <v>11</v>
      </c>
      <c r="E1073" s="170" t="s">
        <v>12</v>
      </c>
      <c r="H1073" s="207">
        <v>486020</v>
      </c>
      <c r="I1073" s="182" t="s">
        <v>4957</v>
      </c>
      <c r="J1073" s="182" t="s">
        <v>5334</v>
      </c>
      <c r="K1073" s="182" t="s">
        <v>5335</v>
      </c>
      <c r="L1073" s="182" t="s">
        <v>369</v>
      </c>
      <c r="M1073"/>
      <c r="R1073"/>
      <c r="T1073"/>
    </row>
    <row r="1074" spans="1:20">
      <c r="A1074" s="170" t="s">
        <v>5336</v>
      </c>
      <c r="B1074" s="170" t="s">
        <v>5337</v>
      </c>
      <c r="C1074" s="170"/>
      <c r="D1074" s="170" t="s">
        <v>11</v>
      </c>
      <c r="E1074" s="170" t="s">
        <v>12</v>
      </c>
      <c r="H1074" s="207" t="s">
        <v>5338</v>
      </c>
      <c r="I1074" s="182" t="s">
        <v>10</v>
      </c>
      <c r="J1074" s="182" t="s">
        <v>5338</v>
      </c>
      <c r="K1074" s="182" t="s">
        <v>5339</v>
      </c>
      <c r="L1074" s="182" t="s">
        <v>19</v>
      </c>
      <c r="M1074"/>
      <c r="R1074"/>
      <c r="T1074"/>
    </row>
    <row r="1075" spans="1:13">
      <c r="A1075" s="170" t="s">
        <v>5340</v>
      </c>
      <c r="B1075" s="170" t="s">
        <v>5341</v>
      </c>
      <c r="C1075" s="182" t="s">
        <v>5342</v>
      </c>
      <c r="D1075" s="170" t="s">
        <v>11</v>
      </c>
      <c r="E1075" s="170" t="s">
        <v>12</v>
      </c>
      <c r="H1075" s="207">
        <v>440828</v>
      </c>
      <c r="I1075" s="182" t="s">
        <v>5343</v>
      </c>
      <c r="J1075" s="182" t="s">
        <v>5344</v>
      </c>
      <c r="K1075" s="182" t="s">
        <v>5345</v>
      </c>
      <c r="L1075" s="182" t="s">
        <v>15</v>
      </c>
      <c r="M1075" s="289" t="s">
        <v>5341</v>
      </c>
    </row>
    <row r="1076" spans="1:20">
      <c r="A1076" s="170" t="s">
        <v>5346</v>
      </c>
      <c r="B1076" s="170" t="s">
        <v>5347</v>
      </c>
      <c r="C1076" s="170"/>
      <c r="D1076" s="170" t="s">
        <v>11</v>
      </c>
      <c r="E1076" s="170" t="s">
        <v>12</v>
      </c>
      <c r="H1076" s="207">
        <v>485267</v>
      </c>
      <c r="I1076" s="182" t="s">
        <v>5348</v>
      </c>
      <c r="J1076" s="182" t="s">
        <v>5349</v>
      </c>
      <c r="K1076" s="182" t="s">
        <v>5350</v>
      </c>
      <c r="L1076" s="182" t="s">
        <v>15</v>
      </c>
      <c r="M1076"/>
      <c r="R1076"/>
      <c r="T1076"/>
    </row>
    <row r="1077" spans="1:20">
      <c r="A1077" s="170" t="s">
        <v>5351</v>
      </c>
      <c r="B1077" s="170" t="s">
        <v>5352</v>
      </c>
      <c r="C1077" s="170"/>
      <c r="D1077" s="170" t="s">
        <v>11</v>
      </c>
      <c r="E1077" s="170" t="s">
        <v>12</v>
      </c>
      <c r="H1077" s="207">
        <v>458238</v>
      </c>
      <c r="I1077" s="182" t="s">
        <v>5353</v>
      </c>
      <c r="J1077" s="182" t="s">
        <v>5354</v>
      </c>
      <c r="K1077" s="182" t="s">
        <v>5355</v>
      </c>
      <c r="L1077" s="182" t="s">
        <v>15</v>
      </c>
      <c r="M1077"/>
      <c r="R1077"/>
      <c r="T1077"/>
    </row>
    <row r="1078" spans="1:13">
      <c r="A1078" s="170" t="s">
        <v>5356</v>
      </c>
      <c r="B1078" s="170" t="s">
        <v>5357</v>
      </c>
      <c r="C1078" s="182" t="s">
        <v>5358</v>
      </c>
      <c r="D1078" s="170" t="s">
        <v>11</v>
      </c>
      <c r="E1078" s="170" t="s">
        <v>12</v>
      </c>
      <c r="H1078" s="207">
        <v>497139</v>
      </c>
      <c r="I1078" s="182" t="s">
        <v>5359</v>
      </c>
      <c r="J1078" s="182" t="s">
        <v>5360</v>
      </c>
      <c r="K1078" s="182"/>
      <c r="L1078" s="182" t="s">
        <v>15</v>
      </c>
      <c r="M1078" s="289" t="s">
        <v>5357</v>
      </c>
    </row>
    <row r="1079" spans="1:20">
      <c r="A1079" s="170" t="s">
        <v>5361</v>
      </c>
      <c r="B1079" s="170" t="s">
        <v>5362</v>
      </c>
      <c r="C1079" s="170"/>
      <c r="D1079" s="170" t="s">
        <v>11</v>
      </c>
      <c r="E1079" s="170" t="s">
        <v>12</v>
      </c>
      <c r="H1079" s="207">
        <v>487097</v>
      </c>
      <c r="I1079" s="182" t="s">
        <v>5363</v>
      </c>
      <c r="J1079" s="182" t="s">
        <v>5364</v>
      </c>
      <c r="K1079" s="182" t="s">
        <v>5365</v>
      </c>
      <c r="L1079" s="182" t="s">
        <v>15</v>
      </c>
      <c r="M1079"/>
      <c r="R1079"/>
      <c r="T1079"/>
    </row>
    <row r="1080" spans="1:20">
      <c r="A1080" s="170" t="s">
        <v>5366</v>
      </c>
      <c r="B1080" s="170" t="s">
        <v>5367</v>
      </c>
      <c r="C1080" s="170"/>
      <c r="D1080" s="170" t="s">
        <v>11</v>
      </c>
      <c r="E1080" s="170" t="s">
        <v>12</v>
      </c>
      <c r="H1080" s="207">
        <v>450380</v>
      </c>
      <c r="I1080" s="182" t="s">
        <v>5368</v>
      </c>
      <c r="J1080" s="182" t="s">
        <v>5369</v>
      </c>
      <c r="K1080" s="182" t="s">
        <v>5370</v>
      </c>
      <c r="L1080" s="182" t="s">
        <v>15</v>
      </c>
      <c r="M1080"/>
      <c r="R1080"/>
      <c r="T1080"/>
    </row>
    <row r="1081" spans="1:20">
      <c r="A1081" s="170" t="s">
        <v>5371</v>
      </c>
      <c r="B1081" s="170" t="s">
        <v>5372</v>
      </c>
      <c r="C1081" s="178" t="s">
        <v>10</v>
      </c>
      <c r="D1081" s="170" t="s">
        <v>11</v>
      </c>
      <c r="E1081" s="170" t="s">
        <v>12</v>
      </c>
      <c r="H1081" s="207" t="s">
        <v>5373</v>
      </c>
      <c r="I1081" s="182" t="s">
        <v>10</v>
      </c>
      <c r="J1081" s="182" t="s">
        <v>5373</v>
      </c>
      <c r="K1081" s="182" t="s">
        <v>5374</v>
      </c>
      <c r="L1081" s="182" t="s">
        <v>53</v>
      </c>
      <c r="M1081"/>
      <c r="R1081"/>
      <c r="T1081"/>
    </row>
    <row r="1082" spans="1:20">
      <c r="A1082" s="170" t="s">
        <v>5375</v>
      </c>
      <c r="B1082" s="170" t="s">
        <v>5376</v>
      </c>
      <c r="C1082" s="178" t="s">
        <v>10</v>
      </c>
      <c r="D1082" s="170" t="s">
        <v>11</v>
      </c>
      <c r="E1082" s="170" t="s">
        <v>12</v>
      </c>
      <c r="H1082" s="207">
        <v>437430</v>
      </c>
      <c r="I1082" s="182" t="s">
        <v>5377</v>
      </c>
      <c r="J1082" s="182" t="s">
        <v>5378</v>
      </c>
      <c r="K1082" s="182" t="s">
        <v>5379</v>
      </c>
      <c r="L1082" s="182" t="s">
        <v>15</v>
      </c>
      <c r="M1082"/>
      <c r="R1082"/>
      <c r="T1082"/>
    </row>
    <row r="1083" spans="1:20">
      <c r="A1083" s="170" t="s">
        <v>5380</v>
      </c>
      <c r="B1083" s="170" t="s">
        <v>5381</v>
      </c>
      <c r="C1083" s="178" t="s">
        <v>10</v>
      </c>
      <c r="D1083" s="170" t="s">
        <v>11</v>
      </c>
      <c r="E1083" s="170" t="s">
        <v>12</v>
      </c>
      <c r="H1083" s="207">
        <v>436879</v>
      </c>
      <c r="I1083" s="182" t="s">
        <v>5382</v>
      </c>
      <c r="J1083" s="182" t="s">
        <v>5383</v>
      </c>
      <c r="K1083" s="182" t="s">
        <v>5384</v>
      </c>
      <c r="L1083" s="182" t="s">
        <v>15</v>
      </c>
      <c r="M1083"/>
      <c r="R1083"/>
      <c r="T1083"/>
    </row>
    <row r="1084" spans="1:20">
      <c r="A1084" s="170" t="s">
        <v>5385</v>
      </c>
      <c r="B1084" s="170" t="s">
        <v>5386</v>
      </c>
      <c r="C1084" s="178" t="s">
        <v>10</v>
      </c>
      <c r="D1084" s="170" t="s">
        <v>11</v>
      </c>
      <c r="E1084" s="170" t="s">
        <v>12</v>
      </c>
      <c r="H1084" s="207">
        <v>500640</v>
      </c>
      <c r="I1084" s="182" t="s">
        <v>89</v>
      </c>
      <c r="J1084" s="182" t="s">
        <v>5387</v>
      </c>
      <c r="K1084" s="182" t="s">
        <v>5388</v>
      </c>
      <c r="L1084" s="182" t="s">
        <v>15</v>
      </c>
      <c r="M1084"/>
      <c r="R1084"/>
      <c r="T1084"/>
    </row>
    <row r="1085" spans="1:20">
      <c r="A1085" s="170" t="s">
        <v>5389</v>
      </c>
      <c r="B1085" s="170" t="s">
        <v>5390</v>
      </c>
      <c r="C1085" s="178" t="s">
        <v>10</v>
      </c>
      <c r="D1085" s="170" t="s">
        <v>11</v>
      </c>
      <c r="E1085" s="170" t="s">
        <v>12</v>
      </c>
      <c r="H1085" s="207">
        <v>451038</v>
      </c>
      <c r="I1085" s="182" t="s">
        <v>5391</v>
      </c>
      <c r="J1085" s="182" t="s">
        <v>5392</v>
      </c>
      <c r="K1085" s="182" t="s">
        <v>5393</v>
      </c>
      <c r="L1085" s="182" t="s">
        <v>15</v>
      </c>
      <c r="M1085"/>
      <c r="R1085"/>
      <c r="T1085"/>
    </row>
    <row r="1086" spans="1:20">
      <c r="A1086" s="170" t="s">
        <v>5394</v>
      </c>
      <c r="B1086" s="170" t="s">
        <v>5395</v>
      </c>
      <c r="C1086" s="178" t="s">
        <v>10</v>
      </c>
      <c r="D1086" s="170" t="s">
        <v>11</v>
      </c>
      <c r="E1086" s="170" t="s">
        <v>12</v>
      </c>
      <c r="H1086" s="207">
        <v>501425</v>
      </c>
      <c r="I1086" s="182" t="s">
        <v>5396</v>
      </c>
      <c r="J1086" s="182" t="s">
        <v>5397</v>
      </c>
      <c r="K1086" s="182" t="s">
        <v>5398</v>
      </c>
      <c r="L1086" s="182" t="s">
        <v>15</v>
      </c>
      <c r="M1086"/>
      <c r="R1086"/>
      <c r="T1086"/>
    </row>
    <row r="1087" spans="1:13">
      <c r="A1087" s="170" t="s">
        <v>5399</v>
      </c>
      <c r="B1087" s="170" t="s">
        <v>5400</v>
      </c>
      <c r="C1087" s="182" t="s">
        <v>5401</v>
      </c>
      <c r="D1087" s="170" t="s">
        <v>11</v>
      </c>
      <c r="E1087" s="170" t="s">
        <v>12</v>
      </c>
      <c r="H1087" s="207">
        <v>83718</v>
      </c>
      <c r="I1087" s="182" t="s">
        <v>5402</v>
      </c>
      <c r="J1087" s="182" t="s">
        <v>5403</v>
      </c>
      <c r="K1087" s="182" t="s">
        <v>5404</v>
      </c>
      <c r="L1087" s="182" t="s">
        <v>15</v>
      </c>
      <c r="M1087" s="289" t="s">
        <v>5400</v>
      </c>
    </row>
    <row r="1088" spans="1:20">
      <c r="A1088" s="170" t="s">
        <v>5405</v>
      </c>
      <c r="B1088" s="170" t="s">
        <v>5406</v>
      </c>
      <c r="C1088" s="170"/>
      <c r="D1088" s="170" t="s">
        <v>11</v>
      </c>
      <c r="E1088" s="170" t="s">
        <v>12</v>
      </c>
      <c r="H1088" s="207" t="s">
        <v>5407</v>
      </c>
      <c r="I1088" s="182" t="s">
        <v>10</v>
      </c>
      <c r="J1088" s="182" t="s">
        <v>5407</v>
      </c>
      <c r="K1088" s="182" t="s">
        <v>5408</v>
      </c>
      <c r="L1088" s="182" t="s">
        <v>19</v>
      </c>
      <c r="M1088"/>
      <c r="R1088"/>
      <c r="T1088"/>
    </row>
    <row r="1089" spans="1:20">
      <c r="A1089" s="170" t="s">
        <v>5409</v>
      </c>
      <c r="B1089" s="170" t="s">
        <v>5410</v>
      </c>
      <c r="C1089" s="170"/>
      <c r="D1089" s="170" t="s">
        <v>11</v>
      </c>
      <c r="E1089" s="170" t="s">
        <v>12</v>
      </c>
      <c r="H1089" s="207">
        <v>439356</v>
      </c>
      <c r="I1089" s="182" t="s">
        <v>5411</v>
      </c>
      <c r="J1089" s="182" t="s">
        <v>5412</v>
      </c>
      <c r="K1089" s="182" t="s">
        <v>5413</v>
      </c>
      <c r="L1089" s="182" t="s">
        <v>15</v>
      </c>
      <c r="M1089"/>
      <c r="R1089"/>
      <c r="T1089"/>
    </row>
    <row r="1090" spans="1:13">
      <c r="A1090" s="170" t="s">
        <v>5414</v>
      </c>
      <c r="B1090" s="170" t="s">
        <v>5415</v>
      </c>
      <c r="C1090" s="192" t="s">
        <v>5416</v>
      </c>
      <c r="D1090" s="170" t="s">
        <v>11</v>
      </c>
      <c r="E1090" s="170" t="s">
        <v>12</v>
      </c>
      <c r="H1090" s="207">
        <v>439151</v>
      </c>
      <c r="I1090" s="182" t="s">
        <v>5417</v>
      </c>
      <c r="J1090" s="182" t="s">
        <v>5418</v>
      </c>
      <c r="K1090" s="182" t="s">
        <v>5419</v>
      </c>
      <c r="L1090" s="182" t="s">
        <v>15</v>
      </c>
      <c r="M1090" s="289" t="s">
        <v>5415</v>
      </c>
    </row>
    <row r="1091" spans="1:20">
      <c r="A1091" s="170" t="s">
        <v>5420</v>
      </c>
      <c r="B1091" s="170" t="s">
        <v>5421</v>
      </c>
      <c r="C1091" s="170"/>
      <c r="D1091" s="170" t="s">
        <v>11</v>
      </c>
      <c r="E1091" s="170" t="s">
        <v>12</v>
      </c>
      <c r="H1091" s="207">
        <v>490699</v>
      </c>
      <c r="I1091" s="182" t="s">
        <v>5422</v>
      </c>
      <c r="J1091" s="182" t="s">
        <v>5423</v>
      </c>
      <c r="K1091" s="182"/>
      <c r="L1091" s="182" t="s">
        <v>15</v>
      </c>
      <c r="M1091"/>
      <c r="R1091"/>
      <c r="T1091"/>
    </row>
    <row r="1092" spans="1:20">
      <c r="A1092" s="170" t="s">
        <v>5424</v>
      </c>
      <c r="B1092" s="170" t="s">
        <v>5425</v>
      </c>
      <c r="C1092" s="170"/>
      <c r="D1092" s="170" t="s">
        <v>11</v>
      </c>
      <c r="E1092" s="170" t="s">
        <v>12</v>
      </c>
      <c r="H1092" s="207" t="s">
        <v>5426</v>
      </c>
      <c r="I1092" s="182" t="s">
        <v>10</v>
      </c>
      <c r="J1092" s="182" t="s">
        <v>5426</v>
      </c>
      <c r="K1092" s="182" t="s">
        <v>5427</v>
      </c>
      <c r="L1092" s="182" t="s">
        <v>19</v>
      </c>
      <c r="M1092"/>
      <c r="R1092"/>
      <c r="T1092"/>
    </row>
    <row r="1093" spans="1:13">
      <c r="A1093" s="170" t="s">
        <v>5428</v>
      </c>
      <c r="B1093" s="299" t="s">
        <v>5429</v>
      </c>
      <c r="C1093" s="182" t="s">
        <v>5430</v>
      </c>
      <c r="D1093" s="170" t="s">
        <v>11</v>
      </c>
      <c r="E1093" s="170" t="s">
        <v>12</v>
      </c>
      <c r="H1093" s="207">
        <v>431471</v>
      </c>
      <c r="I1093" s="182" t="s">
        <v>5431</v>
      </c>
      <c r="J1093" s="182" t="s">
        <v>5432</v>
      </c>
      <c r="K1093" s="182" t="s">
        <v>5433</v>
      </c>
      <c r="L1093" s="182" t="s">
        <v>15</v>
      </c>
      <c r="M1093" s="303" t="s">
        <v>5434</v>
      </c>
    </row>
    <row r="1094" spans="1:13">
      <c r="A1094" s="170" t="s">
        <v>5435</v>
      </c>
      <c r="B1094" s="170" t="s">
        <v>5436</v>
      </c>
      <c r="C1094" s="182" t="s">
        <v>5437</v>
      </c>
      <c r="D1094" s="170" t="s">
        <v>11</v>
      </c>
      <c r="E1094" s="170" t="s">
        <v>12</v>
      </c>
      <c r="H1094" s="207">
        <v>481488</v>
      </c>
      <c r="I1094" s="182" t="s">
        <v>5438</v>
      </c>
      <c r="J1094" s="182" t="s">
        <v>5439</v>
      </c>
      <c r="K1094" s="182" t="s">
        <v>5440</v>
      </c>
      <c r="L1094" s="182" t="s">
        <v>15</v>
      </c>
      <c r="M1094" s="289" t="s">
        <v>5436</v>
      </c>
    </row>
    <row r="1095" spans="1:20">
      <c r="A1095" s="170" t="s">
        <v>5441</v>
      </c>
      <c r="B1095" s="170" t="s">
        <v>5442</v>
      </c>
      <c r="C1095" s="170"/>
      <c r="D1095" s="170" t="s">
        <v>11</v>
      </c>
      <c r="E1095" s="170" t="s">
        <v>12</v>
      </c>
      <c r="H1095" s="207">
        <v>490971</v>
      </c>
      <c r="I1095" s="182" t="s">
        <v>5443</v>
      </c>
      <c r="J1095" s="182" t="s">
        <v>5444</v>
      </c>
      <c r="K1095" s="182" t="s">
        <v>5445</v>
      </c>
      <c r="L1095" s="182" t="s">
        <v>15</v>
      </c>
      <c r="M1095"/>
      <c r="R1095"/>
      <c r="T1095"/>
    </row>
    <row r="1096" spans="1:13">
      <c r="A1096" s="170" t="s">
        <v>5446</v>
      </c>
      <c r="B1096" s="170" t="s">
        <v>5447</v>
      </c>
      <c r="C1096" s="182" t="s">
        <v>5448</v>
      </c>
      <c r="D1096" s="170" t="s">
        <v>11</v>
      </c>
      <c r="E1096" s="170" t="s">
        <v>12</v>
      </c>
      <c r="H1096" s="207">
        <v>501252</v>
      </c>
      <c r="I1096" s="182" t="s">
        <v>5449</v>
      </c>
      <c r="J1096" s="182" t="s">
        <v>5450</v>
      </c>
      <c r="K1096" s="182"/>
      <c r="L1096" s="182" t="s">
        <v>15</v>
      </c>
      <c r="M1096" s="289" t="s">
        <v>5447</v>
      </c>
    </row>
    <row r="1097" spans="1:13">
      <c r="A1097" s="170" t="s">
        <v>5451</v>
      </c>
      <c r="B1097" s="170" t="s">
        <v>5452</v>
      </c>
      <c r="C1097" s="182" t="s">
        <v>5453</v>
      </c>
      <c r="D1097" s="170" t="s">
        <v>11</v>
      </c>
      <c r="E1097" s="170" t="s">
        <v>12</v>
      </c>
      <c r="H1097" s="207">
        <v>495383</v>
      </c>
      <c r="I1097" s="182" t="s">
        <v>5454</v>
      </c>
      <c r="J1097" s="182" t="s">
        <v>5455</v>
      </c>
      <c r="K1097" s="182" t="s">
        <v>5456</v>
      </c>
      <c r="L1097" s="182" t="s">
        <v>15</v>
      </c>
      <c r="M1097" s="289" t="s">
        <v>5452</v>
      </c>
    </row>
    <row r="1098" spans="1:20">
      <c r="A1098" s="170" t="s">
        <v>5457</v>
      </c>
      <c r="B1098" s="170" t="s">
        <v>5458</v>
      </c>
      <c r="C1098" s="170"/>
      <c r="D1098" s="170" t="s">
        <v>11</v>
      </c>
      <c r="E1098" s="170" t="s">
        <v>12</v>
      </c>
      <c r="H1098" s="207">
        <v>491929</v>
      </c>
      <c r="I1098" s="182" t="s">
        <v>5459</v>
      </c>
      <c r="J1098" s="182" t="s">
        <v>5460</v>
      </c>
      <c r="K1098" s="182" t="s">
        <v>5461</v>
      </c>
      <c r="L1098" s="182" t="s">
        <v>15</v>
      </c>
      <c r="M1098"/>
      <c r="R1098"/>
      <c r="T1098"/>
    </row>
    <row r="1099" spans="1:13">
      <c r="A1099" s="170" t="s">
        <v>5462</v>
      </c>
      <c r="B1099" s="170" t="s">
        <v>5463</v>
      </c>
      <c r="C1099" s="182" t="s">
        <v>5464</v>
      </c>
      <c r="D1099" s="170" t="s">
        <v>11</v>
      </c>
      <c r="E1099" s="170" t="s">
        <v>12</v>
      </c>
      <c r="H1099" s="207">
        <v>425921</v>
      </c>
      <c r="I1099" s="182" t="s">
        <v>5465</v>
      </c>
      <c r="J1099" s="182" t="s">
        <v>5466</v>
      </c>
      <c r="K1099" s="182" t="s">
        <v>5467</v>
      </c>
      <c r="L1099" s="182" t="s">
        <v>15</v>
      </c>
      <c r="M1099" s="289" t="s">
        <v>5463</v>
      </c>
    </row>
    <row r="1100" spans="1:13">
      <c r="A1100" s="170" t="s">
        <v>5468</v>
      </c>
      <c r="B1100" s="170" t="s">
        <v>5469</v>
      </c>
      <c r="C1100" s="182" t="s">
        <v>5470</v>
      </c>
      <c r="D1100" s="170" t="s">
        <v>11</v>
      </c>
      <c r="E1100" s="170" t="s">
        <v>12</v>
      </c>
      <c r="H1100" s="207">
        <v>433297</v>
      </c>
      <c r="I1100" s="182" t="s">
        <v>5471</v>
      </c>
      <c r="J1100" s="182" t="s">
        <v>5472</v>
      </c>
      <c r="K1100" s="182" t="s">
        <v>5473</v>
      </c>
      <c r="L1100" s="182" t="s">
        <v>15</v>
      </c>
      <c r="M1100" s="289" t="s">
        <v>5469</v>
      </c>
    </row>
    <row r="1101" spans="1:20">
      <c r="A1101" s="170" t="s">
        <v>5474</v>
      </c>
      <c r="B1101" s="170" t="s">
        <v>5475</v>
      </c>
      <c r="C1101" s="170"/>
      <c r="D1101" s="170" t="s">
        <v>11</v>
      </c>
      <c r="E1101" s="170" t="s">
        <v>12</v>
      </c>
      <c r="H1101" s="207">
        <v>407510</v>
      </c>
      <c r="I1101" s="182" t="s">
        <v>5476</v>
      </c>
      <c r="J1101" s="182" t="s">
        <v>5477</v>
      </c>
      <c r="K1101" s="182" t="s">
        <v>5478</v>
      </c>
      <c r="L1101" s="182" t="s">
        <v>15</v>
      </c>
      <c r="M1101"/>
      <c r="R1101"/>
      <c r="T1101"/>
    </row>
    <row r="1102" spans="1:13">
      <c r="A1102" s="170" t="s">
        <v>5479</v>
      </c>
      <c r="B1102" s="170" t="s">
        <v>5480</v>
      </c>
      <c r="C1102" s="192" t="s">
        <v>5481</v>
      </c>
      <c r="D1102" s="170" t="s">
        <v>11</v>
      </c>
      <c r="E1102" s="170" t="s">
        <v>12</v>
      </c>
      <c r="H1102" s="207">
        <v>876731</v>
      </c>
      <c r="I1102" s="182" t="s">
        <v>5482</v>
      </c>
      <c r="J1102" s="182" t="s">
        <v>5483</v>
      </c>
      <c r="K1102" s="182" t="s">
        <v>5484</v>
      </c>
      <c r="L1102" s="182" t="s">
        <v>15</v>
      </c>
      <c r="M1102" s="289" t="s">
        <v>5480</v>
      </c>
    </row>
    <row r="1103" spans="1:13">
      <c r="A1103" s="170" t="s">
        <v>5485</v>
      </c>
      <c r="B1103" s="170" t="s">
        <v>5486</v>
      </c>
      <c r="C1103" s="192" t="s">
        <v>5487</v>
      </c>
      <c r="D1103" s="170" t="s">
        <v>11</v>
      </c>
      <c r="E1103" s="170" t="s">
        <v>12</v>
      </c>
      <c r="H1103" s="207">
        <v>496313</v>
      </c>
      <c r="I1103" s="182" t="s">
        <v>5488</v>
      </c>
      <c r="J1103" s="182" t="s">
        <v>5489</v>
      </c>
      <c r="K1103" s="182"/>
      <c r="L1103" s="182" t="s">
        <v>15</v>
      </c>
      <c r="M1103" s="289" t="s">
        <v>5486</v>
      </c>
    </row>
    <row r="1104" spans="1:20">
      <c r="A1104" s="170" t="s">
        <v>5490</v>
      </c>
      <c r="B1104" s="170" t="s">
        <v>5491</v>
      </c>
      <c r="C1104" s="170"/>
      <c r="D1104" s="170" t="s">
        <v>11</v>
      </c>
      <c r="E1104" s="170" t="s">
        <v>12</v>
      </c>
      <c r="H1104" s="207">
        <v>513613</v>
      </c>
      <c r="I1104" s="182" t="s">
        <v>5492</v>
      </c>
      <c r="J1104" s="182" t="s">
        <v>5493</v>
      </c>
      <c r="K1104" s="182" t="s">
        <v>5494</v>
      </c>
      <c r="L1104" s="182" t="s">
        <v>15</v>
      </c>
      <c r="M1104"/>
      <c r="R1104"/>
      <c r="T1104"/>
    </row>
    <row r="1105" spans="1:13">
      <c r="A1105" s="170" t="s">
        <v>5495</v>
      </c>
      <c r="B1105" s="170" t="s">
        <v>5496</v>
      </c>
      <c r="C1105" s="182" t="s">
        <v>5497</v>
      </c>
      <c r="D1105" s="170" t="s">
        <v>11</v>
      </c>
      <c r="E1105" s="170" t="s">
        <v>12</v>
      </c>
      <c r="H1105" s="207">
        <v>512932</v>
      </c>
      <c r="I1105" s="182" t="s">
        <v>5498</v>
      </c>
      <c r="J1105" s="182" t="s">
        <v>5499</v>
      </c>
      <c r="K1105" s="182" t="s">
        <v>5500</v>
      </c>
      <c r="L1105" s="182" t="s">
        <v>15</v>
      </c>
      <c r="M1105" s="289" t="s">
        <v>5496</v>
      </c>
    </row>
    <row r="1106" spans="1:13">
      <c r="A1106" s="170" t="s">
        <v>5501</v>
      </c>
      <c r="B1106" s="170" t="s">
        <v>5502</v>
      </c>
      <c r="C1106" s="182" t="s">
        <v>5503</v>
      </c>
      <c r="D1106" s="170" t="s">
        <v>11</v>
      </c>
      <c r="E1106" s="170" t="s">
        <v>12</v>
      </c>
      <c r="H1106" s="207">
        <v>507675</v>
      </c>
      <c r="I1106" s="182" t="s">
        <v>5504</v>
      </c>
      <c r="J1106" s="182" t="s">
        <v>5505</v>
      </c>
      <c r="K1106" s="182" t="s">
        <v>5506</v>
      </c>
      <c r="L1106" s="182" t="s">
        <v>15</v>
      </c>
      <c r="M1106" s="289" t="s">
        <v>5502</v>
      </c>
    </row>
    <row r="1107" spans="1:20">
      <c r="A1107" s="170" t="s">
        <v>5507</v>
      </c>
      <c r="B1107" s="170" t="s">
        <v>5508</v>
      </c>
      <c r="C1107" s="170"/>
      <c r="D1107" s="170" t="s">
        <v>11</v>
      </c>
      <c r="E1107" s="170" t="s">
        <v>12</v>
      </c>
      <c r="H1107" s="207" t="s">
        <v>5509</v>
      </c>
      <c r="I1107" s="182" t="s">
        <v>10</v>
      </c>
      <c r="J1107" s="182" t="s">
        <v>5509</v>
      </c>
      <c r="K1107" s="182" t="s">
        <v>5510</v>
      </c>
      <c r="L1107" s="182" t="s">
        <v>53</v>
      </c>
      <c r="M1107"/>
      <c r="R1107"/>
      <c r="T1107"/>
    </row>
    <row r="1108" spans="1:13">
      <c r="A1108" s="170" t="s">
        <v>5511</v>
      </c>
      <c r="B1108" s="170" t="s">
        <v>5512</v>
      </c>
      <c r="C1108" s="182" t="s">
        <v>5513</v>
      </c>
      <c r="D1108" s="170" t="s">
        <v>11</v>
      </c>
      <c r="E1108" s="170" t="s">
        <v>12</v>
      </c>
      <c r="H1108" s="207">
        <v>375305</v>
      </c>
      <c r="I1108" s="182" t="s">
        <v>5514</v>
      </c>
      <c r="J1108" s="182" t="s">
        <v>5515</v>
      </c>
      <c r="K1108" s="182" t="s">
        <v>5516</v>
      </c>
      <c r="L1108" s="182" t="s">
        <v>15</v>
      </c>
      <c r="M1108" s="289" t="s">
        <v>5512</v>
      </c>
    </row>
    <row r="1109" spans="1:13">
      <c r="A1109" s="170" t="s">
        <v>5517</v>
      </c>
      <c r="B1109" s="170" t="s">
        <v>5518</v>
      </c>
      <c r="C1109" s="182" t="s">
        <v>5519</v>
      </c>
      <c r="D1109" s="170" t="s">
        <v>11</v>
      </c>
      <c r="E1109" s="170" t="s">
        <v>12</v>
      </c>
      <c r="H1109" s="207">
        <v>822116</v>
      </c>
      <c r="I1109" s="182" t="s">
        <v>5520</v>
      </c>
      <c r="J1109" s="182" t="s">
        <v>5521</v>
      </c>
      <c r="K1109" s="182" t="s">
        <v>5522</v>
      </c>
      <c r="L1109" s="182" t="s">
        <v>15</v>
      </c>
      <c r="M1109" s="289" t="s">
        <v>5518</v>
      </c>
    </row>
    <row r="1110" spans="1:20">
      <c r="A1110" s="170" t="s">
        <v>5523</v>
      </c>
      <c r="B1110" s="170" t="s">
        <v>5524</v>
      </c>
      <c r="C1110" s="170"/>
      <c r="D1110" s="170" t="s">
        <v>11</v>
      </c>
      <c r="E1110" s="170" t="s">
        <v>12</v>
      </c>
      <c r="H1110" s="207">
        <v>167214</v>
      </c>
      <c r="I1110" s="182" t="s">
        <v>5525</v>
      </c>
      <c r="J1110" s="182" t="s">
        <v>5526</v>
      </c>
      <c r="K1110" s="182" t="s">
        <v>5527</v>
      </c>
      <c r="L1110" s="182" t="s">
        <v>15</v>
      </c>
      <c r="M1110"/>
      <c r="R1110"/>
      <c r="T1110"/>
    </row>
    <row r="1111" spans="1:13">
      <c r="A1111" s="170" t="s">
        <v>5528</v>
      </c>
      <c r="B1111" s="170" t="s">
        <v>5529</v>
      </c>
      <c r="C1111" s="182" t="s">
        <v>5530</v>
      </c>
      <c r="D1111" s="170" t="s">
        <v>11</v>
      </c>
      <c r="E1111" s="170" t="s">
        <v>12</v>
      </c>
      <c r="H1111" s="207">
        <v>485800</v>
      </c>
      <c r="I1111" s="182" t="s">
        <v>5531</v>
      </c>
      <c r="J1111" s="182" t="s">
        <v>5532</v>
      </c>
      <c r="K1111" s="182"/>
      <c r="L1111" s="182" t="s">
        <v>15</v>
      </c>
      <c r="M1111" s="289" t="s">
        <v>5529</v>
      </c>
    </row>
    <row r="1112" spans="1:13">
      <c r="A1112" s="170" t="s">
        <v>5533</v>
      </c>
      <c r="B1112" s="170" t="s">
        <v>5534</v>
      </c>
      <c r="C1112" s="182" t="s">
        <v>5535</v>
      </c>
      <c r="D1112" s="170" t="s">
        <v>11</v>
      </c>
      <c r="E1112" s="170" t="s">
        <v>12</v>
      </c>
      <c r="H1112" s="207">
        <v>477883</v>
      </c>
      <c r="I1112" s="182" t="s">
        <v>5536</v>
      </c>
      <c r="J1112" s="182" t="s">
        <v>5537</v>
      </c>
      <c r="K1112" s="182" t="s">
        <v>5538</v>
      </c>
      <c r="L1112" s="182" t="s">
        <v>15</v>
      </c>
      <c r="M1112" s="289" t="s">
        <v>5534</v>
      </c>
    </row>
    <row r="1113" spans="1:20">
      <c r="A1113" s="170" t="s">
        <v>5539</v>
      </c>
      <c r="B1113" s="170" t="s">
        <v>5540</v>
      </c>
      <c r="C1113" s="170"/>
      <c r="D1113" s="170" t="s">
        <v>11</v>
      </c>
      <c r="E1113" s="170" t="s">
        <v>12</v>
      </c>
      <c r="H1113" s="207">
        <v>469176</v>
      </c>
      <c r="I1113" s="182" t="s">
        <v>5541</v>
      </c>
      <c r="J1113" s="182" t="s">
        <v>5542</v>
      </c>
      <c r="K1113" s="182" t="s">
        <v>5543</v>
      </c>
      <c r="L1113" s="182" t="s">
        <v>15</v>
      </c>
      <c r="M1113"/>
      <c r="R1113"/>
      <c r="T1113"/>
    </row>
    <row r="1114" spans="1:13">
      <c r="A1114" s="170" t="s">
        <v>5544</v>
      </c>
      <c r="B1114" s="170" t="s">
        <v>5545</v>
      </c>
      <c r="C1114" s="182" t="s">
        <v>5546</v>
      </c>
      <c r="D1114" s="170" t="s">
        <v>11</v>
      </c>
      <c r="E1114" s="170" t="s">
        <v>12</v>
      </c>
      <c r="H1114" s="207" t="s">
        <v>5547</v>
      </c>
      <c r="I1114" s="182" t="s">
        <v>10</v>
      </c>
      <c r="J1114" s="182" t="s">
        <v>5547</v>
      </c>
      <c r="K1114" s="182" t="s">
        <v>5548</v>
      </c>
      <c r="L1114" s="182" t="s">
        <v>19</v>
      </c>
      <c r="M1114" s="289" t="s">
        <v>5545</v>
      </c>
    </row>
    <row r="1115" spans="1:13">
      <c r="A1115" s="170" t="s">
        <v>5549</v>
      </c>
      <c r="B1115" s="170" t="s">
        <v>5550</v>
      </c>
      <c r="C1115" s="182" t="s">
        <v>5551</v>
      </c>
      <c r="D1115" s="170" t="s">
        <v>11</v>
      </c>
      <c r="E1115" s="170" t="s">
        <v>12</v>
      </c>
      <c r="H1115" s="207">
        <v>509805</v>
      </c>
      <c r="I1115" s="182" t="s">
        <v>5552</v>
      </c>
      <c r="J1115" s="182" t="s">
        <v>5553</v>
      </c>
      <c r="K1115" s="182" t="s">
        <v>5554</v>
      </c>
      <c r="L1115" s="182" t="s">
        <v>15</v>
      </c>
      <c r="M1115" s="289" t="s">
        <v>5550</v>
      </c>
    </row>
    <row r="1116" spans="1:20">
      <c r="A1116" s="170" t="s">
        <v>5555</v>
      </c>
      <c r="B1116" s="170" t="s">
        <v>5556</v>
      </c>
      <c r="C1116" s="170"/>
      <c r="D1116" s="170" t="s">
        <v>11</v>
      </c>
      <c r="E1116" s="170" t="s">
        <v>12</v>
      </c>
      <c r="H1116" s="207">
        <v>472724</v>
      </c>
      <c r="I1116" s="182" t="s">
        <v>5557</v>
      </c>
      <c r="J1116" s="182" t="s">
        <v>5558</v>
      </c>
      <c r="K1116" s="182"/>
      <c r="L1116" s="182" t="s">
        <v>15</v>
      </c>
      <c r="M1116"/>
      <c r="R1116"/>
      <c r="T1116"/>
    </row>
    <row r="1117" spans="1:13">
      <c r="A1117" s="170" t="s">
        <v>5559</v>
      </c>
      <c r="B1117" s="299" t="s">
        <v>5560</v>
      </c>
      <c r="C1117" s="182" t="s">
        <v>5546</v>
      </c>
      <c r="D1117" s="170" t="s">
        <v>11</v>
      </c>
      <c r="E1117" s="170" t="s">
        <v>12</v>
      </c>
      <c r="H1117" s="207">
        <v>368211</v>
      </c>
      <c r="I1117" s="182" t="s">
        <v>5561</v>
      </c>
      <c r="J1117" s="182" t="s">
        <v>5562</v>
      </c>
      <c r="K1117" s="182" t="s">
        <v>5563</v>
      </c>
      <c r="L1117" s="182" t="s">
        <v>415</v>
      </c>
      <c r="M1117" s="303" t="s">
        <v>5564</v>
      </c>
    </row>
    <row r="1118" spans="1:13">
      <c r="A1118" s="170" t="s">
        <v>5565</v>
      </c>
      <c r="B1118" s="170" t="s">
        <v>5566</v>
      </c>
      <c r="C1118" s="182" t="s">
        <v>5551</v>
      </c>
      <c r="D1118" s="170" t="s">
        <v>11</v>
      </c>
      <c r="E1118" s="170" t="s">
        <v>12</v>
      </c>
      <c r="H1118" s="207" t="s">
        <v>5567</v>
      </c>
      <c r="I1118" s="182" t="s">
        <v>10</v>
      </c>
      <c r="J1118" s="182" t="s">
        <v>5567</v>
      </c>
      <c r="K1118" s="182" t="s">
        <v>5568</v>
      </c>
      <c r="L1118" s="182" t="s">
        <v>53</v>
      </c>
      <c r="M1118" s="289" t="s">
        <v>5566</v>
      </c>
    </row>
    <row r="1119" spans="1:20">
      <c r="A1119" s="170" t="s">
        <v>5569</v>
      </c>
      <c r="B1119" s="170" t="s">
        <v>5564</v>
      </c>
      <c r="C1119" s="170"/>
      <c r="D1119" s="170" t="s">
        <v>11</v>
      </c>
      <c r="E1119" s="170" t="s">
        <v>12</v>
      </c>
      <c r="H1119" s="207">
        <v>482696</v>
      </c>
      <c r="I1119" s="182" t="s">
        <v>5570</v>
      </c>
      <c r="J1119" s="182" t="s">
        <v>5571</v>
      </c>
      <c r="K1119" s="182" t="s">
        <v>5572</v>
      </c>
      <c r="L1119" s="182" t="s">
        <v>15</v>
      </c>
      <c r="M1119"/>
      <c r="R1119"/>
      <c r="T1119"/>
    </row>
    <row r="1120" spans="1:13">
      <c r="A1120" s="170" t="s">
        <v>5573</v>
      </c>
      <c r="B1120" s="170" t="s">
        <v>5574</v>
      </c>
      <c r="C1120" s="192" t="s">
        <v>5575</v>
      </c>
      <c r="D1120" s="170" t="s">
        <v>11</v>
      </c>
      <c r="E1120" s="170" t="s">
        <v>12</v>
      </c>
      <c r="H1120" s="207">
        <v>157928</v>
      </c>
      <c r="I1120" s="182" t="s">
        <v>5576</v>
      </c>
      <c r="J1120" s="182" t="s">
        <v>5577</v>
      </c>
      <c r="K1120" s="182" t="s">
        <v>5578</v>
      </c>
      <c r="L1120" s="182" t="s">
        <v>15</v>
      </c>
      <c r="M1120" s="289" t="s">
        <v>5574</v>
      </c>
    </row>
    <row r="1121" ht="15.25" spans="1:13">
      <c r="A1121" s="170" t="s">
        <v>5579</v>
      </c>
      <c r="B1121" s="170" t="s">
        <v>5580</v>
      </c>
      <c r="C1121" s="234" t="s">
        <v>5581</v>
      </c>
      <c r="D1121" s="170" t="s">
        <v>11</v>
      </c>
      <c r="E1121" s="170" t="s">
        <v>12</v>
      </c>
      <c r="H1121" s="207" t="s">
        <v>5582</v>
      </c>
      <c r="I1121" s="182" t="s">
        <v>10</v>
      </c>
      <c r="J1121" s="182" t="s">
        <v>5582</v>
      </c>
      <c r="K1121" s="182" t="s">
        <v>5583</v>
      </c>
      <c r="L1121" s="182" t="s">
        <v>53</v>
      </c>
      <c r="M1121" s="289" t="s">
        <v>5580</v>
      </c>
    </row>
    <row r="1122" spans="1:13">
      <c r="A1122" s="170" t="s">
        <v>5584</v>
      </c>
      <c r="B1122" s="170" t="s">
        <v>5585</v>
      </c>
      <c r="C1122" s="182" t="s">
        <v>5586</v>
      </c>
      <c r="D1122" s="170" t="s">
        <v>11</v>
      </c>
      <c r="E1122" s="170" t="s">
        <v>12</v>
      </c>
      <c r="H1122" s="207" t="s">
        <v>5587</v>
      </c>
      <c r="I1122" s="182" t="s">
        <v>10</v>
      </c>
      <c r="J1122" s="182" t="s">
        <v>5587</v>
      </c>
      <c r="K1122" s="182" t="s">
        <v>5588</v>
      </c>
      <c r="L1122" s="182" t="s">
        <v>53</v>
      </c>
      <c r="M1122" s="289" t="s">
        <v>5585</v>
      </c>
    </row>
    <row r="1123" spans="1:13">
      <c r="A1123" s="170" t="s">
        <v>5589</v>
      </c>
      <c r="B1123" s="170" t="s">
        <v>5590</v>
      </c>
      <c r="C1123" s="182" t="s">
        <v>5591</v>
      </c>
      <c r="D1123" s="170" t="s">
        <v>11</v>
      </c>
      <c r="E1123" s="170" t="s">
        <v>12</v>
      </c>
      <c r="H1123" s="207">
        <v>160435</v>
      </c>
      <c r="I1123" s="182" t="s">
        <v>5592</v>
      </c>
      <c r="J1123" s="182" t="s">
        <v>5593</v>
      </c>
      <c r="K1123" s="182" t="s">
        <v>5594</v>
      </c>
      <c r="L1123" s="182" t="s">
        <v>15</v>
      </c>
      <c r="M1123" s="289" t="s">
        <v>5590</v>
      </c>
    </row>
    <row r="1124" spans="1:13">
      <c r="A1124" s="170" t="s">
        <v>5595</v>
      </c>
      <c r="B1124" s="170" t="s">
        <v>5596</v>
      </c>
      <c r="C1124" s="182" t="s">
        <v>5597</v>
      </c>
      <c r="D1124" s="170" t="s">
        <v>11</v>
      </c>
      <c r="E1124" s="170" t="s">
        <v>12</v>
      </c>
      <c r="H1124" s="207">
        <v>319034</v>
      </c>
      <c r="I1124" s="182" t="s">
        <v>5598</v>
      </c>
      <c r="J1124" s="182" t="s">
        <v>5599</v>
      </c>
      <c r="K1124" s="182" t="s">
        <v>5600</v>
      </c>
      <c r="L1124" s="182" t="s">
        <v>369</v>
      </c>
      <c r="M1124" s="289" t="s">
        <v>5596</v>
      </c>
    </row>
    <row r="1125" spans="1:20">
      <c r="A1125" s="170" t="s">
        <v>5601</v>
      </c>
      <c r="B1125" s="170" t="s">
        <v>5602</v>
      </c>
      <c r="C1125" s="170"/>
      <c r="D1125" s="170" t="s">
        <v>11</v>
      </c>
      <c r="E1125" s="170" t="s">
        <v>12</v>
      </c>
      <c r="H1125" s="207">
        <v>492999</v>
      </c>
      <c r="I1125" s="182" t="s">
        <v>5603</v>
      </c>
      <c r="J1125" s="182" t="s">
        <v>5604</v>
      </c>
      <c r="K1125" s="182" t="s">
        <v>5605</v>
      </c>
      <c r="L1125" s="182" t="s">
        <v>15</v>
      </c>
      <c r="M1125"/>
      <c r="R1125"/>
      <c r="T1125"/>
    </row>
    <row r="1126" spans="1:13">
      <c r="A1126" s="170" t="s">
        <v>5606</v>
      </c>
      <c r="B1126" s="170" t="s">
        <v>5607</v>
      </c>
      <c r="C1126" s="192" t="s">
        <v>5608</v>
      </c>
      <c r="D1126" s="170" t="s">
        <v>11</v>
      </c>
      <c r="E1126" s="170" t="s">
        <v>12</v>
      </c>
      <c r="H1126" s="207">
        <v>332759</v>
      </c>
      <c r="I1126" s="182" t="s">
        <v>5609</v>
      </c>
      <c r="J1126" s="182" t="s">
        <v>5610</v>
      </c>
      <c r="K1126" s="182" t="s">
        <v>5611</v>
      </c>
      <c r="L1126" s="182" t="s">
        <v>15</v>
      </c>
      <c r="M1126" s="289" t="s">
        <v>5607</v>
      </c>
    </row>
    <row r="1127" spans="1:13">
      <c r="A1127" s="170" t="s">
        <v>5612</v>
      </c>
      <c r="B1127" s="170" t="s">
        <v>5613</v>
      </c>
      <c r="C1127" s="192" t="s">
        <v>5614</v>
      </c>
      <c r="D1127" s="170" t="s">
        <v>11</v>
      </c>
      <c r="E1127" s="170" t="s">
        <v>12</v>
      </c>
      <c r="H1127" s="207">
        <v>476140</v>
      </c>
      <c r="I1127" s="182" t="s">
        <v>5615</v>
      </c>
      <c r="J1127" s="182" t="s">
        <v>5616</v>
      </c>
      <c r="K1127" s="182" t="s">
        <v>5617</v>
      </c>
      <c r="L1127" s="182" t="s">
        <v>15</v>
      </c>
      <c r="M1127" s="289" t="s">
        <v>5613</v>
      </c>
    </row>
    <row r="1128" spans="1:20">
      <c r="A1128" s="170" t="s">
        <v>5618</v>
      </c>
      <c r="B1128" s="170" t="s">
        <v>5619</v>
      </c>
      <c r="C1128" s="170"/>
      <c r="D1128" s="170" t="s">
        <v>11</v>
      </c>
      <c r="E1128" s="170" t="s">
        <v>12</v>
      </c>
      <c r="H1128" s="207">
        <v>436586</v>
      </c>
      <c r="I1128" s="182" t="s">
        <v>5620</v>
      </c>
      <c r="J1128" s="182" t="s">
        <v>5621</v>
      </c>
      <c r="K1128" s="182" t="s">
        <v>5622</v>
      </c>
      <c r="L1128" s="182" t="s">
        <v>15</v>
      </c>
      <c r="M1128"/>
      <c r="R1128"/>
      <c r="T1128"/>
    </row>
    <row r="1129" spans="1:13">
      <c r="A1129" s="170" t="s">
        <v>5623</v>
      </c>
      <c r="B1129" s="170" t="s">
        <v>5624</v>
      </c>
      <c r="C1129" s="182" t="s">
        <v>5625</v>
      </c>
      <c r="D1129" s="170" t="s">
        <v>11</v>
      </c>
      <c r="E1129" s="170" t="s">
        <v>12</v>
      </c>
      <c r="H1129" s="207" t="s">
        <v>5626</v>
      </c>
      <c r="I1129" s="182" t="s">
        <v>10</v>
      </c>
      <c r="J1129" s="182" t="s">
        <v>5626</v>
      </c>
      <c r="K1129" s="182" t="s">
        <v>5627</v>
      </c>
      <c r="L1129" s="182" t="s">
        <v>15</v>
      </c>
      <c r="M1129" s="289" t="s">
        <v>5624</v>
      </c>
    </row>
    <row r="1130" spans="1:13">
      <c r="A1130" s="170" t="s">
        <v>5628</v>
      </c>
      <c r="B1130" s="170" t="s">
        <v>5629</v>
      </c>
      <c r="C1130" s="182" t="s">
        <v>5630</v>
      </c>
      <c r="D1130" s="170" t="s">
        <v>11</v>
      </c>
      <c r="E1130" s="170" t="s">
        <v>12</v>
      </c>
      <c r="H1130" s="207">
        <v>394693</v>
      </c>
      <c r="I1130" s="182" t="s">
        <v>5631</v>
      </c>
      <c r="J1130" s="182" t="s">
        <v>5632</v>
      </c>
      <c r="K1130" s="182" t="s">
        <v>5633</v>
      </c>
      <c r="L1130" s="182" t="s">
        <v>15</v>
      </c>
      <c r="M1130" s="289" t="s">
        <v>5629</v>
      </c>
    </row>
    <row r="1131" spans="1:20">
      <c r="A1131" s="170" t="s">
        <v>5634</v>
      </c>
      <c r="B1131" s="170" t="s">
        <v>5635</v>
      </c>
      <c r="C1131" s="170"/>
      <c r="D1131" s="170" t="s">
        <v>11</v>
      </c>
      <c r="E1131" s="170" t="s">
        <v>12</v>
      </c>
      <c r="H1131" s="207" t="s">
        <v>5636</v>
      </c>
      <c r="I1131" s="182" t="s">
        <v>10</v>
      </c>
      <c r="J1131" s="182" t="s">
        <v>5636</v>
      </c>
      <c r="K1131" s="182" t="s">
        <v>5637</v>
      </c>
      <c r="L1131" s="182" t="s">
        <v>53</v>
      </c>
      <c r="M1131"/>
      <c r="R1131"/>
      <c r="T1131"/>
    </row>
    <row r="1132" spans="1:13">
      <c r="A1132" s="170" t="s">
        <v>5638</v>
      </c>
      <c r="B1132" s="170" t="s">
        <v>5639</v>
      </c>
      <c r="C1132" s="192" t="s">
        <v>5640</v>
      </c>
      <c r="D1132" s="170" t="s">
        <v>11</v>
      </c>
      <c r="E1132" s="170" t="s">
        <v>12</v>
      </c>
      <c r="H1132" s="207" t="s">
        <v>5641</v>
      </c>
      <c r="I1132" s="182" t="s">
        <v>10</v>
      </c>
      <c r="J1132" s="182" t="s">
        <v>5641</v>
      </c>
      <c r="K1132" s="182" t="s">
        <v>5642</v>
      </c>
      <c r="L1132" s="182" t="s">
        <v>53</v>
      </c>
      <c r="M1132" s="289" t="s">
        <v>5639</v>
      </c>
    </row>
    <row r="1133" spans="1:13">
      <c r="A1133" s="170" t="s">
        <v>5643</v>
      </c>
      <c r="B1133" s="170" t="s">
        <v>5644</v>
      </c>
      <c r="C1133" s="192" t="s">
        <v>5645</v>
      </c>
      <c r="D1133" s="170" t="s">
        <v>11</v>
      </c>
      <c r="E1133" s="170" t="s">
        <v>12</v>
      </c>
      <c r="H1133" s="207" t="s">
        <v>5646</v>
      </c>
      <c r="I1133" s="182" t="s">
        <v>10</v>
      </c>
      <c r="J1133" s="182" t="s">
        <v>5646</v>
      </c>
      <c r="K1133" s="182" t="s">
        <v>5647</v>
      </c>
      <c r="L1133" s="182" t="s">
        <v>19</v>
      </c>
      <c r="M1133" s="289" t="s">
        <v>5644</v>
      </c>
    </row>
    <row r="1134" spans="1:20">
      <c r="A1134" s="170" t="s">
        <v>5648</v>
      </c>
      <c r="B1134" s="170" t="s">
        <v>5649</v>
      </c>
      <c r="C1134" s="170"/>
      <c r="D1134" s="170" t="s">
        <v>11</v>
      </c>
      <c r="E1134" s="170" t="s">
        <v>12</v>
      </c>
      <c r="H1134" s="207">
        <v>519659</v>
      </c>
      <c r="I1134" s="182" t="s">
        <v>5650</v>
      </c>
      <c r="J1134" s="182" t="s">
        <v>5651</v>
      </c>
      <c r="K1134" s="182" t="s">
        <v>5652</v>
      </c>
      <c r="L1134" s="182" t="s">
        <v>15</v>
      </c>
      <c r="M1134"/>
      <c r="R1134"/>
      <c r="T1134"/>
    </row>
    <row r="1135" spans="1:13">
      <c r="A1135" s="170" t="s">
        <v>5653</v>
      </c>
      <c r="B1135" s="170" t="s">
        <v>5654</v>
      </c>
      <c r="C1135" s="192" t="s">
        <v>5655</v>
      </c>
      <c r="D1135" s="170" t="s">
        <v>11</v>
      </c>
      <c r="E1135" s="170" t="s">
        <v>12</v>
      </c>
      <c r="H1135" s="207">
        <v>432234</v>
      </c>
      <c r="I1135" s="182" t="s">
        <v>5656</v>
      </c>
      <c r="J1135" s="182" t="s">
        <v>5657</v>
      </c>
      <c r="K1135" s="182" t="s">
        <v>5658</v>
      </c>
      <c r="L1135" s="182" t="s">
        <v>369</v>
      </c>
      <c r="M1135" s="289" t="s">
        <v>5654</v>
      </c>
    </row>
    <row r="1136" spans="1:13">
      <c r="A1136" s="170" t="s">
        <v>5659</v>
      </c>
      <c r="B1136" s="170" t="s">
        <v>5660</v>
      </c>
      <c r="C1136" s="192" t="s">
        <v>5661</v>
      </c>
      <c r="D1136" s="170" t="s">
        <v>11</v>
      </c>
      <c r="E1136" s="170" t="s">
        <v>12</v>
      </c>
      <c r="H1136" s="207" t="s">
        <v>5662</v>
      </c>
      <c r="I1136" s="182" t="s">
        <v>10</v>
      </c>
      <c r="J1136" s="182" t="s">
        <v>5662</v>
      </c>
      <c r="K1136" s="182" t="s">
        <v>5663</v>
      </c>
      <c r="L1136" s="182" t="s">
        <v>19</v>
      </c>
      <c r="M1136" s="289" t="s">
        <v>5660</v>
      </c>
    </row>
    <row r="1137" spans="1:20">
      <c r="A1137" s="170" t="s">
        <v>5664</v>
      </c>
      <c r="B1137" s="170" t="s">
        <v>5665</v>
      </c>
      <c r="C1137" s="170"/>
      <c r="D1137" s="170" t="s">
        <v>11</v>
      </c>
      <c r="E1137" s="170" t="s">
        <v>12</v>
      </c>
      <c r="H1137" s="207">
        <v>382243</v>
      </c>
      <c r="I1137" s="182" t="s">
        <v>5666</v>
      </c>
      <c r="J1137" s="182" t="s">
        <v>5667</v>
      </c>
      <c r="K1137" s="182" t="s">
        <v>5668</v>
      </c>
      <c r="L1137" s="182" t="s">
        <v>15</v>
      </c>
      <c r="M1137"/>
      <c r="R1137"/>
      <c r="T1137"/>
    </row>
    <row r="1138" spans="1:13">
      <c r="A1138" s="170" t="s">
        <v>5669</v>
      </c>
      <c r="B1138" s="170" t="s">
        <v>5670</v>
      </c>
      <c r="C1138" s="182" t="s">
        <v>5671</v>
      </c>
      <c r="D1138" s="170" t="s">
        <v>11</v>
      </c>
      <c r="E1138" s="170" t="s">
        <v>12</v>
      </c>
      <c r="H1138" s="207">
        <v>481860</v>
      </c>
      <c r="I1138" s="182" t="s">
        <v>5672</v>
      </c>
      <c r="J1138" s="182" t="s">
        <v>5673</v>
      </c>
      <c r="K1138" s="182" t="s">
        <v>5674</v>
      </c>
      <c r="L1138" s="182" t="s">
        <v>15</v>
      </c>
      <c r="M1138" s="289" t="s">
        <v>5670</v>
      </c>
    </row>
    <row r="1139" spans="1:13">
      <c r="A1139" s="170" t="s">
        <v>5675</v>
      </c>
      <c r="B1139" s="170" t="s">
        <v>5676</v>
      </c>
      <c r="C1139" s="182" t="s">
        <v>5677</v>
      </c>
      <c r="D1139" s="170" t="s">
        <v>11</v>
      </c>
      <c r="E1139" s="170" t="s">
        <v>12</v>
      </c>
      <c r="H1139" s="207" t="s">
        <v>5678</v>
      </c>
      <c r="I1139" s="182" t="s">
        <v>10</v>
      </c>
      <c r="J1139" s="182" t="s">
        <v>5678</v>
      </c>
      <c r="K1139" s="182" t="s">
        <v>5679</v>
      </c>
      <c r="L1139" s="182" t="s">
        <v>447</v>
      </c>
      <c r="M1139" s="289" t="s">
        <v>5676</v>
      </c>
    </row>
    <row r="1140" spans="1:20">
      <c r="A1140" s="170" t="s">
        <v>5680</v>
      </c>
      <c r="B1140" s="170" t="s">
        <v>5681</v>
      </c>
      <c r="C1140" s="170"/>
      <c r="D1140" s="170" t="s">
        <v>11</v>
      </c>
      <c r="E1140" s="170" t="s">
        <v>12</v>
      </c>
      <c r="H1140" s="207">
        <v>482595</v>
      </c>
      <c r="I1140" s="182" t="s">
        <v>5682</v>
      </c>
      <c r="J1140" s="182" t="s">
        <v>5683</v>
      </c>
      <c r="K1140" s="182" t="s">
        <v>5684</v>
      </c>
      <c r="L1140" s="182" t="s">
        <v>15</v>
      </c>
      <c r="M1140"/>
      <c r="R1140"/>
      <c r="T1140"/>
    </row>
    <row r="1141" spans="1:13">
      <c r="A1141" s="170" t="s">
        <v>5685</v>
      </c>
      <c r="B1141" s="170" t="s">
        <v>5686</v>
      </c>
      <c r="C1141" s="182" t="s">
        <v>5687</v>
      </c>
      <c r="D1141" s="170" t="s">
        <v>11</v>
      </c>
      <c r="E1141" s="170" t="s">
        <v>12</v>
      </c>
      <c r="H1141" s="207">
        <v>432654</v>
      </c>
      <c r="I1141" s="182" t="s">
        <v>5688</v>
      </c>
      <c r="J1141" s="182" t="s">
        <v>5689</v>
      </c>
      <c r="K1141" s="182" t="s">
        <v>5690</v>
      </c>
      <c r="L1141" s="182" t="s">
        <v>15</v>
      </c>
      <c r="M1141" s="289" t="s">
        <v>5686</v>
      </c>
    </row>
    <row r="1142" spans="1:13">
      <c r="A1142" s="170" t="s">
        <v>5691</v>
      </c>
      <c r="B1142" s="170" t="s">
        <v>5692</v>
      </c>
      <c r="C1142" s="182" t="s">
        <v>5693</v>
      </c>
      <c r="D1142" s="170" t="s">
        <v>11</v>
      </c>
      <c r="E1142" s="170" t="s">
        <v>12</v>
      </c>
      <c r="H1142" s="207">
        <v>496187</v>
      </c>
      <c r="I1142" s="182" t="s">
        <v>5694</v>
      </c>
      <c r="J1142" s="182" t="s">
        <v>5695</v>
      </c>
      <c r="K1142" s="182" t="s">
        <v>5696</v>
      </c>
      <c r="L1142" s="182" t="s">
        <v>15</v>
      </c>
      <c r="M1142" s="289" t="s">
        <v>5692</v>
      </c>
    </row>
    <row r="1143" spans="1:20">
      <c r="A1143" s="170" t="s">
        <v>5697</v>
      </c>
      <c r="B1143" s="170" t="s">
        <v>5698</v>
      </c>
      <c r="C1143" s="170"/>
      <c r="D1143" s="170" t="s">
        <v>11</v>
      </c>
      <c r="E1143" s="170" t="s">
        <v>12</v>
      </c>
      <c r="H1143" s="207" t="s">
        <v>5699</v>
      </c>
      <c r="I1143" s="182" t="s">
        <v>10</v>
      </c>
      <c r="J1143" s="182" t="s">
        <v>5699</v>
      </c>
      <c r="K1143" s="182" t="s">
        <v>5700</v>
      </c>
      <c r="L1143" s="182" t="s">
        <v>53</v>
      </c>
      <c r="M1143"/>
      <c r="R1143"/>
      <c r="T1143"/>
    </row>
    <row r="1144" spans="1:13">
      <c r="A1144" s="170" t="s">
        <v>5701</v>
      </c>
      <c r="B1144" s="170" t="s">
        <v>5702</v>
      </c>
      <c r="C1144" s="182" t="s">
        <v>5703</v>
      </c>
      <c r="D1144" s="170" t="s">
        <v>11</v>
      </c>
      <c r="E1144" s="170" t="s">
        <v>12</v>
      </c>
      <c r="H1144" s="207">
        <v>514159</v>
      </c>
      <c r="I1144" s="182" t="s">
        <v>5704</v>
      </c>
      <c r="J1144" s="182" t="s">
        <v>5705</v>
      </c>
      <c r="K1144" s="182" t="s">
        <v>5706</v>
      </c>
      <c r="L1144" s="182" t="s">
        <v>15</v>
      </c>
      <c r="M1144" s="289" t="s">
        <v>5702</v>
      </c>
    </row>
    <row r="1145" spans="1:13">
      <c r="A1145" s="170" t="s">
        <v>5707</v>
      </c>
      <c r="B1145" s="170" t="s">
        <v>5708</v>
      </c>
      <c r="C1145" s="182" t="s">
        <v>5709</v>
      </c>
      <c r="D1145" s="170" t="s">
        <v>11</v>
      </c>
      <c r="E1145" s="170" t="s">
        <v>12</v>
      </c>
      <c r="H1145" s="207">
        <v>501025</v>
      </c>
      <c r="I1145" s="182" t="s">
        <v>5710</v>
      </c>
      <c r="J1145" s="182" t="s">
        <v>5711</v>
      </c>
      <c r="K1145" s="182" t="s">
        <v>5712</v>
      </c>
      <c r="L1145" s="182" t="s">
        <v>369</v>
      </c>
      <c r="M1145" s="289" t="s">
        <v>5708</v>
      </c>
    </row>
    <row r="1146" spans="1:20">
      <c r="A1146" s="170" t="s">
        <v>5713</v>
      </c>
      <c r="B1146" s="170" t="s">
        <v>5714</v>
      </c>
      <c r="C1146" s="170"/>
      <c r="D1146" s="170" t="s">
        <v>11</v>
      </c>
      <c r="E1146" s="170" t="s">
        <v>12</v>
      </c>
      <c r="H1146" s="207">
        <v>455646</v>
      </c>
      <c r="I1146" s="182" t="s">
        <v>5715</v>
      </c>
      <c r="J1146" s="182" t="s">
        <v>5716</v>
      </c>
      <c r="K1146" s="182" t="s">
        <v>5717</v>
      </c>
      <c r="L1146" s="182" t="s">
        <v>15</v>
      </c>
      <c r="M1146"/>
      <c r="R1146"/>
      <c r="T1146"/>
    </row>
    <row r="1147" spans="1:20">
      <c r="A1147" s="170" t="s">
        <v>5718</v>
      </c>
      <c r="B1147" s="170" t="s">
        <v>5719</v>
      </c>
      <c r="C1147" s="178" t="s">
        <v>10</v>
      </c>
      <c r="D1147" s="170" t="s">
        <v>11</v>
      </c>
      <c r="E1147" s="170" t="s">
        <v>12</v>
      </c>
      <c r="H1147" s="207">
        <v>446999</v>
      </c>
      <c r="I1147" s="182" t="s">
        <v>5720</v>
      </c>
      <c r="J1147" s="182" t="s">
        <v>5721</v>
      </c>
      <c r="K1147" s="182" t="s">
        <v>5722</v>
      </c>
      <c r="L1147" s="182" t="s">
        <v>15</v>
      </c>
      <c r="M1147"/>
      <c r="R1147"/>
      <c r="T1147"/>
    </row>
    <row r="1148" spans="1:20">
      <c r="A1148" s="170" t="s">
        <v>5723</v>
      </c>
      <c r="B1148" s="170" t="s">
        <v>5724</v>
      </c>
      <c r="C1148" s="178" t="s">
        <v>10</v>
      </c>
      <c r="D1148" s="170" t="s">
        <v>11</v>
      </c>
      <c r="E1148" s="170" t="s">
        <v>12</v>
      </c>
      <c r="H1148" s="207">
        <v>192053</v>
      </c>
      <c r="I1148" s="182" t="s">
        <v>5725</v>
      </c>
      <c r="J1148" s="182" t="s">
        <v>5726</v>
      </c>
      <c r="K1148" s="182" t="s">
        <v>5727</v>
      </c>
      <c r="L1148" s="182" t="s">
        <v>15</v>
      </c>
      <c r="M1148"/>
      <c r="R1148"/>
      <c r="T1148"/>
    </row>
    <row r="1149" spans="1:20">
      <c r="A1149" s="170" t="s">
        <v>5728</v>
      </c>
      <c r="B1149" s="170" t="s">
        <v>5729</v>
      </c>
      <c r="C1149" s="178" t="s">
        <v>10</v>
      </c>
      <c r="D1149" s="170" t="s">
        <v>11</v>
      </c>
      <c r="E1149" s="170" t="s">
        <v>12</v>
      </c>
      <c r="H1149" s="207">
        <v>152015</v>
      </c>
      <c r="I1149" s="182" t="s">
        <v>10</v>
      </c>
      <c r="J1149" s="182" t="s">
        <v>5730</v>
      </c>
      <c r="K1149" s="182" t="s">
        <v>5731</v>
      </c>
      <c r="L1149" s="182" t="s">
        <v>447</v>
      </c>
      <c r="M1149"/>
      <c r="R1149"/>
      <c r="T1149"/>
    </row>
    <row r="1150" spans="1:20">
      <c r="A1150" s="170" t="s">
        <v>5732</v>
      </c>
      <c r="B1150" s="170" t="s">
        <v>5733</v>
      </c>
      <c r="C1150" s="178" t="s">
        <v>10</v>
      </c>
      <c r="D1150" s="170" t="s">
        <v>11</v>
      </c>
      <c r="E1150" s="170" t="s">
        <v>12</v>
      </c>
      <c r="H1150" s="207" t="s">
        <v>5734</v>
      </c>
      <c r="I1150" s="182" t="s">
        <v>10</v>
      </c>
      <c r="J1150" s="182" t="s">
        <v>5734</v>
      </c>
      <c r="K1150" s="182" t="s">
        <v>5735</v>
      </c>
      <c r="L1150" s="182" t="s">
        <v>19</v>
      </c>
      <c r="M1150"/>
      <c r="R1150"/>
      <c r="T1150"/>
    </row>
    <row r="1151" spans="1:20">
      <c r="A1151" s="170" t="s">
        <v>5736</v>
      </c>
      <c r="B1151" s="170" t="s">
        <v>5737</v>
      </c>
      <c r="C1151" s="178" t="s">
        <v>10</v>
      </c>
      <c r="D1151" s="170" t="s">
        <v>11</v>
      </c>
      <c r="E1151" s="170" t="s">
        <v>12</v>
      </c>
      <c r="H1151" s="207">
        <v>173079</v>
      </c>
      <c r="I1151" s="182" t="s">
        <v>5738</v>
      </c>
      <c r="J1151" s="182" t="s">
        <v>5739</v>
      </c>
      <c r="K1151" s="182" t="s">
        <v>5740</v>
      </c>
      <c r="L1151" s="182" t="s">
        <v>15</v>
      </c>
      <c r="M1151"/>
      <c r="R1151"/>
      <c r="T1151"/>
    </row>
    <row r="1152" spans="1:20">
      <c r="A1152" s="170" t="s">
        <v>5741</v>
      </c>
      <c r="B1152" s="170" t="s">
        <v>5742</v>
      </c>
      <c r="C1152" s="178" t="s">
        <v>10</v>
      </c>
      <c r="D1152" s="170" t="s">
        <v>11</v>
      </c>
      <c r="E1152" s="170" t="s">
        <v>12</v>
      </c>
      <c r="H1152" s="207" t="s">
        <v>5743</v>
      </c>
      <c r="I1152" s="182" t="s">
        <v>10</v>
      </c>
      <c r="J1152" s="182" t="s">
        <v>5743</v>
      </c>
      <c r="K1152" s="182" t="s">
        <v>5744</v>
      </c>
      <c r="L1152" s="182" t="s">
        <v>53</v>
      </c>
      <c r="M1152"/>
      <c r="R1152"/>
      <c r="T1152"/>
    </row>
    <row r="1153" spans="1:20">
      <c r="A1153" s="170" t="s">
        <v>5745</v>
      </c>
      <c r="B1153" s="170" t="s">
        <v>5746</v>
      </c>
      <c r="C1153" s="178" t="s">
        <v>10</v>
      </c>
      <c r="D1153" s="170" t="s">
        <v>11</v>
      </c>
      <c r="E1153" s="170" t="s">
        <v>12</v>
      </c>
      <c r="H1153" s="207" t="s">
        <v>5747</v>
      </c>
      <c r="I1153" s="182" t="s">
        <v>10</v>
      </c>
      <c r="J1153" s="182" t="s">
        <v>5747</v>
      </c>
      <c r="K1153" s="182" t="s">
        <v>5748</v>
      </c>
      <c r="L1153" s="182" t="s">
        <v>53</v>
      </c>
      <c r="M1153"/>
      <c r="R1153"/>
      <c r="T1153"/>
    </row>
    <row r="1154" spans="1:20">
      <c r="A1154" s="170" t="s">
        <v>5749</v>
      </c>
      <c r="B1154" s="170" t="s">
        <v>5750</v>
      </c>
      <c r="C1154" s="178" t="s">
        <v>10</v>
      </c>
      <c r="D1154" s="170" t="s">
        <v>11</v>
      </c>
      <c r="E1154" s="170" t="s">
        <v>12</v>
      </c>
      <c r="H1154" s="207">
        <v>124875</v>
      </c>
      <c r="I1154" s="182" t="s">
        <v>5751</v>
      </c>
      <c r="J1154" s="182" t="s">
        <v>5752</v>
      </c>
      <c r="K1154" s="182" t="s">
        <v>5753</v>
      </c>
      <c r="L1154" s="182" t="s">
        <v>15</v>
      </c>
      <c r="M1154"/>
      <c r="R1154"/>
      <c r="T1154"/>
    </row>
    <row r="1155" spans="1:20">
      <c r="A1155" s="170" t="s">
        <v>5754</v>
      </c>
      <c r="B1155" s="170" t="s">
        <v>5755</v>
      </c>
      <c r="C1155" s="178" t="s">
        <v>10</v>
      </c>
      <c r="D1155" s="170" t="s">
        <v>11</v>
      </c>
      <c r="E1155" s="170" t="s">
        <v>12</v>
      </c>
      <c r="H1155" s="207">
        <v>818087</v>
      </c>
      <c r="I1155" s="182" t="s">
        <v>5756</v>
      </c>
      <c r="J1155" s="182" t="s">
        <v>5757</v>
      </c>
      <c r="K1155" s="182" t="s">
        <v>5758</v>
      </c>
      <c r="L1155" s="182" t="s">
        <v>15</v>
      </c>
      <c r="M1155"/>
      <c r="R1155"/>
      <c r="T1155"/>
    </row>
    <row r="1156" spans="1:20">
      <c r="A1156" s="170" t="s">
        <v>5759</v>
      </c>
      <c r="B1156" s="170" t="s">
        <v>5760</v>
      </c>
      <c r="C1156" s="178" t="s">
        <v>10</v>
      </c>
      <c r="D1156" s="170" t="s">
        <v>11</v>
      </c>
      <c r="E1156" s="170" t="s">
        <v>12</v>
      </c>
      <c r="H1156" s="207" t="s">
        <v>5761</v>
      </c>
      <c r="I1156" s="182" t="s">
        <v>10</v>
      </c>
      <c r="J1156" s="182" t="s">
        <v>5761</v>
      </c>
      <c r="K1156" s="182" t="s">
        <v>5762</v>
      </c>
      <c r="L1156" s="182" t="s">
        <v>53</v>
      </c>
      <c r="M1156"/>
      <c r="R1156"/>
      <c r="T1156"/>
    </row>
    <row r="1157" spans="1:20">
      <c r="A1157" s="170" t="s">
        <v>5763</v>
      </c>
      <c r="B1157" s="170" t="s">
        <v>5764</v>
      </c>
      <c r="C1157" s="178" t="s">
        <v>10</v>
      </c>
      <c r="D1157" s="170" t="s">
        <v>11</v>
      </c>
      <c r="E1157" s="170" t="s">
        <v>12</v>
      </c>
      <c r="H1157" s="207">
        <v>472826</v>
      </c>
      <c r="I1157" s="182" t="s">
        <v>5765</v>
      </c>
      <c r="J1157" s="182" t="s">
        <v>5766</v>
      </c>
      <c r="K1157" s="182" t="s">
        <v>5767</v>
      </c>
      <c r="L1157" s="182" t="s">
        <v>15</v>
      </c>
      <c r="M1157"/>
      <c r="R1157"/>
      <c r="T1157"/>
    </row>
    <row r="1158" spans="1:20">
      <c r="A1158" s="170" t="s">
        <v>5768</v>
      </c>
      <c r="B1158" s="170" t="s">
        <v>5769</v>
      </c>
      <c r="C1158" s="178" t="s">
        <v>10</v>
      </c>
      <c r="D1158" s="170" t="s">
        <v>11</v>
      </c>
      <c r="E1158" s="170" t="s">
        <v>12</v>
      </c>
      <c r="H1158" s="207">
        <v>747089</v>
      </c>
      <c r="I1158" s="182" t="s">
        <v>5770</v>
      </c>
      <c r="J1158" s="182" t="s">
        <v>5771</v>
      </c>
      <c r="K1158" s="182" t="s">
        <v>5772</v>
      </c>
      <c r="L1158" s="182" t="s">
        <v>15</v>
      </c>
      <c r="M1158"/>
      <c r="R1158"/>
      <c r="T1158"/>
    </row>
    <row r="1159" spans="1:13">
      <c r="A1159" s="170" t="s">
        <v>5773</v>
      </c>
      <c r="B1159" s="170" t="s">
        <v>5774</v>
      </c>
      <c r="C1159" s="235" t="s">
        <v>5775</v>
      </c>
      <c r="D1159" s="170" t="s">
        <v>11</v>
      </c>
      <c r="E1159" s="170" t="s">
        <v>12</v>
      </c>
      <c r="H1159" s="207">
        <v>207432</v>
      </c>
      <c r="I1159" s="182" t="s">
        <v>5776</v>
      </c>
      <c r="J1159" s="182" t="s">
        <v>5777</v>
      </c>
      <c r="K1159" s="182" t="s">
        <v>5778</v>
      </c>
      <c r="L1159" s="182" t="s">
        <v>15</v>
      </c>
      <c r="M1159" s="289" t="s">
        <v>5774</v>
      </c>
    </row>
    <row r="1160" spans="1:20">
      <c r="A1160" s="170" t="s">
        <v>5779</v>
      </c>
      <c r="B1160" s="170" t="s">
        <v>5780</v>
      </c>
      <c r="C1160" s="170"/>
      <c r="D1160" s="170" t="s">
        <v>11</v>
      </c>
      <c r="E1160" s="170" t="s">
        <v>12</v>
      </c>
      <c r="H1160" s="207">
        <v>450360</v>
      </c>
      <c r="I1160" s="182" t="s">
        <v>5781</v>
      </c>
      <c r="J1160" s="182" t="s">
        <v>5782</v>
      </c>
      <c r="K1160" s="182" t="s">
        <v>5783</v>
      </c>
      <c r="L1160" s="182" t="s">
        <v>15</v>
      </c>
      <c r="M1160"/>
      <c r="R1160"/>
      <c r="T1160"/>
    </row>
    <row r="1161" spans="1:20">
      <c r="A1161" s="170" t="s">
        <v>5784</v>
      </c>
      <c r="B1161" s="170" t="s">
        <v>5785</v>
      </c>
      <c r="C1161" s="170"/>
      <c r="D1161" s="170" t="s">
        <v>11</v>
      </c>
      <c r="E1161" s="170" t="s">
        <v>12</v>
      </c>
      <c r="H1161" s="207">
        <v>112004</v>
      </c>
      <c r="I1161" s="182" t="s">
        <v>5786</v>
      </c>
      <c r="J1161" s="182" t="s">
        <v>5787</v>
      </c>
      <c r="K1161" s="182" t="s">
        <v>5788</v>
      </c>
      <c r="L1161" s="182" t="s">
        <v>15</v>
      </c>
      <c r="M1161"/>
      <c r="R1161"/>
      <c r="T1161"/>
    </row>
    <row r="1162" spans="1:13">
      <c r="A1162" s="170" t="s">
        <v>5789</v>
      </c>
      <c r="B1162" s="170" t="s">
        <v>5790</v>
      </c>
      <c r="C1162" s="235" t="s">
        <v>5791</v>
      </c>
      <c r="D1162" s="170" t="s">
        <v>11</v>
      </c>
      <c r="E1162" s="170" t="s">
        <v>12</v>
      </c>
      <c r="H1162" s="207">
        <v>417007</v>
      </c>
      <c r="I1162" s="182" t="s">
        <v>5792</v>
      </c>
      <c r="J1162" s="182" t="s">
        <v>5793</v>
      </c>
      <c r="K1162" s="182" t="s">
        <v>5794</v>
      </c>
      <c r="L1162" s="182" t="s">
        <v>15</v>
      </c>
      <c r="M1162" s="289" t="s">
        <v>5790</v>
      </c>
    </row>
    <row r="1163" spans="1:13">
      <c r="A1163" s="170" t="s">
        <v>5795</v>
      </c>
      <c r="B1163" s="170" t="s">
        <v>5796</v>
      </c>
      <c r="C1163" s="221" t="s">
        <v>5797</v>
      </c>
      <c r="D1163" s="170" t="s">
        <v>11</v>
      </c>
      <c r="E1163" s="170" t="s">
        <v>12</v>
      </c>
      <c r="H1163" s="207">
        <v>490907</v>
      </c>
      <c r="I1163" s="182" t="s">
        <v>5798</v>
      </c>
      <c r="J1163" s="182" t="s">
        <v>5799</v>
      </c>
      <c r="K1163" s="182" t="s">
        <v>5800</v>
      </c>
      <c r="L1163" s="182" t="s">
        <v>15</v>
      </c>
      <c r="M1163" s="289" t="s">
        <v>5796</v>
      </c>
    </row>
    <row r="1164" spans="1:20">
      <c r="A1164" s="170" t="s">
        <v>5801</v>
      </c>
      <c r="B1164" s="170" t="s">
        <v>5802</v>
      </c>
      <c r="C1164" s="170"/>
      <c r="D1164" s="170" t="s">
        <v>11</v>
      </c>
      <c r="E1164" s="170" t="s">
        <v>12</v>
      </c>
      <c r="H1164" s="207" t="s">
        <v>5803</v>
      </c>
      <c r="I1164" s="182" t="s">
        <v>10</v>
      </c>
      <c r="J1164" s="182" t="s">
        <v>5803</v>
      </c>
      <c r="K1164" s="182" t="s">
        <v>5804</v>
      </c>
      <c r="L1164" s="182" t="s">
        <v>19</v>
      </c>
      <c r="M1164"/>
      <c r="R1164"/>
      <c r="T1164"/>
    </row>
    <row r="1165" spans="1:13">
      <c r="A1165" s="170" t="s">
        <v>5805</v>
      </c>
      <c r="B1165" s="170" t="s">
        <v>5806</v>
      </c>
      <c r="C1165" s="235" t="s">
        <v>5807</v>
      </c>
      <c r="D1165" s="170" t="s">
        <v>11</v>
      </c>
      <c r="E1165" s="170" t="s">
        <v>12</v>
      </c>
      <c r="H1165" s="207">
        <v>492074</v>
      </c>
      <c r="I1165" s="182" t="s">
        <v>5808</v>
      </c>
      <c r="J1165" s="182" t="s">
        <v>5809</v>
      </c>
      <c r="K1165" s="182"/>
      <c r="L1165" s="182" t="s">
        <v>15</v>
      </c>
      <c r="M1165" s="289" t="s">
        <v>5806</v>
      </c>
    </row>
    <row r="1166" spans="1:13">
      <c r="A1166" s="170" t="s">
        <v>5810</v>
      </c>
      <c r="B1166" s="170" t="s">
        <v>5811</v>
      </c>
      <c r="C1166" s="235" t="s">
        <v>5812</v>
      </c>
      <c r="D1166" s="170" t="s">
        <v>11</v>
      </c>
      <c r="E1166" s="170" t="s">
        <v>12</v>
      </c>
      <c r="H1166" s="207" t="s">
        <v>5813</v>
      </c>
      <c r="I1166" s="182" t="s">
        <v>10</v>
      </c>
      <c r="J1166" s="182" t="s">
        <v>5813</v>
      </c>
      <c r="K1166" s="182" t="s">
        <v>5814</v>
      </c>
      <c r="L1166" s="182" t="s">
        <v>53</v>
      </c>
      <c r="M1166" s="289" t="s">
        <v>5811</v>
      </c>
    </row>
    <row r="1167" spans="1:20">
      <c r="A1167" s="170" t="s">
        <v>5815</v>
      </c>
      <c r="B1167" s="170" t="s">
        <v>5816</v>
      </c>
      <c r="C1167" s="170"/>
      <c r="D1167" s="170" t="s">
        <v>11</v>
      </c>
      <c r="E1167" s="170" t="s">
        <v>12</v>
      </c>
      <c r="H1167" s="207">
        <v>500473</v>
      </c>
      <c r="I1167" s="182" t="s">
        <v>5817</v>
      </c>
      <c r="J1167" s="182" t="s">
        <v>5818</v>
      </c>
      <c r="K1167" s="182" t="s">
        <v>5819</v>
      </c>
      <c r="L1167" s="182" t="s">
        <v>15</v>
      </c>
      <c r="M1167"/>
      <c r="R1167"/>
      <c r="T1167"/>
    </row>
    <row r="1168" spans="1:13">
      <c r="A1168" s="170" t="s">
        <v>5820</v>
      </c>
      <c r="B1168" s="170" t="s">
        <v>5821</v>
      </c>
      <c r="C1168" s="235" t="s">
        <v>5822</v>
      </c>
      <c r="D1168" s="170" t="s">
        <v>11</v>
      </c>
      <c r="E1168" s="170" t="s">
        <v>12</v>
      </c>
      <c r="H1168" s="207">
        <v>186751</v>
      </c>
      <c r="I1168" s="182" t="s">
        <v>5823</v>
      </c>
      <c r="J1168" s="182" t="s">
        <v>5824</v>
      </c>
      <c r="K1168" s="182"/>
      <c r="L1168" s="182" t="s">
        <v>15</v>
      </c>
      <c r="M1168" s="289" t="s">
        <v>5821</v>
      </c>
    </row>
    <row r="1169" spans="1:13">
      <c r="A1169" s="170" t="s">
        <v>5825</v>
      </c>
      <c r="B1169" s="299" t="s">
        <v>5826</v>
      </c>
      <c r="C1169" s="235" t="s">
        <v>5827</v>
      </c>
      <c r="D1169" s="170" t="s">
        <v>11</v>
      </c>
      <c r="E1169" s="170" t="s">
        <v>12</v>
      </c>
      <c r="H1169" s="207">
        <v>392991</v>
      </c>
      <c r="I1169" s="182" t="s">
        <v>5828</v>
      </c>
      <c r="J1169" s="182" t="s">
        <v>5829</v>
      </c>
      <c r="K1169" s="182"/>
      <c r="L1169" s="182" t="s">
        <v>15</v>
      </c>
      <c r="M1169" s="303" t="s">
        <v>5830</v>
      </c>
    </row>
    <row r="1170" spans="1:20">
      <c r="A1170" s="170" t="s">
        <v>5831</v>
      </c>
      <c r="B1170" s="170" t="s">
        <v>5830</v>
      </c>
      <c r="C1170" s="170"/>
      <c r="D1170" s="170" t="s">
        <v>11</v>
      </c>
      <c r="E1170" s="170" t="s">
        <v>12</v>
      </c>
      <c r="H1170" s="207">
        <v>481195</v>
      </c>
      <c r="I1170" s="182" t="s">
        <v>5832</v>
      </c>
      <c r="J1170" s="182" t="s">
        <v>5833</v>
      </c>
      <c r="K1170" s="182" t="s">
        <v>5834</v>
      </c>
      <c r="L1170" s="182" t="s">
        <v>15</v>
      </c>
      <c r="M1170"/>
      <c r="R1170"/>
      <c r="T1170"/>
    </row>
    <row r="1171" spans="1:13">
      <c r="A1171" s="170" t="s">
        <v>5835</v>
      </c>
      <c r="B1171" s="170" t="s">
        <v>5836</v>
      </c>
      <c r="C1171" s="235" t="s">
        <v>5837</v>
      </c>
      <c r="D1171" s="170" t="s">
        <v>11</v>
      </c>
      <c r="E1171" s="170" t="s">
        <v>12</v>
      </c>
      <c r="H1171" s="207">
        <v>506865</v>
      </c>
      <c r="I1171" s="182" t="s">
        <v>5838</v>
      </c>
      <c r="J1171" s="182" t="s">
        <v>5839</v>
      </c>
      <c r="K1171" s="182" t="s">
        <v>5840</v>
      </c>
      <c r="L1171" s="182" t="s">
        <v>15</v>
      </c>
      <c r="M1171" s="289" t="s">
        <v>5836</v>
      </c>
    </row>
    <row r="1172" spans="1:13">
      <c r="A1172" s="170" t="s">
        <v>5841</v>
      </c>
      <c r="B1172" s="170" t="s">
        <v>5842</v>
      </c>
      <c r="C1172" s="235" t="s">
        <v>5843</v>
      </c>
      <c r="D1172" s="170" t="s">
        <v>11</v>
      </c>
      <c r="E1172" s="170" t="s">
        <v>12</v>
      </c>
      <c r="H1172" s="207">
        <v>478435</v>
      </c>
      <c r="I1172" s="182" t="s">
        <v>5844</v>
      </c>
      <c r="J1172" s="182" t="s">
        <v>5845</v>
      </c>
      <c r="K1172" s="182" t="s">
        <v>5846</v>
      </c>
      <c r="L1172" s="182" t="s">
        <v>15</v>
      </c>
      <c r="M1172" s="289" t="s">
        <v>5842</v>
      </c>
    </row>
    <row r="1173" spans="1:20">
      <c r="A1173" s="170" t="s">
        <v>5847</v>
      </c>
      <c r="B1173" s="170" t="s">
        <v>5848</v>
      </c>
      <c r="C1173" s="170"/>
      <c r="D1173" s="170" t="s">
        <v>11</v>
      </c>
      <c r="E1173" s="170" t="s">
        <v>12</v>
      </c>
      <c r="H1173" s="207">
        <v>330193</v>
      </c>
      <c r="I1173" s="182" t="s">
        <v>5849</v>
      </c>
      <c r="J1173" s="182" t="s">
        <v>5850</v>
      </c>
      <c r="K1173" s="182" t="s">
        <v>5851</v>
      </c>
      <c r="L1173" s="182" t="s">
        <v>15</v>
      </c>
      <c r="M1173"/>
      <c r="R1173"/>
      <c r="T1173"/>
    </row>
    <row r="1174" spans="1:13">
      <c r="A1174" s="170" t="s">
        <v>5852</v>
      </c>
      <c r="B1174" s="170" t="s">
        <v>5853</v>
      </c>
      <c r="C1174" s="236" t="s">
        <v>5854</v>
      </c>
      <c r="D1174" s="170" t="s">
        <v>11</v>
      </c>
      <c r="E1174" s="170" t="s">
        <v>12</v>
      </c>
      <c r="H1174" s="207">
        <v>756229</v>
      </c>
      <c r="I1174" s="182" t="s">
        <v>5855</v>
      </c>
      <c r="J1174" s="182" t="s">
        <v>5856</v>
      </c>
      <c r="K1174" s="182" t="s">
        <v>5857</v>
      </c>
      <c r="L1174" s="182" t="s">
        <v>415</v>
      </c>
      <c r="M1174" s="289" t="s">
        <v>5853</v>
      </c>
    </row>
    <row r="1175" spans="1:13">
      <c r="A1175" s="170" t="s">
        <v>5858</v>
      </c>
      <c r="B1175" s="170" t="s">
        <v>5859</v>
      </c>
      <c r="C1175" s="235" t="s">
        <v>5860</v>
      </c>
      <c r="D1175" s="170" t="s">
        <v>11</v>
      </c>
      <c r="E1175" s="170" t="s">
        <v>12</v>
      </c>
      <c r="H1175" s="207" t="s">
        <v>5861</v>
      </c>
      <c r="I1175" s="182" t="s">
        <v>10</v>
      </c>
      <c r="J1175" s="182" t="s">
        <v>5861</v>
      </c>
      <c r="K1175" s="182" t="s">
        <v>5862</v>
      </c>
      <c r="L1175" s="182" t="s">
        <v>19</v>
      </c>
      <c r="M1175" s="289" t="s">
        <v>5859</v>
      </c>
    </row>
    <row r="1176" spans="1:20">
      <c r="A1176" s="170" t="s">
        <v>5863</v>
      </c>
      <c r="B1176" s="170" t="s">
        <v>5864</v>
      </c>
      <c r="C1176" s="170"/>
      <c r="D1176" s="170" t="s">
        <v>11</v>
      </c>
      <c r="E1176" s="170" t="s">
        <v>12</v>
      </c>
      <c r="H1176" s="207">
        <v>486490</v>
      </c>
      <c r="I1176" s="182" t="s">
        <v>5865</v>
      </c>
      <c r="J1176" s="182" t="s">
        <v>5866</v>
      </c>
      <c r="K1176" s="182" t="s">
        <v>5867</v>
      </c>
      <c r="L1176" s="182" t="s">
        <v>15</v>
      </c>
      <c r="M1176"/>
      <c r="R1176"/>
      <c r="T1176"/>
    </row>
    <row r="1177" spans="1:13">
      <c r="A1177" s="170" t="s">
        <v>5868</v>
      </c>
      <c r="B1177" s="170" t="s">
        <v>5869</v>
      </c>
      <c r="C1177" s="235" t="s">
        <v>5870</v>
      </c>
      <c r="D1177" s="170" t="s">
        <v>11</v>
      </c>
      <c r="E1177" s="170" t="s">
        <v>12</v>
      </c>
      <c r="H1177" s="207" t="s">
        <v>5871</v>
      </c>
      <c r="I1177" s="182" t="s">
        <v>10</v>
      </c>
      <c r="J1177" s="182" t="s">
        <v>5871</v>
      </c>
      <c r="K1177" s="182" t="s">
        <v>5872</v>
      </c>
      <c r="L1177" s="182" t="s">
        <v>53</v>
      </c>
      <c r="M1177" s="289" t="s">
        <v>5869</v>
      </c>
    </row>
    <row r="1178" spans="1:13">
      <c r="A1178" s="170" t="s">
        <v>5873</v>
      </c>
      <c r="B1178" s="170" t="s">
        <v>5874</v>
      </c>
      <c r="C1178" s="235" t="s">
        <v>5875</v>
      </c>
      <c r="D1178" s="170" t="s">
        <v>11</v>
      </c>
      <c r="E1178" s="170" t="s">
        <v>12</v>
      </c>
      <c r="H1178" s="207">
        <v>476509</v>
      </c>
      <c r="I1178" s="182" t="s">
        <v>5876</v>
      </c>
      <c r="J1178" s="182" t="s">
        <v>5877</v>
      </c>
      <c r="K1178" s="182" t="s">
        <v>5878</v>
      </c>
      <c r="L1178" s="182" t="s">
        <v>15</v>
      </c>
      <c r="M1178" s="289" t="s">
        <v>5874</v>
      </c>
    </row>
    <row r="1179" spans="1:20">
      <c r="A1179" s="170" t="s">
        <v>5879</v>
      </c>
      <c r="B1179" s="170" t="s">
        <v>5880</v>
      </c>
      <c r="C1179" s="170"/>
      <c r="D1179" s="170" t="s">
        <v>11</v>
      </c>
      <c r="E1179" s="170" t="s">
        <v>12</v>
      </c>
      <c r="H1179" s="207">
        <v>427571</v>
      </c>
      <c r="I1179" s="182" t="s">
        <v>5881</v>
      </c>
      <c r="J1179" s="182" t="s">
        <v>5882</v>
      </c>
      <c r="K1179" s="182" t="s">
        <v>5883</v>
      </c>
      <c r="L1179" s="182" t="s">
        <v>15</v>
      </c>
      <c r="M1179"/>
      <c r="R1179"/>
      <c r="T1179"/>
    </row>
    <row r="1180" spans="1:13">
      <c r="A1180" s="170" t="s">
        <v>5884</v>
      </c>
      <c r="B1180" s="170" t="s">
        <v>5885</v>
      </c>
      <c r="C1180" s="221" t="s">
        <v>5886</v>
      </c>
      <c r="D1180" s="170" t="s">
        <v>11</v>
      </c>
      <c r="E1180" s="170" t="s">
        <v>12</v>
      </c>
      <c r="H1180" s="207">
        <v>469262</v>
      </c>
      <c r="I1180" s="182" t="s">
        <v>5887</v>
      </c>
      <c r="J1180" s="182" t="s">
        <v>5888</v>
      </c>
      <c r="K1180" s="182" t="s">
        <v>5889</v>
      </c>
      <c r="L1180" s="182" t="s">
        <v>15</v>
      </c>
      <c r="M1180" s="289" t="s">
        <v>5885</v>
      </c>
    </row>
    <row r="1181" spans="1:13">
      <c r="A1181" s="170" t="s">
        <v>5890</v>
      </c>
      <c r="B1181" s="170" t="s">
        <v>5891</v>
      </c>
      <c r="C1181" s="221" t="s">
        <v>5892</v>
      </c>
      <c r="D1181" s="170" t="s">
        <v>11</v>
      </c>
      <c r="E1181" s="170" t="s">
        <v>12</v>
      </c>
      <c r="H1181" s="207" t="s">
        <v>5893</v>
      </c>
      <c r="I1181" s="182" t="s">
        <v>10</v>
      </c>
      <c r="J1181" s="182" t="s">
        <v>5893</v>
      </c>
      <c r="K1181" s="182" t="s">
        <v>5894</v>
      </c>
      <c r="L1181" s="182" t="s">
        <v>19</v>
      </c>
      <c r="M1181" s="289" t="s">
        <v>5891</v>
      </c>
    </row>
    <row r="1182" spans="1:20">
      <c r="A1182" s="170" t="s">
        <v>5895</v>
      </c>
      <c r="B1182" s="170" t="s">
        <v>5896</v>
      </c>
      <c r="C1182" s="170"/>
      <c r="D1182" s="170" t="s">
        <v>11</v>
      </c>
      <c r="E1182" s="170" t="s">
        <v>12</v>
      </c>
      <c r="H1182" s="207">
        <v>884574</v>
      </c>
      <c r="I1182" s="182" t="s">
        <v>5897</v>
      </c>
      <c r="J1182" s="182" t="s">
        <v>5898</v>
      </c>
      <c r="K1182" s="182" t="s">
        <v>5899</v>
      </c>
      <c r="L1182" s="182" t="s">
        <v>15</v>
      </c>
      <c r="M1182"/>
      <c r="R1182"/>
      <c r="T1182"/>
    </row>
    <row r="1183" spans="1:13">
      <c r="A1183" s="170" t="s">
        <v>5900</v>
      </c>
      <c r="B1183" s="170" t="s">
        <v>5901</v>
      </c>
      <c r="C1183" s="221" t="s">
        <v>5902</v>
      </c>
      <c r="D1183" s="170" t="s">
        <v>11</v>
      </c>
      <c r="E1183" s="170" t="s">
        <v>12</v>
      </c>
      <c r="H1183" s="207">
        <v>518363</v>
      </c>
      <c r="I1183" s="182" t="s">
        <v>5903</v>
      </c>
      <c r="J1183" s="182" t="s">
        <v>5904</v>
      </c>
      <c r="K1183" s="182" t="s">
        <v>5905</v>
      </c>
      <c r="L1183" s="182" t="s">
        <v>15</v>
      </c>
      <c r="M1183" s="289" t="s">
        <v>5901</v>
      </c>
    </row>
    <row r="1184" spans="1:13">
      <c r="A1184" s="170" t="s">
        <v>5906</v>
      </c>
      <c r="B1184" s="170" t="s">
        <v>5907</v>
      </c>
      <c r="C1184" s="221" t="s">
        <v>5908</v>
      </c>
      <c r="D1184" s="170" t="s">
        <v>11</v>
      </c>
      <c r="E1184" s="170" t="s">
        <v>12</v>
      </c>
      <c r="H1184" s="207">
        <v>492009</v>
      </c>
      <c r="I1184" s="182" t="s">
        <v>5909</v>
      </c>
      <c r="J1184" s="182" t="s">
        <v>5910</v>
      </c>
      <c r="K1184" s="182" t="s">
        <v>5911</v>
      </c>
      <c r="L1184" s="182" t="s">
        <v>15</v>
      </c>
      <c r="M1184" s="289" t="s">
        <v>5907</v>
      </c>
    </row>
    <row r="1185" spans="1:20">
      <c r="A1185" s="170" t="s">
        <v>5912</v>
      </c>
      <c r="B1185" s="170" t="s">
        <v>5913</v>
      </c>
      <c r="C1185" s="170"/>
      <c r="D1185" s="170" t="s">
        <v>11</v>
      </c>
      <c r="E1185" s="170" t="s">
        <v>12</v>
      </c>
      <c r="H1185" s="207">
        <v>462738</v>
      </c>
      <c r="I1185" s="182" t="s">
        <v>5914</v>
      </c>
      <c r="J1185" s="182" t="s">
        <v>5915</v>
      </c>
      <c r="K1185" s="182" t="s">
        <v>5916</v>
      </c>
      <c r="L1185" s="182" t="s">
        <v>15</v>
      </c>
      <c r="M1185"/>
      <c r="R1185"/>
      <c r="T1185"/>
    </row>
    <row r="1186" spans="1:13">
      <c r="A1186" s="170" t="s">
        <v>5917</v>
      </c>
      <c r="B1186" s="170" t="s">
        <v>5918</v>
      </c>
      <c r="C1186" s="221" t="s">
        <v>5919</v>
      </c>
      <c r="D1186" s="170" t="s">
        <v>11</v>
      </c>
      <c r="E1186" s="170" t="s">
        <v>12</v>
      </c>
      <c r="H1186" s="207" t="s">
        <v>5920</v>
      </c>
      <c r="I1186" s="182" t="s">
        <v>10</v>
      </c>
      <c r="J1186" s="182" t="s">
        <v>5920</v>
      </c>
      <c r="K1186" s="182"/>
      <c r="L1186" s="182" t="s">
        <v>53</v>
      </c>
      <c r="M1186" s="289" t="s">
        <v>5918</v>
      </c>
    </row>
    <row r="1187" spans="1:13">
      <c r="A1187" s="170" t="s">
        <v>5921</v>
      </c>
      <c r="B1187" s="170" t="s">
        <v>5922</v>
      </c>
      <c r="C1187" s="221" t="s">
        <v>5923</v>
      </c>
      <c r="D1187" s="170" t="s">
        <v>11</v>
      </c>
      <c r="E1187" s="170" t="s">
        <v>12</v>
      </c>
      <c r="H1187" s="207">
        <v>487143</v>
      </c>
      <c r="I1187" s="182" t="s">
        <v>5924</v>
      </c>
      <c r="J1187" s="182" t="s">
        <v>5925</v>
      </c>
      <c r="K1187" s="182" t="s">
        <v>5926</v>
      </c>
      <c r="L1187" s="182" t="s">
        <v>15</v>
      </c>
      <c r="M1187" s="289" t="s">
        <v>5922</v>
      </c>
    </row>
    <row r="1188" spans="1:20">
      <c r="A1188" s="170" t="s">
        <v>5927</v>
      </c>
      <c r="B1188" s="170" t="s">
        <v>5928</v>
      </c>
      <c r="C1188" s="170"/>
      <c r="D1188" s="170" t="s">
        <v>11</v>
      </c>
      <c r="E1188" s="170" t="s">
        <v>12</v>
      </c>
      <c r="H1188" s="207">
        <v>501022</v>
      </c>
      <c r="I1188" s="182" t="s">
        <v>5929</v>
      </c>
      <c r="J1188" s="182" t="s">
        <v>5930</v>
      </c>
      <c r="K1188" s="182" t="s">
        <v>5931</v>
      </c>
      <c r="L1188" s="182" t="s">
        <v>15</v>
      </c>
      <c r="M1188"/>
      <c r="R1188"/>
      <c r="T1188"/>
    </row>
    <row r="1189" spans="1:14">
      <c r="A1189" s="170" t="s">
        <v>5932</v>
      </c>
      <c r="B1189" s="170" t="s">
        <v>5933</v>
      </c>
      <c r="C1189" s="218" t="s">
        <v>5934</v>
      </c>
      <c r="D1189" s="170" t="s">
        <v>11</v>
      </c>
      <c r="E1189" s="170" t="s">
        <v>12</v>
      </c>
      <c r="H1189" s="207">
        <v>464572</v>
      </c>
      <c r="I1189" s="182" t="s">
        <v>5935</v>
      </c>
      <c r="J1189" s="182" t="s">
        <v>5936</v>
      </c>
      <c r="K1189" s="182" t="s">
        <v>5937</v>
      </c>
      <c r="L1189" s="182" t="s">
        <v>15</v>
      </c>
      <c r="M1189" s="289" t="s">
        <v>5933</v>
      </c>
      <c r="N1189" s="289"/>
    </row>
    <row r="1190" spans="1:13">
      <c r="A1190" s="170" t="s">
        <v>5938</v>
      </c>
      <c r="B1190" s="170" t="s">
        <v>5939</v>
      </c>
      <c r="C1190" s="221" t="s">
        <v>5940</v>
      </c>
      <c r="D1190" s="170" t="s">
        <v>11</v>
      </c>
      <c r="E1190" s="170" t="s">
        <v>12</v>
      </c>
      <c r="H1190" s="207">
        <v>415170</v>
      </c>
      <c r="I1190" s="182" t="s">
        <v>5941</v>
      </c>
      <c r="J1190" s="182" t="s">
        <v>5942</v>
      </c>
      <c r="K1190" s="182"/>
      <c r="L1190" s="182" t="s">
        <v>15</v>
      </c>
      <c r="M1190" s="289" t="s">
        <v>5939</v>
      </c>
    </row>
    <row r="1191" spans="1:20">
      <c r="A1191" s="170" t="s">
        <v>5943</v>
      </c>
      <c r="B1191" s="170" t="s">
        <v>5944</v>
      </c>
      <c r="C1191" s="170"/>
      <c r="D1191" s="170" t="s">
        <v>11</v>
      </c>
      <c r="E1191" s="170" t="s">
        <v>12</v>
      </c>
      <c r="H1191" s="207">
        <v>548990</v>
      </c>
      <c r="I1191" s="182" t="s">
        <v>5945</v>
      </c>
      <c r="J1191" s="182" t="s">
        <v>5946</v>
      </c>
      <c r="K1191" s="182" t="s">
        <v>5947</v>
      </c>
      <c r="L1191" s="182" t="s">
        <v>15</v>
      </c>
      <c r="M1191"/>
      <c r="R1191"/>
      <c r="T1191"/>
    </row>
    <row r="1192" spans="1:13">
      <c r="A1192" s="170" t="s">
        <v>5948</v>
      </c>
      <c r="B1192" s="170" t="s">
        <v>5949</v>
      </c>
      <c r="C1192" s="221" t="s">
        <v>5950</v>
      </c>
      <c r="D1192" s="170" t="s">
        <v>11</v>
      </c>
      <c r="E1192" s="170" t="s">
        <v>12</v>
      </c>
      <c r="H1192" s="207">
        <v>469824</v>
      </c>
      <c r="I1192" s="182" t="s">
        <v>5951</v>
      </c>
      <c r="J1192" s="182" t="s">
        <v>5952</v>
      </c>
      <c r="K1192" s="182"/>
      <c r="L1192" s="182" t="s">
        <v>15</v>
      </c>
      <c r="M1192" s="289" t="s">
        <v>5949</v>
      </c>
    </row>
    <row r="1193" spans="1:13">
      <c r="A1193" s="170" t="s">
        <v>5953</v>
      </c>
      <c r="B1193" s="170" t="s">
        <v>5954</v>
      </c>
      <c r="C1193" s="221" t="s">
        <v>5955</v>
      </c>
      <c r="D1193" s="170" t="s">
        <v>11</v>
      </c>
      <c r="E1193" s="170" t="s">
        <v>12</v>
      </c>
      <c r="H1193" s="207">
        <v>486831</v>
      </c>
      <c r="I1193" s="182" t="s">
        <v>5956</v>
      </c>
      <c r="J1193" s="182" t="s">
        <v>5957</v>
      </c>
      <c r="K1193" s="182" t="s">
        <v>5958</v>
      </c>
      <c r="L1193" s="182" t="s">
        <v>15</v>
      </c>
      <c r="M1193" s="289" t="s">
        <v>5954</v>
      </c>
    </row>
    <row r="1194" spans="1:20">
      <c r="A1194" s="170" t="s">
        <v>5959</v>
      </c>
      <c r="B1194" s="170" t="s">
        <v>5960</v>
      </c>
      <c r="C1194" s="170"/>
      <c r="D1194" s="170" t="s">
        <v>11</v>
      </c>
      <c r="E1194" s="170" t="s">
        <v>12</v>
      </c>
      <c r="H1194" s="207">
        <v>509045</v>
      </c>
      <c r="I1194" s="182" t="s">
        <v>5961</v>
      </c>
      <c r="J1194" s="182" t="s">
        <v>5962</v>
      </c>
      <c r="K1194" s="182" t="s">
        <v>5963</v>
      </c>
      <c r="L1194" s="182" t="s">
        <v>15</v>
      </c>
      <c r="M1194"/>
      <c r="R1194"/>
      <c r="T1194"/>
    </row>
    <row r="1195" spans="1:13">
      <c r="A1195" s="170" t="s">
        <v>5964</v>
      </c>
      <c r="B1195" s="170" t="s">
        <v>5965</v>
      </c>
      <c r="C1195" s="218" t="s">
        <v>5966</v>
      </c>
      <c r="D1195" s="170" t="s">
        <v>11</v>
      </c>
      <c r="E1195" s="170" t="s">
        <v>12</v>
      </c>
      <c r="H1195" s="207" t="s">
        <v>5967</v>
      </c>
      <c r="I1195" s="182" t="s">
        <v>10</v>
      </c>
      <c r="J1195" s="182" t="s">
        <v>5967</v>
      </c>
      <c r="K1195" s="182" t="s">
        <v>5968</v>
      </c>
      <c r="L1195" s="182" t="s">
        <v>53</v>
      </c>
      <c r="M1195" s="289" t="s">
        <v>5965</v>
      </c>
    </row>
    <row r="1196" spans="1:13">
      <c r="A1196" s="170" t="s">
        <v>5969</v>
      </c>
      <c r="B1196" s="170" t="s">
        <v>5970</v>
      </c>
      <c r="C1196" s="218" t="s">
        <v>5971</v>
      </c>
      <c r="D1196" s="170" t="s">
        <v>11</v>
      </c>
      <c r="E1196" s="170" t="s">
        <v>12</v>
      </c>
      <c r="H1196" s="207">
        <v>472684</v>
      </c>
      <c r="I1196" s="182" t="s">
        <v>5972</v>
      </c>
      <c r="J1196" s="182" t="s">
        <v>5973</v>
      </c>
      <c r="K1196" s="182" t="s">
        <v>5974</v>
      </c>
      <c r="L1196" s="182" t="s">
        <v>15</v>
      </c>
      <c r="M1196" s="289" t="s">
        <v>5970</v>
      </c>
    </row>
    <row r="1197" spans="1:20">
      <c r="A1197" s="170" t="s">
        <v>5975</v>
      </c>
      <c r="B1197" s="170" t="s">
        <v>5976</v>
      </c>
      <c r="C1197" s="170"/>
      <c r="D1197" s="170" t="s">
        <v>11</v>
      </c>
      <c r="E1197" s="170" t="s">
        <v>12</v>
      </c>
      <c r="H1197" s="207">
        <v>355490</v>
      </c>
      <c r="I1197" s="182" t="s">
        <v>5977</v>
      </c>
      <c r="J1197" s="182" t="s">
        <v>5978</v>
      </c>
      <c r="K1197" s="182" t="s">
        <v>5979</v>
      </c>
      <c r="L1197" s="182" t="s">
        <v>15</v>
      </c>
      <c r="M1197"/>
      <c r="R1197"/>
      <c r="T1197"/>
    </row>
    <row r="1198" spans="1:13">
      <c r="A1198" s="170" t="s">
        <v>5980</v>
      </c>
      <c r="B1198" s="170" t="s">
        <v>5981</v>
      </c>
      <c r="C1198" s="221" t="s">
        <v>5982</v>
      </c>
      <c r="D1198" s="170" t="s">
        <v>11</v>
      </c>
      <c r="E1198" s="170" t="s">
        <v>12</v>
      </c>
      <c r="H1198" s="207" t="s">
        <v>5983</v>
      </c>
      <c r="I1198" s="182" t="s">
        <v>10</v>
      </c>
      <c r="J1198" s="182" t="s">
        <v>5983</v>
      </c>
      <c r="K1198" s="182" t="s">
        <v>5984</v>
      </c>
      <c r="L1198" s="182" t="s">
        <v>53</v>
      </c>
      <c r="M1198" s="289" t="s">
        <v>5981</v>
      </c>
    </row>
    <row r="1199" spans="1:13">
      <c r="A1199" s="170" t="s">
        <v>5985</v>
      </c>
      <c r="B1199" s="170" t="s">
        <v>5986</v>
      </c>
      <c r="C1199" s="221" t="s">
        <v>5987</v>
      </c>
      <c r="D1199" s="170" t="s">
        <v>11</v>
      </c>
      <c r="E1199" s="170" t="s">
        <v>12</v>
      </c>
      <c r="H1199" s="207" t="s">
        <v>5988</v>
      </c>
      <c r="I1199" s="182" t="s">
        <v>10</v>
      </c>
      <c r="J1199" s="182" t="s">
        <v>5988</v>
      </c>
      <c r="K1199" s="182" t="s">
        <v>5989</v>
      </c>
      <c r="L1199" s="182" t="s">
        <v>19</v>
      </c>
      <c r="M1199" s="289" t="s">
        <v>5986</v>
      </c>
    </row>
    <row r="1200" spans="1:20">
      <c r="A1200" s="170" t="s">
        <v>5990</v>
      </c>
      <c r="B1200" s="170" t="s">
        <v>5991</v>
      </c>
      <c r="C1200" s="170"/>
      <c r="D1200" s="170" t="s">
        <v>11</v>
      </c>
      <c r="E1200" s="170" t="s">
        <v>12</v>
      </c>
      <c r="H1200" s="207" t="s">
        <v>5992</v>
      </c>
      <c r="I1200" s="182" t="s">
        <v>10</v>
      </c>
      <c r="J1200" s="182" t="s">
        <v>5992</v>
      </c>
      <c r="K1200" s="182" t="s">
        <v>5993</v>
      </c>
      <c r="L1200" s="182" t="s">
        <v>19</v>
      </c>
      <c r="M1200"/>
      <c r="R1200"/>
      <c r="T1200"/>
    </row>
    <row r="1201" spans="1:13">
      <c r="A1201" s="170" t="s">
        <v>5994</v>
      </c>
      <c r="B1201" s="306" t="s">
        <v>5995</v>
      </c>
      <c r="C1201" s="221" t="s">
        <v>5996</v>
      </c>
      <c r="D1201" s="170" t="s">
        <v>11</v>
      </c>
      <c r="E1201" s="170" t="s">
        <v>12</v>
      </c>
      <c r="H1201" s="207">
        <v>317038</v>
      </c>
      <c r="I1201" s="182" t="s">
        <v>5997</v>
      </c>
      <c r="J1201" s="182" t="s">
        <v>5998</v>
      </c>
      <c r="K1201" s="182" t="s">
        <v>5999</v>
      </c>
      <c r="L1201" s="182" t="s">
        <v>15</v>
      </c>
      <c r="M1201" s="289" t="s">
        <v>5995</v>
      </c>
    </row>
    <row r="1202" spans="1:13">
      <c r="A1202" s="170" t="s">
        <v>6000</v>
      </c>
      <c r="B1202" s="170" t="s">
        <v>6001</v>
      </c>
      <c r="C1202" s="221" t="s">
        <v>6002</v>
      </c>
      <c r="D1202" s="170" t="s">
        <v>11</v>
      </c>
      <c r="E1202" s="170" t="s">
        <v>12</v>
      </c>
      <c r="H1202" s="207">
        <v>476100</v>
      </c>
      <c r="I1202" s="182" t="s">
        <v>6003</v>
      </c>
      <c r="J1202" s="182" t="s">
        <v>6004</v>
      </c>
      <c r="K1202" s="182"/>
      <c r="L1202" s="182" t="s">
        <v>15</v>
      </c>
      <c r="M1202" s="289" t="s">
        <v>6001</v>
      </c>
    </row>
    <row r="1203" spans="1:20">
      <c r="A1203" s="170" t="s">
        <v>6005</v>
      </c>
      <c r="B1203" s="170" t="s">
        <v>6006</v>
      </c>
      <c r="C1203" s="170"/>
      <c r="D1203" s="170" t="s">
        <v>11</v>
      </c>
      <c r="E1203" s="170" t="s">
        <v>12</v>
      </c>
      <c r="H1203" s="207">
        <v>710142</v>
      </c>
      <c r="I1203" s="182" t="s">
        <v>6007</v>
      </c>
      <c r="J1203" s="182" t="s">
        <v>6008</v>
      </c>
      <c r="K1203" s="182" t="s">
        <v>6009</v>
      </c>
      <c r="L1203" s="182" t="s">
        <v>15</v>
      </c>
      <c r="M1203"/>
      <c r="R1203"/>
      <c r="T1203"/>
    </row>
    <row r="1204" spans="1:13">
      <c r="A1204" s="170" t="s">
        <v>6010</v>
      </c>
      <c r="B1204" s="306" t="s">
        <v>6011</v>
      </c>
      <c r="C1204" s="235" t="s">
        <v>6012</v>
      </c>
      <c r="D1204" s="170" t="s">
        <v>11</v>
      </c>
      <c r="E1204" s="170" t="s">
        <v>12</v>
      </c>
      <c r="H1204" s="207">
        <v>392383</v>
      </c>
      <c r="I1204" s="182" t="s">
        <v>6013</v>
      </c>
      <c r="J1204" s="182" t="s">
        <v>6014</v>
      </c>
      <c r="K1204" s="182" t="s">
        <v>6015</v>
      </c>
      <c r="L1204" s="182" t="s">
        <v>15</v>
      </c>
      <c r="M1204" s="289" t="s">
        <v>6011</v>
      </c>
    </row>
    <row r="1205" spans="1:13">
      <c r="A1205" s="170" t="s">
        <v>6016</v>
      </c>
      <c r="B1205" s="299" t="s">
        <v>6017</v>
      </c>
      <c r="C1205" s="235" t="s">
        <v>6018</v>
      </c>
      <c r="D1205" s="170" t="s">
        <v>11</v>
      </c>
      <c r="E1205" s="170" t="s">
        <v>12</v>
      </c>
      <c r="H1205" s="207">
        <v>418436</v>
      </c>
      <c r="I1205" s="182" t="s">
        <v>6019</v>
      </c>
      <c r="J1205" s="182" t="s">
        <v>6020</v>
      </c>
      <c r="K1205" s="182" t="s">
        <v>6021</v>
      </c>
      <c r="L1205" s="182" t="s">
        <v>15</v>
      </c>
      <c r="M1205" s="303" t="s">
        <v>6022</v>
      </c>
    </row>
    <row r="1206" spans="1:20">
      <c r="A1206" s="170" t="s">
        <v>6023</v>
      </c>
      <c r="B1206" s="170" t="s">
        <v>6022</v>
      </c>
      <c r="C1206" s="170"/>
      <c r="D1206" s="170" t="s">
        <v>11</v>
      </c>
      <c r="E1206" s="170" t="s">
        <v>12</v>
      </c>
      <c r="H1206" s="207">
        <v>491873</v>
      </c>
      <c r="I1206" s="182" t="s">
        <v>6024</v>
      </c>
      <c r="J1206" s="182" t="s">
        <v>6025</v>
      </c>
      <c r="K1206" s="182" t="s">
        <v>6026</v>
      </c>
      <c r="L1206" s="182" t="s">
        <v>15</v>
      </c>
      <c r="M1206"/>
      <c r="R1206"/>
      <c r="T1206"/>
    </row>
    <row r="1207" spans="1:13">
      <c r="A1207" s="170" t="s">
        <v>6027</v>
      </c>
      <c r="B1207" s="170" t="s">
        <v>6028</v>
      </c>
      <c r="C1207" s="235" t="s">
        <v>6029</v>
      </c>
      <c r="D1207" s="170" t="s">
        <v>11</v>
      </c>
      <c r="E1207" s="170" t="s">
        <v>12</v>
      </c>
      <c r="H1207" s="207">
        <v>585051</v>
      </c>
      <c r="I1207" s="182" t="s">
        <v>6030</v>
      </c>
      <c r="J1207" s="182" t="s">
        <v>6031</v>
      </c>
      <c r="K1207" s="182" t="s">
        <v>6032</v>
      </c>
      <c r="L1207" s="182" t="s">
        <v>15</v>
      </c>
      <c r="M1207" s="289" t="s">
        <v>6028</v>
      </c>
    </row>
    <row r="1208" spans="1:13">
      <c r="A1208" s="170" t="s">
        <v>6033</v>
      </c>
      <c r="B1208" s="170" t="s">
        <v>6034</v>
      </c>
      <c r="C1208" s="235" t="s">
        <v>6035</v>
      </c>
      <c r="D1208" s="170" t="s">
        <v>11</v>
      </c>
      <c r="E1208" s="170" t="s">
        <v>12</v>
      </c>
      <c r="H1208" s="207">
        <v>513820</v>
      </c>
      <c r="I1208" s="182" t="s">
        <v>6036</v>
      </c>
      <c r="J1208" s="182" t="s">
        <v>6037</v>
      </c>
      <c r="K1208" s="182" t="s">
        <v>6038</v>
      </c>
      <c r="L1208" s="182" t="s">
        <v>15</v>
      </c>
      <c r="M1208" s="289" t="s">
        <v>6034</v>
      </c>
    </row>
    <row r="1209" spans="1:20">
      <c r="A1209" s="170" t="s">
        <v>6039</v>
      </c>
      <c r="B1209" s="170" t="s">
        <v>6040</v>
      </c>
      <c r="C1209" s="170"/>
      <c r="D1209" s="170" t="s">
        <v>11</v>
      </c>
      <c r="E1209" s="170" t="s">
        <v>12</v>
      </c>
      <c r="H1209" s="207" t="s">
        <v>6041</v>
      </c>
      <c r="I1209" s="182" t="s">
        <v>10</v>
      </c>
      <c r="J1209" s="182" t="s">
        <v>6041</v>
      </c>
      <c r="K1209" s="182" t="s">
        <v>6042</v>
      </c>
      <c r="L1209" s="182" t="s">
        <v>19</v>
      </c>
      <c r="M1209"/>
      <c r="R1209"/>
      <c r="T1209"/>
    </row>
    <row r="1210" spans="1:13">
      <c r="A1210" s="170" t="s">
        <v>6043</v>
      </c>
      <c r="B1210" s="170" t="s">
        <v>6044</v>
      </c>
      <c r="C1210" s="235" t="s">
        <v>6045</v>
      </c>
      <c r="D1210" s="170" t="s">
        <v>11</v>
      </c>
      <c r="E1210" s="170" t="s">
        <v>12</v>
      </c>
      <c r="H1210" s="207">
        <v>797229</v>
      </c>
      <c r="I1210" s="182" t="s">
        <v>6046</v>
      </c>
      <c r="J1210" s="182" t="s">
        <v>6047</v>
      </c>
      <c r="K1210" s="182" t="s">
        <v>6048</v>
      </c>
      <c r="L1210" s="182" t="s">
        <v>15</v>
      </c>
      <c r="M1210" s="289" t="s">
        <v>6044</v>
      </c>
    </row>
    <row r="1211" spans="1:13">
      <c r="A1211" s="170" t="s">
        <v>6049</v>
      </c>
      <c r="B1211" s="170" t="s">
        <v>6050</v>
      </c>
      <c r="C1211" s="235" t="s">
        <v>6051</v>
      </c>
      <c r="D1211" s="170" t="s">
        <v>11</v>
      </c>
      <c r="E1211" s="170" t="s">
        <v>12</v>
      </c>
      <c r="H1211" s="207">
        <v>406919</v>
      </c>
      <c r="I1211" s="182" t="s">
        <v>6052</v>
      </c>
      <c r="J1211" s="182" t="s">
        <v>6053</v>
      </c>
      <c r="K1211" s="182" t="s">
        <v>6054</v>
      </c>
      <c r="L1211" s="182" t="s">
        <v>15</v>
      </c>
      <c r="M1211" s="289" t="s">
        <v>6050</v>
      </c>
    </row>
    <row r="1212" spans="1:20">
      <c r="A1212" s="170" t="s">
        <v>6055</v>
      </c>
      <c r="B1212" s="170" t="s">
        <v>6056</v>
      </c>
      <c r="C1212" s="170"/>
      <c r="D1212" s="170" t="s">
        <v>11</v>
      </c>
      <c r="E1212" s="170" t="s">
        <v>12</v>
      </c>
      <c r="H1212" s="207">
        <v>481043</v>
      </c>
      <c r="I1212" s="182" t="s">
        <v>6057</v>
      </c>
      <c r="J1212" s="182" t="s">
        <v>6058</v>
      </c>
      <c r="K1212" s="182"/>
      <c r="L1212" s="182" t="s">
        <v>15</v>
      </c>
      <c r="M1212"/>
      <c r="R1212"/>
      <c r="T1212"/>
    </row>
    <row r="1213" spans="1:20">
      <c r="A1213" s="170" t="s">
        <v>6059</v>
      </c>
      <c r="B1213" s="170" t="s">
        <v>6060</v>
      </c>
      <c r="C1213" s="170"/>
      <c r="D1213" s="170" t="s">
        <v>11</v>
      </c>
      <c r="E1213" s="170" t="s">
        <v>12</v>
      </c>
      <c r="M1213"/>
      <c r="R1213"/>
      <c r="T1213"/>
    </row>
    <row r="1214" spans="1:13">
      <c r="A1214" s="170" t="s">
        <v>6061</v>
      </c>
      <c r="B1214" s="170" t="s">
        <v>6062</v>
      </c>
      <c r="C1214" s="221" t="s">
        <v>6063</v>
      </c>
      <c r="D1214" s="170" t="s">
        <v>11</v>
      </c>
      <c r="E1214" s="170" t="s">
        <v>12</v>
      </c>
      <c r="M1214" s="289" t="s">
        <v>6062</v>
      </c>
    </row>
    <row r="1215" spans="1:13">
      <c r="A1215" s="170" t="s">
        <v>6064</v>
      </c>
      <c r="B1215" s="170" t="s">
        <v>6065</v>
      </c>
      <c r="C1215" s="235" t="s">
        <v>6066</v>
      </c>
      <c r="D1215" s="170" t="s">
        <v>11</v>
      </c>
      <c r="E1215" s="170" t="s">
        <v>12</v>
      </c>
      <c r="M1215" s="289" t="s">
        <v>6065</v>
      </c>
    </row>
    <row r="1216" spans="1:20">
      <c r="A1216" s="170" t="s">
        <v>6067</v>
      </c>
      <c r="B1216" s="170" t="s">
        <v>6068</v>
      </c>
      <c r="C1216" s="170"/>
      <c r="D1216" s="170" t="s">
        <v>11</v>
      </c>
      <c r="E1216" s="170" t="s">
        <v>12</v>
      </c>
      <c r="M1216"/>
      <c r="R1216"/>
      <c r="T1216"/>
    </row>
    <row r="1217" spans="1:13">
      <c r="A1217" s="170" t="s">
        <v>6069</v>
      </c>
      <c r="B1217" s="299" t="s">
        <v>6070</v>
      </c>
      <c r="C1217" s="221" t="s">
        <v>6071</v>
      </c>
      <c r="D1217" s="170" t="s">
        <v>11</v>
      </c>
      <c r="E1217" s="170" t="s">
        <v>12</v>
      </c>
      <c r="M1217" s="303" t="s">
        <v>6072</v>
      </c>
    </row>
    <row r="1218" spans="1:13">
      <c r="A1218" s="170" t="s">
        <v>6073</v>
      </c>
      <c r="B1218" s="170" t="s">
        <v>6074</v>
      </c>
      <c r="C1218" s="221" t="s">
        <v>6075</v>
      </c>
      <c r="D1218" s="170" t="s">
        <v>11</v>
      </c>
      <c r="E1218" s="170" t="s">
        <v>12</v>
      </c>
      <c r="M1218" s="289" t="s">
        <v>6074</v>
      </c>
    </row>
    <row r="1219" spans="1:20">
      <c r="A1219" s="170" t="s">
        <v>6076</v>
      </c>
      <c r="B1219" s="170" t="s">
        <v>6077</v>
      </c>
      <c r="C1219" s="170"/>
      <c r="D1219" s="170" t="s">
        <v>11</v>
      </c>
      <c r="E1219" s="170" t="s">
        <v>12</v>
      </c>
      <c r="M1219"/>
      <c r="R1219"/>
      <c r="T1219"/>
    </row>
    <row r="1220" spans="1:20">
      <c r="A1220" s="170" t="s">
        <v>6078</v>
      </c>
      <c r="B1220" s="170" t="s">
        <v>6079</v>
      </c>
      <c r="C1220" s="178" t="s">
        <v>10</v>
      </c>
      <c r="D1220" s="170" t="s">
        <v>11</v>
      </c>
      <c r="E1220" s="170" t="s">
        <v>12</v>
      </c>
      <c r="M1220"/>
      <c r="R1220"/>
      <c r="T1220"/>
    </row>
    <row r="1221" spans="1:20">
      <c r="A1221" s="170" t="s">
        <v>6080</v>
      </c>
      <c r="B1221" s="170" t="s">
        <v>6081</v>
      </c>
      <c r="C1221" s="178" t="s">
        <v>10</v>
      </c>
      <c r="D1221" s="170" t="s">
        <v>11</v>
      </c>
      <c r="E1221" s="170" t="s">
        <v>12</v>
      </c>
      <c r="M1221"/>
      <c r="R1221"/>
      <c r="T1221"/>
    </row>
    <row r="1222" spans="1:20">
      <c r="A1222" s="170" t="s">
        <v>6082</v>
      </c>
      <c r="B1222" s="170" t="s">
        <v>6083</v>
      </c>
      <c r="C1222" s="178" t="s">
        <v>10</v>
      </c>
      <c r="D1222" s="170" t="s">
        <v>11</v>
      </c>
      <c r="E1222" s="170" t="s">
        <v>12</v>
      </c>
      <c r="M1222"/>
      <c r="R1222"/>
      <c r="T1222"/>
    </row>
    <row r="1223" spans="1:20">
      <c r="A1223" s="170" t="s">
        <v>6084</v>
      </c>
      <c r="B1223" s="170" t="s">
        <v>6085</v>
      </c>
      <c r="C1223" s="178" t="s">
        <v>10</v>
      </c>
      <c r="D1223" s="170" t="s">
        <v>11</v>
      </c>
      <c r="E1223" s="170" t="s">
        <v>12</v>
      </c>
      <c r="M1223"/>
      <c r="R1223"/>
      <c r="T1223"/>
    </row>
    <row r="1224" spans="1:20">
      <c r="A1224" s="170" t="s">
        <v>6086</v>
      </c>
      <c r="B1224" s="170" t="s">
        <v>6087</v>
      </c>
      <c r="C1224" s="178" t="s">
        <v>10</v>
      </c>
      <c r="D1224" s="170" t="s">
        <v>11</v>
      </c>
      <c r="E1224" s="170" t="s">
        <v>12</v>
      </c>
      <c r="M1224"/>
      <c r="R1224"/>
      <c r="T1224"/>
    </row>
    <row r="1225" spans="1:20">
      <c r="A1225" s="170" t="s">
        <v>6088</v>
      </c>
      <c r="B1225" s="170" t="s">
        <v>6089</v>
      </c>
      <c r="C1225" s="178" t="s">
        <v>10</v>
      </c>
      <c r="D1225" s="170" t="s">
        <v>11</v>
      </c>
      <c r="E1225" s="170" t="s">
        <v>12</v>
      </c>
      <c r="M1225"/>
      <c r="R1225"/>
      <c r="T1225"/>
    </row>
    <row r="1226" spans="1:13">
      <c r="A1226" s="170" t="s">
        <v>6090</v>
      </c>
      <c r="B1226" s="170" t="s">
        <v>6091</v>
      </c>
      <c r="C1226" s="237" t="s">
        <v>6092</v>
      </c>
      <c r="D1226" s="170" t="s">
        <v>11</v>
      </c>
      <c r="E1226" s="170" t="s">
        <v>12</v>
      </c>
      <c r="M1226" s="289" t="s">
        <v>6091</v>
      </c>
    </row>
    <row r="1227" spans="1:20">
      <c r="A1227" s="170" t="s">
        <v>6093</v>
      </c>
      <c r="B1227" s="170" t="s">
        <v>6094</v>
      </c>
      <c r="C1227" s="238"/>
      <c r="D1227" s="170" t="s">
        <v>11</v>
      </c>
      <c r="E1227" s="170" t="s">
        <v>12</v>
      </c>
      <c r="M1227"/>
      <c r="R1227"/>
      <c r="T1227"/>
    </row>
    <row r="1228" spans="1:20">
      <c r="A1228" s="170" t="s">
        <v>6095</v>
      </c>
      <c r="B1228" s="170" t="s">
        <v>6096</v>
      </c>
      <c r="C1228" s="170"/>
      <c r="D1228" s="170" t="s">
        <v>11</v>
      </c>
      <c r="E1228" s="170" t="s">
        <v>12</v>
      </c>
      <c r="M1228"/>
      <c r="R1228"/>
      <c r="T1228"/>
    </row>
    <row r="1229" spans="1:13">
      <c r="A1229" s="170" t="s">
        <v>6097</v>
      </c>
      <c r="B1229" s="170" t="s">
        <v>6098</v>
      </c>
      <c r="C1229" s="239" t="s">
        <v>6099</v>
      </c>
      <c r="D1229" s="170" t="s">
        <v>11</v>
      </c>
      <c r="E1229" s="170" t="s">
        <v>12</v>
      </c>
      <c r="M1229" s="289" t="s">
        <v>6098</v>
      </c>
    </row>
    <row r="1230" spans="1:13">
      <c r="A1230" s="170" t="s">
        <v>6100</v>
      </c>
      <c r="B1230" s="170" t="s">
        <v>6101</v>
      </c>
      <c r="C1230" s="239" t="s">
        <v>6102</v>
      </c>
      <c r="D1230" s="170" t="s">
        <v>11</v>
      </c>
      <c r="E1230" s="170" t="s">
        <v>12</v>
      </c>
      <c r="M1230" s="289" t="s">
        <v>6101</v>
      </c>
    </row>
    <row r="1231" spans="1:20">
      <c r="A1231" s="170" t="s">
        <v>6103</v>
      </c>
      <c r="B1231" s="170" t="s">
        <v>6104</v>
      </c>
      <c r="C1231" s="170"/>
      <c r="D1231" s="170" t="s">
        <v>11</v>
      </c>
      <c r="E1231" s="170" t="s">
        <v>12</v>
      </c>
      <c r="M1231"/>
      <c r="R1231"/>
      <c r="T1231"/>
    </row>
    <row r="1232" spans="1:13">
      <c r="A1232" s="170" t="s">
        <v>6105</v>
      </c>
      <c r="B1232" s="170" t="s">
        <v>6106</v>
      </c>
      <c r="C1232" s="239" t="s">
        <v>6107</v>
      </c>
      <c r="D1232" s="170" t="s">
        <v>11</v>
      </c>
      <c r="E1232" s="170" t="s">
        <v>12</v>
      </c>
      <c r="M1232" s="289" t="s">
        <v>6106</v>
      </c>
    </row>
    <row r="1233" spans="1:20">
      <c r="A1233" s="203" t="s">
        <v>6108</v>
      </c>
      <c r="B1233" s="203" t="s">
        <v>6109</v>
      </c>
      <c r="C1233" s="204" t="s">
        <v>5934</v>
      </c>
      <c r="D1233" s="203" t="s">
        <v>11</v>
      </c>
      <c r="E1233" s="203" t="s">
        <v>12</v>
      </c>
      <c r="M1233"/>
      <c r="R1233"/>
      <c r="T1233"/>
    </row>
    <row r="1234" spans="1:20">
      <c r="A1234" s="170" t="s">
        <v>6110</v>
      </c>
      <c r="B1234" s="170" t="s">
        <v>6111</v>
      </c>
      <c r="C1234" s="170"/>
      <c r="D1234" s="170" t="s">
        <v>11</v>
      </c>
      <c r="E1234" s="170" t="s">
        <v>12</v>
      </c>
      <c r="M1234"/>
      <c r="R1234"/>
      <c r="T1234"/>
    </row>
    <row r="1235" spans="1:13">
      <c r="A1235" s="170" t="s">
        <v>6112</v>
      </c>
      <c r="B1235" s="170" t="s">
        <v>6113</v>
      </c>
      <c r="C1235" s="239" t="s">
        <v>6114</v>
      </c>
      <c r="D1235" s="170" t="s">
        <v>11</v>
      </c>
      <c r="E1235" s="170" t="s">
        <v>12</v>
      </c>
      <c r="M1235" s="289" t="s">
        <v>6113</v>
      </c>
    </row>
    <row r="1236" spans="1:13">
      <c r="A1236" s="170" t="s">
        <v>6115</v>
      </c>
      <c r="B1236" s="170" t="s">
        <v>6116</v>
      </c>
      <c r="C1236" s="241" t="s">
        <v>6117</v>
      </c>
      <c r="D1236" s="170" t="s">
        <v>11</v>
      </c>
      <c r="E1236" s="170" t="s">
        <v>12</v>
      </c>
      <c r="M1236" s="289" t="s">
        <v>6116</v>
      </c>
    </row>
    <row r="1237" spans="1:20">
      <c r="A1237" s="170" t="s">
        <v>6118</v>
      </c>
      <c r="B1237" s="170" t="s">
        <v>6119</v>
      </c>
      <c r="C1237" s="170"/>
      <c r="D1237" s="170" t="s">
        <v>11</v>
      </c>
      <c r="E1237" s="170" t="s">
        <v>12</v>
      </c>
      <c r="M1237"/>
      <c r="R1237"/>
      <c r="T1237"/>
    </row>
    <row r="1238" spans="1:13">
      <c r="A1238" s="170" t="s">
        <v>6120</v>
      </c>
      <c r="B1238" s="170" t="s">
        <v>6121</v>
      </c>
      <c r="C1238" s="239" t="s">
        <v>6122</v>
      </c>
      <c r="D1238" s="170" t="s">
        <v>11</v>
      </c>
      <c r="E1238" s="170" t="s">
        <v>12</v>
      </c>
      <c r="M1238" s="289" t="s">
        <v>6121</v>
      </c>
    </row>
    <row r="1239" spans="1:13">
      <c r="A1239" s="170" t="s">
        <v>6123</v>
      </c>
      <c r="B1239" s="170" t="s">
        <v>6124</v>
      </c>
      <c r="C1239" s="239" t="s">
        <v>6125</v>
      </c>
      <c r="D1239" s="170" t="s">
        <v>11</v>
      </c>
      <c r="E1239" s="170" t="s">
        <v>12</v>
      </c>
      <c r="M1239" s="289" t="s">
        <v>6124</v>
      </c>
    </row>
    <row r="1240" spans="1:20">
      <c r="A1240" s="170" t="s">
        <v>6126</v>
      </c>
      <c r="B1240" s="170" t="s">
        <v>6127</v>
      </c>
      <c r="C1240" s="170"/>
      <c r="D1240" s="170" t="s">
        <v>11</v>
      </c>
      <c r="E1240" s="170" t="s">
        <v>12</v>
      </c>
      <c r="M1240"/>
      <c r="R1240"/>
      <c r="T1240"/>
    </row>
    <row r="1241" spans="1:13">
      <c r="A1241" s="170" t="s">
        <v>6128</v>
      </c>
      <c r="B1241" s="170" t="s">
        <v>6129</v>
      </c>
      <c r="C1241" s="239" t="s">
        <v>6130</v>
      </c>
      <c r="D1241" s="170" t="s">
        <v>11</v>
      </c>
      <c r="E1241" s="170" t="s">
        <v>12</v>
      </c>
      <c r="M1241" s="289" t="s">
        <v>6129</v>
      </c>
    </row>
    <row r="1242" spans="1:13">
      <c r="A1242" s="170" t="s">
        <v>6131</v>
      </c>
      <c r="B1242" s="170" t="s">
        <v>6132</v>
      </c>
      <c r="C1242" s="239" t="s">
        <v>6133</v>
      </c>
      <c r="D1242" s="170" t="s">
        <v>11</v>
      </c>
      <c r="E1242" s="170" t="s">
        <v>12</v>
      </c>
      <c r="M1242" s="289" t="s">
        <v>6132</v>
      </c>
    </row>
    <row r="1243" spans="1:20">
      <c r="A1243" s="170" t="s">
        <v>6134</v>
      </c>
      <c r="B1243" s="170" t="s">
        <v>6135</v>
      </c>
      <c r="C1243" s="170"/>
      <c r="D1243" s="170" t="s">
        <v>11</v>
      </c>
      <c r="E1243" s="170" t="s">
        <v>12</v>
      </c>
      <c r="M1243"/>
      <c r="R1243"/>
      <c r="T1243"/>
    </row>
    <row r="1244" spans="1:13">
      <c r="A1244" s="170" t="s">
        <v>6136</v>
      </c>
      <c r="B1244" s="170" t="s">
        <v>6137</v>
      </c>
      <c r="C1244" s="239" t="s">
        <v>6138</v>
      </c>
      <c r="D1244" s="170" t="s">
        <v>11</v>
      </c>
      <c r="E1244" s="170" t="s">
        <v>12</v>
      </c>
      <c r="M1244" s="289" t="s">
        <v>6137</v>
      </c>
    </row>
    <row r="1245" spans="1:13">
      <c r="A1245" s="170" t="s">
        <v>6139</v>
      </c>
      <c r="B1245" s="170" t="s">
        <v>6140</v>
      </c>
      <c r="C1245" s="242" t="s">
        <v>6141</v>
      </c>
      <c r="D1245" s="170" t="s">
        <v>11</v>
      </c>
      <c r="E1245" s="170" t="s">
        <v>12</v>
      </c>
      <c r="M1245" s="289" t="s">
        <v>6140</v>
      </c>
    </row>
    <row r="1246" spans="1:20">
      <c r="A1246" s="170" t="s">
        <v>6142</v>
      </c>
      <c r="B1246" s="170" t="s">
        <v>6143</v>
      </c>
      <c r="C1246" s="170"/>
      <c r="D1246" s="170" t="s">
        <v>11</v>
      </c>
      <c r="E1246" s="170" t="s">
        <v>12</v>
      </c>
      <c r="M1246"/>
      <c r="R1246"/>
      <c r="T1246"/>
    </row>
    <row r="1247" spans="1:13">
      <c r="A1247" s="170" t="s">
        <v>6144</v>
      </c>
      <c r="B1247" s="170" t="s">
        <v>6145</v>
      </c>
      <c r="C1247" s="239" t="s">
        <v>6146</v>
      </c>
      <c r="D1247" s="170" t="s">
        <v>11</v>
      </c>
      <c r="E1247" s="170" t="s">
        <v>12</v>
      </c>
      <c r="M1247" s="289" t="s">
        <v>6145</v>
      </c>
    </row>
    <row r="1248" spans="1:13">
      <c r="A1248" s="170" t="s">
        <v>6147</v>
      </c>
      <c r="B1248" s="299" t="s">
        <v>6148</v>
      </c>
      <c r="C1248" s="239" t="s">
        <v>6149</v>
      </c>
      <c r="D1248" s="170" t="s">
        <v>11</v>
      </c>
      <c r="E1248" s="170" t="s">
        <v>12</v>
      </c>
      <c r="M1248" s="303" t="s">
        <v>6150</v>
      </c>
    </row>
    <row r="1249" spans="1:20">
      <c r="A1249" s="170" t="s">
        <v>6151</v>
      </c>
      <c r="B1249" s="170" t="s">
        <v>6152</v>
      </c>
      <c r="C1249" s="170"/>
      <c r="D1249" s="170" t="s">
        <v>11</v>
      </c>
      <c r="E1249" s="170" t="s">
        <v>12</v>
      </c>
      <c r="M1249"/>
      <c r="R1249"/>
      <c r="T1249"/>
    </row>
    <row r="1250" spans="1:13">
      <c r="A1250" s="170" t="s">
        <v>6153</v>
      </c>
      <c r="B1250" s="170" t="s">
        <v>6154</v>
      </c>
      <c r="C1250" s="239" t="s">
        <v>6155</v>
      </c>
      <c r="D1250" s="170" t="s">
        <v>11</v>
      </c>
      <c r="E1250" s="170" t="s">
        <v>12</v>
      </c>
      <c r="M1250" s="289" t="s">
        <v>6154</v>
      </c>
    </row>
    <row r="1251" spans="1:13">
      <c r="A1251" s="170" t="s">
        <v>6156</v>
      </c>
      <c r="B1251" s="170" t="s">
        <v>6157</v>
      </c>
      <c r="C1251" s="239" t="s">
        <v>6158</v>
      </c>
      <c r="D1251" s="170" t="s">
        <v>11</v>
      </c>
      <c r="E1251" s="170" t="s">
        <v>12</v>
      </c>
      <c r="M1251" s="289" t="s">
        <v>6157</v>
      </c>
    </row>
    <row r="1252" spans="1:20">
      <c r="A1252" s="170" t="s">
        <v>6159</v>
      </c>
      <c r="B1252" s="170" t="s">
        <v>6160</v>
      </c>
      <c r="C1252" s="170"/>
      <c r="D1252" s="170" t="s">
        <v>11</v>
      </c>
      <c r="E1252" s="170" t="s">
        <v>12</v>
      </c>
      <c r="M1252"/>
      <c r="R1252"/>
      <c r="T1252"/>
    </row>
    <row r="1253" spans="1:13">
      <c r="A1253" s="170" t="s">
        <v>6161</v>
      </c>
      <c r="B1253" s="170" t="s">
        <v>6162</v>
      </c>
      <c r="C1253" s="239" t="s">
        <v>6163</v>
      </c>
      <c r="D1253" s="170" t="s">
        <v>11</v>
      </c>
      <c r="E1253" s="170" t="s">
        <v>12</v>
      </c>
      <c r="M1253" s="289" t="s">
        <v>6162</v>
      </c>
    </row>
    <row r="1254" spans="1:13">
      <c r="A1254" s="170" t="s">
        <v>6164</v>
      </c>
      <c r="B1254" s="170" t="s">
        <v>6165</v>
      </c>
      <c r="C1254" s="244" t="s">
        <v>6166</v>
      </c>
      <c r="D1254" s="170" t="s">
        <v>11</v>
      </c>
      <c r="E1254" s="170" t="s">
        <v>12</v>
      </c>
      <c r="M1254" s="289" t="s">
        <v>6165</v>
      </c>
    </row>
    <row r="1255" ht="15.25" spans="1:20">
      <c r="A1255" s="170" t="s">
        <v>6167</v>
      </c>
      <c r="B1255" s="170" t="s">
        <v>6168</v>
      </c>
      <c r="C1255" s="245"/>
      <c r="D1255" s="170" t="s">
        <v>11</v>
      </c>
      <c r="E1255" s="170" t="s">
        <v>12</v>
      </c>
      <c r="M1255"/>
      <c r="R1255"/>
      <c r="T1255"/>
    </row>
    <row r="1256" spans="1:13">
      <c r="A1256" s="170" t="s">
        <v>6169</v>
      </c>
      <c r="B1256" s="170" t="s">
        <v>6170</v>
      </c>
      <c r="C1256" s="216" t="s">
        <v>6171</v>
      </c>
      <c r="D1256" s="170" t="s">
        <v>11</v>
      </c>
      <c r="E1256" s="170" t="s">
        <v>12</v>
      </c>
      <c r="M1256" s="289" t="s">
        <v>6170</v>
      </c>
    </row>
    <row r="1257" spans="1:20">
      <c r="A1257" s="170" t="s">
        <v>6172</v>
      </c>
      <c r="B1257" s="170" t="s">
        <v>6173</v>
      </c>
      <c r="C1257" s="170"/>
      <c r="D1257" s="170" t="s">
        <v>11</v>
      </c>
      <c r="E1257" s="170" t="s">
        <v>12</v>
      </c>
      <c r="M1257"/>
      <c r="R1257"/>
      <c r="T1257"/>
    </row>
    <row r="1258" spans="1:20">
      <c r="A1258" s="170" t="s">
        <v>6174</v>
      </c>
      <c r="B1258" s="170" t="s">
        <v>6175</v>
      </c>
      <c r="C1258" s="170"/>
      <c r="D1258" s="170" t="s">
        <v>11</v>
      </c>
      <c r="E1258" s="170" t="s">
        <v>12</v>
      </c>
      <c r="M1258"/>
      <c r="R1258"/>
      <c r="T1258"/>
    </row>
    <row r="1259" spans="1:13">
      <c r="A1259" s="170" t="s">
        <v>6176</v>
      </c>
      <c r="B1259" s="170" t="s">
        <v>6177</v>
      </c>
      <c r="C1259" s="221" t="s">
        <v>6178</v>
      </c>
      <c r="D1259" s="170" t="s">
        <v>11</v>
      </c>
      <c r="E1259" s="170" t="s">
        <v>12</v>
      </c>
      <c r="M1259" s="289" t="s">
        <v>6177</v>
      </c>
    </row>
    <row r="1260" spans="1:13">
      <c r="A1260" s="170" t="s">
        <v>6179</v>
      </c>
      <c r="B1260" s="170" t="s">
        <v>6180</v>
      </c>
      <c r="C1260" s="246" t="s">
        <v>6181</v>
      </c>
      <c r="D1260" s="170" t="s">
        <v>11</v>
      </c>
      <c r="E1260" s="170" t="s">
        <v>12</v>
      </c>
      <c r="M1260" s="289" t="s">
        <v>6180</v>
      </c>
    </row>
    <row r="1261" spans="1:20">
      <c r="A1261" s="170" t="s">
        <v>6182</v>
      </c>
      <c r="B1261" s="170" t="s">
        <v>6183</v>
      </c>
      <c r="C1261" s="170"/>
      <c r="D1261" s="170" t="s">
        <v>11</v>
      </c>
      <c r="E1261" s="170" t="s">
        <v>12</v>
      </c>
      <c r="M1261"/>
      <c r="R1261"/>
      <c r="T1261"/>
    </row>
    <row r="1262" spans="1:13">
      <c r="A1262" s="170" t="s">
        <v>6184</v>
      </c>
      <c r="B1262" s="170" t="s">
        <v>6185</v>
      </c>
      <c r="C1262" s="239" t="s">
        <v>6186</v>
      </c>
      <c r="D1262" s="170" t="s">
        <v>11</v>
      </c>
      <c r="E1262" s="170" t="s">
        <v>12</v>
      </c>
      <c r="M1262" s="289" t="s">
        <v>6185</v>
      </c>
    </row>
    <row r="1263" spans="1:13">
      <c r="A1263" s="170" t="s">
        <v>6187</v>
      </c>
      <c r="B1263" s="170" t="s">
        <v>6188</v>
      </c>
      <c r="C1263" s="239" t="s">
        <v>6189</v>
      </c>
      <c r="D1263" s="170" t="s">
        <v>11</v>
      </c>
      <c r="E1263" s="170" t="s">
        <v>12</v>
      </c>
      <c r="M1263" s="289" t="s">
        <v>6188</v>
      </c>
    </row>
    <row r="1264" spans="1:20">
      <c r="A1264" s="170" t="s">
        <v>6190</v>
      </c>
      <c r="B1264" s="170" t="s">
        <v>6191</v>
      </c>
      <c r="C1264" s="170"/>
      <c r="D1264" s="170" t="s">
        <v>11</v>
      </c>
      <c r="E1264" s="170" t="s">
        <v>12</v>
      </c>
      <c r="M1264"/>
      <c r="R1264"/>
      <c r="T1264"/>
    </row>
    <row r="1265" spans="1:13">
      <c r="A1265" s="170" t="s">
        <v>6192</v>
      </c>
      <c r="B1265" s="170" t="s">
        <v>6193</v>
      </c>
      <c r="C1265" s="241" t="s">
        <v>6194</v>
      </c>
      <c r="D1265" s="170" t="s">
        <v>11</v>
      </c>
      <c r="E1265" s="170" t="s">
        <v>12</v>
      </c>
      <c r="M1265" s="289" t="s">
        <v>6193</v>
      </c>
    </row>
    <row r="1266" spans="1:13">
      <c r="A1266" s="170" t="s">
        <v>6195</v>
      </c>
      <c r="B1266" s="170" t="s">
        <v>6196</v>
      </c>
      <c r="C1266" s="239" t="s">
        <v>6197</v>
      </c>
      <c r="D1266" s="170" t="s">
        <v>11</v>
      </c>
      <c r="E1266" s="170" t="s">
        <v>12</v>
      </c>
      <c r="M1266" s="289" t="s">
        <v>6196</v>
      </c>
    </row>
    <row r="1267" spans="1:20">
      <c r="A1267" s="170" t="s">
        <v>6198</v>
      </c>
      <c r="B1267" s="170" t="s">
        <v>6199</v>
      </c>
      <c r="C1267" s="170"/>
      <c r="D1267" s="170" t="s">
        <v>11</v>
      </c>
      <c r="E1267" s="170" t="s">
        <v>12</v>
      </c>
      <c r="M1267"/>
      <c r="R1267"/>
      <c r="T1267"/>
    </row>
    <row r="1268" spans="1:13">
      <c r="A1268" s="170" t="s">
        <v>6200</v>
      </c>
      <c r="B1268" s="170" t="s">
        <v>6201</v>
      </c>
      <c r="C1268" s="239" t="s">
        <v>6202</v>
      </c>
      <c r="D1268" s="170" t="s">
        <v>11</v>
      </c>
      <c r="E1268" s="170" t="s">
        <v>12</v>
      </c>
      <c r="M1268" s="289" t="s">
        <v>6201</v>
      </c>
    </row>
    <row r="1269" spans="1:13">
      <c r="A1269" s="170" t="s">
        <v>6203</v>
      </c>
      <c r="B1269" s="170" t="s">
        <v>6204</v>
      </c>
      <c r="C1269" s="239" t="s">
        <v>6205</v>
      </c>
      <c r="D1269" s="170" t="s">
        <v>11</v>
      </c>
      <c r="E1269" s="170" t="s">
        <v>12</v>
      </c>
      <c r="M1269" s="289" t="s">
        <v>6204</v>
      </c>
    </row>
    <row r="1270" spans="1:20">
      <c r="A1270" s="170" t="s">
        <v>6206</v>
      </c>
      <c r="B1270" s="170" t="s">
        <v>6207</v>
      </c>
      <c r="C1270" s="170"/>
      <c r="D1270" s="170" t="s">
        <v>11</v>
      </c>
      <c r="E1270" s="170" t="s">
        <v>12</v>
      </c>
      <c r="M1270"/>
      <c r="R1270"/>
      <c r="T1270"/>
    </row>
    <row r="1271" spans="1:13">
      <c r="A1271" s="170" t="s">
        <v>6208</v>
      </c>
      <c r="B1271" s="170" t="s">
        <v>6209</v>
      </c>
      <c r="C1271" s="241" t="s">
        <v>6210</v>
      </c>
      <c r="D1271" s="170" t="s">
        <v>11</v>
      </c>
      <c r="E1271" s="170" t="s">
        <v>12</v>
      </c>
      <c r="M1271" s="289" t="s">
        <v>6209</v>
      </c>
    </row>
    <row r="1272" spans="1:13">
      <c r="A1272" s="170" t="s">
        <v>6211</v>
      </c>
      <c r="B1272" s="170" t="s">
        <v>6212</v>
      </c>
      <c r="C1272" s="241" t="s">
        <v>6213</v>
      </c>
      <c r="D1272" s="170" t="s">
        <v>11</v>
      </c>
      <c r="E1272" s="170" t="s">
        <v>12</v>
      </c>
      <c r="M1272" s="289" t="s">
        <v>6212</v>
      </c>
    </row>
    <row r="1273" spans="1:20">
      <c r="A1273" s="170" t="s">
        <v>6214</v>
      </c>
      <c r="B1273" s="170" t="s">
        <v>6215</v>
      </c>
      <c r="C1273" s="170"/>
      <c r="D1273" s="170" t="s">
        <v>11</v>
      </c>
      <c r="E1273" s="170" t="s">
        <v>12</v>
      </c>
      <c r="M1273"/>
      <c r="R1273"/>
      <c r="T1273"/>
    </row>
    <row r="1274" spans="1:13">
      <c r="A1274" s="170" t="s">
        <v>6216</v>
      </c>
      <c r="B1274" s="170" t="s">
        <v>6217</v>
      </c>
      <c r="C1274" s="239" t="s">
        <v>6218</v>
      </c>
      <c r="D1274" s="170" t="s">
        <v>11</v>
      </c>
      <c r="E1274" s="170" t="s">
        <v>12</v>
      </c>
      <c r="M1274" s="289" t="s">
        <v>6217</v>
      </c>
    </row>
    <row r="1275" spans="1:13">
      <c r="A1275" s="170" t="s">
        <v>6219</v>
      </c>
      <c r="B1275" s="170" t="s">
        <v>6220</v>
      </c>
      <c r="C1275" s="239" t="s">
        <v>6221</v>
      </c>
      <c r="D1275" s="170" t="s">
        <v>11</v>
      </c>
      <c r="E1275" s="170" t="s">
        <v>12</v>
      </c>
      <c r="M1275" s="289" t="s">
        <v>6220</v>
      </c>
    </row>
    <row r="1276" spans="1:20">
      <c r="A1276" s="170" t="s">
        <v>6222</v>
      </c>
      <c r="B1276" s="170" t="s">
        <v>6223</v>
      </c>
      <c r="C1276" s="170"/>
      <c r="D1276" s="170" t="s">
        <v>11</v>
      </c>
      <c r="E1276" s="170" t="s">
        <v>12</v>
      </c>
      <c r="M1276"/>
      <c r="R1276"/>
      <c r="T1276"/>
    </row>
    <row r="1277" spans="1:13">
      <c r="A1277" s="170" t="s">
        <v>6224</v>
      </c>
      <c r="B1277" s="170" t="s">
        <v>6225</v>
      </c>
      <c r="C1277" s="239" t="s">
        <v>6226</v>
      </c>
      <c r="D1277" s="170" t="s">
        <v>11</v>
      </c>
      <c r="E1277" s="170" t="s">
        <v>12</v>
      </c>
      <c r="M1277" s="289" t="s">
        <v>6225</v>
      </c>
    </row>
    <row r="1278" spans="1:13">
      <c r="A1278" s="170" t="s">
        <v>6227</v>
      </c>
      <c r="B1278" s="170" t="s">
        <v>6228</v>
      </c>
      <c r="C1278" s="239" t="s">
        <v>6229</v>
      </c>
      <c r="D1278" s="170" t="s">
        <v>11</v>
      </c>
      <c r="E1278" s="170" t="s">
        <v>12</v>
      </c>
      <c r="M1278" s="289" t="s">
        <v>6228</v>
      </c>
    </row>
    <row r="1279" spans="1:20">
      <c r="A1279" s="170" t="s">
        <v>6230</v>
      </c>
      <c r="B1279" s="170" t="s">
        <v>6231</v>
      </c>
      <c r="C1279" s="170"/>
      <c r="D1279" s="170" t="s">
        <v>11</v>
      </c>
      <c r="E1279" s="170" t="s">
        <v>12</v>
      </c>
      <c r="M1279"/>
      <c r="R1279"/>
      <c r="T1279"/>
    </row>
    <row r="1280" spans="1:13">
      <c r="A1280" s="170" t="s">
        <v>6232</v>
      </c>
      <c r="B1280" s="170" t="s">
        <v>6233</v>
      </c>
      <c r="C1280" s="239" t="s">
        <v>6234</v>
      </c>
      <c r="D1280" s="170" t="s">
        <v>11</v>
      </c>
      <c r="E1280" s="170" t="s">
        <v>12</v>
      </c>
      <c r="M1280" s="289" t="s">
        <v>6233</v>
      </c>
    </row>
    <row r="1281" spans="1:13">
      <c r="A1281" s="170" t="s">
        <v>6235</v>
      </c>
      <c r="B1281" s="170" t="s">
        <v>6236</v>
      </c>
      <c r="C1281" s="239" t="s">
        <v>6237</v>
      </c>
      <c r="D1281" s="170" t="s">
        <v>11</v>
      </c>
      <c r="E1281" s="170" t="s">
        <v>12</v>
      </c>
      <c r="M1281" s="289" t="s">
        <v>6236</v>
      </c>
    </row>
    <row r="1282" spans="1:20">
      <c r="A1282" s="170" t="s">
        <v>6238</v>
      </c>
      <c r="B1282" s="170" t="s">
        <v>6239</v>
      </c>
      <c r="C1282" s="170"/>
      <c r="D1282" s="170" t="s">
        <v>11</v>
      </c>
      <c r="E1282" s="170" t="s">
        <v>12</v>
      </c>
      <c r="M1282"/>
      <c r="R1282"/>
      <c r="T1282"/>
    </row>
    <row r="1283" spans="1:13">
      <c r="A1283" s="170" t="s">
        <v>6240</v>
      </c>
      <c r="B1283" s="170" t="s">
        <v>6241</v>
      </c>
      <c r="C1283" s="247" t="s">
        <v>6242</v>
      </c>
      <c r="D1283" s="170" t="s">
        <v>11</v>
      </c>
      <c r="E1283" s="170" t="s">
        <v>12</v>
      </c>
      <c r="M1283" s="289" t="s">
        <v>6241</v>
      </c>
    </row>
    <row r="1284" spans="1:20">
      <c r="A1284" s="170" t="s">
        <v>6243</v>
      </c>
      <c r="B1284" s="170" t="s">
        <v>6244</v>
      </c>
      <c r="C1284" s="170"/>
      <c r="D1284" s="170" t="s">
        <v>11</v>
      </c>
      <c r="E1284" s="170" t="s">
        <v>12</v>
      </c>
      <c r="M1284"/>
      <c r="R1284"/>
      <c r="T1284"/>
    </row>
    <row r="1285" spans="1:20">
      <c r="A1285" s="170" t="s">
        <v>6245</v>
      </c>
      <c r="B1285" s="170" t="s">
        <v>6246</v>
      </c>
      <c r="C1285" s="170"/>
      <c r="D1285" s="170" t="s">
        <v>11</v>
      </c>
      <c r="E1285" s="170" t="s">
        <v>12</v>
      </c>
      <c r="M1285"/>
      <c r="R1285"/>
      <c r="T1285"/>
    </row>
    <row r="1286" spans="1:20">
      <c r="A1286" s="170" t="s">
        <v>6247</v>
      </c>
      <c r="B1286" s="170" t="s">
        <v>6248</v>
      </c>
      <c r="C1286" s="178" t="s">
        <v>10</v>
      </c>
      <c r="D1286" s="170" t="s">
        <v>11</v>
      </c>
      <c r="E1286" s="170" t="s">
        <v>12</v>
      </c>
      <c r="M1286"/>
      <c r="R1286"/>
      <c r="T1286"/>
    </row>
    <row r="1287" spans="1:20">
      <c r="A1287" s="170" t="s">
        <v>6249</v>
      </c>
      <c r="B1287" s="170" t="s">
        <v>6250</v>
      </c>
      <c r="C1287" s="178" t="s">
        <v>10</v>
      </c>
      <c r="D1287" s="170" t="s">
        <v>11</v>
      </c>
      <c r="E1287" s="170" t="s">
        <v>12</v>
      </c>
      <c r="M1287"/>
      <c r="R1287"/>
      <c r="T1287"/>
    </row>
    <row r="1288" spans="1:20">
      <c r="A1288" s="170" t="s">
        <v>6251</v>
      </c>
      <c r="B1288" s="170" t="s">
        <v>6252</v>
      </c>
      <c r="C1288" s="178" t="s">
        <v>10</v>
      </c>
      <c r="D1288" s="170" t="s">
        <v>11</v>
      </c>
      <c r="E1288" s="170" t="s">
        <v>12</v>
      </c>
      <c r="M1288"/>
      <c r="R1288"/>
      <c r="T1288"/>
    </row>
    <row r="1289" spans="1:20">
      <c r="A1289" s="170" t="s">
        <v>6253</v>
      </c>
      <c r="B1289" s="170" t="s">
        <v>6254</v>
      </c>
      <c r="C1289" s="178" t="s">
        <v>10</v>
      </c>
      <c r="D1289" s="170" t="s">
        <v>11</v>
      </c>
      <c r="E1289" s="170" t="s">
        <v>12</v>
      </c>
      <c r="M1289"/>
      <c r="R1289"/>
      <c r="T1289"/>
    </row>
    <row r="1290" spans="1:20">
      <c r="A1290" s="170" t="s">
        <v>6255</v>
      </c>
      <c r="B1290" s="170" t="s">
        <v>6256</v>
      </c>
      <c r="C1290" s="178" t="s">
        <v>10</v>
      </c>
      <c r="D1290" s="170" t="s">
        <v>11</v>
      </c>
      <c r="E1290" s="170" t="s">
        <v>12</v>
      </c>
      <c r="M1290"/>
      <c r="R1290"/>
      <c r="T1290"/>
    </row>
    <row r="1291" spans="1:20">
      <c r="A1291" s="170" t="s">
        <v>6257</v>
      </c>
      <c r="B1291" s="170" t="s">
        <v>6258</v>
      </c>
      <c r="C1291" s="178" t="s">
        <v>10</v>
      </c>
      <c r="D1291" s="170" t="s">
        <v>11</v>
      </c>
      <c r="E1291" s="170" t="s">
        <v>12</v>
      </c>
      <c r="M1291"/>
      <c r="R1291"/>
      <c r="T1291"/>
    </row>
    <row r="1292" spans="1:20">
      <c r="A1292" s="170" t="s">
        <v>6259</v>
      </c>
      <c r="B1292" s="170" t="s">
        <v>6260</v>
      </c>
      <c r="C1292" s="178" t="s">
        <v>10</v>
      </c>
      <c r="D1292" s="170" t="s">
        <v>11</v>
      </c>
      <c r="E1292" s="170" t="s">
        <v>12</v>
      </c>
      <c r="M1292"/>
      <c r="R1292"/>
      <c r="T1292"/>
    </row>
    <row r="1293" spans="1:20">
      <c r="A1293" s="170" t="s">
        <v>6261</v>
      </c>
      <c r="B1293" s="170" t="s">
        <v>6262</v>
      </c>
      <c r="C1293" s="178" t="s">
        <v>10</v>
      </c>
      <c r="D1293" s="170" t="s">
        <v>11</v>
      </c>
      <c r="E1293" s="170" t="s">
        <v>12</v>
      </c>
      <c r="M1293"/>
      <c r="R1293"/>
      <c r="T1293"/>
    </row>
    <row r="1294" spans="1:20">
      <c r="A1294" s="170" t="s">
        <v>6263</v>
      </c>
      <c r="B1294" s="170" t="s">
        <v>6264</v>
      </c>
      <c r="C1294" s="178" t="s">
        <v>10</v>
      </c>
      <c r="D1294" s="170" t="s">
        <v>11</v>
      </c>
      <c r="E1294" s="170" t="s">
        <v>12</v>
      </c>
      <c r="M1294"/>
      <c r="R1294"/>
      <c r="T1294"/>
    </row>
    <row r="1295" spans="1:20">
      <c r="A1295" s="170" t="s">
        <v>6265</v>
      </c>
      <c r="B1295" s="170" t="s">
        <v>6266</v>
      </c>
      <c r="C1295" s="178" t="s">
        <v>10</v>
      </c>
      <c r="D1295" s="170" t="s">
        <v>11</v>
      </c>
      <c r="E1295" s="170" t="s">
        <v>12</v>
      </c>
      <c r="M1295"/>
      <c r="R1295"/>
      <c r="T1295"/>
    </row>
    <row r="1296" spans="1:20">
      <c r="A1296" s="170" t="s">
        <v>6267</v>
      </c>
      <c r="B1296" s="170" t="s">
        <v>6268</v>
      </c>
      <c r="C1296" s="178" t="s">
        <v>10</v>
      </c>
      <c r="D1296" s="170" t="s">
        <v>11</v>
      </c>
      <c r="E1296" s="170" t="s">
        <v>12</v>
      </c>
      <c r="M1296"/>
      <c r="R1296"/>
      <c r="T1296"/>
    </row>
    <row r="1297" spans="1:20">
      <c r="A1297" s="170" t="s">
        <v>6269</v>
      </c>
      <c r="B1297" s="170" t="s">
        <v>6270</v>
      </c>
      <c r="C1297" s="178" t="s">
        <v>10</v>
      </c>
      <c r="D1297" s="170" t="s">
        <v>11</v>
      </c>
      <c r="E1297" s="170" t="s">
        <v>12</v>
      </c>
      <c r="M1297"/>
      <c r="R1297"/>
      <c r="T1297"/>
    </row>
    <row r="1298" spans="1:6">
      <c r="A1298" s="170" t="s">
        <v>6271</v>
      </c>
      <c r="B1298" s="170" t="s">
        <v>6272</v>
      </c>
      <c r="C1298" s="224" t="s">
        <v>6273</v>
      </c>
      <c r="D1298" s="170" t="s">
        <v>11</v>
      </c>
      <c r="E1298" s="170" t="s">
        <v>12</v>
      </c>
      <c r="F1298" s="290" t="s">
        <v>6272</v>
      </c>
    </row>
    <row r="1299" spans="1:20">
      <c r="A1299" s="170" t="s">
        <v>6274</v>
      </c>
      <c r="B1299" s="170" t="s">
        <v>6275</v>
      </c>
      <c r="C1299" s="170"/>
      <c r="D1299" s="170" t="s">
        <v>11</v>
      </c>
      <c r="E1299" s="170" t="s">
        <v>12</v>
      </c>
      <c r="M1299"/>
      <c r="R1299"/>
      <c r="T1299"/>
    </row>
    <row r="1300" spans="1:20">
      <c r="A1300" s="170" t="s">
        <v>6276</v>
      </c>
      <c r="B1300" s="170" t="s">
        <v>6277</v>
      </c>
      <c r="C1300" s="170"/>
      <c r="D1300" s="170" t="s">
        <v>11</v>
      </c>
      <c r="E1300" s="170" t="s">
        <v>12</v>
      </c>
      <c r="M1300"/>
      <c r="R1300"/>
      <c r="T1300"/>
    </row>
    <row r="1301" spans="1:6">
      <c r="A1301" s="170" t="s">
        <v>6278</v>
      </c>
      <c r="B1301" s="170" t="s">
        <v>6279</v>
      </c>
      <c r="C1301" s="224" t="s">
        <v>6280</v>
      </c>
      <c r="D1301" s="170" t="s">
        <v>11</v>
      </c>
      <c r="E1301" s="170" t="s">
        <v>12</v>
      </c>
      <c r="F1301" s="289" t="s">
        <v>6279</v>
      </c>
    </row>
    <row r="1302" spans="1:20">
      <c r="A1302" s="170" t="s">
        <v>6281</v>
      </c>
      <c r="B1302" s="170" t="s">
        <v>6282</v>
      </c>
      <c r="C1302" s="224"/>
      <c r="D1302" s="170" t="s">
        <v>11</v>
      </c>
      <c r="E1302" s="170" t="s">
        <v>12</v>
      </c>
      <c r="M1302"/>
      <c r="R1302"/>
      <c r="T1302"/>
    </row>
    <row r="1303" spans="1:20">
      <c r="A1303" s="170" t="s">
        <v>6283</v>
      </c>
      <c r="B1303" s="170" t="s">
        <v>6284</v>
      </c>
      <c r="C1303" s="170"/>
      <c r="D1303" s="170" t="s">
        <v>11</v>
      </c>
      <c r="E1303" s="170" t="s">
        <v>12</v>
      </c>
      <c r="M1303"/>
      <c r="R1303"/>
      <c r="T1303"/>
    </row>
    <row r="1304" spans="1:6">
      <c r="A1304" s="170" t="s">
        <v>6285</v>
      </c>
      <c r="B1304" s="170" t="s">
        <v>6286</v>
      </c>
      <c r="C1304" s="224" t="s">
        <v>6287</v>
      </c>
      <c r="D1304" s="170" t="s">
        <v>11</v>
      </c>
      <c r="E1304" s="170" t="s">
        <v>12</v>
      </c>
      <c r="F1304" t="s">
        <v>6286</v>
      </c>
    </row>
    <row r="1305" spans="1:20">
      <c r="A1305" s="170" t="s">
        <v>6288</v>
      </c>
      <c r="B1305" s="170" t="s">
        <v>6289</v>
      </c>
      <c r="C1305" s="170"/>
      <c r="D1305" s="170" t="s">
        <v>11</v>
      </c>
      <c r="E1305" s="170" t="s">
        <v>12</v>
      </c>
      <c r="M1305"/>
      <c r="R1305"/>
      <c r="T1305"/>
    </row>
    <row r="1306" spans="1:20">
      <c r="A1306" s="170" t="s">
        <v>6290</v>
      </c>
      <c r="B1306" s="170" t="s">
        <v>6291</v>
      </c>
      <c r="C1306" s="170"/>
      <c r="D1306" s="170" t="s">
        <v>11</v>
      </c>
      <c r="E1306" s="170" t="s">
        <v>12</v>
      </c>
      <c r="M1306"/>
      <c r="R1306"/>
      <c r="T1306"/>
    </row>
    <row r="1307" spans="1:6">
      <c r="A1307" s="170" t="s">
        <v>6292</v>
      </c>
      <c r="B1307" s="170" t="s">
        <v>6293</v>
      </c>
      <c r="C1307" s="224" t="s">
        <v>6294</v>
      </c>
      <c r="D1307" s="170" t="s">
        <v>11</v>
      </c>
      <c r="E1307" s="170" t="s">
        <v>12</v>
      </c>
      <c r="F1307" t="s">
        <v>6293</v>
      </c>
    </row>
    <row r="1308" spans="1:20">
      <c r="A1308" s="170" t="s">
        <v>6295</v>
      </c>
      <c r="B1308" s="170" t="s">
        <v>6296</v>
      </c>
      <c r="C1308" s="170"/>
      <c r="D1308" s="170" t="s">
        <v>11</v>
      </c>
      <c r="E1308" s="170" t="s">
        <v>12</v>
      </c>
      <c r="M1308"/>
      <c r="R1308"/>
      <c r="T1308"/>
    </row>
    <row r="1309" spans="1:20">
      <c r="A1309" s="170" t="s">
        <v>6297</v>
      </c>
      <c r="B1309" s="170" t="s">
        <v>6298</v>
      </c>
      <c r="C1309" s="170"/>
      <c r="D1309" s="170" t="s">
        <v>11</v>
      </c>
      <c r="E1309" s="170" t="s">
        <v>12</v>
      </c>
      <c r="M1309"/>
      <c r="R1309"/>
      <c r="T1309"/>
    </row>
    <row r="1310" spans="1:6">
      <c r="A1310" s="170" t="s">
        <v>6299</v>
      </c>
      <c r="B1310" s="170" t="s">
        <v>6300</v>
      </c>
      <c r="C1310" s="248" t="s">
        <v>6301</v>
      </c>
      <c r="D1310" s="170" t="s">
        <v>11</v>
      </c>
      <c r="E1310" s="170" t="s">
        <v>12</v>
      </c>
      <c r="F1310" t="s">
        <v>6300</v>
      </c>
    </row>
    <row r="1311" spans="1:20">
      <c r="A1311" s="170" t="s">
        <v>6302</v>
      </c>
      <c r="B1311" s="170" t="s">
        <v>6303</v>
      </c>
      <c r="C1311" s="170"/>
      <c r="D1311" s="170" t="s">
        <v>11</v>
      </c>
      <c r="E1311" s="170" t="s">
        <v>12</v>
      </c>
      <c r="M1311"/>
      <c r="R1311"/>
      <c r="T1311"/>
    </row>
    <row r="1312" spans="1:20">
      <c r="A1312" s="170" t="s">
        <v>6304</v>
      </c>
      <c r="B1312" s="170" t="s">
        <v>6305</v>
      </c>
      <c r="C1312" s="170"/>
      <c r="D1312" s="170" t="s">
        <v>11</v>
      </c>
      <c r="E1312" s="170" t="s">
        <v>12</v>
      </c>
      <c r="M1312"/>
      <c r="R1312"/>
      <c r="T1312"/>
    </row>
    <row r="1313" spans="1:6">
      <c r="A1313" s="170" t="s">
        <v>6306</v>
      </c>
      <c r="B1313" s="299" t="s">
        <v>6307</v>
      </c>
      <c r="C1313" s="248" t="s">
        <v>6308</v>
      </c>
      <c r="D1313" s="170" t="s">
        <v>11</v>
      </c>
      <c r="E1313" s="170" t="s">
        <v>12</v>
      </c>
      <c r="F1313" s="308" t="s">
        <v>6309</v>
      </c>
    </row>
    <row r="1314" spans="1:20">
      <c r="A1314" s="170" t="s">
        <v>6310</v>
      </c>
      <c r="B1314" s="170" t="s">
        <v>6311</v>
      </c>
      <c r="C1314" s="170"/>
      <c r="D1314" s="170" t="s">
        <v>11</v>
      </c>
      <c r="E1314" s="170" t="s">
        <v>12</v>
      </c>
      <c r="M1314"/>
      <c r="R1314"/>
      <c r="T1314"/>
    </row>
    <row r="1315" spans="1:20">
      <c r="A1315" s="170" t="s">
        <v>6312</v>
      </c>
      <c r="B1315" s="170" t="s">
        <v>6313</v>
      </c>
      <c r="C1315" s="170"/>
      <c r="D1315" s="170" t="s">
        <v>11</v>
      </c>
      <c r="E1315" s="170" t="s">
        <v>12</v>
      </c>
      <c r="M1315"/>
      <c r="R1315"/>
      <c r="T1315"/>
    </row>
    <row r="1316" spans="1:6">
      <c r="A1316" s="170" t="s">
        <v>6314</v>
      </c>
      <c r="B1316" s="170" t="s">
        <v>6315</v>
      </c>
      <c r="C1316" s="224" t="s">
        <v>6316</v>
      </c>
      <c r="D1316" s="170" t="s">
        <v>11</v>
      </c>
      <c r="E1316" s="170" t="s">
        <v>12</v>
      </c>
      <c r="F1316" s="290" t="s">
        <v>6315</v>
      </c>
    </row>
    <row r="1317" spans="1:20">
      <c r="A1317" s="170" t="s">
        <v>6317</v>
      </c>
      <c r="B1317" s="170" t="s">
        <v>6318</v>
      </c>
      <c r="C1317" s="170"/>
      <c r="D1317" s="170" t="s">
        <v>11</v>
      </c>
      <c r="E1317" s="170" t="s">
        <v>12</v>
      </c>
      <c r="M1317"/>
      <c r="R1317"/>
      <c r="T1317"/>
    </row>
    <row r="1318" spans="1:20">
      <c r="A1318" s="170" t="s">
        <v>6319</v>
      </c>
      <c r="B1318" s="170" t="s">
        <v>6320</v>
      </c>
      <c r="C1318" s="170"/>
      <c r="D1318" s="170" t="s">
        <v>11</v>
      </c>
      <c r="E1318" s="170" t="s">
        <v>12</v>
      </c>
      <c r="M1318"/>
      <c r="R1318"/>
      <c r="T1318"/>
    </row>
    <row r="1319" spans="1:6">
      <c r="A1319" s="170" t="s">
        <v>6321</v>
      </c>
      <c r="B1319" s="170" t="s">
        <v>6322</v>
      </c>
      <c r="C1319" s="249" t="s">
        <v>6323</v>
      </c>
      <c r="D1319" s="170" t="s">
        <v>11</v>
      </c>
      <c r="E1319" s="170" t="s">
        <v>12</v>
      </c>
      <c r="F1319" t="s">
        <v>6322</v>
      </c>
    </row>
    <row r="1320" spans="1:20">
      <c r="A1320" s="170" t="s">
        <v>6324</v>
      </c>
      <c r="B1320" s="170" t="s">
        <v>6325</v>
      </c>
      <c r="C1320" s="170"/>
      <c r="D1320" s="170" t="s">
        <v>11</v>
      </c>
      <c r="E1320" s="170" t="s">
        <v>12</v>
      </c>
      <c r="M1320"/>
      <c r="R1320"/>
      <c r="T1320"/>
    </row>
    <row r="1321" spans="1:20">
      <c r="A1321" s="170" t="s">
        <v>6326</v>
      </c>
      <c r="B1321" s="170" t="s">
        <v>6327</v>
      </c>
      <c r="C1321" s="170"/>
      <c r="D1321" s="170" t="s">
        <v>11</v>
      </c>
      <c r="E1321" s="170" t="s">
        <v>12</v>
      </c>
      <c r="M1321"/>
      <c r="R1321"/>
      <c r="T1321"/>
    </row>
    <row r="1322" spans="1:6">
      <c r="A1322" s="170" t="s">
        <v>6328</v>
      </c>
      <c r="B1322" s="170" t="s">
        <v>6329</v>
      </c>
      <c r="C1322" s="249" t="s">
        <v>6330</v>
      </c>
      <c r="D1322" s="170" t="s">
        <v>11</v>
      </c>
      <c r="E1322" s="170" t="s">
        <v>12</v>
      </c>
      <c r="F1322" t="s">
        <v>6329</v>
      </c>
    </row>
    <row r="1323" spans="1:20">
      <c r="A1323" s="170" t="s">
        <v>6331</v>
      </c>
      <c r="B1323" s="170" t="s">
        <v>6332</v>
      </c>
      <c r="C1323" s="170"/>
      <c r="D1323" s="170" t="s">
        <v>11</v>
      </c>
      <c r="E1323" s="170" t="s">
        <v>12</v>
      </c>
      <c r="M1323"/>
      <c r="R1323"/>
      <c r="T1323"/>
    </row>
    <row r="1324" spans="1:20">
      <c r="A1324" s="170" t="s">
        <v>6333</v>
      </c>
      <c r="B1324" s="170" t="s">
        <v>6334</v>
      </c>
      <c r="C1324" s="170"/>
      <c r="D1324" s="170" t="s">
        <v>11</v>
      </c>
      <c r="E1324" s="170" t="s">
        <v>12</v>
      </c>
      <c r="M1324"/>
      <c r="R1324"/>
      <c r="T1324"/>
    </row>
    <row r="1325" spans="1:6">
      <c r="A1325" s="170" t="s">
        <v>6335</v>
      </c>
      <c r="B1325" s="170" t="s">
        <v>6336</v>
      </c>
      <c r="C1325" s="224" t="s">
        <v>6337</v>
      </c>
      <c r="D1325" s="170" t="s">
        <v>11</v>
      </c>
      <c r="E1325" s="170" t="s">
        <v>12</v>
      </c>
      <c r="F1325" t="s">
        <v>6336</v>
      </c>
    </row>
    <row r="1326" spans="1:20">
      <c r="A1326" s="170" t="s">
        <v>6338</v>
      </c>
      <c r="B1326" s="170" t="s">
        <v>6339</v>
      </c>
      <c r="C1326" s="170"/>
      <c r="D1326" s="170" t="s">
        <v>11</v>
      </c>
      <c r="E1326" s="170" t="s">
        <v>12</v>
      </c>
      <c r="M1326"/>
      <c r="R1326"/>
      <c r="T1326"/>
    </row>
    <row r="1327" spans="1:20">
      <c r="A1327" s="170" t="s">
        <v>6340</v>
      </c>
      <c r="B1327" s="170" t="s">
        <v>6341</v>
      </c>
      <c r="C1327" s="170"/>
      <c r="D1327" s="170" t="s">
        <v>11</v>
      </c>
      <c r="E1327" s="170" t="s">
        <v>12</v>
      </c>
      <c r="M1327"/>
      <c r="R1327"/>
      <c r="T1327"/>
    </row>
    <row r="1328" spans="1:6">
      <c r="A1328" s="170" t="s">
        <v>6342</v>
      </c>
      <c r="B1328" s="299" t="s">
        <v>6343</v>
      </c>
      <c r="C1328" s="224" t="s">
        <v>6344</v>
      </c>
      <c r="D1328" s="170" t="s">
        <v>11</v>
      </c>
      <c r="E1328" s="170" t="s">
        <v>12</v>
      </c>
      <c r="F1328" s="308" t="s">
        <v>6345</v>
      </c>
    </row>
    <row r="1329" spans="1:20">
      <c r="A1329" s="170" t="s">
        <v>6346</v>
      </c>
      <c r="B1329" s="170" t="s">
        <v>6347</v>
      </c>
      <c r="C1329" s="170"/>
      <c r="D1329" s="170" t="s">
        <v>11</v>
      </c>
      <c r="E1329" s="170" t="s">
        <v>12</v>
      </c>
      <c r="M1329"/>
      <c r="R1329"/>
      <c r="T1329"/>
    </row>
    <row r="1330" spans="1:20">
      <c r="A1330" s="170" t="s">
        <v>6348</v>
      </c>
      <c r="B1330" s="170" t="s">
        <v>6345</v>
      </c>
      <c r="C1330" s="170"/>
      <c r="D1330" s="170" t="s">
        <v>11</v>
      </c>
      <c r="E1330" s="170" t="s">
        <v>12</v>
      </c>
      <c r="M1330"/>
      <c r="R1330"/>
      <c r="T1330"/>
    </row>
    <row r="1331" spans="1:18">
      <c r="A1331" s="170" t="s">
        <v>6349</v>
      </c>
      <c r="B1331" s="170" t="s">
        <v>6350</v>
      </c>
      <c r="C1331" s="309" t="s">
        <v>6351</v>
      </c>
      <c r="D1331" s="170" t="s">
        <v>11</v>
      </c>
      <c r="E1331" s="170" t="s">
        <v>12</v>
      </c>
      <c r="F1331" t="s">
        <v>6350</v>
      </c>
      <c r="M1331"/>
      <c r="R1331"/>
    </row>
    <row r="1332" spans="1:20">
      <c r="A1332" s="204" t="s">
        <v>6352</v>
      </c>
      <c r="B1332" s="310" t="s">
        <v>6353</v>
      </c>
      <c r="C1332" s="311" t="s">
        <v>6354</v>
      </c>
      <c r="D1332" s="203" t="s">
        <v>11</v>
      </c>
      <c r="E1332" s="203" t="s">
        <v>12</v>
      </c>
      <c r="F1332" s="310" t="s">
        <v>6353</v>
      </c>
      <c r="M1332"/>
      <c r="R1332"/>
      <c r="T1332"/>
    </row>
    <row r="1333" spans="1:20">
      <c r="A1333" s="204" t="s">
        <v>6355</v>
      </c>
      <c r="B1333" s="312" t="s">
        <v>6356</v>
      </c>
      <c r="C1333" s="313" t="s">
        <v>6357</v>
      </c>
      <c r="D1333" s="203" t="s">
        <v>11</v>
      </c>
      <c r="E1333" s="203" t="s">
        <v>12</v>
      </c>
      <c r="F1333" s="312" t="s">
        <v>6356</v>
      </c>
      <c r="M1333"/>
      <c r="R1333"/>
      <c r="T1333"/>
    </row>
    <row r="1334" spans="1:20">
      <c r="A1334" s="204" t="s">
        <v>6358</v>
      </c>
      <c r="B1334" s="312" t="s">
        <v>6359</v>
      </c>
      <c r="C1334" s="314" t="s">
        <v>6360</v>
      </c>
      <c r="D1334" s="203" t="s">
        <v>11</v>
      </c>
      <c r="E1334" s="203" t="s">
        <v>12</v>
      </c>
      <c r="F1334" s="312" t="s">
        <v>6359</v>
      </c>
      <c r="M1334"/>
      <c r="R1334"/>
      <c r="T1334"/>
    </row>
    <row r="1335" spans="1:20">
      <c r="A1335" s="204" t="s">
        <v>6361</v>
      </c>
      <c r="B1335" s="312" t="s">
        <v>6362</v>
      </c>
      <c r="C1335" s="315" t="s">
        <v>6363</v>
      </c>
      <c r="D1335" s="203" t="s">
        <v>11</v>
      </c>
      <c r="E1335" s="203" t="s">
        <v>12</v>
      </c>
      <c r="F1335" s="312" t="s">
        <v>6362</v>
      </c>
      <c r="M1335"/>
      <c r="R1335"/>
      <c r="T1335"/>
    </row>
    <row r="1336" spans="1:20">
      <c r="A1336" s="204" t="s">
        <v>6364</v>
      </c>
      <c r="B1336" s="312" t="s">
        <v>6365</v>
      </c>
      <c r="C1336" s="316" t="s">
        <v>6366</v>
      </c>
      <c r="D1336" s="203" t="s">
        <v>11</v>
      </c>
      <c r="E1336" s="203" t="s">
        <v>12</v>
      </c>
      <c r="F1336" s="312" t="s">
        <v>6365</v>
      </c>
      <c r="M1336"/>
      <c r="R1336"/>
      <c r="T1336"/>
    </row>
    <row r="1337" spans="1:20">
      <c r="A1337" s="204" t="s">
        <v>6367</v>
      </c>
      <c r="B1337" s="312" t="s">
        <v>6368</v>
      </c>
      <c r="C1337" s="315" t="s">
        <v>6369</v>
      </c>
      <c r="D1337" s="203" t="s">
        <v>11</v>
      </c>
      <c r="E1337" s="203" t="s">
        <v>12</v>
      </c>
      <c r="F1337" s="312" t="s">
        <v>6368</v>
      </c>
      <c r="M1337"/>
      <c r="R1337"/>
      <c r="T1337"/>
    </row>
    <row r="1338" ht="10.9" customHeight="1" spans="1:20">
      <c r="A1338" s="204" t="s">
        <v>6370</v>
      </c>
      <c r="B1338" s="310" t="s">
        <v>6371</v>
      </c>
      <c r="C1338" s="315" t="s">
        <v>6372</v>
      </c>
      <c r="D1338" s="203" t="s">
        <v>11</v>
      </c>
      <c r="E1338" s="203" t="s">
        <v>12</v>
      </c>
      <c r="F1338" s="310" t="s">
        <v>6371</v>
      </c>
      <c r="M1338"/>
      <c r="R1338"/>
      <c r="T1338"/>
    </row>
    <row r="1339" spans="1:20">
      <c r="A1339" s="204" t="s">
        <v>6373</v>
      </c>
      <c r="B1339" s="233" t="s">
        <v>6374</v>
      </c>
      <c r="C1339" s="315" t="s">
        <v>6375</v>
      </c>
      <c r="D1339" s="203" t="s">
        <v>11</v>
      </c>
      <c r="E1339" s="203" t="s">
        <v>12</v>
      </c>
      <c r="F1339" s="233" t="s">
        <v>6374</v>
      </c>
      <c r="T1339"/>
    </row>
    <row r="1340" spans="1:20">
      <c r="A1340" s="170" t="s">
        <v>6376</v>
      </c>
      <c r="B1340" s="170" t="s">
        <v>6377</v>
      </c>
      <c r="C1340" s="170"/>
      <c r="D1340" s="170" t="s">
        <v>11</v>
      </c>
      <c r="E1340" s="170" t="s">
        <v>12</v>
      </c>
      <c r="M1340"/>
      <c r="R1340"/>
      <c r="T1340"/>
    </row>
    <row r="1341" spans="1:20">
      <c r="A1341" s="170" t="s">
        <v>6378</v>
      </c>
      <c r="B1341" s="170" t="s">
        <v>6379</v>
      </c>
      <c r="C1341" s="170"/>
      <c r="D1341" s="170" t="s">
        <v>11</v>
      </c>
      <c r="E1341" s="170" t="s">
        <v>12</v>
      </c>
      <c r="M1341"/>
      <c r="R1341"/>
      <c r="T1341"/>
    </row>
    <row r="1342" spans="1:20">
      <c r="A1342" s="170" t="s">
        <v>6352</v>
      </c>
      <c r="B1342" s="170" t="s">
        <v>6353</v>
      </c>
      <c r="C1342" s="170"/>
      <c r="D1342" s="170" t="s">
        <v>11</v>
      </c>
      <c r="E1342" s="170" t="s">
        <v>12</v>
      </c>
      <c r="M1342"/>
      <c r="R1342"/>
      <c r="T1342"/>
    </row>
    <row r="1343" spans="1:20">
      <c r="A1343" s="170" t="s">
        <v>6380</v>
      </c>
      <c r="B1343" s="170" t="s">
        <v>6381</v>
      </c>
      <c r="C1343" s="170"/>
      <c r="D1343" s="170" t="s">
        <v>11</v>
      </c>
      <c r="E1343" s="170" t="s">
        <v>12</v>
      </c>
      <c r="M1343"/>
      <c r="R1343"/>
      <c r="T1343"/>
    </row>
    <row r="1344" spans="1:20">
      <c r="A1344" s="170" t="s">
        <v>6382</v>
      </c>
      <c r="B1344" s="170" t="s">
        <v>6383</v>
      </c>
      <c r="C1344" s="170"/>
      <c r="D1344" s="170" t="s">
        <v>11</v>
      </c>
      <c r="E1344" s="170" t="s">
        <v>12</v>
      </c>
      <c r="M1344"/>
      <c r="R1344"/>
      <c r="T1344"/>
    </row>
    <row r="1345" spans="1:20">
      <c r="A1345" s="170" t="s">
        <v>6355</v>
      </c>
      <c r="B1345" s="170" t="s">
        <v>6356</v>
      </c>
      <c r="C1345" s="170"/>
      <c r="D1345" s="170" t="s">
        <v>11</v>
      </c>
      <c r="E1345" s="170" t="s">
        <v>12</v>
      </c>
      <c r="M1345"/>
      <c r="R1345"/>
      <c r="T1345"/>
    </row>
    <row r="1346" spans="1:20">
      <c r="A1346" s="170" t="s">
        <v>6384</v>
      </c>
      <c r="B1346" s="170" t="s">
        <v>6385</v>
      </c>
      <c r="C1346" s="170"/>
      <c r="D1346" s="170" t="s">
        <v>11</v>
      </c>
      <c r="E1346" s="170" t="s">
        <v>12</v>
      </c>
      <c r="M1346"/>
      <c r="R1346"/>
      <c r="T1346"/>
    </row>
    <row r="1347" spans="1:20">
      <c r="A1347" s="170" t="s">
        <v>6386</v>
      </c>
      <c r="B1347" s="170" t="s">
        <v>6387</v>
      </c>
      <c r="C1347" s="170"/>
      <c r="D1347" s="170" t="s">
        <v>11</v>
      </c>
      <c r="E1347" s="170" t="s">
        <v>12</v>
      </c>
      <c r="M1347"/>
      <c r="R1347"/>
      <c r="T1347"/>
    </row>
    <row r="1348" spans="1:20">
      <c r="A1348" s="170" t="s">
        <v>6358</v>
      </c>
      <c r="B1348" s="170" t="s">
        <v>6359</v>
      </c>
      <c r="C1348" s="170"/>
      <c r="D1348" s="170" t="s">
        <v>11</v>
      </c>
      <c r="E1348" s="170" t="s">
        <v>12</v>
      </c>
      <c r="M1348"/>
      <c r="R1348"/>
      <c r="T1348"/>
    </row>
    <row r="1349" spans="1:20">
      <c r="A1349" s="170" t="s">
        <v>6388</v>
      </c>
      <c r="B1349" s="170" t="s">
        <v>6389</v>
      </c>
      <c r="C1349" s="170"/>
      <c r="D1349" s="170" t="s">
        <v>11</v>
      </c>
      <c r="E1349" s="170" t="s">
        <v>12</v>
      </c>
      <c r="M1349"/>
      <c r="R1349"/>
      <c r="T1349"/>
    </row>
    <row r="1350" spans="1:20">
      <c r="A1350" s="170" t="s">
        <v>6390</v>
      </c>
      <c r="B1350" s="170" t="s">
        <v>6391</v>
      </c>
      <c r="C1350" s="170"/>
      <c r="D1350" s="170" t="s">
        <v>11</v>
      </c>
      <c r="E1350" s="170" t="s">
        <v>12</v>
      </c>
      <c r="M1350"/>
      <c r="R1350"/>
      <c r="T1350"/>
    </row>
    <row r="1351" spans="1:20">
      <c r="A1351" s="170" t="s">
        <v>6361</v>
      </c>
      <c r="B1351" s="170" t="s">
        <v>6362</v>
      </c>
      <c r="C1351" s="170"/>
      <c r="D1351" s="170" t="s">
        <v>11</v>
      </c>
      <c r="E1351" s="170" t="s">
        <v>12</v>
      </c>
      <c r="M1351"/>
      <c r="R1351"/>
      <c r="T1351"/>
    </row>
    <row r="1352" spans="1:20">
      <c r="A1352" s="170" t="s">
        <v>6392</v>
      </c>
      <c r="B1352" s="170" t="s">
        <v>6393</v>
      </c>
      <c r="C1352" s="170"/>
      <c r="D1352" s="170" t="s">
        <v>11</v>
      </c>
      <c r="E1352" s="170" t="s">
        <v>12</v>
      </c>
      <c r="M1352"/>
      <c r="R1352"/>
      <c r="T1352"/>
    </row>
    <row r="1353" spans="1:20">
      <c r="A1353" s="170" t="s">
        <v>6394</v>
      </c>
      <c r="B1353" s="170" t="s">
        <v>6395</v>
      </c>
      <c r="C1353" s="170"/>
      <c r="D1353" s="170" t="s">
        <v>11</v>
      </c>
      <c r="E1353" s="170" t="s">
        <v>12</v>
      </c>
      <c r="M1353"/>
      <c r="R1353"/>
      <c r="T1353"/>
    </row>
    <row r="1354" spans="1:20">
      <c r="A1354" s="170" t="s">
        <v>6364</v>
      </c>
      <c r="B1354" s="170" t="s">
        <v>6365</v>
      </c>
      <c r="C1354" s="170"/>
      <c r="D1354" s="170" t="s">
        <v>11</v>
      </c>
      <c r="E1354" s="170" t="s">
        <v>12</v>
      </c>
      <c r="M1354"/>
      <c r="R1354"/>
      <c r="T1354"/>
    </row>
    <row r="1355" spans="1:20">
      <c r="A1355" s="170" t="s">
        <v>6396</v>
      </c>
      <c r="B1355" s="170" t="s">
        <v>6397</v>
      </c>
      <c r="C1355" s="170"/>
      <c r="D1355" s="170" t="s">
        <v>11</v>
      </c>
      <c r="E1355" s="170" t="s">
        <v>12</v>
      </c>
      <c r="M1355"/>
      <c r="R1355"/>
      <c r="T1355"/>
    </row>
    <row r="1356" spans="1:20">
      <c r="A1356" s="170" t="s">
        <v>6398</v>
      </c>
      <c r="B1356" s="170" t="s">
        <v>6399</v>
      </c>
      <c r="C1356" s="170"/>
      <c r="D1356" s="170" t="s">
        <v>11</v>
      </c>
      <c r="E1356" s="170" t="s">
        <v>12</v>
      </c>
      <c r="M1356"/>
      <c r="R1356"/>
      <c r="T1356"/>
    </row>
    <row r="1357" spans="1:20">
      <c r="A1357" s="170" t="s">
        <v>6367</v>
      </c>
      <c r="B1357" s="170" t="s">
        <v>6368</v>
      </c>
      <c r="C1357" s="170"/>
      <c r="D1357" s="170" t="s">
        <v>11</v>
      </c>
      <c r="E1357" s="170" t="s">
        <v>12</v>
      </c>
      <c r="M1357"/>
      <c r="R1357"/>
      <c r="T1357"/>
    </row>
    <row r="1358" spans="1:20">
      <c r="A1358" s="170" t="s">
        <v>6400</v>
      </c>
      <c r="B1358" s="170" t="s">
        <v>6401</v>
      </c>
      <c r="C1358" s="170"/>
      <c r="D1358" s="170" t="s">
        <v>11</v>
      </c>
      <c r="E1358" s="170" t="s">
        <v>12</v>
      </c>
      <c r="M1358"/>
      <c r="R1358"/>
      <c r="T1358"/>
    </row>
    <row r="1359" spans="1:20">
      <c r="A1359" s="170" t="s">
        <v>6402</v>
      </c>
      <c r="B1359" s="170" t="s">
        <v>6403</v>
      </c>
      <c r="C1359" s="170"/>
      <c r="D1359" s="170" t="s">
        <v>11</v>
      </c>
      <c r="E1359" s="170" t="s">
        <v>12</v>
      </c>
      <c r="M1359"/>
      <c r="R1359"/>
      <c r="T1359"/>
    </row>
    <row r="1360" spans="1:20">
      <c r="A1360" s="170" t="s">
        <v>6370</v>
      </c>
      <c r="B1360" s="170" t="s">
        <v>6371</v>
      </c>
      <c r="C1360" s="170"/>
      <c r="D1360" s="170" t="s">
        <v>11</v>
      </c>
      <c r="E1360" s="170" t="s">
        <v>12</v>
      </c>
      <c r="M1360"/>
      <c r="R1360"/>
      <c r="T1360"/>
    </row>
    <row r="1361" spans="1:20">
      <c r="A1361" s="170" t="s">
        <v>6404</v>
      </c>
      <c r="B1361" s="170" t="s">
        <v>6405</v>
      </c>
      <c r="C1361" s="170"/>
      <c r="D1361" s="170" t="s">
        <v>11</v>
      </c>
      <c r="E1361" s="170" t="s">
        <v>12</v>
      </c>
      <c r="M1361"/>
      <c r="R1361"/>
      <c r="T1361"/>
    </row>
    <row r="1362" spans="1:20">
      <c r="A1362" s="170" t="s">
        <v>6406</v>
      </c>
      <c r="B1362" s="170" t="s">
        <v>6407</v>
      </c>
      <c r="C1362" s="170"/>
      <c r="D1362" s="170" t="s">
        <v>11</v>
      </c>
      <c r="E1362" s="170" t="s">
        <v>12</v>
      </c>
      <c r="M1362"/>
      <c r="R1362"/>
      <c r="T1362"/>
    </row>
    <row r="1363" spans="1:20">
      <c r="A1363" s="170" t="s">
        <v>6373</v>
      </c>
      <c r="B1363" s="170" t="s">
        <v>6374</v>
      </c>
      <c r="C1363" s="170"/>
      <c r="D1363" s="170" t="s">
        <v>11</v>
      </c>
      <c r="E1363" s="170" t="s">
        <v>12</v>
      </c>
      <c r="M1363"/>
      <c r="R1363"/>
      <c r="T1363"/>
    </row>
    <row r="1364" spans="1:20">
      <c r="A1364" s="170" t="s">
        <v>6408</v>
      </c>
      <c r="B1364" s="170" t="s">
        <v>6409</v>
      </c>
      <c r="C1364" s="170"/>
      <c r="D1364" s="170" t="s">
        <v>11</v>
      </c>
      <c r="E1364" s="170" t="s">
        <v>12</v>
      </c>
      <c r="M1364"/>
      <c r="R1364"/>
      <c r="T1364"/>
    </row>
    <row r="1365" spans="1:20">
      <c r="A1365" s="170" t="s">
        <v>6410</v>
      </c>
      <c r="B1365" s="170" t="s">
        <v>6411</v>
      </c>
      <c r="C1365" s="170"/>
      <c r="D1365" s="170" t="s">
        <v>11</v>
      </c>
      <c r="E1365" s="170" t="s">
        <v>12</v>
      </c>
      <c r="M1365"/>
      <c r="R1365"/>
      <c r="T1365"/>
    </row>
    <row r="1366" spans="1:20">
      <c r="A1366" s="170" t="s">
        <v>6412</v>
      </c>
      <c r="B1366" s="170" t="s">
        <v>6413</v>
      </c>
      <c r="C1366" s="178" t="s">
        <v>10</v>
      </c>
      <c r="D1366" s="170" t="s">
        <v>11</v>
      </c>
      <c r="E1366" s="170" t="s">
        <v>12</v>
      </c>
      <c r="M1366"/>
      <c r="R1366"/>
      <c r="T1366"/>
    </row>
    <row r="1367" spans="1:20">
      <c r="A1367" s="170" t="s">
        <v>6414</v>
      </c>
      <c r="B1367" s="170" t="s">
        <v>6415</v>
      </c>
      <c r="C1367" s="178" t="s">
        <v>10</v>
      </c>
      <c r="D1367" s="170" t="s">
        <v>11</v>
      </c>
      <c r="E1367" s="170" t="s">
        <v>12</v>
      </c>
      <c r="M1367"/>
      <c r="R1367"/>
      <c r="T1367"/>
    </row>
    <row r="1368" spans="1:20">
      <c r="A1368" s="170" t="s">
        <v>6416</v>
      </c>
      <c r="B1368" s="170" t="s">
        <v>6417</v>
      </c>
      <c r="C1368" s="178" t="s">
        <v>10</v>
      </c>
      <c r="D1368" s="170" t="s">
        <v>11</v>
      </c>
      <c r="E1368" s="170" t="s">
        <v>12</v>
      </c>
      <c r="M1368"/>
      <c r="R1368"/>
      <c r="T1368"/>
    </row>
    <row r="1369" spans="1:20">
      <c r="A1369" s="170" t="s">
        <v>6418</v>
      </c>
      <c r="B1369" s="170" t="s">
        <v>6419</v>
      </c>
      <c r="C1369" s="178" t="s">
        <v>10</v>
      </c>
      <c r="D1369" s="170" t="s">
        <v>11</v>
      </c>
      <c r="E1369" s="170" t="s">
        <v>12</v>
      </c>
      <c r="M1369"/>
      <c r="R1369"/>
      <c r="T1369"/>
    </row>
    <row r="1370" spans="1:20">
      <c r="A1370" s="170" t="s">
        <v>6420</v>
      </c>
      <c r="B1370" s="170" t="s">
        <v>6421</v>
      </c>
      <c r="C1370" s="178" t="s">
        <v>10</v>
      </c>
      <c r="D1370" s="170" t="s">
        <v>11</v>
      </c>
      <c r="E1370" s="170" t="s">
        <v>12</v>
      </c>
      <c r="M1370"/>
      <c r="R1370"/>
      <c r="T1370"/>
    </row>
    <row r="1371" spans="1:20">
      <c r="A1371" s="170" t="s">
        <v>6422</v>
      </c>
      <c r="B1371" s="170" t="s">
        <v>6423</v>
      </c>
      <c r="C1371" s="178" t="s">
        <v>10</v>
      </c>
      <c r="D1371" s="170" t="s">
        <v>11</v>
      </c>
      <c r="E1371" s="170" t="s">
        <v>12</v>
      </c>
      <c r="M1371"/>
      <c r="R1371"/>
      <c r="T1371"/>
    </row>
    <row r="1372" spans="1:6">
      <c r="A1372" s="170" t="s">
        <v>6424</v>
      </c>
      <c r="B1372" s="170" t="s">
        <v>6425</v>
      </c>
      <c r="C1372" s="256" t="s">
        <v>6426</v>
      </c>
      <c r="D1372" s="170" t="s">
        <v>11</v>
      </c>
      <c r="E1372" s="170" t="s">
        <v>12</v>
      </c>
      <c r="F1372" s="289" t="s">
        <v>6425</v>
      </c>
    </row>
    <row r="1373" spans="1:20">
      <c r="A1373" s="170" t="s">
        <v>6427</v>
      </c>
      <c r="B1373" s="170" t="s">
        <v>6428</v>
      </c>
      <c r="C1373" s="170"/>
      <c r="D1373" s="170" t="s">
        <v>11</v>
      </c>
      <c r="E1373" s="170" t="s">
        <v>12</v>
      </c>
      <c r="M1373"/>
      <c r="R1373"/>
      <c r="T1373"/>
    </row>
    <row r="1374" spans="1:20">
      <c r="A1374" s="170" t="s">
        <v>6429</v>
      </c>
      <c r="B1374" s="170" t="s">
        <v>6430</v>
      </c>
      <c r="C1374" s="170"/>
      <c r="D1374" s="170" t="s">
        <v>11</v>
      </c>
      <c r="E1374" s="170" t="s">
        <v>12</v>
      </c>
      <c r="M1374"/>
      <c r="R1374"/>
      <c r="T1374"/>
    </row>
    <row r="1375" spans="1:6">
      <c r="A1375" s="170" t="s">
        <v>6431</v>
      </c>
      <c r="B1375" s="170" t="s">
        <v>6432</v>
      </c>
      <c r="C1375" s="256" t="s">
        <v>6433</v>
      </c>
      <c r="D1375" s="170" t="s">
        <v>11</v>
      </c>
      <c r="E1375" s="170" t="s">
        <v>12</v>
      </c>
      <c r="F1375" s="289" t="s">
        <v>6432</v>
      </c>
    </row>
    <row r="1376" spans="1:20">
      <c r="A1376" s="170" t="s">
        <v>6434</v>
      </c>
      <c r="B1376" s="170" t="s">
        <v>6435</v>
      </c>
      <c r="C1376" s="170"/>
      <c r="D1376" s="170" t="s">
        <v>11</v>
      </c>
      <c r="E1376" s="170" t="s">
        <v>12</v>
      </c>
      <c r="M1376"/>
      <c r="R1376"/>
      <c r="T1376"/>
    </row>
    <row r="1377" spans="1:20">
      <c r="A1377" s="170" t="s">
        <v>6436</v>
      </c>
      <c r="B1377" s="170" t="s">
        <v>6437</v>
      </c>
      <c r="C1377" s="170"/>
      <c r="D1377" s="170" t="s">
        <v>11</v>
      </c>
      <c r="E1377" s="170" t="s">
        <v>12</v>
      </c>
      <c r="M1377"/>
      <c r="R1377"/>
      <c r="T1377"/>
    </row>
    <row r="1378" spans="1:6">
      <c r="A1378" s="170" t="s">
        <v>6438</v>
      </c>
      <c r="B1378" s="170" t="s">
        <v>6439</v>
      </c>
      <c r="C1378" s="257" t="s">
        <v>6440</v>
      </c>
      <c r="D1378" s="170" t="s">
        <v>11</v>
      </c>
      <c r="E1378" s="170" t="s">
        <v>12</v>
      </c>
      <c r="F1378" s="289" t="s">
        <v>6439</v>
      </c>
    </row>
    <row r="1379" spans="1:20">
      <c r="A1379" s="170" t="s">
        <v>6441</v>
      </c>
      <c r="B1379" s="170" t="s">
        <v>6442</v>
      </c>
      <c r="C1379" s="170"/>
      <c r="D1379" s="170" t="s">
        <v>11</v>
      </c>
      <c r="E1379" s="170" t="s">
        <v>12</v>
      </c>
      <c r="M1379"/>
      <c r="R1379"/>
      <c r="T1379"/>
    </row>
    <row r="1380" spans="1:20">
      <c r="A1380" s="170" t="s">
        <v>6443</v>
      </c>
      <c r="B1380" s="170" t="s">
        <v>6444</v>
      </c>
      <c r="C1380" s="170"/>
      <c r="D1380" s="170" t="s">
        <v>11</v>
      </c>
      <c r="E1380" s="170" t="s">
        <v>12</v>
      </c>
      <c r="M1380"/>
      <c r="R1380"/>
      <c r="T1380"/>
    </row>
    <row r="1381" spans="1:6">
      <c r="A1381" s="170" t="s">
        <v>6445</v>
      </c>
      <c r="B1381" s="170" t="s">
        <v>6446</v>
      </c>
      <c r="C1381" s="257" t="s">
        <v>6447</v>
      </c>
      <c r="D1381" s="170" t="s">
        <v>11</v>
      </c>
      <c r="E1381" s="170" t="s">
        <v>12</v>
      </c>
      <c r="F1381" s="289" t="s">
        <v>6446</v>
      </c>
    </row>
    <row r="1382" spans="1:20">
      <c r="A1382" s="170" t="s">
        <v>6448</v>
      </c>
      <c r="B1382" s="170" t="s">
        <v>6449</v>
      </c>
      <c r="C1382" s="257"/>
      <c r="D1382" s="170" t="s">
        <v>11</v>
      </c>
      <c r="E1382" s="170" t="s">
        <v>12</v>
      </c>
      <c r="M1382"/>
      <c r="R1382"/>
      <c r="T1382"/>
    </row>
    <row r="1383" spans="1:20">
      <c r="A1383" s="170" t="s">
        <v>6450</v>
      </c>
      <c r="B1383" s="170" t="s">
        <v>6451</v>
      </c>
      <c r="C1383" s="170"/>
      <c r="D1383" s="170" t="s">
        <v>11</v>
      </c>
      <c r="E1383" s="170" t="s">
        <v>12</v>
      </c>
      <c r="M1383"/>
      <c r="R1383"/>
      <c r="T1383"/>
    </row>
    <row r="1384" spans="1:20">
      <c r="A1384" s="170" t="s">
        <v>6452</v>
      </c>
      <c r="B1384" s="170" t="s">
        <v>6453</v>
      </c>
      <c r="C1384" s="170"/>
      <c r="D1384" s="170" t="s">
        <v>11</v>
      </c>
      <c r="E1384" s="170" t="s">
        <v>12</v>
      </c>
      <c r="M1384"/>
      <c r="R1384"/>
      <c r="T1384"/>
    </row>
    <row r="1385" spans="1:20">
      <c r="A1385" s="170" t="s">
        <v>6454</v>
      </c>
      <c r="B1385" s="170" t="s">
        <v>6455</v>
      </c>
      <c r="C1385" s="170"/>
      <c r="D1385" s="170" t="s">
        <v>11</v>
      </c>
      <c r="E1385" s="170" t="s">
        <v>12</v>
      </c>
      <c r="M1385"/>
      <c r="R1385"/>
      <c r="T1385"/>
    </row>
    <row r="1386" spans="1:20">
      <c r="A1386" s="170" t="s">
        <v>6456</v>
      </c>
      <c r="B1386" s="170" t="s">
        <v>6457</v>
      </c>
      <c r="C1386" s="170"/>
      <c r="D1386" s="170" t="s">
        <v>11</v>
      </c>
      <c r="E1386" s="170" t="s">
        <v>12</v>
      </c>
      <c r="M1386"/>
      <c r="R1386"/>
      <c r="T1386"/>
    </row>
    <row r="1387" spans="1:20">
      <c r="A1387" s="170" t="s">
        <v>6458</v>
      </c>
      <c r="B1387" s="170" t="s">
        <v>6459</v>
      </c>
      <c r="C1387" s="170"/>
      <c r="D1387" s="170" t="s">
        <v>11</v>
      </c>
      <c r="E1387" s="170" t="s">
        <v>12</v>
      </c>
      <c r="M1387"/>
      <c r="R1387"/>
      <c r="T1387"/>
    </row>
    <row r="1388" spans="1:20">
      <c r="A1388" s="170" t="s">
        <v>6460</v>
      </c>
      <c r="B1388" s="170" t="s">
        <v>6461</v>
      </c>
      <c r="C1388" s="170"/>
      <c r="D1388" s="170" t="s">
        <v>11</v>
      </c>
      <c r="E1388" s="170" t="s">
        <v>12</v>
      </c>
      <c r="M1388"/>
      <c r="R1388"/>
      <c r="T1388"/>
    </row>
    <row r="1389" spans="1:20">
      <c r="A1389" s="170" t="s">
        <v>6462</v>
      </c>
      <c r="B1389" s="170" t="s">
        <v>6463</v>
      </c>
      <c r="C1389" s="170"/>
      <c r="D1389" s="170" t="s">
        <v>11</v>
      </c>
      <c r="E1389" s="170" t="s">
        <v>12</v>
      </c>
      <c r="M1389"/>
      <c r="R1389"/>
      <c r="T1389"/>
    </row>
    <row r="1390" spans="1:20">
      <c r="A1390" s="170" t="s">
        <v>6464</v>
      </c>
      <c r="B1390" s="170" t="s">
        <v>6465</v>
      </c>
      <c r="C1390" s="170"/>
      <c r="D1390" s="170" t="s">
        <v>11</v>
      </c>
      <c r="E1390" s="170" t="s">
        <v>12</v>
      </c>
      <c r="M1390"/>
      <c r="R1390"/>
      <c r="T1390"/>
    </row>
    <row r="1391" spans="1:20">
      <c r="A1391" s="170" t="s">
        <v>6466</v>
      </c>
      <c r="B1391" s="170" t="s">
        <v>6467</v>
      </c>
      <c r="C1391" s="170"/>
      <c r="D1391" s="170" t="s">
        <v>11</v>
      </c>
      <c r="E1391" s="170" t="s">
        <v>12</v>
      </c>
      <c r="M1391"/>
      <c r="R1391"/>
      <c r="T1391"/>
    </row>
    <row r="1392" spans="1:20">
      <c r="A1392" s="170" t="s">
        <v>6468</v>
      </c>
      <c r="B1392" s="170" t="s">
        <v>6469</v>
      </c>
      <c r="C1392" s="170"/>
      <c r="D1392" s="170" t="s">
        <v>11</v>
      </c>
      <c r="E1392" s="170" t="s">
        <v>12</v>
      </c>
      <c r="M1392"/>
      <c r="R1392"/>
      <c r="T1392"/>
    </row>
    <row r="1393" spans="1:20">
      <c r="A1393" s="170" t="s">
        <v>6470</v>
      </c>
      <c r="B1393" s="170" t="s">
        <v>6471</v>
      </c>
      <c r="C1393" s="170"/>
      <c r="D1393" s="170" t="s">
        <v>11</v>
      </c>
      <c r="E1393" s="170" t="s">
        <v>12</v>
      </c>
      <c r="M1393"/>
      <c r="R1393"/>
      <c r="T1393"/>
    </row>
    <row r="1394" spans="1:20">
      <c r="A1394" s="170" t="s">
        <v>6472</v>
      </c>
      <c r="B1394" s="170" t="s">
        <v>6473</v>
      </c>
      <c r="C1394" s="170"/>
      <c r="D1394" s="170" t="s">
        <v>11</v>
      </c>
      <c r="E1394" s="170" t="s">
        <v>12</v>
      </c>
      <c r="M1394"/>
      <c r="R1394"/>
      <c r="T1394"/>
    </row>
    <row r="1395" spans="1:20">
      <c r="A1395" s="170" t="s">
        <v>6474</v>
      </c>
      <c r="B1395" s="170" t="s">
        <v>6475</v>
      </c>
      <c r="C1395" s="170"/>
      <c r="D1395" s="170" t="s">
        <v>11</v>
      </c>
      <c r="E1395" s="170" t="s">
        <v>12</v>
      </c>
      <c r="M1395"/>
      <c r="R1395"/>
      <c r="T1395"/>
    </row>
    <row r="1396" spans="1:20">
      <c r="A1396" s="170" t="s">
        <v>6476</v>
      </c>
      <c r="B1396" s="170" t="s">
        <v>6477</v>
      </c>
      <c r="C1396" s="170"/>
      <c r="D1396" s="170" t="s">
        <v>11</v>
      </c>
      <c r="E1396" s="170" t="s">
        <v>12</v>
      </c>
      <c r="M1396"/>
      <c r="R1396"/>
      <c r="T1396"/>
    </row>
    <row r="1397" spans="1:20">
      <c r="A1397" s="170" t="s">
        <v>6478</v>
      </c>
      <c r="B1397" s="170" t="s">
        <v>6479</v>
      </c>
      <c r="C1397" s="170"/>
      <c r="D1397" s="170" t="s">
        <v>11</v>
      </c>
      <c r="E1397" s="170" t="s">
        <v>12</v>
      </c>
      <c r="M1397"/>
      <c r="R1397"/>
      <c r="T1397"/>
    </row>
    <row r="1398" spans="1:20">
      <c r="A1398" s="170" t="s">
        <v>6480</v>
      </c>
      <c r="B1398" s="170" t="s">
        <v>6481</v>
      </c>
      <c r="C1398" s="170"/>
      <c r="D1398" s="170" t="s">
        <v>11</v>
      </c>
      <c r="E1398" s="170" t="s">
        <v>12</v>
      </c>
      <c r="M1398"/>
      <c r="R1398"/>
      <c r="T1398"/>
    </row>
    <row r="1399" spans="1:20">
      <c r="A1399" s="170" t="s">
        <v>6482</v>
      </c>
      <c r="B1399" s="170" t="s">
        <v>6483</v>
      </c>
      <c r="C1399" s="170"/>
      <c r="D1399" s="170" t="s">
        <v>11</v>
      </c>
      <c r="E1399" s="170" t="s">
        <v>12</v>
      </c>
      <c r="M1399"/>
      <c r="R1399"/>
      <c r="T1399"/>
    </row>
    <row r="1400" spans="1:20">
      <c r="A1400" s="170" t="s">
        <v>6484</v>
      </c>
      <c r="B1400" s="170" t="s">
        <v>6485</v>
      </c>
      <c r="C1400" s="170"/>
      <c r="D1400" s="170" t="s">
        <v>11</v>
      </c>
      <c r="E1400" s="170" t="s">
        <v>12</v>
      </c>
      <c r="M1400"/>
      <c r="R1400"/>
      <c r="T1400"/>
    </row>
    <row r="1401" spans="1:20">
      <c r="A1401" s="170" t="s">
        <v>6486</v>
      </c>
      <c r="B1401" s="170" t="s">
        <v>6487</v>
      </c>
      <c r="C1401" s="170"/>
      <c r="D1401" s="170" t="s">
        <v>11</v>
      </c>
      <c r="E1401" s="170" t="s">
        <v>12</v>
      </c>
      <c r="M1401"/>
      <c r="R1401"/>
      <c r="T1401"/>
    </row>
    <row r="1402" spans="1:20">
      <c r="A1402" s="170" t="s">
        <v>6488</v>
      </c>
      <c r="B1402" s="170" t="s">
        <v>6489</v>
      </c>
      <c r="C1402" s="170"/>
      <c r="D1402" s="170" t="s">
        <v>11</v>
      </c>
      <c r="E1402" s="170" t="s">
        <v>12</v>
      </c>
      <c r="M1402"/>
      <c r="R1402"/>
      <c r="T1402"/>
    </row>
    <row r="1403" spans="1:20">
      <c r="A1403" s="170" t="s">
        <v>6490</v>
      </c>
      <c r="B1403" s="170" t="s">
        <v>6491</v>
      </c>
      <c r="C1403" s="170"/>
      <c r="D1403" s="170" t="s">
        <v>11</v>
      </c>
      <c r="E1403" s="170" t="s">
        <v>12</v>
      </c>
      <c r="M1403"/>
      <c r="R1403"/>
      <c r="T1403"/>
    </row>
    <row r="1404" spans="1:20">
      <c r="A1404" s="170" t="s">
        <v>6492</v>
      </c>
      <c r="B1404" s="170" t="s">
        <v>6493</v>
      </c>
      <c r="C1404" s="170"/>
      <c r="D1404" s="170" t="s">
        <v>11</v>
      </c>
      <c r="E1404" s="170" t="s">
        <v>12</v>
      </c>
      <c r="M1404"/>
      <c r="R1404"/>
      <c r="T1404"/>
    </row>
    <row r="1405" spans="1:20">
      <c r="A1405" s="170" t="s">
        <v>6494</v>
      </c>
      <c r="B1405" s="170" t="s">
        <v>6495</v>
      </c>
      <c r="C1405" s="170"/>
      <c r="D1405" s="170" t="s">
        <v>11</v>
      </c>
      <c r="E1405" s="170" t="s">
        <v>12</v>
      </c>
      <c r="M1405"/>
      <c r="R1405"/>
      <c r="T1405"/>
    </row>
    <row r="1406" spans="1:20">
      <c r="A1406" s="170" t="s">
        <v>6496</v>
      </c>
      <c r="B1406" s="170" t="s">
        <v>6497</v>
      </c>
      <c r="C1406" s="170"/>
      <c r="D1406" s="170" t="s">
        <v>11</v>
      </c>
      <c r="E1406" s="170" t="s">
        <v>12</v>
      </c>
      <c r="M1406"/>
      <c r="R1406"/>
      <c r="T1406"/>
    </row>
    <row r="1407" spans="1:20">
      <c r="A1407" s="170" t="s">
        <v>6498</v>
      </c>
      <c r="B1407" s="170" t="s">
        <v>6499</v>
      </c>
      <c r="C1407" s="170"/>
      <c r="D1407" s="170" t="s">
        <v>11</v>
      </c>
      <c r="E1407" s="170" t="s">
        <v>12</v>
      </c>
      <c r="M1407"/>
      <c r="R1407"/>
      <c r="T1407"/>
    </row>
    <row r="1408" spans="1:20">
      <c r="A1408" s="170" t="s">
        <v>6500</v>
      </c>
      <c r="B1408" s="170" t="s">
        <v>6501</v>
      </c>
      <c r="C1408" s="170"/>
      <c r="D1408" s="170" t="s">
        <v>11</v>
      </c>
      <c r="E1408" s="170" t="s">
        <v>12</v>
      </c>
      <c r="M1408"/>
      <c r="R1408"/>
      <c r="T1408"/>
    </row>
    <row r="1409" spans="1:20">
      <c r="A1409" s="170" t="s">
        <v>6502</v>
      </c>
      <c r="B1409" s="170" t="s">
        <v>6503</v>
      </c>
      <c r="C1409" s="170"/>
      <c r="D1409" s="170" t="s">
        <v>11</v>
      </c>
      <c r="E1409" s="170" t="s">
        <v>12</v>
      </c>
      <c r="M1409"/>
      <c r="R1409"/>
      <c r="T1409"/>
    </row>
    <row r="1410" spans="1:20">
      <c r="A1410" s="170" t="s">
        <v>6504</v>
      </c>
      <c r="B1410" s="170" t="s">
        <v>6505</v>
      </c>
      <c r="C1410" s="170"/>
      <c r="D1410" s="170" t="s">
        <v>11</v>
      </c>
      <c r="E1410" s="170" t="s">
        <v>12</v>
      </c>
      <c r="M1410"/>
      <c r="R1410"/>
      <c r="T1410"/>
    </row>
    <row r="1411" spans="1:20">
      <c r="A1411" s="170" t="s">
        <v>6506</v>
      </c>
      <c r="B1411" s="170" t="s">
        <v>6507</v>
      </c>
      <c r="C1411" s="170"/>
      <c r="D1411" s="170" t="s">
        <v>11</v>
      </c>
      <c r="E1411" s="170" t="s">
        <v>12</v>
      </c>
      <c r="M1411"/>
      <c r="R1411"/>
      <c r="T1411"/>
    </row>
    <row r="1412" spans="1:20">
      <c r="A1412" s="170" t="s">
        <v>6508</v>
      </c>
      <c r="B1412" s="170" t="s">
        <v>6509</v>
      </c>
      <c r="C1412" s="170"/>
      <c r="D1412" s="170" t="s">
        <v>11</v>
      </c>
      <c r="E1412" s="170" t="s">
        <v>12</v>
      </c>
      <c r="M1412"/>
      <c r="R1412"/>
      <c r="T1412"/>
    </row>
    <row r="1413" spans="1:20">
      <c r="A1413" s="170" t="s">
        <v>6510</v>
      </c>
      <c r="B1413" s="170" t="s">
        <v>6511</v>
      </c>
      <c r="C1413" s="170"/>
      <c r="D1413" s="170" t="s">
        <v>11</v>
      </c>
      <c r="E1413" s="170" t="s">
        <v>12</v>
      </c>
      <c r="M1413"/>
      <c r="R1413"/>
      <c r="T1413"/>
    </row>
    <row r="1414" spans="1:20">
      <c r="A1414" s="170" t="s">
        <v>6512</v>
      </c>
      <c r="B1414" s="170" t="s">
        <v>6513</v>
      </c>
      <c r="C1414" s="170"/>
      <c r="D1414" s="170" t="s">
        <v>11</v>
      </c>
      <c r="E1414" s="170" t="s">
        <v>12</v>
      </c>
      <c r="M1414"/>
      <c r="R1414"/>
      <c r="T1414"/>
    </row>
    <row r="1415" spans="1:20">
      <c r="A1415" s="170" t="s">
        <v>6514</v>
      </c>
      <c r="B1415" s="170" t="s">
        <v>6515</v>
      </c>
      <c r="C1415" s="170"/>
      <c r="D1415" s="170" t="s">
        <v>11</v>
      </c>
      <c r="E1415" s="170" t="s">
        <v>12</v>
      </c>
      <c r="M1415"/>
      <c r="R1415"/>
      <c r="T1415"/>
    </row>
    <row r="1416" spans="1:20">
      <c r="A1416" s="170" t="s">
        <v>6516</v>
      </c>
      <c r="B1416" s="170" t="s">
        <v>6517</v>
      </c>
      <c r="C1416" s="170"/>
      <c r="D1416" s="170" t="s">
        <v>11</v>
      </c>
      <c r="E1416" s="170" t="s">
        <v>12</v>
      </c>
      <c r="M1416"/>
      <c r="R1416"/>
      <c r="T1416"/>
    </row>
    <row r="1417" spans="1:6">
      <c r="A1417" s="170" t="s">
        <v>6518</v>
      </c>
      <c r="B1417" s="170" t="s">
        <v>6519</v>
      </c>
      <c r="C1417" s="257" t="s">
        <v>6520</v>
      </c>
      <c r="D1417" s="170" t="s">
        <v>11</v>
      </c>
      <c r="E1417" s="170" t="s">
        <v>12</v>
      </c>
      <c r="F1417" s="289" t="s">
        <v>6519</v>
      </c>
    </row>
    <row r="1418" spans="1:20">
      <c r="A1418" s="170" t="s">
        <v>6521</v>
      </c>
      <c r="B1418" s="170" t="s">
        <v>6522</v>
      </c>
      <c r="C1418" s="170"/>
      <c r="D1418" s="170" t="s">
        <v>11</v>
      </c>
      <c r="E1418" s="170" t="s">
        <v>12</v>
      </c>
      <c r="M1418"/>
      <c r="R1418"/>
      <c r="T1418"/>
    </row>
    <row r="1419" spans="1:20">
      <c r="A1419" s="170" t="s">
        <v>6523</v>
      </c>
      <c r="B1419" s="170" t="s">
        <v>6524</v>
      </c>
      <c r="C1419" s="170"/>
      <c r="D1419" s="170" t="s">
        <v>11</v>
      </c>
      <c r="E1419" s="170" t="s">
        <v>12</v>
      </c>
      <c r="M1419"/>
      <c r="R1419"/>
      <c r="T1419"/>
    </row>
    <row r="1420" spans="1:6">
      <c r="A1420" s="170" t="s">
        <v>6525</v>
      </c>
      <c r="B1420" s="170" t="s">
        <v>6526</v>
      </c>
      <c r="C1420" s="257" t="s">
        <v>6527</v>
      </c>
      <c r="D1420" s="170" t="s">
        <v>11</v>
      </c>
      <c r="E1420" s="170" t="s">
        <v>12</v>
      </c>
      <c r="F1420" s="289" t="s">
        <v>6526</v>
      </c>
    </row>
    <row r="1421" spans="1:20">
      <c r="A1421" s="170" t="s">
        <v>6528</v>
      </c>
      <c r="B1421" s="170" t="s">
        <v>6529</v>
      </c>
      <c r="C1421" s="170"/>
      <c r="D1421" s="170" t="s">
        <v>11</v>
      </c>
      <c r="E1421" s="170" t="s">
        <v>12</v>
      </c>
      <c r="M1421"/>
      <c r="R1421"/>
      <c r="T1421"/>
    </row>
    <row r="1422" spans="1:20">
      <c r="A1422" s="170" t="s">
        <v>6530</v>
      </c>
      <c r="B1422" s="170" t="s">
        <v>6531</v>
      </c>
      <c r="C1422" s="170"/>
      <c r="D1422" s="170" t="s">
        <v>11</v>
      </c>
      <c r="E1422" s="170" t="s">
        <v>12</v>
      </c>
      <c r="M1422"/>
      <c r="R1422"/>
      <c r="T1422"/>
    </row>
    <row r="1423" spans="1:6">
      <c r="A1423" s="170" t="s">
        <v>6532</v>
      </c>
      <c r="B1423" s="170" t="s">
        <v>6533</v>
      </c>
      <c r="C1423" s="257" t="s">
        <v>6534</v>
      </c>
      <c r="D1423" s="170" t="s">
        <v>11</v>
      </c>
      <c r="E1423" s="170" t="s">
        <v>12</v>
      </c>
      <c r="F1423" s="289" t="s">
        <v>6533</v>
      </c>
    </row>
    <row r="1424" spans="1:20">
      <c r="A1424" s="170" t="s">
        <v>6535</v>
      </c>
      <c r="B1424" s="170" t="s">
        <v>6536</v>
      </c>
      <c r="C1424" s="170"/>
      <c r="D1424" s="170" t="s">
        <v>11</v>
      </c>
      <c r="E1424" s="170" t="s">
        <v>12</v>
      </c>
      <c r="M1424"/>
      <c r="R1424"/>
      <c r="T1424"/>
    </row>
    <row r="1425" spans="1:20">
      <c r="A1425" s="170" t="s">
        <v>6537</v>
      </c>
      <c r="B1425" s="170" t="s">
        <v>6538</v>
      </c>
      <c r="C1425" s="170"/>
      <c r="D1425" s="170" t="s">
        <v>11</v>
      </c>
      <c r="E1425" s="170" t="s">
        <v>12</v>
      </c>
      <c r="M1425"/>
      <c r="R1425"/>
      <c r="T1425"/>
    </row>
    <row r="1426" spans="1:6">
      <c r="A1426" s="170" t="s">
        <v>6539</v>
      </c>
      <c r="B1426" s="170" t="s">
        <v>6540</v>
      </c>
      <c r="C1426" s="257" t="s">
        <v>6541</v>
      </c>
      <c r="D1426" s="170" t="s">
        <v>11</v>
      </c>
      <c r="E1426" s="170" t="s">
        <v>12</v>
      </c>
      <c r="F1426" s="289" t="s">
        <v>6540</v>
      </c>
    </row>
    <row r="1427" spans="1:20">
      <c r="A1427" s="170" t="s">
        <v>6542</v>
      </c>
      <c r="B1427" s="170" t="s">
        <v>6543</v>
      </c>
      <c r="C1427" s="170"/>
      <c r="D1427" s="170" t="s">
        <v>11</v>
      </c>
      <c r="E1427" s="170" t="s">
        <v>12</v>
      </c>
      <c r="M1427"/>
      <c r="R1427"/>
      <c r="T1427"/>
    </row>
    <row r="1428" spans="1:20">
      <c r="A1428" s="170" t="s">
        <v>6544</v>
      </c>
      <c r="B1428" s="170" t="s">
        <v>6545</v>
      </c>
      <c r="C1428" s="170"/>
      <c r="D1428" s="170" t="s">
        <v>11</v>
      </c>
      <c r="E1428" s="170" t="s">
        <v>12</v>
      </c>
      <c r="M1428"/>
      <c r="R1428"/>
      <c r="T1428"/>
    </row>
    <row r="1429" spans="1:6">
      <c r="A1429" s="170" t="s">
        <v>6546</v>
      </c>
      <c r="B1429" s="170" t="s">
        <v>6547</v>
      </c>
      <c r="C1429" s="257" t="s">
        <v>6548</v>
      </c>
      <c r="D1429" s="170" t="s">
        <v>11</v>
      </c>
      <c r="E1429" s="170" t="s">
        <v>12</v>
      </c>
      <c r="F1429" s="289" t="s">
        <v>6547</v>
      </c>
    </row>
    <row r="1430" spans="1:20">
      <c r="A1430" s="170" t="s">
        <v>6549</v>
      </c>
      <c r="B1430" s="170" t="s">
        <v>6550</v>
      </c>
      <c r="C1430" s="170"/>
      <c r="D1430" s="170" t="s">
        <v>11</v>
      </c>
      <c r="E1430" s="170" t="s">
        <v>12</v>
      </c>
      <c r="M1430"/>
      <c r="R1430"/>
      <c r="T1430"/>
    </row>
    <row r="1431" spans="1:20">
      <c r="A1431" s="170" t="s">
        <v>6551</v>
      </c>
      <c r="B1431" s="170" t="s">
        <v>6552</v>
      </c>
      <c r="C1431" s="170"/>
      <c r="D1431" s="170" t="s">
        <v>11</v>
      </c>
      <c r="E1431" s="170" t="s">
        <v>12</v>
      </c>
      <c r="M1431"/>
      <c r="R1431"/>
      <c r="T1431"/>
    </row>
    <row r="1432" spans="1:20">
      <c r="A1432" s="170" t="s">
        <v>6553</v>
      </c>
      <c r="B1432" s="170" t="s">
        <v>6554</v>
      </c>
      <c r="C1432" s="178" t="s">
        <v>10</v>
      </c>
      <c r="D1432" s="170" t="s">
        <v>11</v>
      </c>
      <c r="E1432" s="170" t="s">
        <v>12</v>
      </c>
      <c r="M1432"/>
      <c r="R1432"/>
      <c r="T1432"/>
    </row>
    <row r="1433" spans="1:20">
      <c r="A1433" s="170" t="s">
        <v>6555</v>
      </c>
      <c r="B1433" s="170" t="s">
        <v>6556</v>
      </c>
      <c r="C1433" s="178" t="s">
        <v>10</v>
      </c>
      <c r="D1433" s="170" t="s">
        <v>11</v>
      </c>
      <c r="E1433" s="170" t="s">
        <v>12</v>
      </c>
      <c r="M1433"/>
      <c r="R1433"/>
      <c r="T1433"/>
    </row>
    <row r="1434" spans="1:20">
      <c r="A1434" s="170" t="s">
        <v>6557</v>
      </c>
      <c r="B1434" s="170" t="s">
        <v>6558</v>
      </c>
      <c r="C1434" s="178" t="s">
        <v>10</v>
      </c>
      <c r="D1434" s="170" t="s">
        <v>11</v>
      </c>
      <c r="E1434" s="170" t="s">
        <v>12</v>
      </c>
      <c r="M1434"/>
      <c r="R1434"/>
      <c r="T1434"/>
    </row>
    <row r="1435" spans="1:20">
      <c r="A1435" s="170" t="s">
        <v>6559</v>
      </c>
      <c r="B1435" s="170" t="s">
        <v>6560</v>
      </c>
      <c r="C1435" s="178" t="s">
        <v>10</v>
      </c>
      <c r="D1435" s="170" t="s">
        <v>11</v>
      </c>
      <c r="E1435" s="170" t="s">
        <v>12</v>
      </c>
      <c r="M1435"/>
      <c r="R1435"/>
      <c r="T1435"/>
    </row>
    <row r="1436" spans="1:20">
      <c r="A1436" s="170" t="s">
        <v>6561</v>
      </c>
      <c r="B1436" s="170" t="s">
        <v>6562</v>
      </c>
      <c r="C1436" s="178" t="s">
        <v>10</v>
      </c>
      <c r="D1436" s="170" t="s">
        <v>11</v>
      </c>
      <c r="E1436" s="170" t="s">
        <v>12</v>
      </c>
      <c r="M1436"/>
      <c r="R1436"/>
      <c r="T1436"/>
    </row>
    <row r="1437" spans="1:20">
      <c r="A1437" s="170" t="s">
        <v>6563</v>
      </c>
      <c r="B1437" s="170" t="s">
        <v>6564</v>
      </c>
      <c r="C1437" s="178" t="s">
        <v>10</v>
      </c>
      <c r="D1437" s="170" t="s">
        <v>11</v>
      </c>
      <c r="E1437" s="170" t="s">
        <v>12</v>
      </c>
      <c r="M1437"/>
      <c r="R1437"/>
      <c r="T1437"/>
    </row>
  </sheetData>
  <autoFilter xmlns:etc="http://www.wps.cn/officeDocument/2017/etCustomData" ref="A1:L1437" etc:filterBottomFollowUsedRange="0">
    <extLst/>
  </autoFilter>
  <mergeCells count="2">
    <mergeCell ref="Q1:S1"/>
    <mergeCell ref="Q714:S714"/>
  </mergeCells>
  <conditionalFormatting sqref="M87">
    <cfRule type="duplicateValues" dxfId="0" priority="32"/>
  </conditionalFormatting>
  <conditionalFormatting sqref="F89">
    <cfRule type="duplicateValues" dxfId="0" priority="31"/>
  </conditionalFormatting>
  <conditionalFormatting sqref="M89">
    <cfRule type="duplicateValues" dxfId="0" priority="30"/>
  </conditionalFormatting>
  <conditionalFormatting sqref="M92">
    <cfRule type="duplicateValues" dxfId="0" priority="29"/>
  </conditionalFormatting>
  <conditionalFormatting sqref="M95">
    <cfRule type="duplicateValues" dxfId="0" priority="28"/>
  </conditionalFormatting>
  <conditionalFormatting sqref="M96">
    <cfRule type="duplicateValues" dxfId="0" priority="27"/>
  </conditionalFormatting>
  <conditionalFormatting sqref="M98">
    <cfRule type="duplicateValues" dxfId="0" priority="26"/>
  </conditionalFormatting>
  <conditionalFormatting sqref="M99">
    <cfRule type="duplicateValues" dxfId="0" priority="25"/>
  </conditionalFormatting>
  <conditionalFormatting sqref="M101">
    <cfRule type="duplicateValues" dxfId="0" priority="24"/>
  </conditionalFormatting>
  <conditionalFormatting sqref="M102">
    <cfRule type="duplicateValues" dxfId="0" priority="23"/>
  </conditionalFormatting>
  <conditionalFormatting sqref="M104">
    <cfRule type="duplicateValues" dxfId="0" priority="22"/>
  </conditionalFormatting>
  <conditionalFormatting sqref="M110">
    <cfRule type="duplicateValues" dxfId="0" priority="21"/>
  </conditionalFormatting>
  <conditionalFormatting sqref="M111">
    <cfRule type="duplicateValues" dxfId="0" priority="20"/>
  </conditionalFormatting>
  <conditionalFormatting sqref="M113">
    <cfRule type="duplicateValues" dxfId="0" priority="19"/>
  </conditionalFormatting>
  <conditionalFormatting sqref="M114">
    <cfRule type="duplicateValues" dxfId="0" priority="18"/>
  </conditionalFormatting>
  <conditionalFormatting sqref="M116">
    <cfRule type="duplicateValues" dxfId="0" priority="17"/>
  </conditionalFormatting>
  <conditionalFormatting sqref="M117">
    <cfRule type="duplicateValues" dxfId="0" priority="16"/>
  </conditionalFormatting>
  <conditionalFormatting sqref="M121">
    <cfRule type="duplicateValues" dxfId="0" priority="14"/>
  </conditionalFormatting>
  <conditionalFormatting sqref="C445">
    <cfRule type="duplicateValues" dxfId="0" priority="120"/>
  </conditionalFormatting>
  <conditionalFormatting sqref="C446">
    <cfRule type="duplicateValues" dxfId="0" priority="119"/>
  </conditionalFormatting>
  <conditionalFormatting sqref="C448">
    <cfRule type="duplicateValues" dxfId="0" priority="118"/>
  </conditionalFormatting>
  <conditionalFormatting sqref="C449">
    <cfRule type="duplicateValues" dxfId="0" priority="117"/>
  </conditionalFormatting>
  <conditionalFormatting sqref="C455">
    <cfRule type="duplicateValues" dxfId="0" priority="116"/>
  </conditionalFormatting>
  <conditionalFormatting sqref="C457">
    <cfRule type="duplicateValues" dxfId="0" priority="115"/>
  </conditionalFormatting>
  <conditionalFormatting sqref="C458">
    <cfRule type="duplicateValues" dxfId="0" priority="114"/>
  </conditionalFormatting>
  <conditionalFormatting sqref="C460">
    <cfRule type="duplicateValues" dxfId="0" priority="113"/>
  </conditionalFormatting>
  <conditionalFormatting sqref="C461">
    <cfRule type="duplicateValues" dxfId="0" priority="112"/>
  </conditionalFormatting>
  <conditionalFormatting sqref="C526">
    <cfRule type="duplicateValues" dxfId="0" priority="111"/>
  </conditionalFormatting>
  <conditionalFormatting sqref="C883">
    <cfRule type="duplicateValues" dxfId="0" priority="110"/>
  </conditionalFormatting>
  <conditionalFormatting sqref="C916">
    <cfRule type="duplicateValues" dxfId="0" priority="106"/>
    <cfRule type="duplicateValues" dxfId="0" priority="107"/>
    <cfRule type="duplicateValues" dxfId="0" priority="108"/>
    <cfRule type="duplicateValues" dxfId="0" priority="109"/>
  </conditionalFormatting>
  <conditionalFormatting sqref="C919">
    <cfRule type="duplicateValues" dxfId="0" priority="102"/>
    <cfRule type="duplicateValues" dxfId="0" priority="103"/>
    <cfRule type="duplicateValues" dxfId="0" priority="104"/>
    <cfRule type="duplicateValues" dxfId="0" priority="105"/>
  </conditionalFormatting>
  <conditionalFormatting sqref="C949">
    <cfRule type="duplicateValues" dxfId="0" priority="101"/>
  </conditionalFormatting>
  <conditionalFormatting sqref="C964">
    <cfRule type="duplicateValues" dxfId="0" priority="97"/>
    <cfRule type="duplicateValues" dxfId="0" priority="98"/>
    <cfRule type="duplicateValues" dxfId="0" priority="99"/>
    <cfRule type="duplicateValues" dxfId="0" priority="100"/>
  </conditionalFormatting>
  <conditionalFormatting sqref="C965">
    <cfRule type="duplicateValues" dxfId="0" priority="93"/>
    <cfRule type="duplicateValues" dxfId="0" priority="94"/>
    <cfRule type="duplicateValues" dxfId="0" priority="95"/>
    <cfRule type="duplicateValues" dxfId="0" priority="96"/>
  </conditionalFormatting>
  <conditionalFormatting sqref="C967">
    <cfRule type="duplicateValues" dxfId="0" priority="89"/>
    <cfRule type="duplicateValues" dxfId="0" priority="90"/>
    <cfRule type="duplicateValues" dxfId="0" priority="91"/>
    <cfRule type="duplicateValues" dxfId="0" priority="92"/>
  </conditionalFormatting>
  <conditionalFormatting sqref="C968">
    <cfRule type="duplicateValues" dxfId="0" priority="85"/>
    <cfRule type="duplicateValues" dxfId="0" priority="86"/>
    <cfRule type="duplicateValues" dxfId="0" priority="87"/>
    <cfRule type="duplicateValues" dxfId="0" priority="88"/>
  </conditionalFormatting>
  <conditionalFormatting sqref="C970">
    <cfRule type="duplicateValues" dxfId="0" priority="81"/>
    <cfRule type="duplicateValues" dxfId="0" priority="82"/>
    <cfRule type="duplicateValues" dxfId="0" priority="83"/>
    <cfRule type="duplicateValues" dxfId="0" priority="84"/>
  </conditionalFormatting>
  <conditionalFormatting sqref="C971">
    <cfRule type="duplicateValues" dxfId="0" priority="77"/>
    <cfRule type="duplicateValues" dxfId="0" priority="78"/>
    <cfRule type="duplicateValues" dxfId="0" priority="79"/>
    <cfRule type="duplicateValues" dxfId="0" priority="80"/>
  </conditionalFormatting>
  <conditionalFormatting sqref="C973">
    <cfRule type="duplicateValues" dxfId="0" priority="73"/>
    <cfRule type="duplicateValues" dxfId="0" priority="74"/>
    <cfRule type="duplicateValues" dxfId="0" priority="75"/>
    <cfRule type="duplicateValues" dxfId="0" priority="76"/>
  </conditionalFormatting>
  <conditionalFormatting sqref="C976">
    <cfRule type="duplicateValues" dxfId="0" priority="69"/>
    <cfRule type="duplicateValues" dxfId="0" priority="70"/>
    <cfRule type="duplicateValues" dxfId="0" priority="71"/>
    <cfRule type="duplicateValues" dxfId="0" priority="72"/>
  </conditionalFormatting>
  <conditionalFormatting sqref="C979">
    <cfRule type="duplicateValues" dxfId="0" priority="65"/>
    <cfRule type="duplicateValues" dxfId="0" priority="66"/>
    <cfRule type="duplicateValues" dxfId="0" priority="67"/>
    <cfRule type="duplicateValues" dxfId="0" priority="68"/>
  </conditionalFormatting>
  <conditionalFormatting sqref="C982">
    <cfRule type="duplicateValues" dxfId="0" priority="61"/>
    <cfRule type="duplicateValues" dxfId="0" priority="62"/>
    <cfRule type="duplicateValues" dxfId="0" priority="63"/>
    <cfRule type="duplicateValues" dxfId="0" priority="64"/>
  </conditionalFormatting>
  <conditionalFormatting sqref="C988">
    <cfRule type="duplicateValues" dxfId="0" priority="57"/>
    <cfRule type="duplicateValues" dxfId="0" priority="58"/>
    <cfRule type="duplicateValues" dxfId="0" priority="59"/>
    <cfRule type="duplicateValues" dxfId="0" priority="60"/>
  </conditionalFormatting>
  <conditionalFormatting sqref="C991">
    <cfRule type="duplicateValues" dxfId="0" priority="53"/>
    <cfRule type="duplicateValues" dxfId="0" priority="54"/>
    <cfRule type="duplicateValues" dxfId="0" priority="55"/>
    <cfRule type="duplicateValues" dxfId="0" priority="56"/>
  </conditionalFormatting>
  <conditionalFormatting sqref="C992">
    <cfRule type="duplicateValues" dxfId="0" priority="49"/>
    <cfRule type="duplicateValues" dxfId="0" priority="50"/>
    <cfRule type="duplicateValues" dxfId="0" priority="51"/>
    <cfRule type="duplicateValues" dxfId="0" priority="52"/>
  </conditionalFormatting>
  <conditionalFormatting sqref="C994">
    <cfRule type="duplicateValues" dxfId="0" priority="45"/>
    <cfRule type="duplicateValues" dxfId="0" priority="46"/>
    <cfRule type="duplicateValues" dxfId="0" priority="47"/>
    <cfRule type="duplicateValues" dxfId="0" priority="48"/>
  </conditionalFormatting>
  <conditionalFormatting sqref="C995">
    <cfRule type="duplicateValues" dxfId="0" priority="41"/>
    <cfRule type="duplicateValues" dxfId="0" priority="42"/>
    <cfRule type="duplicateValues" dxfId="0" priority="43"/>
    <cfRule type="duplicateValues" dxfId="0" priority="44"/>
  </conditionalFormatting>
  <conditionalFormatting sqref="B$1:B$1048576">
    <cfRule type="duplicateValues" dxfId="0" priority="34"/>
  </conditionalFormatting>
  <conditionalFormatting sqref="C397:C398">
    <cfRule type="containsText" dxfId="1" priority="37" operator="between" text="Free">
      <formula>NOT(ISERROR(SEARCH("Free",C397)))</formula>
    </cfRule>
    <cfRule type="cellIs" dxfId="2" priority="38" operator="notEqual">
      <formula>0</formula>
    </cfRule>
  </conditionalFormatting>
  <conditionalFormatting sqref="D3:D43">
    <cfRule type="cellIs" dxfId="3" priority="126" operator="equal">
      <formula>0</formula>
    </cfRule>
    <cfRule type="cellIs" dxfId="4" priority="127" operator="equal">
      <formula>1</formula>
    </cfRule>
    <cfRule type="cellIs" dxfId="5" priority="128" operator="equal">
      <formula>2</formula>
    </cfRule>
  </conditionalFormatting>
  <conditionalFormatting sqref="M$1:M$1048576">
    <cfRule type="duplicateValues" dxfId="0" priority="13"/>
  </conditionalFormatting>
  <conditionalFormatting sqref="R388:R389">
    <cfRule type="containsText" dxfId="1" priority="39" operator="between" text="Free">
      <formula>NOT(ISERROR(SEARCH("Free",R388)))</formula>
    </cfRule>
    <cfRule type="cellIs" dxfId="2" priority="40" operator="notEqual">
      <formula>0</formula>
    </cfRule>
  </conditionalFormatting>
  <conditionalFormatting sqref="T720:T724">
    <cfRule type="cellIs" dxfId="6" priority="7" operator="equal">
      <formula>"global1"</formula>
    </cfRule>
    <cfRule type="cellIs" dxfId="7" priority="8" operator="equal">
      <formula>"#N/A"</formula>
    </cfRule>
    <cfRule type="cellIs" dxfId="3" priority="9" operator="equal">
      <formula>0</formula>
    </cfRule>
    <cfRule type="cellIs" dxfId="4" priority="10" operator="equal">
      <formula>1</formula>
    </cfRule>
    <cfRule type="cellIs" dxfId="5" priority="11" operator="equal">
      <formula>2</formula>
    </cfRule>
    <cfRule type="cellIs" dxfId="8" priority="12" operator="equal">
      <formula>4</formula>
    </cfRule>
  </conditionalFormatting>
  <conditionalFormatting sqref="F1:F88 F90:F1048576">
    <cfRule type="duplicateValues" dxfId="0" priority="35"/>
  </conditionalFormatting>
  <conditionalFormatting sqref="M1:M85 M88 M90:M91 M93:M94 M97 M100 M103 M105:M109 M112 M115 M118:M120 M122:M1048576">
    <cfRule type="duplicateValues" dxfId="0" priority="36"/>
  </conditionalFormatting>
  <conditionalFormatting sqref="M1:M86 M88 M90:M91 M93:M94 M97 M100 M103 M105:M109 M112 M115 M118:M120 M122:M1048576">
    <cfRule type="duplicateValues" dxfId="0" priority="33"/>
  </conditionalFormatting>
  <conditionalFormatting sqref="E2:E42 C3:C43">
    <cfRule type="cellIs" dxfId="9" priority="123" operator="equal">
      <formula>1</formula>
    </cfRule>
    <cfRule type="cellIs" dxfId="10" priority="124" operator="equal">
      <formula>2</formula>
    </cfRule>
    <cfRule type="cellIs" dxfId="11" priority="125" operator="equal">
      <formula>3</formula>
    </cfRule>
  </conditionalFormatting>
  <conditionalFormatting sqref="D3:E43">
    <cfRule type="cellIs" dxfId="6" priority="121" operator="equal">
      <formula>"global1"</formula>
    </cfRule>
    <cfRule type="cellIs" dxfId="7" priority="122" operator="equal">
      <formula>"#N/A"</formula>
    </cfRule>
  </conditionalFormatting>
  <conditionalFormatting sqref="C4:D43">
    <cfRule type="cellIs" dxfId="8" priority="129" operator="equal">
      <formula>4</formula>
    </cfRule>
  </conditionalFormatting>
  <pageMargins left="0.7" right="0.7" top="0.75" bottom="0.75" header="0.3" footer="0.3"/>
  <pageSetup paperSize="9" scale="10" fitToWidth="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A1245"/>
  <sheetViews>
    <sheetView zoomScale="85" zoomScaleNormal="85" workbookViewId="0">
      <pane xSplit="3" ySplit="5" topLeftCell="D6" activePane="bottomRight" state="frozen"/>
      <selection/>
      <selection pane="topRight"/>
      <selection pane="bottomLeft"/>
      <selection pane="bottomRight" activeCell="D134" sqref="D134"/>
    </sheetView>
  </sheetViews>
  <sheetFormatPr defaultColWidth="9" defaultRowHeight="14.5"/>
  <cols>
    <col min="1" max="1" width="2.70909090909091" customWidth="1"/>
    <col min="2" max="2" width="5.70909090909091" style="18" customWidth="1"/>
    <col min="3" max="3" width="35.7090909090909" style="18" customWidth="1"/>
    <col min="4" max="4" width="8.70909090909091" style="18" customWidth="1"/>
    <col min="5" max="5" width="8.70909090909091" style="18"/>
    <col min="6" max="6" width="5.70909090909091" style="18" customWidth="1"/>
    <col min="7" max="11" width="6.70909090909091" style="2" customWidth="1"/>
    <col min="12" max="12" width="6" style="2" customWidth="1"/>
    <col min="13" max="14" width="6.57272727272727" style="2" customWidth="1"/>
    <col min="15" max="15" width="6" style="2" customWidth="1"/>
    <col min="16" max="17" width="13.7090909090909" style="40" customWidth="1"/>
    <col min="18" max="18" width="7.70909090909091" style="2" customWidth="1"/>
    <col min="19" max="19" width="10.7090909090909" style="2" customWidth="1"/>
    <col min="20" max="22" width="12.5727272727273" style="262" customWidth="1"/>
    <col min="25" max="25" width="15.7090909090909" customWidth="1"/>
  </cols>
  <sheetData>
    <row r="1" ht="15.25"/>
    <row r="2" s="2" customFormat="1" ht="15" customHeight="1" spans="2:25">
      <c r="B2" s="77" t="s">
        <v>6565</v>
      </c>
      <c r="C2" s="77" t="s">
        <v>6566</v>
      </c>
      <c r="D2" s="77" t="s">
        <v>6567</v>
      </c>
      <c r="E2" s="77" t="s">
        <v>6568</v>
      </c>
      <c r="F2" s="74" t="s">
        <v>6569</v>
      </c>
      <c r="G2" s="90"/>
      <c r="H2" s="90"/>
      <c r="I2" s="90"/>
      <c r="J2" s="90"/>
      <c r="K2" s="91"/>
      <c r="L2" s="74" t="s">
        <v>6570</v>
      </c>
      <c r="M2" s="90"/>
      <c r="N2" s="90"/>
      <c r="O2" s="91"/>
      <c r="P2" s="92" t="s">
        <v>6571</v>
      </c>
      <c r="Q2" s="112"/>
      <c r="R2" s="73"/>
      <c r="S2" s="73"/>
      <c r="T2" s="264" t="s">
        <v>6572</v>
      </c>
      <c r="U2" s="265"/>
      <c r="V2" s="266"/>
      <c r="X2" s="32"/>
      <c r="Y2" s="42" t="s">
        <v>6573</v>
      </c>
    </row>
    <row r="3" ht="15.25" spans="2:25">
      <c r="B3" s="94"/>
      <c r="C3" s="94"/>
      <c r="D3" s="94"/>
      <c r="E3" s="94"/>
      <c r="F3" s="73" t="s">
        <v>6574</v>
      </c>
      <c r="G3" s="146" t="s">
        <v>6575</v>
      </c>
      <c r="H3" s="147" t="s">
        <v>6576</v>
      </c>
      <c r="I3" s="148" t="s">
        <v>6577</v>
      </c>
      <c r="J3" s="149" t="s">
        <v>6578</v>
      </c>
      <c r="K3" s="93" t="s">
        <v>6579</v>
      </c>
      <c r="L3" s="150">
        <v>1</v>
      </c>
      <c r="M3" s="151">
        <v>2</v>
      </c>
      <c r="N3" s="152">
        <v>3</v>
      </c>
      <c r="O3" s="162">
        <v>4</v>
      </c>
      <c r="P3" s="95" t="s">
        <v>6580</v>
      </c>
      <c r="Q3" s="95" t="s">
        <v>6581</v>
      </c>
      <c r="R3" s="73" t="s">
        <v>6</v>
      </c>
      <c r="S3" s="73" t="s">
        <v>6582</v>
      </c>
      <c r="T3" s="267"/>
      <c r="U3" s="268"/>
      <c r="V3" s="269"/>
      <c r="X3" s="270"/>
      <c r="Y3" s="277" t="s">
        <v>6583</v>
      </c>
    </row>
    <row r="4" ht="15.25" spans="2:25">
      <c r="B4" s="73"/>
      <c r="C4" s="73">
        <f>G4+H4*2+I4*3</f>
        <v>105</v>
      </c>
      <c r="D4" s="76"/>
      <c r="E4" s="73"/>
      <c r="F4" s="73">
        <f>SUM(G4:I4)</f>
        <v>52</v>
      </c>
      <c r="G4" s="146">
        <f>COUNTIFS(G6:K1251,"=Single")</f>
        <v>9</v>
      </c>
      <c r="H4" s="147">
        <f>COUNTIFS(G6:K1251,"=Double")</f>
        <v>33</v>
      </c>
      <c r="I4" s="148">
        <f>COUNTIFS(G6:K1251,"=Triple")</f>
        <v>10</v>
      </c>
      <c r="J4" s="149">
        <f>COUNTIFS(G6:K1251,"=Quadre")</f>
        <v>25</v>
      </c>
      <c r="K4" s="96">
        <f>COUNTIFS(G6:K1251,"=Empty")</f>
        <v>1</v>
      </c>
      <c r="L4" s="153">
        <f>COUNTIFS(M6:O1251,"=1")</f>
        <v>9</v>
      </c>
      <c r="M4" s="154">
        <f>COUNTIFS(M6:O1251,"=2")</f>
        <v>33</v>
      </c>
      <c r="N4" s="155">
        <f>COUNTIFS(M6:O1251,"=3")</f>
        <v>10</v>
      </c>
      <c r="O4" s="163">
        <f>COUNTIFS(M6:O1251,"=4")</f>
        <v>27</v>
      </c>
      <c r="P4" s="96"/>
      <c r="Q4" s="97"/>
      <c r="R4" s="114" t="e">
        <f>'27'!Z4+#REF!+#REF!+#REF!+#REF!+'32'!AB4+#REF!+#REF!+#REF!+#REF!</f>
        <v>#REF!</v>
      </c>
      <c r="S4" s="114" t="e">
        <f>'27'!AA4+#REF!+#REF!+#REF!+#REF!+'32'!AC4+#REF!+#REF!+#REF!+#REF!</f>
        <v>#REF!</v>
      </c>
      <c r="T4" s="267"/>
      <c r="U4" s="268"/>
      <c r="V4" s="269"/>
      <c r="X4" s="271"/>
      <c r="Y4" s="278" t="s">
        <v>6584</v>
      </c>
    </row>
    <row r="5" ht="15.25" spans="2:25">
      <c r="B5" s="73"/>
      <c r="C5" s="263"/>
      <c r="D5" s="73"/>
      <c r="E5" s="73"/>
      <c r="F5" s="73"/>
      <c r="G5" s="93"/>
      <c r="H5" s="93"/>
      <c r="I5" s="93"/>
      <c r="J5" s="93"/>
      <c r="K5" s="93"/>
      <c r="L5" s="73" t="e">
        <f>SUM(M6:O1265)</f>
        <v>#REF!</v>
      </c>
      <c r="M5" s="74" t="s">
        <v>6585</v>
      </c>
      <c r="N5" s="91"/>
      <c r="O5" s="73">
        <f>L4+M4+N4+O4</f>
        <v>79</v>
      </c>
      <c r="P5" s="95"/>
      <c r="Q5" s="95"/>
      <c r="R5" s="76"/>
      <c r="S5" s="76"/>
      <c r="T5" s="272"/>
      <c r="U5" s="273"/>
      <c r="V5" s="274"/>
      <c r="X5" s="275"/>
      <c r="Y5" t="s">
        <v>6586</v>
      </c>
    </row>
    <row r="6" ht="15" customHeight="1" spans="2:22">
      <c r="B6" s="6">
        <f>COUNTA(C6)-IF(C6=0,1)</f>
        <v>1</v>
      </c>
      <c r="C6" s="79" t="str">
        <f>'27'!M6</f>
        <v>99901 Richard</v>
      </c>
      <c r="D6" s="62" t="str">
        <f>IF('27'!N6=0,"",'27'!N6)</f>
        <v/>
      </c>
      <c r="E6" s="81">
        <f>'27'!O6</f>
        <v>27</v>
      </c>
      <c r="F6" s="81">
        <f>'27'!P6</f>
        <v>101</v>
      </c>
      <c r="G6" s="100" t="str">
        <f>'27'!Q6</f>
        <v>Double</v>
      </c>
      <c r="H6" s="159"/>
      <c r="I6" s="159"/>
      <c r="J6" s="159"/>
      <c r="K6" s="101"/>
      <c r="L6" s="81">
        <f>'27'!U6</f>
        <v>0</v>
      </c>
      <c r="M6" s="100">
        <f>'27'!V6</f>
        <v>2</v>
      </c>
      <c r="N6" s="159"/>
      <c r="O6" s="101">
        <f>'27'!W6</f>
        <v>0</v>
      </c>
      <c r="P6" s="102" t="str">
        <f>IF('27'!X6=0,"",'27'!X6)</f>
        <v/>
      </c>
      <c r="Q6" s="108" t="str">
        <f>IF('27'!Y6=0,"",'27'!Y6)</f>
        <v/>
      </c>
      <c r="R6" s="36" t="str">
        <f>IF('27'!Z6=0,"",'27'!Z6)</f>
        <v/>
      </c>
      <c r="S6" s="36" t="e">
        <f>IF('27'!AA6=0,"",'27'!AA6)</f>
        <v>#N/A</v>
      </c>
      <c r="T6" s="268" t="s">
        <v>6587</v>
      </c>
      <c r="U6" s="276"/>
      <c r="V6" s="276"/>
    </row>
    <row r="7" ht="15" customHeight="1" spans="2:22">
      <c r="B7" s="9">
        <f t="shared" ref="B7:B69" si="0">COUNTA(C7)-IF(C7=0,1)+B6</f>
        <v>1</v>
      </c>
      <c r="C7" s="31">
        <f>'27'!M7</f>
        <v>0</v>
      </c>
      <c r="D7" s="32" t="str">
        <f>IF('27'!N7=0,"",'27'!N7)</f>
        <v>DNK</v>
      </c>
      <c r="E7" s="36">
        <f>'27'!O7</f>
        <v>27</v>
      </c>
      <c r="F7" s="36">
        <f>'27'!P7</f>
        <v>101</v>
      </c>
      <c r="G7" s="103"/>
      <c r="H7" s="160"/>
      <c r="I7" s="160"/>
      <c r="J7" s="160"/>
      <c r="K7" s="104"/>
      <c r="L7" s="36">
        <f>'27'!U7</f>
        <v>2</v>
      </c>
      <c r="M7" s="103">
        <f>'27'!V7</f>
        <v>0</v>
      </c>
      <c r="N7" s="160"/>
      <c r="O7" s="104">
        <f>'27'!W7</f>
        <v>0</v>
      </c>
      <c r="P7" s="52" t="str">
        <f>IF('27'!X7=0,"",'27'!X7)</f>
        <v/>
      </c>
      <c r="Q7" s="109" t="str">
        <f>IF('27'!Y7=0,"",'27'!Y7)</f>
        <v/>
      </c>
      <c r="R7" s="36" t="str">
        <f>IF('27'!Z7=0,"",'27'!Z7)</f>
        <v>0002</v>
      </c>
      <c r="S7" s="36" t="e">
        <f>IF('27'!AA7=0,"",'27'!AA7)</f>
        <v>#N/A</v>
      </c>
      <c r="T7" s="268"/>
      <c r="U7" s="268"/>
      <c r="V7" s="268"/>
    </row>
    <row r="8" ht="15" customHeight="1" spans="2:22">
      <c r="B8" s="14">
        <f t="shared" si="0"/>
        <v>1</v>
      </c>
      <c r="C8" s="83">
        <f>'27'!M8</f>
        <v>0</v>
      </c>
      <c r="D8" s="110" t="str">
        <f>IF('27'!N8=0,"",'27'!N8)</f>
        <v>DNK</v>
      </c>
      <c r="E8" s="85">
        <f>'27'!O8</f>
        <v>27</v>
      </c>
      <c r="F8" s="85">
        <f>'27'!P8</f>
        <v>101</v>
      </c>
      <c r="G8" s="105"/>
      <c r="H8" s="161"/>
      <c r="I8" s="161"/>
      <c r="J8" s="161"/>
      <c r="K8" s="106"/>
      <c r="L8" s="85">
        <f>'27'!U8</f>
        <v>3</v>
      </c>
      <c r="M8" s="105">
        <f>'27'!V8</f>
        <v>0</v>
      </c>
      <c r="N8" s="161"/>
      <c r="O8" s="106">
        <f>'27'!W8</f>
        <v>0</v>
      </c>
      <c r="P8" s="107" t="str">
        <f>IF('27'!X8=0,"",'27'!X8)</f>
        <v/>
      </c>
      <c r="Q8" s="111" t="str">
        <f>IF('27'!Y8=0,"",'27'!Y8)</f>
        <v/>
      </c>
      <c r="R8" s="36" t="str">
        <f>IF('27'!Z8=0,"",'27'!Z8)</f>
        <v/>
      </c>
      <c r="S8" s="36" t="e">
        <f>IF('27'!AA8=0,"",'27'!AA8)</f>
        <v>#N/A</v>
      </c>
      <c r="T8" s="268" t="s">
        <v>6587</v>
      </c>
      <c r="U8" s="268"/>
      <c r="V8" s="268"/>
    </row>
    <row r="9" ht="15" customHeight="1" spans="2:22">
      <c r="B9" s="6">
        <f t="shared" si="0"/>
        <v>2</v>
      </c>
      <c r="C9" s="79" t="str">
        <f>'27'!M9</f>
        <v>99903 Hakan</v>
      </c>
      <c r="D9" s="62" t="str">
        <f>IF('27'!N9=0,"",'27'!N9)</f>
        <v>DNK</v>
      </c>
      <c r="E9" s="81">
        <f>'27'!O9</f>
        <v>27</v>
      </c>
      <c r="F9" s="81">
        <f>'27'!P9</f>
        <v>102</v>
      </c>
      <c r="G9" s="100" t="str">
        <f>'27'!Q9</f>
        <v>Double</v>
      </c>
      <c r="H9" s="159"/>
      <c r="I9" s="159"/>
      <c r="J9" s="159"/>
      <c r="K9" s="101"/>
      <c r="L9" s="81">
        <f>'27'!U9</f>
        <v>1</v>
      </c>
      <c r="M9" s="100">
        <f>'27'!V9</f>
        <v>2</v>
      </c>
      <c r="N9" s="159"/>
      <c r="O9" s="101">
        <f>'27'!W9</f>
        <v>0</v>
      </c>
      <c r="P9" s="102" t="str">
        <f>IF('27'!X9=0,"",'27'!X9)</f>
        <v/>
      </c>
      <c r="Q9" s="102" t="str">
        <f>IF('27'!Y9=0,"",'27'!Y9)</f>
        <v/>
      </c>
      <c r="R9" s="81" t="str">
        <f>IF('27'!Z9=0,"",'27'!Z9)</f>
        <v>0004</v>
      </c>
      <c r="S9" s="81" t="e">
        <f>IF('27'!AA9=0,"",'27'!AA9)</f>
        <v>#N/A</v>
      </c>
      <c r="T9" s="268"/>
      <c r="U9" s="268"/>
      <c r="V9" s="268"/>
    </row>
    <row r="10" ht="15" customHeight="1" spans="2:22">
      <c r="B10" s="9">
        <f t="shared" si="0"/>
        <v>2</v>
      </c>
      <c r="C10" s="31">
        <f>'27'!M10</f>
        <v>0</v>
      </c>
      <c r="D10" s="32" t="str">
        <f>IF('27'!N10=0,"",'27'!N10)</f>
        <v/>
      </c>
      <c r="E10" s="36">
        <f>'27'!O10</f>
        <v>27</v>
      </c>
      <c r="F10" s="36">
        <f>'27'!P10</f>
        <v>102</v>
      </c>
      <c r="G10" s="103"/>
      <c r="H10" s="160"/>
      <c r="I10" s="160"/>
      <c r="J10" s="160"/>
      <c r="K10" s="104"/>
      <c r="L10" s="36">
        <f>'27'!U10</f>
        <v>0</v>
      </c>
      <c r="M10" s="103">
        <f>'27'!V10</f>
        <v>0</v>
      </c>
      <c r="N10" s="160"/>
      <c r="O10" s="104">
        <f>'27'!W10</f>
        <v>0</v>
      </c>
      <c r="P10" s="52" t="str">
        <f>IF('27'!X10=0,"",'27'!X10)</f>
        <v/>
      </c>
      <c r="Q10" s="52" t="str">
        <f>IF('27'!Y10=0,"",'27'!Y10)</f>
        <v/>
      </c>
      <c r="R10" s="36" t="str">
        <f>IF('27'!Z10=0,"",'27'!Z10)</f>
        <v/>
      </c>
      <c r="S10" s="36" t="e">
        <f>IF('27'!AA10=0,"",'27'!AA10)</f>
        <v>#N/A</v>
      </c>
      <c r="T10" s="268"/>
      <c r="U10" s="268"/>
      <c r="V10" s="268"/>
    </row>
    <row r="11" ht="15" customHeight="1" spans="2:22">
      <c r="B11" s="14">
        <f t="shared" si="0"/>
        <v>2</v>
      </c>
      <c r="C11" s="83">
        <f>'27'!M11</f>
        <v>0</v>
      </c>
      <c r="D11" s="110" t="str">
        <f>IF('27'!N11=0,"",'27'!N11)</f>
        <v>DNK</v>
      </c>
      <c r="E11" s="85">
        <f>'27'!O11</f>
        <v>27</v>
      </c>
      <c r="F11" s="85">
        <f>'27'!P11</f>
        <v>102</v>
      </c>
      <c r="G11" s="105"/>
      <c r="H11" s="161"/>
      <c r="I11" s="161"/>
      <c r="J11" s="161"/>
      <c r="K11" s="106"/>
      <c r="L11" s="85">
        <f>'27'!U11</f>
        <v>3</v>
      </c>
      <c r="M11" s="105">
        <f>'27'!V11</f>
        <v>0</v>
      </c>
      <c r="N11" s="161"/>
      <c r="O11" s="106">
        <f>'27'!W11</f>
        <v>0</v>
      </c>
      <c r="P11" s="107" t="str">
        <f>IF('27'!X11=0,"",'27'!X11)</f>
        <v/>
      </c>
      <c r="Q11" s="107" t="str">
        <f>IF('27'!Y11=0,"",'27'!Y11)</f>
        <v/>
      </c>
      <c r="R11" s="85" t="str">
        <f>IF('27'!Z11=0,"",'27'!Z11)</f>
        <v>0005</v>
      </c>
      <c r="S11" s="85" t="e">
        <f>IF('27'!AA11=0,"",'27'!AA11)</f>
        <v>#N/A</v>
      </c>
      <c r="T11" s="268"/>
      <c r="U11" s="268"/>
      <c r="V11" s="268"/>
    </row>
    <row r="12" ht="15" customHeight="1" spans="2:22">
      <c r="B12" s="6">
        <f t="shared" si="0"/>
        <v>3</v>
      </c>
      <c r="C12" s="79" t="str">
        <f>'27'!M12</f>
        <v>99905 Torbjorn</v>
      </c>
      <c r="D12" s="62" t="str">
        <f>IF('27'!N12=0,"",'27'!N12)</f>
        <v>DNK</v>
      </c>
      <c r="E12" s="81">
        <f>'27'!O12</f>
        <v>27</v>
      </c>
      <c r="F12" s="81">
        <f>'27'!P12</f>
        <v>103</v>
      </c>
      <c r="G12" s="100" t="str">
        <f>'27'!Q12</f>
        <v>Double</v>
      </c>
      <c r="H12" s="159">
        <f>'27'!R12</f>
        <v>0</v>
      </c>
      <c r="I12" s="159">
        <f>'27'!S12</f>
        <v>0</v>
      </c>
      <c r="J12" s="159"/>
      <c r="K12" s="101">
        <f>'27'!T12</f>
        <v>0</v>
      </c>
      <c r="L12" s="81">
        <f>'27'!U12</f>
        <v>1</v>
      </c>
      <c r="M12" s="100">
        <f>'27'!V12</f>
        <v>2</v>
      </c>
      <c r="N12" s="159"/>
      <c r="O12" s="101">
        <f>'27'!W12</f>
        <v>0</v>
      </c>
      <c r="P12" s="102" t="str">
        <f>IF('27'!X12=0,"",'27'!X12)</f>
        <v/>
      </c>
      <c r="Q12" s="102" t="str">
        <f>IF('27'!Y12=0,"",'27'!Y12)</f>
        <v/>
      </c>
      <c r="R12" s="81" t="str">
        <f>IF('27'!Z12=0,"",'27'!Z12)</f>
        <v>0006</v>
      </c>
      <c r="S12" s="81" t="str">
        <f>IF('27'!AA12=0,"",'27'!AA12)</f>
        <v>Bag 0167</v>
      </c>
      <c r="T12" s="268"/>
      <c r="U12" s="268"/>
      <c r="V12" s="268"/>
    </row>
    <row r="13" ht="15" customHeight="1" spans="2:22">
      <c r="B13" s="9">
        <f t="shared" si="0"/>
        <v>3</v>
      </c>
      <c r="C13" s="31">
        <f>'27'!M13</f>
        <v>0</v>
      </c>
      <c r="D13" s="32" t="str">
        <f>IF('27'!N13=0,"",'27'!N13)</f>
        <v/>
      </c>
      <c r="E13" s="36">
        <f>'27'!O13</f>
        <v>27</v>
      </c>
      <c r="F13" s="36">
        <f>'27'!P13</f>
        <v>103</v>
      </c>
      <c r="G13" s="103">
        <f>'27'!Q13</f>
        <v>0</v>
      </c>
      <c r="H13" s="160">
        <f>'27'!R13</f>
        <v>0</v>
      </c>
      <c r="I13" s="160">
        <f>'27'!S13</f>
        <v>0</v>
      </c>
      <c r="J13" s="160"/>
      <c r="K13" s="104">
        <f>'27'!T13</f>
        <v>0</v>
      </c>
      <c r="L13" s="36">
        <f>'27'!U13</f>
        <v>0</v>
      </c>
      <c r="M13" s="103">
        <f>'27'!V13</f>
        <v>0</v>
      </c>
      <c r="N13" s="160"/>
      <c r="O13" s="104">
        <f>'27'!W13</f>
        <v>0</v>
      </c>
      <c r="P13" s="52" t="str">
        <f>IF('27'!X13=0,"",'27'!X13)</f>
        <v/>
      </c>
      <c r="Q13" s="52" t="str">
        <f>IF('27'!Y13=0,"",'27'!Y13)</f>
        <v/>
      </c>
      <c r="R13" s="36" t="str">
        <f>IF('27'!Z13=0,"",'27'!Z13)</f>
        <v/>
      </c>
      <c r="S13" s="36" t="e">
        <f>IF('27'!AA13=0,"",'27'!AA13)</f>
        <v>#N/A</v>
      </c>
      <c r="T13" s="268"/>
      <c r="U13" s="268"/>
      <c r="V13" s="268"/>
    </row>
    <row r="14" ht="15" customHeight="1" spans="2:22">
      <c r="B14" s="14">
        <f t="shared" si="0"/>
        <v>3</v>
      </c>
      <c r="C14" s="83">
        <f>'27'!M14</f>
        <v>0</v>
      </c>
      <c r="D14" s="110" t="str">
        <f>IF('27'!N14=0,"",'27'!N14)</f>
        <v>DNK</v>
      </c>
      <c r="E14" s="85">
        <f>'27'!O14</f>
        <v>27</v>
      </c>
      <c r="F14" s="85">
        <f>'27'!P14</f>
        <v>103</v>
      </c>
      <c r="G14" s="105">
        <f>'27'!Q14</f>
        <v>0</v>
      </c>
      <c r="H14" s="161">
        <f>'27'!R14</f>
        <v>0</v>
      </c>
      <c r="I14" s="161">
        <f>'27'!S14</f>
        <v>0</v>
      </c>
      <c r="J14" s="161"/>
      <c r="K14" s="106">
        <f>'27'!T14</f>
        <v>0</v>
      </c>
      <c r="L14" s="85">
        <f>'27'!U14</f>
        <v>3</v>
      </c>
      <c r="M14" s="105">
        <f>'27'!V14</f>
        <v>0</v>
      </c>
      <c r="N14" s="161"/>
      <c r="O14" s="106">
        <f>'27'!W14</f>
        <v>0</v>
      </c>
      <c r="P14" s="107" t="str">
        <f>IF('27'!X14=0,"",'27'!X14)</f>
        <v/>
      </c>
      <c r="Q14" s="107" t="str">
        <f>IF('27'!Y14=0,"",'27'!Y14)</f>
        <v/>
      </c>
      <c r="R14" s="85" t="str">
        <f>IF('27'!Z14=0,"",'27'!Z14)</f>
        <v>0007</v>
      </c>
      <c r="S14" s="85" t="e">
        <f>IF('27'!AA14=0,"",'27'!AA14)</f>
        <v>#N/A</v>
      </c>
      <c r="T14" s="268"/>
      <c r="U14" s="268"/>
      <c r="V14" s="268"/>
    </row>
    <row r="15" ht="15" customHeight="1" spans="2:22">
      <c r="B15" s="6">
        <f t="shared" si="0"/>
        <v>4</v>
      </c>
      <c r="C15" s="79" t="str">
        <f>'27'!M15</f>
        <v>99907 Kateryna</v>
      </c>
      <c r="D15" s="62" t="str">
        <f>IF('27'!N15=0,"",'27'!N15)</f>
        <v>DNK</v>
      </c>
      <c r="E15" s="81">
        <f>'27'!O15</f>
        <v>27</v>
      </c>
      <c r="F15" s="81">
        <f>'27'!P15</f>
        <v>104</v>
      </c>
      <c r="G15" s="100" t="str">
        <f>'27'!Q15</f>
        <v>Triple</v>
      </c>
      <c r="H15" s="159">
        <f>'27'!R15</f>
        <v>0</v>
      </c>
      <c r="I15" s="159">
        <f>'27'!S15</f>
        <v>0</v>
      </c>
      <c r="J15" s="159"/>
      <c r="K15" s="101">
        <f>'27'!T15</f>
        <v>0</v>
      </c>
      <c r="L15" s="81">
        <f>'27'!U15</f>
        <v>1</v>
      </c>
      <c r="M15" s="100">
        <f>'27'!V15</f>
        <v>3</v>
      </c>
      <c r="N15" s="159"/>
      <c r="O15" s="101">
        <f>'27'!W15</f>
        <v>0</v>
      </c>
      <c r="P15" s="102" t="str">
        <f>IF('27'!X15=0,"",'27'!X15)</f>
        <v/>
      </c>
      <c r="Q15" s="102" t="str">
        <f>IF('27'!Y15=0,"",'27'!Y15)</f>
        <v/>
      </c>
      <c r="R15" s="81" t="str">
        <f>IF('27'!Z15=0,"",'27'!Z15)</f>
        <v>0008</v>
      </c>
      <c r="S15" s="81" t="e">
        <f>IF('27'!AA15=0,"",'27'!AA15)</f>
        <v>#N/A</v>
      </c>
      <c r="T15" s="268"/>
      <c r="U15" s="268"/>
      <c r="V15" s="268"/>
    </row>
    <row r="16" ht="15" customHeight="1" spans="2:22">
      <c r="B16" s="9">
        <f t="shared" si="0"/>
        <v>4</v>
      </c>
      <c r="C16" s="31">
        <f>'27'!M16</f>
        <v>0</v>
      </c>
      <c r="D16" s="32" t="str">
        <f>IF('27'!N16=0,"",'27'!N16)</f>
        <v>DNK</v>
      </c>
      <c r="E16" s="36">
        <f>'27'!O16</f>
        <v>27</v>
      </c>
      <c r="F16" s="36">
        <f>'27'!P16</f>
        <v>104</v>
      </c>
      <c r="G16" s="103">
        <f>'27'!Q16</f>
        <v>0</v>
      </c>
      <c r="H16" s="160">
        <f>'27'!R16</f>
        <v>0</v>
      </c>
      <c r="I16" s="160">
        <f>'27'!S16</f>
        <v>0</v>
      </c>
      <c r="J16" s="160"/>
      <c r="K16" s="104">
        <f>'27'!T16</f>
        <v>0</v>
      </c>
      <c r="L16" s="36">
        <f>'27'!U16</f>
        <v>2</v>
      </c>
      <c r="M16" s="103">
        <f>'27'!V16</f>
        <v>0</v>
      </c>
      <c r="N16" s="160"/>
      <c r="O16" s="104">
        <f>'27'!W16</f>
        <v>0</v>
      </c>
      <c r="P16" s="52" t="str">
        <f>IF('27'!X16=0,"",'27'!X16)</f>
        <v/>
      </c>
      <c r="Q16" s="52" t="str">
        <f>IF('27'!Y16=0,"",'27'!Y16)</f>
        <v/>
      </c>
      <c r="R16" s="36" t="str">
        <f>IF('27'!Z16=0,"",'27'!Z16)</f>
        <v>0010</v>
      </c>
      <c r="S16" s="36" t="e">
        <f>IF('27'!AA16=0,"",'27'!AA16)</f>
        <v>#N/A</v>
      </c>
      <c r="T16" s="268"/>
      <c r="U16" s="268"/>
      <c r="V16" s="268"/>
    </row>
    <row r="17" ht="15" customHeight="1" spans="2:22">
      <c r="B17" s="14">
        <f t="shared" si="0"/>
        <v>4</v>
      </c>
      <c r="C17" s="83">
        <f>'27'!M17</f>
        <v>0</v>
      </c>
      <c r="D17" s="110" t="str">
        <f>IF('27'!N17=0,"",'27'!N17)</f>
        <v>DNK</v>
      </c>
      <c r="E17" s="85">
        <f>'27'!O17</f>
        <v>27</v>
      </c>
      <c r="F17" s="85">
        <f>'27'!P17</f>
        <v>104</v>
      </c>
      <c r="G17" s="105">
        <f>'27'!Q17</f>
        <v>0</v>
      </c>
      <c r="H17" s="161">
        <f>'27'!R17</f>
        <v>0</v>
      </c>
      <c r="I17" s="161">
        <f>'27'!S17</f>
        <v>0</v>
      </c>
      <c r="J17" s="161"/>
      <c r="K17" s="106">
        <f>'27'!T17</f>
        <v>0</v>
      </c>
      <c r="L17" s="85">
        <f>'27'!U17</f>
        <v>3</v>
      </c>
      <c r="M17" s="105">
        <f>'27'!V17</f>
        <v>0</v>
      </c>
      <c r="N17" s="161"/>
      <c r="O17" s="106">
        <f>'27'!W17</f>
        <v>0</v>
      </c>
      <c r="P17" s="107" t="str">
        <f>IF('27'!X17=0,"",'27'!X17)</f>
        <v/>
      </c>
      <c r="Q17" s="107" t="str">
        <f>IF('27'!Y17=0,"",'27'!Y17)</f>
        <v/>
      </c>
      <c r="R17" s="85" t="str">
        <f>IF('27'!Z17=0,"",'27'!Z17)</f>
        <v>0009</v>
      </c>
      <c r="S17" s="85" t="e">
        <f>IF('27'!AA17=0,"",'27'!AA17)</f>
        <v>#N/A</v>
      </c>
      <c r="T17" s="268"/>
      <c r="U17" s="268"/>
      <c r="V17" s="268"/>
    </row>
    <row r="18" ht="15" customHeight="1" spans="2:22">
      <c r="B18" s="6">
        <f t="shared" si="0"/>
        <v>5</v>
      </c>
      <c r="C18" s="79" t="str">
        <f>'27'!M18</f>
        <v>99909 Bjorn</v>
      </c>
      <c r="D18" s="62" t="str">
        <f>IF('27'!N18=0,"",'27'!N18)</f>
        <v>DNK</v>
      </c>
      <c r="E18" s="81">
        <f>'27'!O18</f>
        <v>27</v>
      </c>
      <c r="F18" s="81">
        <f>'27'!P18</f>
        <v>105</v>
      </c>
      <c r="G18" s="100" t="str">
        <f>'27'!Q18</f>
        <v>Double</v>
      </c>
      <c r="H18" s="159">
        <f>'27'!R18</f>
        <v>0</v>
      </c>
      <c r="I18" s="159">
        <f>'27'!S18</f>
        <v>0</v>
      </c>
      <c r="J18" s="159"/>
      <c r="K18" s="101">
        <f>'27'!T18</f>
        <v>0</v>
      </c>
      <c r="L18" s="81">
        <f>'27'!U18</f>
        <v>1</v>
      </c>
      <c r="M18" s="100">
        <f>'27'!V18</f>
        <v>2</v>
      </c>
      <c r="N18" s="159"/>
      <c r="O18" s="101">
        <f>'27'!W18</f>
        <v>0</v>
      </c>
      <c r="P18" s="102" t="str">
        <f>IF('27'!X18=0,"",'27'!X18)</f>
        <v/>
      </c>
      <c r="Q18" s="102" t="str">
        <f>IF('27'!Y18=0,"",'27'!Y18)</f>
        <v/>
      </c>
      <c r="R18" s="81" t="str">
        <f>IF('27'!Z18=0,"",'27'!Z18)</f>
        <v>0011</v>
      </c>
      <c r="S18" s="81" t="e">
        <f>IF('27'!AA18=0,"",'27'!AA18)</f>
        <v>#N/A</v>
      </c>
      <c r="T18" s="268"/>
      <c r="U18" s="268"/>
      <c r="V18" s="268"/>
    </row>
    <row r="19" ht="15" customHeight="1" spans="2:22">
      <c r="B19" s="9">
        <f t="shared" si="0"/>
        <v>5</v>
      </c>
      <c r="C19" s="31">
        <f>'27'!M19</f>
        <v>0</v>
      </c>
      <c r="D19" s="32" t="str">
        <f>IF('27'!N19=0,"",'27'!N19)</f>
        <v/>
      </c>
      <c r="E19" s="36">
        <f>'27'!O19</f>
        <v>27</v>
      </c>
      <c r="F19" s="36">
        <f>'27'!P19</f>
        <v>105</v>
      </c>
      <c r="G19" s="103">
        <f>'27'!Q19</f>
        <v>0</v>
      </c>
      <c r="H19" s="160">
        <f>'27'!R19</f>
        <v>0</v>
      </c>
      <c r="I19" s="160">
        <f>'27'!S19</f>
        <v>0</v>
      </c>
      <c r="J19" s="160"/>
      <c r="K19" s="104">
        <f>'27'!T19</f>
        <v>0</v>
      </c>
      <c r="L19" s="36">
        <f>'27'!U19</f>
        <v>0</v>
      </c>
      <c r="M19" s="103">
        <f>'27'!V19</f>
        <v>0</v>
      </c>
      <c r="N19" s="160"/>
      <c r="O19" s="104">
        <f>'27'!W19</f>
        <v>0</v>
      </c>
      <c r="P19" s="52" t="str">
        <f>IF('27'!X19=0,"",'27'!X19)</f>
        <v/>
      </c>
      <c r="Q19" s="52" t="str">
        <f>IF('27'!Y19=0,"",'27'!Y19)</f>
        <v/>
      </c>
      <c r="R19" s="36" t="str">
        <f>IF('27'!Z19=0,"",'27'!Z19)</f>
        <v/>
      </c>
      <c r="S19" s="36" t="e">
        <f>IF('27'!AA19=0,"",'27'!AA19)</f>
        <v>#N/A</v>
      </c>
      <c r="T19" s="268"/>
      <c r="U19" s="268"/>
      <c r="V19" s="268"/>
    </row>
    <row r="20" ht="15" customHeight="1" spans="2:22">
      <c r="B20" s="14">
        <f t="shared" si="0"/>
        <v>5</v>
      </c>
      <c r="C20" s="83">
        <f>'27'!M20</f>
        <v>0</v>
      </c>
      <c r="D20" s="110" t="str">
        <f>IF('27'!N20=0,"",'27'!N20)</f>
        <v>DNK</v>
      </c>
      <c r="E20" s="85">
        <f>'27'!O20</f>
        <v>27</v>
      </c>
      <c r="F20" s="85">
        <f>'27'!P20</f>
        <v>105</v>
      </c>
      <c r="G20" s="105">
        <f>'27'!Q20</f>
        <v>0</v>
      </c>
      <c r="H20" s="161">
        <f>'27'!R20</f>
        <v>0</v>
      </c>
      <c r="I20" s="161">
        <f>'27'!S20</f>
        <v>0</v>
      </c>
      <c r="J20" s="161"/>
      <c r="K20" s="106">
        <f>'27'!T20</f>
        <v>0</v>
      </c>
      <c r="L20" s="85">
        <f>'27'!U20</f>
        <v>3</v>
      </c>
      <c r="M20" s="105">
        <f>'27'!V20</f>
        <v>0</v>
      </c>
      <c r="N20" s="161"/>
      <c r="O20" s="106">
        <f>'27'!W20</f>
        <v>0</v>
      </c>
      <c r="P20" s="107" t="str">
        <f>IF('27'!X20=0,"",'27'!X20)</f>
        <v/>
      </c>
      <c r="Q20" s="107" t="str">
        <f>IF('27'!Y20=0,"",'27'!Y20)</f>
        <v/>
      </c>
      <c r="R20" s="85" t="str">
        <f>IF('27'!Z20=0,"",'27'!Z20)</f>
        <v>0012</v>
      </c>
      <c r="S20" s="85" t="e">
        <f>IF('27'!AA20=0,"",'27'!AA20)</f>
        <v>#N/A</v>
      </c>
      <c r="T20" s="268"/>
      <c r="U20" s="268"/>
      <c r="V20" s="268"/>
    </row>
    <row r="21" ht="15" customHeight="1" spans="2:22">
      <c r="B21" s="6">
        <f t="shared" si="0"/>
        <v>6</v>
      </c>
      <c r="C21" s="79" t="str">
        <f>'27'!M21</f>
        <v>99911 Bjorn</v>
      </c>
      <c r="D21" s="62" t="str">
        <f>IF('27'!N21=0,"",'27'!N21)</f>
        <v/>
      </c>
      <c r="E21" s="81">
        <f>'27'!O21</f>
        <v>27</v>
      </c>
      <c r="F21" s="81">
        <f>'27'!P21</f>
        <v>106</v>
      </c>
      <c r="G21" s="100" t="str">
        <f>'27'!Q21</f>
        <v>Double</v>
      </c>
      <c r="H21" s="159">
        <f>'27'!R21</f>
        <v>0</v>
      </c>
      <c r="I21" s="159">
        <f>'27'!S21</f>
        <v>0</v>
      </c>
      <c r="J21" s="159"/>
      <c r="K21" s="101">
        <f>'27'!T21</f>
        <v>0</v>
      </c>
      <c r="L21" s="81">
        <f>'27'!U21</f>
        <v>0</v>
      </c>
      <c r="M21" s="100">
        <f>'27'!V21</f>
        <v>2</v>
      </c>
      <c r="N21" s="159"/>
      <c r="O21" s="101">
        <f>'27'!W21</f>
        <v>0</v>
      </c>
      <c r="P21" s="102" t="str">
        <f>IF('27'!X21=0,"",'27'!X21)</f>
        <v/>
      </c>
      <c r="Q21" s="102" t="str">
        <f>IF('27'!Y21=0,"",'27'!Y21)</f>
        <v/>
      </c>
      <c r="R21" s="81" t="str">
        <f>IF('27'!Z21=0,"",'27'!Z21)</f>
        <v/>
      </c>
      <c r="S21" s="81" t="e">
        <f>IF('27'!AA21=0,"",'27'!AA21)</f>
        <v>#N/A</v>
      </c>
      <c r="T21" s="268"/>
      <c r="U21" s="268"/>
      <c r="V21" s="268"/>
    </row>
    <row r="22" ht="15" customHeight="1" spans="2:22">
      <c r="B22" s="9">
        <f t="shared" si="0"/>
        <v>6</v>
      </c>
      <c r="C22" s="31">
        <f>'27'!M22</f>
        <v>0</v>
      </c>
      <c r="D22" s="32" t="str">
        <f>IF('27'!N22=0,"",'27'!N22)</f>
        <v>DNK</v>
      </c>
      <c r="E22" s="36">
        <f>'27'!O22</f>
        <v>27</v>
      </c>
      <c r="F22" s="36">
        <f>'27'!P22</f>
        <v>106</v>
      </c>
      <c r="G22" s="103">
        <f>'27'!Q22</f>
        <v>0</v>
      </c>
      <c r="H22" s="160">
        <f>'27'!R22</f>
        <v>0</v>
      </c>
      <c r="I22" s="160">
        <f>'27'!S22</f>
        <v>0</v>
      </c>
      <c r="J22" s="160"/>
      <c r="K22" s="104">
        <f>'27'!T22</f>
        <v>0</v>
      </c>
      <c r="L22" s="36">
        <f>'27'!U22</f>
        <v>2</v>
      </c>
      <c r="M22" s="103">
        <f>'27'!V22</f>
        <v>0</v>
      </c>
      <c r="N22" s="160"/>
      <c r="O22" s="104">
        <f>'27'!W22</f>
        <v>0</v>
      </c>
      <c r="P22" s="52" t="str">
        <f>IF('27'!X22=0,"",'27'!X22)</f>
        <v/>
      </c>
      <c r="Q22" s="52" t="str">
        <f>IF('27'!Y22=0,"",'27'!Y22)</f>
        <v/>
      </c>
      <c r="R22" s="36" t="str">
        <f>IF('27'!Z22=0,"",'27'!Z22)</f>
        <v>0013</v>
      </c>
      <c r="S22" s="36" t="e">
        <f>IF('27'!AA22=0,"",'27'!AA22)</f>
        <v>#N/A</v>
      </c>
      <c r="T22" s="268"/>
      <c r="U22" s="268"/>
      <c r="V22" s="268"/>
    </row>
    <row r="23" ht="15" customHeight="1" spans="2:22">
      <c r="B23" s="14">
        <f t="shared" si="0"/>
        <v>6</v>
      </c>
      <c r="C23" s="83">
        <f>'27'!M23</f>
        <v>0</v>
      </c>
      <c r="D23" s="110" t="str">
        <f>IF('27'!N23=0,"",'27'!N23)</f>
        <v>DNK</v>
      </c>
      <c r="E23" s="85">
        <f>'27'!O23</f>
        <v>27</v>
      </c>
      <c r="F23" s="85">
        <f>'27'!P23</f>
        <v>106</v>
      </c>
      <c r="G23" s="105">
        <f>'27'!Q23</f>
        <v>0</v>
      </c>
      <c r="H23" s="161">
        <f>'27'!R23</f>
        <v>0</v>
      </c>
      <c r="I23" s="161">
        <f>'27'!S23</f>
        <v>0</v>
      </c>
      <c r="J23" s="161"/>
      <c r="K23" s="106">
        <f>'27'!T23</f>
        <v>0</v>
      </c>
      <c r="L23" s="85">
        <f>'27'!U23</f>
        <v>3</v>
      </c>
      <c r="M23" s="105">
        <f>'27'!V23</f>
        <v>0</v>
      </c>
      <c r="N23" s="161"/>
      <c r="O23" s="106">
        <f>'27'!W23</f>
        <v>0</v>
      </c>
      <c r="P23" s="107" t="str">
        <f>IF('27'!X23=0,"",'27'!X23)</f>
        <v/>
      </c>
      <c r="Q23" s="107" t="str">
        <f>IF('27'!Y23=0,"",'27'!Y23)</f>
        <v/>
      </c>
      <c r="R23" s="85" t="str">
        <f>IF('27'!Z23=0,"",'27'!Z23)</f>
        <v>0014</v>
      </c>
      <c r="S23" s="85" t="e">
        <f>IF('27'!AA23=0,"",'27'!AA23)</f>
        <v>#N/A</v>
      </c>
      <c r="T23" s="268"/>
      <c r="U23" s="268"/>
      <c r="V23" s="268"/>
    </row>
    <row r="24" ht="15" customHeight="1" spans="2:22">
      <c r="B24" s="6">
        <f t="shared" si="0"/>
        <v>7</v>
      </c>
      <c r="C24" s="79" t="str">
        <f>'27'!M24</f>
        <v>99913 Ida</v>
      </c>
      <c r="D24" s="62" t="str">
        <f>IF('27'!N24=0,"",'27'!N24)</f>
        <v>DNK</v>
      </c>
      <c r="E24" s="81">
        <f>'27'!O24</f>
        <v>27</v>
      </c>
      <c r="F24" s="81">
        <f>'27'!P24</f>
        <v>107</v>
      </c>
      <c r="G24" s="100" t="str">
        <f>'27'!Q24</f>
        <v>Double</v>
      </c>
      <c r="H24" s="159">
        <f>'27'!R24</f>
        <v>0</v>
      </c>
      <c r="I24" s="159">
        <f>'27'!S24</f>
        <v>0</v>
      </c>
      <c r="J24" s="159"/>
      <c r="K24" s="101">
        <f>'27'!T24</f>
        <v>0</v>
      </c>
      <c r="L24" s="81">
        <f>'27'!U24</f>
        <v>1</v>
      </c>
      <c r="M24" s="100">
        <f>'27'!V24</f>
        <v>2</v>
      </c>
      <c r="N24" s="159"/>
      <c r="O24" s="101">
        <f>'27'!W24</f>
        <v>0</v>
      </c>
      <c r="P24" s="102" t="str">
        <f>IF('27'!X24=0,"",'27'!X24)</f>
        <v/>
      </c>
      <c r="Q24" s="108" t="str">
        <f>IF('27'!Y24=0,"",'27'!Y24)</f>
        <v/>
      </c>
      <c r="R24" s="81" t="str">
        <f>IF('27'!Z24=0,"",'27'!Z24)</f>
        <v>0016</v>
      </c>
      <c r="S24" s="81" t="e">
        <f>IF('27'!AA24=0,"",'27'!AA24)</f>
        <v>#N/A</v>
      </c>
      <c r="T24" s="268"/>
      <c r="U24" s="268"/>
      <c r="V24" s="268"/>
    </row>
    <row r="25" ht="15" customHeight="1" spans="2:22">
      <c r="B25" s="9">
        <f t="shared" si="0"/>
        <v>7</v>
      </c>
      <c r="C25" s="31">
        <f>'27'!M25</f>
        <v>0</v>
      </c>
      <c r="D25" s="32" t="str">
        <f>IF('27'!N25=0,"",'27'!N25)</f>
        <v>DNK</v>
      </c>
      <c r="E25" s="36">
        <f>'27'!O25</f>
        <v>27</v>
      </c>
      <c r="F25" s="36">
        <f>'27'!P25</f>
        <v>107</v>
      </c>
      <c r="G25" s="103">
        <f>'27'!Q25</f>
        <v>0</v>
      </c>
      <c r="H25" s="160">
        <f>'27'!R25</f>
        <v>0</v>
      </c>
      <c r="I25" s="160">
        <f>'27'!S25</f>
        <v>0</v>
      </c>
      <c r="J25" s="160"/>
      <c r="K25" s="104">
        <f>'27'!T25</f>
        <v>0</v>
      </c>
      <c r="L25" s="36">
        <f>'27'!U25</f>
        <v>2</v>
      </c>
      <c r="M25" s="103">
        <f>'27'!V25</f>
        <v>0</v>
      </c>
      <c r="N25" s="160"/>
      <c r="O25" s="104">
        <f>'27'!W25</f>
        <v>0</v>
      </c>
      <c r="P25" s="52" t="str">
        <f>IF('27'!X25=0,"",'27'!X25)</f>
        <v/>
      </c>
      <c r="Q25" s="109" t="str">
        <f>IF('27'!Y25=0,"",'27'!Y25)</f>
        <v/>
      </c>
      <c r="R25" s="36" t="str">
        <f>IF('27'!Z25=0,"",'27'!Z25)</f>
        <v>0015</v>
      </c>
      <c r="S25" s="36" t="e">
        <f>IF('27'!AA25=0,"",'27'!AA25)</f>
        <v>#N/A</v>
      </c>
      <c r="T25" s="268"/>
      <c r="U25" s="268"/>
      <c r="V25" s="268"/>
    </row>
    <row r="26" ht="15" customHeight="1" spans="2:22">
      <c r="B26" s="14">
        <f t="shared" si="0"/>
        <v>7</v>
      </c>
      <c r="C26" s="83">
        <f>'27'!M26</f>
        <v>0</v>
      </c>
      <c r="D26" s="110" t="str">
        <f>IF('27'!N26=0,"",'27'!N26)</f>
        <v/>
      </c>
      <c r="E26" s="85">
        <f>'27'!O26</f>
        <v>27</v>
      </c>
      <c r="F26" s="85">
        <f>'27'!P26</f>
        <v>107</v>
      </c>
      <c r="G26" s="105">
        <f>'27'!Q26</f>
        <v>0</v>
      </c>
      <c r="H26" s="161">
        <f>'27'!R26</f>
        <v>0</v>
      </c>
      <c r="I26" s="161">
        <f>'27'!S26</f>
        <v>0</v>
      </c>
      <c r="J26" s="161"/>
      <c r="K26" s="106">
        <f>'27'!T26</f>
        <v>0</v>
      </c>
      <c r="L26" s="85">
        <f>'27'!U26</f>
        <v>0</v>
      </c>
      <c r="M26" s="105">
        <f>'27'!V26</f>
        <v>0</v>
      </c>
      <c r="N26" s="161"/>
      <c r="O26" s="106">
        <f>'27'!W26</f>
        <v>0</v>
      </c>
      <c r="P26" s="107" t="str">
        <f>IF('27'!X26=0,"",'27'!X26)</f>
        <v/>
      </c>
      <c r="Q26" s="111" t="str">
        <f>IF('27'!Y26=0,"",'27'!Y26)</f>
        <v/>
      </c>
      <c r="R26" s="85" t="str">
        <f>IF('27'!Z26=0,"",'27'!Z26)</f>
        <v/>
      </c>
      <c r="S26" s="85" t="e">
        <f>IF('27'!AA26=0,"",'27'!AA26)</f>
        <v>#N/A</v>
      </c>
      <c r="T26" s="268"/>
      <c r="U26" s="268"/>
      <c r="V26" s="268"/>
    </row>
    <row r="27" ht="15" customHeight="1" spans="2:22">
      <c r="B27" s="6">
        <f t="shared" si="0"/>
        <v>8</v>
      </c>
      <c r="C27" s="79" t="str">
        <f>'27'!M27</f>
        <v>99914 Maria</v>
      </c>
      <c r="D27" s="62" t="str">
        <f>IF('27'!N27=0,"",'27'!N27)</f>
        <v/>
      </c>
      <c r="E27" s="81">
        <f>'27'!O27</f>
        <v>27</v>
      </c>
      <c r="F27" s="81">
        <f>'27'!P27</f>
        <v>108</v>
      </c>
      <c r="G27" s="100" t="str">
        <f>'27'!Q27</f>
        <v>Double</v>
      </c>
      <c r="H27" s="159">
        <f>'27'!R27</f>
        <v>0</v>
      </c>
      <c r="I27" s="159">
        <f>'27'!S27</f>
        <v>0</v>
      </c>
      <c r="J27" s="159"/>
      <c r="K27" s="101">
        <f>'27'!T27</f>
        <v>0</v>
      </c>
      <c r="L27" s="81">
        <f>'27'!U27</f>
        <v>0</v>
      </c>
      <c r="M27" s="100">
        <f>'27'!V27</f>
        <v>2</v>
      </c>
      <c r="N27" s="159"/>
      <c r="O27" s="101">
        <f>'27'!W27</f>
        <v>0</v>
      </c>
      <c r="P27" s="102" t="str">
        <f>IF('27'!X27=0,"",'27'!X27)</f>
        <v/>
      </c>
      <c r="Q27" s="108" t="str">
        <f>IF('27'!Y27=0,"",'27'!Y27)</f>
        <v/>
      </c>
      <c r="R27" s="81" t="str">
        <f>IF('27'!Z27=0,"",'27'!Z27)</f>
        <v/>
      </c>
      <c r="S27" s="81" t="e">
        <f>IF('27'!AA27=0,"",'27'!AA27)</f>
        <v>#N/A</v>
      </c>
      <c r="T27" s="268"/>
      <c r="U27" s="268"/>
      <c r="V27" s="268"/>
    </row>
    <row r="28" ht="15" customHeight="1" spans="2:22">
      <c r="B28" s="9">
        <f t="shared" si="0"/>
        <v>8</v>
      </c>
      <c r="C28" s="31">
        <f>'27'!M28</f>
        <v>0</v>
      </c>
      <c r="D28" s="32" t="str">
        <f>IF('27'!N28=0,"",'27'!N28)</f>
        <v>DNK</v>
      </c>
      <c r="E28" s="36">
        <f>'27'!O28</f>
        <v>27</v>
      </c>
      <c r="F28" s="36">
        <f>'27'!P28</f>
        <v>108</v>
      </c>
      <c r="G28" s="103">
        <f>'27'!Q28</f>
        <v>0</v>
      </c>
      <c r="H28" s="160">
        <f>'27'!R28</f>
        <v>0</v>
      </c>
      <c r="I28" s="160">
        <f>'27'!S28</f>
        <v>0</v>
      </c>
      <c r="J28" s="160"/>
      <c r="K28" s="104">
        <f>'27'!T28</f>
        <v>0</v>
      </c>
      <c r="L28" s="36">
        <f>'27'!U28</f>
        <v>2</v>
      </c>
      <c r="M28" s="103">
        <f>'27'!V28</f>
        <v>0</v>
      </c>
      <c r="N28" s="160"/>
      <c r="O28" s="104">
        <f>'27'!W28</f>
        <v>0</v>
      </c>
      <c r="P28" s="52" t="str">
        <f>IF('27'!X28=0,"",'27'!X28)</f>
        <v/>
      </c>
      <c r="Q28" s="109" t="str">
        <f>IF('27'!Y28=0,"",'27'!Y28)</f>
        <v/>
      </c>
      <c r="R28" s="36" t="str">
        <f>IF('27'!Z28=0,"",'27'!Z28)</f>
        <v>0018</v>
      </c>
      <c r="S28" s="36" t="e">
        <f>IF('27'!AA28=0,"",'27'!AA28)</f>
        <v>#N/A</v>
      </c>
      <c r="T28" s="268"/>
      <c r="U28" s="268"/>
      <c r="V28" s="268"/>
    </row>
    <row r="29" ht="15" customHeight="1" spans="2:22">
      <c r="B29" s="14">
        <f t="shared" si="0"/>
        <v>8</v>
      </c>
      <c r="C29" s="83">
        <f>'27'!M29</f>
        <v>0</v>
      </c>
      <c r="D29" s="110" t="str">
        <f>IF('27'!N29=0,"",'27'!N29)</f>
        <v>DNK</v>
      </c>
      <c r="E29" s="85">
        <f>'27'!O29</f>
        <v>27</v>
      </c>
      <c r="F29" s="85">
        <f>'27'!P29</f>
        <v>108</v>
      </c>
      <c r="G29" s="105">
        <f>'27'!Q29</f>
        <v>0</v>
      </c>
      <c r="H29" s="161">
        <f>'27'!R29</f>
        <v>0</v>
      </c>
      <c r="I29" s="161">
        <f>'27'!S29</f>
        <v>0</v>
      </c>
      <c r="J29" s="161"/>
      <c r="K29" s="106">
        <f>'27'!T29</f>
        <v>0</v>
      </c>
      <c r="L29" s="85">
        <f>'27'!U29</f>
        <v>3</v>
      </c>
      <c r="M29" s="105">
        <f>'27'!V29</f>
        <v>0</v>
      </c>
      <c r="N29" s="161"/>
      <c r="O29" s="106">
        <f>'27'!W29</f>
        <v>0</v>
      </c>
      <c r="P29" s="107" t="str">
        <f>IF('27'!X29=0,"",'27'!X29)</f>
        <v/>
      </c>
      <c r="Q29" s="111" t="str">
        <f>IF('27'!Y29=0,"",'27'!Y29)</f>
        <v/>
      </c>
      <c r="R29" s="85" t="str">
        <f>IF('27'!Z29=0,"",'27'!Z29)</f>
        <v>0017</v>
      </c>
      <c r="S29" s="85" t="e">
        <f>IF('27'!AA29=0,"",'27'!AA29)</f>
        <v>#N/A</v>
      </c>
      <c r="T29" s="268"/>
      <c r="U29" s="268"/>
      <c r="V29" s="268"/>
    </row>
    <row r="30" ht="15" customHeight="1" spans="2:22">
      <c r="B30" s="6">
        <f t="shared" si="0"/>
        <v>9</v>
      </c>
      <c r="C30" s="79" t="str">
        <f>'27'!M30</f>
        <v>99915 Rickard</v>
      </c>
      <c r="D30" s="62" t="str">
        <f>IF('27'!N30=0,"",'27'!N30)</f>
        <v>DNK</v>
      </c>
      <c r="E30" s="81">
        <f>'27'!O30</f>
        <v>27</v>
      </c>
      <c r="F30" s="81">
        <f>'27'!P30</f>
        <v>109</v>
      </c>
      <c r="G30" s="100" t="str">
        <f>'27'!Q30</f>
        <v>Double</v>
      </c>
      <c r="H30" s="159">
        <f>'27'!R30</f>
        <v>0</v>
      </c>
      <c r="I30" s="159">
        <f>'27'!S30</f>
        <v>0</v>
      </c>
      <c r="J30" s="159"/>
      <c r="K30" s="101">
        <f>'27'!T30</f>
        <v>0</v>
      </c>
      <c r="L30" s="81">
        <f>'27'!U30</f>
        <v>1</v>
      </c>
      <c r="M30" s="100">
        <f>'27'!V30</f>
        <v>2</v>
      </c>
      <c r="N30" s="159"/>
      <c r="O30" s="101">
        <f>'27'!W30</f>
        <v>0</v>
      </c>
      <c r="P30" s="102" t="str">
        <f>IF('27'!X30=0,"",'27'!X30)</f>
        <v/>
      </c>
      <c r="Q30" s="108" t="str">
        <f>IF('27'!Y30=0,"",'27'!Y30)</f>
        <v/>
      </c>
      <c r="R30" s="81" t="str">
        <f>IF('27'!Z30=0,"",'27'!Z30)</f>
        <v>0019</v>
      </c>
      <c r="S30" s="81" t="e">
        <f>IF('27'!AA30=0,"",'27'!AA30)</f>
        <v>#N/A</v>
      </c>
      <c r="T30" s="268"/>
      <c r="U30" s="268"/>
      <c r="V30" s="268"/>
    </row>
    <row r="31" ht="15" customHeight="1" spans="2:22">
      <c r="B31" s="9">
        <f t="shared" si="0"/>
        <v>9</v>
      </c>
      <c r="C31" s="31">
        <f>'27'!M31</f>
        <v>0</v>
      </c>
      <c r="D31" s="32" t="str">
        <f>IF('27'!N31=0,"",'27'!N31)</f>
        <v>DNK</v>
      </c>
      <c r="E31" s="36">
        <f>'27'!O31</f>
        <v>27</v>
      </c>
      <c r="F31" s="36">
        <f>'27'!P31</f>
        <v>109</v>
      </c>
      <c r="G31" s="103">
        <f>'27'!Q31</f>
        <v>0</v>
      </c>
      <c r="H31" s="160">
        <f>'27'!R31</f>
        <v>0</v>
      </c>
      <c r="I31" s="160">
        <f>'27'!S31</f>
        <v>0</v>
      </c>
      <c r="J31" s="160"/>
      <c r="K31" s="104">
        <f>'27'!T31</f>
        <v>0</v>
      </c>
      <c r="L31" s="36">
        <f>'27'!U31</f>
        <v>2</v>
      </c>
      <c r="M31" s="103">
        <f>'27'!V31</f>
        <v>0</v>
      </c>
      <c r="N31" s="160"/>
      <c r="O31" s="104">
        <f>'27'!W31</f>
        <v>0</v>
      </c>
      <c r="P31" s="52" t="str">
        <f>IF('27'!X31=0,"",'27'!X31)</f>
        <v/>
      </c>
      <c r="Q31" s="109" t="str">
        <f>IF('27'!Y31=0,"",'27'!Y31)</f>
        <v/>
      </c>
      <c r="R31" s="36" t="str">
        <f>IF('27'!Z31=0,"",'27'!Z31)</f>
        <v>0020</v>
      </c>
      <c r="S31" s="36" t="e">
        <f>IF('27'!AA31=0,"",'27'!AA31)</f>
        <v>#N/A</v>
      </c>
      <c r="T31" s="268"/>
      <c r="U31" s="268"/>
      <c r="V31" s="268"/>
    </row>
    <row r="32" ht="15" customHeight="1" spans="2:22">
      <c r="B32" s="14">
        <f t="shared" si="0"/>
        <v>9</v>
      </c>
      <c r="C32" s="83">
        <f>'27'!M32</f>
        <v>0</v>
      </c>
      <c r="D32" s="110" t="str">
        <f>IF('27'!N32=0,"",'27'!N32)</f>
        <v/>
      </c>
      <c r="E32" s="85">
        <f>'27'!O32</f>
        <v>27</v>
      </c>
      <c r="F32" s="85">
        <f>'27'!P32</f>
        <v>109</v>
      </c>
      <c r="G32" s="105">
        <f>'27'!Q32</f>
        <v>0</v>
      </c>
      <c r="H32" s="161">
        <f>'27'!R32</f>
        <v>0</v>
      </c>
      <c r="I32" s="161">
        <f>'27'!S32</f>
        <v>0</v>
      </c>
      <c r="J32" s="161"/>
      <c r="K32" s="106">
        <f>'27'!T32</f>
        <v>0</v>
      </c>
      <c r="L32" s="85">
        <f>'27'!U32</f>
        <v>0</v>
      </c>
      <c r="M32" s="105">
        <f>'27'!V32</f>
        <v>0</v>
      </c>
      <c r="N32" s="161"/>
      <c r="O32" s="106">
        <f>'27'!W32</f>
        <v>0</v>
      </c>
      <c r="P32" s="107" t="str">
        <f>IF('27'!X32=0,"",'27'!X32)</f>
        <v/>
      </c>
      <c r="Q32" s="111" t="str">
        <f>IF('27'!Y32=0,"",'27'!Y32)</f>
        <v/>
      </c>
      <c r="R32" s="85" t="str">
        <f>IF('27'!Z32=0,"",'27'!Z32)</f>
        <v/>
      </c>
      <c r="S32" s="85" t="e">
        <f>IF('27'!AA32=0,"",'27'!AA32)</f>
        <v>#N/A</v>
      </c>
      <c r="T32" s="268"/>
      <c r="U32" s="268"/>
      <c r="V32" s="268"/>
    </row>
    <row r="33" ht="15" customHeight="1" spans="2:22">
      <c r="B33" s="6">
        <f t="shared" si="0"/>
        <v>10</v>
      </c>
      <c r="C33" s="79" t="str">
        <f>'27'!M33</f>
        <v>99917 Patrik</v>
      </c>
      <c r="D33" s="62" t="str">
        <f>IF('27'!N33=0,"",'27'!N33)</f>
        <v>DNK</v>
      </c>
      <c r="E33" s="81">
        <f>'27'!O33</f>
        <v>27</v>
      </c>
      <c r="F33" s="81">
        <f>'27'!P33</f>
        <v>110</v>
      </c>
      <c r="G33" s="100" t="str">
        <f>'27'!Q33</f>
        <v>Double</v>
      </c>
      <c r="H33" s="159">
        <f>'27'!R33</f>
        <v>0</v>
      </c>
      <c r="I33" s="159">
        <f>'27'!S33</f>
        <v>0</v>
      </c>
      <c r="J33" s="159"/>
      <c r="K33" s="101">
        <f>'27'!T33</f>
        <v>0</v>
      </c>
      <c r="L33" s="81">
        <f>'27'!U33</f>
        <v>1</v>
      </c>
      <c r="M33" s="100">
        <f>'27'!V33</f>
        <v>2</v>
      </c>
      <c r="N33" s="159"/>
      <c r="O33" s="101">
        <f>'27'!W33</f>
        <v>0</v>
      </c>
      <c r="P33" s="102" t="str">
        <f>IF('27'!X33=0,"",'27'!X33)</f>
        <v/>
      </c>
      <c r="Q33" s="108" t="str">
        <f>IF('27'!Y33=0,"",'27'!Y33)</f>
        <v/>
      </c>
      <c r="R33" s="81" t="str">
        <f>IF('27'!Z33=0,"",'27'!Z33)</f>
        <v>0022</v>
      </c>
      <c r="S33" s="81" t="e">
        <f>IF('27'!AA33=0,"",'27'!AA33)</f>
        <v>#N/A</v>
      </c>
      <c r="T33" s="268"/>
      <c r="U33" s="268"/>
      <c r="V33" s="268"/>
    </row>
    <row r="34" ht="15" customHeight="1" spans="2:22">
      <c r="B34" s="9">
        <f t="shared" si="0"/>
        <v>10</v>
      </c>
      <c r="C34" s="31">
        <f>'27'!M34</f>
        <v>0</v>
      </c>
      <c r="D34" s="32" t="str">
        <f>IF('27'!N34=0,"",'27'!N34)</f>
        <v>DNK</v>
      </c>
      <c r="E34" s="36">
        <f>'27'!O34</f>
        <v>27</v>
      </c>
      <c r="F34" s="36">
        <f>'27'!P34</f>
        <v>110</v>
      </c>
      <c r="G34" s="103">
        <f>'27'!Q34</f>
        <v>0</v>
      </c>
      <c r="H34" s="160">
        <f>'27'!R34</f>
        <v>0</v>
      </c>
      <c r="I34" s="160">
        <f>'27'!S34</f>
        <v>0</v>
      </c>
      <c r="J34" s="160"/>
      <c r="K34" s="104">
        <f>'27'!T34</f>
        <v>0</v>
      </c>
      <c r="L34" s="36">
        <f>'27'!U34</f>
        <v>2</v>
      </c>
      <c r="M34" s="103">
        <f>'27'!V34</f>
        <v>0</v>
      </c>
      <c r="N34" s="160"/>
      <c r="O34" s="104">
        <f>'27'!W34</f>
        <v>0</v>
      </c>
      <c r="P34" s="52" t="str">
        <f>IF('27'!X34=0,"",'27'!X34)</f>
        <v/>
      </c>
      <c r="Q34" s="109" t="str">
        <f>IF('27'!Y34=0,"",'27'!Y34)</f>
        <v/>
      </c>
      <c r="R34" s="36" t="str">
        <f>IF('27'!Z34=0,"",'27'!Z34)</f>
        <v>0021</v>
      </c>
      <c r="S34" s="36" t="e">
        <f>IF('27'!AA34=0,"",'27'!AA34)</f>
        <v>#N/A</v>
      </c>
      <c r="T34" s="268"/>
      <c r="U34" s="268"/>
      <c r="V34" s="268"/>
    </row>
    <row r="35" ht="15" customHeight="1" spans="2:22">
      <c r="B35" s="14">
        <f t="shared" si="0"/>
        <v>10</v>
      </c>
      <c r="C35" s="83">
        <f>'27'!M35</f>
        <v>0</v>
      </c>
      <c r="D35" s="110" t="str">
        <f>IF('27'!N35=0,"",'27'!N35)</f>
        <v/>
      </c>
      <c r="E35" s="85">
        <f>'27'!O35</f>
        <v>27</v>
      </c>
      <c r="F35" s="85">
        <f>'27'!P35</f>
        <v>110</v>
      </c>
      <c r="G35" s="105">
        <f>'27'!Q35</f>
        <v>0</v>
      </c>
      <c r="H35" s="161">
        <f>'27'!R35</f>
        <v>0</v>
      </c>
      <c r="I35" s="161">
        <f>'27'!S35</f>
        <v>0</v>
      </c>
      <c r="J35" s="161"/>
      <c r="K35" s="106">
        <f>'27'!T35</f>
        <v>0</v>
      </c>
      <c r="L35" s="85">
        <f>'27'!U35</f>
        <v>0</v>
      </c>
      <c r="M35" s="105">
        <f>'27'!V35</f>
        <v>0</v>
      </c>
      <c r="N35" s="161"/>
      <c r="O35" s="106">
        <f>'27'!W35</f>
        <v>0</v>
      </c>
      <c r="P35" s="107" t="str">
        <f>IF('27'!X35=0,"",'27'!X35)</f>
        <v/>
      </c>
      <c r="Q35" s="111" t="str">
        <f>IF('27'!Y35=0,"",'27'!Y35)</f>
        <v/>
      </c>
      <c r="R35" s="85" t="str">
        <f>IF('27'!Z35=0,"",'27'!Z35)</f>
        <v/>
      </c>
      <c r="S35" s="85" t="e">
        <f>IF('27'!AA35=0,"",'27'!AA35)</f>
        <v>#N/A</v>
      </c>
      <c r="T35" s="268"/>
      <c r="U35" s="268"/>
      <c r="V35" s="268"/>
    </row>
    <row r="36" ht="15" customHeight="1" spans="2:22">
      <c r="B36" s="6">
        <f t="shared" si="0"/>
        <v>11</v>
      </c>
      <c r="C36" s="79" t="str">
        <f>'27'!M36</f>
        <v>99919 Jimmy</v>
      </c>
      <c r="D36" s="62" t="str">
        <f>IF('27'!N36=0,"",'27'!N36)</f>
        <v>DNK</v>
      </c>
      <c r="E36" s="81">
        <f>'27'!O36</f>
        <v>27</v>
      </c>
      <c r="F36" s="81">
        <f>'27'!P36</f>
        <v>111</v>
      </c>
      <c r="G36" s="100" t="str">
        <f>'27'!Q36</f>
        <v>Double</v>
      </c>
      <c r="H36" s="159">
        <f>'27'!R36</f>
        <v>0</v>
      </c>
      <c r="I36" s="159">
        <f>'27'!S36</f>
        <v>0</v>
      </c>
      <c r="J36" s="159"/>
      <c r="K36" s="101">
        <f>'27'!T36</f>
        <v>0</v>
      </c>
      <c r="L36" s="81">
        <f>'27'!U36</f>
        <v>1</v>
      </c>
      <c r="M36" s="100">
        <f>'27'!V36</f>
        <v>2</v>
      </c>
      <c r="N36" s="159"/>
      <c r="O36" s="101">
        <f>'27'!W36</f>
        <v>0</v>
      </c>
      <c r="P36" s="102" t="str">
        <f>IF('27'!X36=0,"",'27'!X36)</f>
        <v/>
      </c>
      <c r="Q36" s="108" t="str">
        <f>IF('27'!Y36=0,"",'27'!Y36)</f>
        <v/>
      </c>
      <c r="R36" s="81" t="str">
        <f>IF('27'!Z36=0,"",'27'!Z36)</f>
        <v>0023</v>
      </c>
      <c r="S36" s="81" t="e">
        <f>IF('27'!AA36=0,"",'27'!AA36)</f>
        <v>#N/A</v>
      </c>
      <c r="T36" s="268"/>
      <c r="U36" s="268"/>
      <c r="V36" s="268"/>
    </row>
    <row r="37" ht="15" customHeight="1" spans="2:22">
      <c r="B37" s="9">
        <f t="shared" si="0"/>
        <v>11</v>
      </c>
      <c r="C37" s="31">
        <f>'27'!M37</f>
        <v>0</v>
      </c>
      <c r="D37" s="32" t="str">
        <f>IF('27'!N37=0,"",'27'!N37)</f>
        <v>DNK</v>
      </c>
      <c r="E37" s="36">
        <f>'27'!O37</f>
        <v>27</v>
      </c>
      <c r="F37" s="36">
        <f>'27'!P37</f>
        <v>111</v>
      </c>
      <c r="G37" s="103">
        <f>'27'!Q37</f>
        <v>0</v>
      </c>
      <c r="H37" s="160">
        <f>'27'!R37</f>
        <v>0</v>
      </c>
      <c r="I37" s="160">
        <f>'27'!S37</f>
        <v>0</v>
      </c>
      <c r="J37" s="160"/>
      <c r="K37" s="104">
        <f>'27'!T37</f>
        <v>0</v>
      </c>
      <c r="L37" s="36">
        <f>'27'!U37</f>
        <v>2</v>
      </c>
      <c r="M37" s="103">
        <f>'27'!V37</f>
        <v>0</v>
      </c>
      <c r="N37" s="160"/>
      <c r="O37" s="104">
        <f>'27'!W37</f>
        <v>0</v>
      </c>
      <c r="P37" s="52" t="str">
        <f>IF('27'!X37=0,"",'27'!X37)</f>
        <v/>
      </c>
      <c r="Q37" s="109" t="str">
        <f>IF('27'!Y37=0,"",'27'!Y37)</f>
        <v/>
      </c>
      <c r="R37" s="36" t="str">
        <f>IF('27'!Z37=0,"",'27'!Z37)</f>
        <v>0024</v>
      </c>
      <c r="S37" s="36" t="e">
        <f>IF('27'!AA37=0,"",'27'!AA37)</f>
        <v>#N/A</v>
      </c>
      <c r="T37" s="268"/>
      <c r="U37" s="268"/>
      <c r="V37" s="268"/>
    </row>
    <row r="38" ht="15" customHeight="1" spans="2:22">
      <c r="B38" s="14">
        <f t="shared" si="0"/>
        <v>11</v>
      </c>
      <c r="C38" s="83">
        <f>'27'!M38</f>
        <v>0</v>
      </c>
      <c r="D38" s="110" t="str">
        <f>IF('27'!N38=0,"",'27'!N38)</f>
        <v/>
      </c>
      <c r="E38" s="85">
        <f>'27'!O38</f>
        <v>27</v>
      </c>
      <c r="F38" s="85">
        <f>'27'!P38</f>
        <v>111</v>
      </c>
      <c r="G38" s="105">
        <f>'27'!Q38</f>
        <v>0</v>
      </c>
      <c r="H38" s="161">
        <f>'27'!R38</f>
        <v>0</v>
      </c>
      <c r="I38" s="161">
        <f>'27'!S38</f>
        <v>0</v>
      </c>
      <c r="J38" s="161"/>
      <c r="K38" s="106">
        <f>'27'!T38</f>
        <v>0</v>
      </c>
      <c r="L38" s="85">
        <f>'27'!U38</f>
        <v>0</v>
      </c>
      <c r="M38" s="105">
        <f>'27'!V38</f>
        <v>0</v>
      </c>
      <c r="N38" s="161"/>
      <c r="O38" s="106">
        <f>'27'!W38</f>
        <v>0</v>
      </c>
      <c r="P38" s="107" t="str">
        <f>IF('27'!X38=0,"",'27'!X38)</f>
        <v/>
      </c>
      <c r="Q38" s="111" t="str">
        <f>IF('27'!Y38=0,"",'27'!Y38)</f>
        <v/>
      </c>
      <c r="R38" s="85" t="str">
        <f>IF('27'!Z38=0,"",'27'!Z38)</f>
        <v/>
      </c>
      <c r="S38" s="85" t="e">
        <f>IF('27'!AA38=0,"",'27'!AA38)</f>
        <v>#N/A</v>
      </c>
      <c r="T38" s="268"/>
      <c r="U38" s="268"/>
      <c r="V38" s="268"/>
    </row>
    <row r="39" ht="15" customHeight="1" spans="2:22">
      <c r="B39" s="6">
        <f t="shared" si="0"/>
        <v>12</v>
      </c>
      <c r="C39" s="79" t="str">
        <f>'27'!M39</f>
        <v>99920 Adam</v>
      </c>
      <c r="D39" s="62" t="str">
        <f>IF('27'!N39=0,"",'27'!N39)</f>
        <v>DNK</v>
      </c>
      <c r="E39" s="81">
        <f>'27'!O39</f>
        <v>27</v>
      </c>
      <c r="F39" s="81">
        <f>'27'!P39</f>
        <v>112</v>
      </c>
      <c r="G39" s="100" t="str">
        <f>'27'!Q39</f>
        <v>Double</v>
      </c>
      <c r="H39" s="159">
        <f>'27'!R39</f>
        <v>0</v>
      </c>
      <c r="I39" s="159">
        <f>'27'!S39</f>
        <v>0</v>
      </c>
      <c r="J39" s="159"/>
      <c r="K39" s="101">
        <f>'27'!T39</f>
        <v>0</v>
      </c>
      <c r="L39" s="81">
        <f>'27'!U39</f>
        <v>1</v>
      </c>
      <c r="M39" s="100">
        <f>'27'!V39</f>
        <v>2</v>
      </c>
      <c r="N39" s="159"/>
      <c r="O39" s="101">
        <f>'27'!W39</f>
        <v>0</v>
      </c>
      <c r="P39" s="102" t="str">
        <f>IF('27'!X39=0,"",'27'!X39)</f>
        <v/>
      </c>
      <c r="Q39" s="108" t="str">
        <f>IF('27'!Y39=0,"",'27'!Y39)</f>
        <v/>
      </c>
      <c r="R39" s="81" t="str">
        <f>IF('27'!Z39=0,"",'27'!Z39)</f>
        <v>0025</v>
      </c>
      <c r="S39" s="81" t="e">
        <f>IF('27'!AA39=0,"",'27'!AA39)</f>
        <v>#N/A</v>
      </c>
      <c r="T39" s="268"/>
      <c r="U39" s="268"/>
      <c r="V39" s="268"/>
    </row>
    <row r="40" ht="15" customHeight="1" spans="2:22">
      <c r="B40" s="9">
        <f t="shared" si="0"/>
        <v>12</v>
      </c>
      <c r="C40" s="31">
        <f>'27'!M40</f>
        <v>0</v>
      </c>
      <c r="D40" s="32" t="str">
        <f>IF('27'!N40=0,"",'27'!N40)</f>
        <v>DNK</v>
      </c>
      <c r="E40" s="36">
        <f>'27'!O40</f>
        <v>27</v>
      </c>
      <c r="F40" s="36">
        <f>'27'!P40</f>
        <v>112</v>
      </c>
      <c r="G40" s="103">
        <f>'27'!Q40</f>
        <v>0</v>
      </c>
      <c r="H40" s="160">
        <f>'27'!R40</f>
        <v>0</v>
      </c>
      <c r="I40" s="160">
        <f>'27'!S40</f>
        <v>0</v>
      </c>
      <c r="J40" s="160"/>
      <c r="K40" s="104">
        <f>'27'!T40</f>
        <v>0</v>
      </c>
      <c r="L40" s="36">
        <f>'27'!U40</f>
        <v>0</v>
      </c>
      <c r="M40" s="103">
        <f>'27'!V40</f>
        <v>0</v>
      </c>
      <c r="N40" s="160"/>
      <c r="O40" s="104">
        <f>'27'!W40</f>
        <v>0</v>
      </c>
      <c r="P40" s="52" t="str">
        <f>IF('27'!X40=0,"",'27'!X40)</f>
        <v/>
      </c>
      <c r="Q40" s="109" t="str">
        <f>IF('27'!Y40=0,"",'27'!Y40)</f>
        <v/>
      </c>
      <c r="R40" s="36" t="str">
        <f>IF('27'!Z40=0,"",'27'!Z40)</f>
        <v>0026</v>
      </c>
      <c r="S40" s="36" t="e">
        <f>IF('27'!AA40=0,"",'27'!AA40)</f>
        <v>#N/A</v>
      </c>
      <c r="T40" s="268"/>
      <c r="U40" s="268"/>
      <c r="V40" s="268"/>
    </row>
    <row r="41" ht="15" customHeight="1" spans="2:22">
      <c r="B41" s="14">
        <f t="shared" si="0"/>
        <v>12</v>
      </c>
      <c r="C41" s="83">
        <f>'27'!M41</f>
        <v>0</v>
      </c>
      <c r="D41" s="110" t="str">
        <f>IF('27'!N41=0,"",'27'!N41)</f>
        <v/>
      </c>
      <c r="E41" s="85">
        <f>'27'!O41</f>
        <v>27</v>
      </c>
      <c r="F41" s="85">
        <f>'27'!P41</f>
        <v>112</v>
      </c>
      <c r="G41" s="105">
        <f>'27'!Q41</f>
        <v>0</v>
      </c>
      <c r="H41" s="161">
        <f>'27'!R41</f>
        <v>0</v>
      </c>
      <c r="I41" s="161">
        <f>'27'!S41</f>
        <v>0</v>
      </c>
      <c r="J41" s="161"/>
      <c r="K41" s="106">
        <f>'27'!T41</f>
        <v>0</v>
      </c>
      <c r="L41" s="85">
        <f>'27'!U41</f>
        <v>3</v>
      </c>
      <c r="M41" s="105">
        <f>'27'!V41</f>
        <v>0</v>
      </c>
      <c r="N41" s="161"/>
      <c r="O41" s="106">
        <f>'27'!W41</f>
        <v>0</v>
      </c>
      <c r="P41" s="107" t="str">
        <f>IF('27'!X41=0,"",'27'!X41)</f>
        <v/>
      </c>
      <c r="Q41" s="111" t="str">
        <f>IF('27'!Y41=0,"",'27'!Y41)</f>
        <v/>
      </c>
      <c r="R41" s="85" t="str">
        <f>IF('27'!Z41=0,"",'27'!Z41)</f>
        <v/>
      </c>
      <c r="S41" s="85" t="e">
        <f>IF('27'!AA41=0,"",'27'!AA41)</f>
        <v>#N/A</v>
      </c>
      <c r="T41" s="268"/>
      <c r="U41" s="268"/>
      <c r="V41" s="268"/>
    </row>
    <row r="42" ht="15" customHeight="1" spans="2:22">
      <c r="B42" s="6">
        <f t="shared" si="0"/>
        <v>13</v>
      </c>
      <c r="C42" s="79" t="str">
        <f>'27'!M42</f>
        <v>99918 Jacob</v>
      </c>
      <c r="D42" s="62" t="str">
        <f>IF('27'!N42=0,"",'27'!N42)</f>
        <v>DNK</v>
      </c>
      <c r="E42" s="81">
        <f>'27'!O42</f>
        <v>27</v>
      </c>
      <c r="F42" s="81">
        <f>'27'!P42</f>
        <v>113</v>
      </c>
      <c r="G42" s="100" t="str">
        <f>'27'!Q42</f>
        <v>Double</v>
      </c>
      <c r="H42" s="159">
        <f>'27'!R42</f>
        <v>0</v>
      </c>
      <c r="I42" s="159">
        <f>'27'!S42</f>
        <v>0</v>
      </c>
      <c r="J42" s="159"/>
      <c r="K42" s="101">
        <f>'27'!T42</f>
        <v>0</v>
      </c>
      <c r="L42" s="81">
        <f>'27'!U42</f>
        <v>1</v>
      </c>
      <c r="M42" s="100">
        <f>'27'!V42</f>
        <v>2</v>
      </c>
      <c r="N42" s="159"/>
      <c r="O42" s="101">
        <f>'27'!W42</f>
        <v>0</v>
      </c>
      <c r="P42" s="102" t="str">
        <f>IF('27'!X42=0,"",'27'!X42)</f>
        <v/>
      </c>
      <c r="Q42" s="108" t="str">
        <f>IF('27'!Y42=0,"",'27'!Y42)</f>
        <v/>
      </c>
      <c r="R42" s="81" t="str">
        <f>IF('27'!Z42=0,"",'27'!Z42)</f>
        <v>0028</v>
      </c>
      <c r="S42" s="81" t="e">
        <f>IF('27'!AA42=0,"",'27'!AA42)</f>
        <v>#N/A</v>
      </c>
      <c r="T42" s="268"/>
      <c r="U42" s="268"/>
      <c r="V42" s="268"/>
    </row>
    <row r="43" ht="15" customHeight="1" spans="2:22">
      <c r="B43" s="9">
        <f t="shared" si="0"/>
        <v>13</v>
      </c>
      <c r="C43" s="31">
        <f>'27'!M43</f>
        <v>0</v>
      </c>
      <c r="D43" s="32" t="str">
        <f>IF('27'!N43=0,"",'27'!N43)</f>
        <v/>
      </c>
      <c r="E43" s="36">
        <f>'27'!O43</f>
        <v>27</v>
      </c>
      <c r="F43" s="36">
        <f>'27'!P43</f>
        <v>113</v>
      </c>
      <c r="G43" s="103">
        <f>'27'!Q43</f>
        <v>0</v>
      </c>
      <c r="H43" s="160">
        <f>'27'!R43</f>
        <v>0</v>
      </c>
      <c r="I43" s="160">
        <f>'27'!S43</f>
        <v>0</v>
      </c>
      <c r="J43" s="160"/>
      <c r="K43" s="104">
        <f>'27'!T43</f>
        <v>0</v>
      </c>
      <c r="L43" s="36">
        <f>'27'!U43</f>
        <v>0</v>
      </c>
      <c r="M43" s="103">
        <f>'27'!V43</f>
        <v>0</v>
      </c>
      <c r="N43" s="160"/>
      <c r="O43" s="104">
        <f>'27'!W43</f>
        <v>0</v>
      </c>
      <c r="P43" s="52" t="str">
        <f>IF('27'!X43=0,"",'27'!X43)</f>
        <v/>
      </c>
      <c r="Q43" s="109" t="str">
        <f>IF('27'!Y43=0,"",'27'!Y43)</f>
        <v/>
      </c>
      <c r="R43" s="36" t="str">
        <f>IF('27'!Z43=0,"",'27'!Z43)</f>
        <v/>
      </c>
      <c r="S43" s="36" t="e">
        <f>IF('27'!AA43=0,"",'27'!AA43)</f>
        <v>#N/A</v>
      </c>
      <c r="T43" s="268"/>
      <c r="U43" s="268"/>
      <c r="V43" s="268"/>
    </row>
    <row r="44" ht="15" customHeight="1" spans="2:22">
      <c r="B44" s="14">
        <f t="shared" si="0"/>
        <v>13</v>
      </c>
      <c r="C44" s="83">
        <f>'27'!M44</f>
        <v>0</v>
      </c>
      <c r="D44" s="110" t="str">
        <f>IF('27'!N44=0,"",'27'!N44)</f>
        <v>DNK</v>
      </c>
      <c r="E44" s="85">
        <f>'27'!O44</f>
        <v>27</v>
      </c>
      <c r="F44" s="85">
        <f>'27'!P44</f>
        <v>113</v>
      </c>
      <c r="G44" s="105">
        <f>'27'!Q44</f>
        <v>0</v>
      </c>
      <c r="H44" s="161">
        <f>'27'!R44</f>
        <v>0</v>
      </c>
      <c r="I44" s="161">
        <f>'27'!S44</f>
        <v>0</v>
      </c>
      <c r="J44" s="161"/>
      <c r="K44" s="106">
        <f>'27'!T44</f>
        <v>0</v>
      </c>
      <c r="L44" s="85">
        <f>'27'!U44</f>
        <v>3</v>
      </c>
      <c r="M44" s="105">
        <f>'27'!V44</f>
        <v>0</v>
      </c>
      <c r="N44" s="161"/>
      <c r="O44" s="106">
        <f>'27'!W44</f>
        <v>0</v>
      </c>
      <c r="P44" s="107" t="str">
        <f>IF('27'!X44=0,"",'27'!X44)</f>
        <v/>
      </c>
      <c r="Q44" s="111" t="str">
        <f>IF('27'!Y44=0,"",'27'!Y44)</f>
        <v/>
      </c>
      <c r="R44" s="85" t="str">
        <f>IF('27'!Z44=0,"",'27'!Z44)</f>
        <v>0027</v>
      </c>
      <c r="S44" s="85" t="e">
        <f>IF('27'!AA44=0,"",'27'!AA44)</f>
        <v>#N/A</v>
      </c>
      <c r="T44" s="268"/>
      <c r="U44" s="268"/>
      <c r="V44" s="268"/>
    </row>
    <row r="45" ht="15" customHeight="1" spans="2:22">
      <c r="B45" s="6">
        <f t="shared" si="0"/>
        <v>14</v>
      </c>
      <c r="C45" s="79" t="str">
        <f>'27'!M45</f>
        <v>99916 Johan</v>
      </c>
      <c r="D45" s="62" t="str">
        <f>IF('27'!N45=0,"",'27'!N45)</f>
        <v/>
      </c>
      <c r="E45" s="81">
        <f>'27'!O45</f>
        <v>27</v>
      </c>
      <c r="F45" s="81">
        <f>'27'!P45</f>
        <v>114</v>
      </c>
      <c r="G45" s="100" t="str">
        <f>'27'!Q45</f>
        <v>Double</v>
      </c>
      <c r="H45" s="159">
        <f>'27'!R45</f>
        <v>0</v>
      </c>
      <c r="I45" s="159">
        <f>'27'!S45</f>
        <v>0</v>
      </c>
      <c r="J45" s="159"/>
      <c r="K45" s="101">
        <f>'27'!T45</f>
        <v>0</v>
      </c>
      <c r="L45" s="81">
        <f>'27'!U45</f>
        <v>0</v>
      </c>
      <c r="M45" s="100">
        <f>'27'!V45</f>
        <v>2</v>
      </c>
      <c r="N45" s="159"/>
      <c r="O45" s="101">
        <f>'27'!W45</f>
        <v>0</v>
      </c>
      <c r="P45" s="102" t="str">
        <f>IF('27'!X45=0,"",'27'!X45)</f>
        <v/>
      </c>
      <c r="Q45" s="108" t="str">
        <f>IF('27'!Y45=0,"",'27'!Y45)</f>
        <v/>
      </c>
      <c r="R45" s="81" t="str">
        <f>IF('27'!Z45=0,"",'27'!Z45)</f>
        <v/>
      </c>
      <c r="S45" s="81" t="e">
        <f>IF('27'!AA45=0,"",'27'!AA45)</f>
        <v>#N/A</v>
      </c>
      <c r="T45" s="268"/>
      <c r="U45" s="268"/>
      <c r="V45" s="268"/>
    </row>
    <row r="46" ht="15" customHeight="1" spans="2:22">
      <c r="B46" s="9">
        <f t="shared" si="0"/>
        <v>14</v>
      </c>
      <c r="C46" s="31">
        <f>'27'!M46</f>
        <v>0</v>
      </c>
      <c r="D46" s="32" t="str">
        <f>IF('27'!N46=0,"",'27'!N46)</f>
        <v>DNK</v>
      </c>
      <c r="E46" s="36">
        <f>'27'!O46</f>
        <v>27</v>
      </c>
      <c r="F46" s="36">
        <f>'27'!P46</f>
        <v>114</v>
      </c>
      <c r="G46" s="103">
        <f>'27'!Q46</f>
        <v>0</v>
      </c>
      <c r="H46" s="160">
        <f>'27'!R46</f>
        <v>0</v>
      </c>
      <c r="I46" s="160">
        <f>'27'!S46</f>
        <v>0</v>
      </c>
      <c r="J46" s="160"/>
      <c r="K46" s="104">
        <f>'27'!T46</f>
        <v>0</v>
      </c>
      <c r="L46" s="36">
        <f>'27'!U46</f>
        <v>2</v>
      </c>
      <c r="M46" s="103">
        <f>'27'!V46</f>
        <v>0</v>
      </c>
      <c r="N46" s="160"/>
      <c r="O46" s="104">
        <f>'27'!W46</f>
        <v>0</v>
      </c>
      <c r="P46" s="52" t="str">
        <f>IF('27'!X46=0,"",'27'!X46)</f>
        <v/>
      </c>
      <c r="Q46" s="109" t="str">
        <f>IF('27'!Y46=0,"",'27'!Y46)</f>
        <v/>
      </c>
      <c r="R46" s="36" t="str">
        <f>IF('27'!Z46=0,"",'27'!Z46)</f>
        <v>0029</v>
      </c>
      <c r="S46" s="36" t="e">
        <f>IF('27'!AA46=0,"",'27'!AA46)</f>
        <v>#N/A</v>
      </c>
      <c r="T46" s="268"/>
      <c r="U46" s="268"/>
      <c r="V46" s="268"/>
    </row>
    <row r="47" ht="15" customHeight="1" spans="2:22">
      <c r="B47" s="14">
        <f t="shared" si="0"/>
        <v>14</v>
      </c>
      <c r="C47" s="83">
        <f>'27'!M47</f>
        <v>0</v>
      </c>
      <c r="D47" s="110" t="str">
        <f>IF('27'!N47=0,"",'27'!N47)</f>
        <v>DNK</v>
      </c>
      <c r="E47" s="85">
        <f>'27'!O47</f>
        <v>27</v>
      </c>
      <c r="F47" s="85">
        <f>'27'!P47</f>
        <v>114</v>
      </c>
      <c r="G47" s="105">
        <f>'27'!Q47</f>
        <v>0</v>
      </c>
      <c r="H47" s="161">
        <f>'27'!R47</f>
        <v>0</v>
      </c>
      <c r="I47" s="161">
        <f>'27'!S47</f>
        <v>0</v>
      </c>
      <c r="J47" s="161"/>
      <c r="K47" s="106">
        <f>'27'!T47</f>
        <v>0</v>
      </c>
      <c r="L47" s="85">
        <f>'27'!U47</f>
        <v>3</v>
      </c>
      <c r="M47" s="105">
        <f>'27'!V47</f>
        <v>0</v>
      </c>
      <c r="N47" s="161"/>
      <c r="O47" s="106">
        <f>'27'!W47</f>
        <v>0</v>
      </c>
      <c r="P47" s="107" t="str">
        <f>IF('27'!X47=0,"",'27'!X47)</f>
        <v/>
      </c>
      <c r="Q47" s="111" t="str">
        <f>IF('27'!Y47=0,"",'27'!Y47)</f>
        <v/>
      </c>
      <c r="R47" s="85" t="str">
        <f>IF('27'!Z47=0,"",'27'!Z47)</f>
        <v>0030</v>
      </c>
      <c r="S47" s="85" t="e">
        <f>IF('27'!AA47=0,"",'27'!AA47)</f>
        <v>#N/A</v>
      </c>
      <c r="T47" s="268"/>
      <c r="U47" s="268"/>
      <c r="V47" s="268"/>
    </row>
    <row r="48" ht="15" customHeight="1" spans="2:22">
      <c r="B48" s="6">
        <f t="shared" si="0"/>
        <v>15</v>
      </c>
      <c r="C48" s="79" t="str">
        <f>'27'!M48</f>
        <v>99912 Peter</v>
      </c>
      <c r="D48" s="62" t="str">
        <f>IF('27'!N48=0,"",'27'!N48)</f>
        <v>DNK</v>
      </c>
      <c r="E48" s="81">
        <f>'27'!O48</f>
        <v>27</v>
      </c>
      <c r="F48" s="81">
        <f>'27'!P48</f>
        <v>115</v>
      </c>
      <c r="G48" s="100" t="str">
        <f>'27'!Q48</f>
        <v>Triple</v>
      </c>
      <c r="H48" s="159">
        <f>'27'!R48</f>
        <v>0</v>
      </c>
      <c r="I48" s="159">
        <f>'27'!S48</f>
        <v>0</v>
      </c>
      <c r="J48" s="159"/>
      <c r="K48" s="101">
        <f>'27'!T48</f>
        <v>0</v>
      </c>
      <c r="L48" s="81">
        <f>'27'!U48</f>
        <v>1</v>
      </c>
      <c r="M48" s="100">
        <f>'27'!V48</f>
        <v>3</v>
      </c>
      <c r="N48" s="159"/>
      <c r="O48" s="101">
        <f>'27'!W48</f>
        <v>0</v>
      </c>
      <c r="P48" s="102" t="str">
        <f>IF('27'!X48=0,"",'27'!X48)</f>
        <v/>
      </c>
      <c r="Q48" s="108" t="str">
        <f>IF('27'!Y48=0,"",'27'!Y48)</f>
        <v/>
      </c>
      <c r="R48" s="81" t="str">
        <f>IF('27'!Z48=0,"",'27'!Z48)</f>
        <v>0033</v>
      </c>
      <c r="S48" s="81" t="e">
        <f>IF('27'!AA48=0,"",'27'!AA48)</f>
        <v>#N/A</v>
      </c>
      <c r="T48" s="268"/>
      <c r="U48" s="268"/>
      <c r="V48" s="268"/>
    </row>
    <row r="49" ht="15" customHeight="1" spans="2:22">
      <c r="B49" s="9">
        <f t="shared" si="0"/>
        <v>15</v>
      </c>
      <c r="C49" s="31">
        <f>'27'!M49</f>
        <v>0</v>
      </c>
      <c r="D49" s="32" t="str">
        <f>IF('27'!N49=0,"",'27'!N49)</f>
        <v>DNK</v>
      </c>
      <c r="E49" s="36">
        <f>'27'!O49</f>
        <v>27</v>
      </c>
      <c r="F49" s="36">
        <f>'27'!P49</f>
        <v>115</v>
      </c>
      <c r="G49" s="103">
        <f>'27'!Q49</f>
        <v>0</v>
      </c>
      <c r="H49" s="160">
        <f>'27'!R49</f>
        <v>0</v>
      </c>
      <c r="I49" s="160">
        <f>'27'!S49</f>
        <v>0</v>
      </c>
      <c r="J49" s="160"/>
      <c r="K49" s="104">
        <f>'27'!T49</f>
        <v>0</v>
      </c>
      <c r="L49" s="36">
        <f>'27'!U49</f>
        <v>2</v>
      </c>
      <c r="M49" s="103">
        <f>'27'!V49</f>
        <v>0</v>
      </c>
      <c r="N49" s="160"/>
      <c r="O49" s="104">
        <f>'27'!W49</f>
        <v>0</v>
      </c>
      <c r="P49" s="52" t="str">
        <f>IF('27'!X49=0,"",'27'!X49)</f>
        <v/>
      </c>
      <c r="Q49" s="109" t="str">
        <f>IF('27'!Y49=0,"",'27'!Y49)</f>
        <v/>
      </c>
      <c r="R49" s="36" t="str">
        <f>IF('27'!Z49=0,"",'27'!Z49)</f>
        <v>0032</v>
      </c>
      <c r="S49" s="36" t="e">
        <f>IF('27'!AA49=0,"",'27'!AA49)</f>
        <v>#N/A</v>
      </c>
      <c r="T49" s="268"/>
      <c r="U49" s="268"/>
      <c r="V49" s="268"/>
    </row>
    <row r="50" ht="15" customHeight="1" spans="2:22">
      <c r="B50" s="14">
        <f t="shared" si="0"/>
        <v>15</v>
      </c>
      <c r="C50" s="83">
        <f>'27'!M50</f>
        <v>0</v>
      </c>
      <c r="D50" s="110" t="str">
        <f>IF('27'!N50=0,"",'27'!N50)</f>
        <v>DNK</v>
      </c>
      <c r="E50" s="85">
        <f>'27'!O50</f>
        <v>27</v>
      </c>
      <c r="F50" s="85">
        <f>'27'!P50</f>
        <v>115</v>
      </c>
      <c r="G50" s="105">
        <f>'27'!Q50</f>
        <v>0</v>
      </c>
      <c r="H50" s="161">
        <f>'27'!R50</f>
        <v>0</v>
      </c>
      <c r="I50" s="161">
        <f>'27'!S50</f>
        <v>0</v>
      </c>
      <c r="J50" s="161"/>
      <c r="K50" s="106">
        <f>'27'!T50</f>
        <v>0</v>
      </c>
      <c r="L50" s="85">
        <f>'27'!U50</f>
        <v>3</v>
      </c>
      <c r="M50" s="105">
        <f>'27'!V50</f>
        <v>0</v>
      </c>
      <c r="N50" s="161"/>
      <c r="O50" s="106">
        <f>'27'!W50</f>
        <v>0</v>
      </c>
      <c r="P50" s="107" t="str">
        <f>IF('27'!X50=0,"",'27'!X50)</f>
        <v/>
      </c>
      <c r="Q50" s="111" t="str">
        <f>IF('27'!Y50=0,"",'27'!Y50)</f>
        <v/>
      </c>
      <c r="R50" s="85" t="str">
        <f>IF('27'!Z50=0,"",'27'!Z50)</f>
        <v>0031</v>
      </c>
      <c r="S50" s="85" t="e">
        <f>IF('27'!AA50=0,"",'27'!AA50)</f>
        <v>#N/A</v>
      </c>
      <c r="T50" s="268"/>
      <c r="U50" s="268"/>
      <c r="V50" s="268"/>
    </row>
    <row r="51" ht="15" customHeight="1" spans="2:22">
      <c r="B51" s="6">
        <f t="shared" si="0"/>
        <v>16</v>
      </c>
      <c r="C51" s="79" t="str">
        <f>'27'!M51</f>
        <v>99910 Roger</v>
      </c>
      <c r="D51" s="62" t="str">
        <f>IF('27'!N51=0,"",'27'!N51)</f>
        <v>DNK</v>
      </c>
      <c r="E51" s="81">
        <f>'27'!O51</f>
        <v>27</v>
      </c>
      <c r="F51" s="81">
        <f>'27'!P51</f>
        <v>116</v>
      </c>
      <c r="G51" s="100" t="str">
        <f>'27'!Q51</f>
        <v>Double</v>
      </c>
      <c r="H51" s="159">
        <f>'27'!R51</f>
        <v>0</v>
      </c>
      <c r="I51" s="159">
        <f>'27'!S51</f>
        <v>0</v>
      </c>
      <c r="J51" s="159"/>
      <c r="K51" s="101">
        <f>'27'!T51</f>
        <v>0</v>
      </c>
      <c r="L51" s="81">
        <f>'27'!U51</f>
        <v>1</v>
      </c>
      <c r="M51" s="100">
        <f>'27'!V51</f>
        <v>2</v>
      </c>
      <c r="N51" s="159"/>
      <c r="O51" s="101">
        <f>'27'!W51</f>
        <v>0</v>
      </c>
      <c r="P51" s="102" t="str">
        <f>IF('27'!X51=0,"",'27'!X51)</f>
        <v/>
      </c>
      <c r="Q51" s="108" t="str">
        <f>IF('27'!Y51=0,"",'27'!Y51)</f>
        <v/>
      </c>
      <c r="R51" s="81" t="str">
        <f>IF('27'!Z51=0,"",'27'!Z51)</f>
        <v>0034</v>
      </c>
      <c r="S51" s="81" t="e">
        <f>IF('27'!AA51=0,"",'27'!AA51)</f>
        <v>#N/A</v>
      </c>
      <c r="T51" s="268"/>
      <c r="U51" s="268"/>
      <c r="V51" s="268"/>
    </row>
    <row r="52" ht="15" customHeight="1" spans="2:22">
      <c r="B52" s="9">
        <f t="shared" si="0"/>
        <v>16</v>
      </c>
      <c r="C52" s="31">
        <f>'27'!M52</f>
        <v>0</v>
      </c>
      <c r="D52" s="32" t="str">
        <f>IF('27'!N52=0,"",'27'!N52)</f>
        <v/>
      </c>
      <c r="E52" s="36">
        <f>'27'!O52</f>
        <v>27</v>
      </c>
      <c r="F52" s="36">
        <f>'27'!P52</f>
        <v>116</v>
      </c>
      <c r="G52" s="103">
        <f>'27'!Q52</f>
        <v>0</v>
      </c>
      <c r="H52" s="160">
        <f>'27'!R52</f>
        <v>0</v>
      </c>
      <c r="I52" s="160">
        <f>'27'!S52</f>
        <v>0</v>
      </c>
      <c r="J52" s="160"/>
      <c r="K52" s="104">
        <f>'27'!T52</f>
        <v>0</v>
      </c>
      <c r="L52" s="36">
        <f>'27'!U52</f>
        <v>0</v>
      </c>
      <c r="M52" s="103">
        <f>'27'!V52</f>
        <v>0</v>
      </c>
      <c r="N52" s="160"/>
      <c r="O52" s="104">
        <f>'27'!W52</f>
        <v>0</v>
      </c>
      <c r="P52" s="52" t="str">
        <f>IF('27'!X52=0,"",'27'!X52)</f>
        <v/>
      </c>
      <c r="Q52" s="109" t="str">
        <f>IF('27'!Y52=0,"",'27'!Y52)</f>
        <v/>
      </c>
      <c r="R52" s="36" t="str">
        <f>IF('27'!Z52=0,"",'27'!Z52)</f>
        <v/>
      </c>
      <c r="S52" s="36" t="e">
        <f>IF('27'!AA52=0,"",'27'!AA52)</f>
        <v>#N/A</v>
      </c>
      <c r="T52" s="268"/>
      <c r="U52" s="268"/>
      <c r="V52" s="268"/>
    </row>
    <row r="53" ht="15" customHeight="1" spans="2:22">
      <c r="B53" s="14">
        <f t="shared" si="0"/>
        <v>16</v>
      </c>
      <c r="C53" s="83">
        <f>'27'!M53</f>
        <v>0</v>
      </c>
      <c r="D53" s="110" t="str">
        <f>IF('27'!N53=0,"",'27'!N53)</f>
        <v>DNK</v>
      </c>
      <c r="E53" s="85">
        <f>'27'!O53</f>
        <v>27</v>
      </c>
      <c r="F53" s="85">
        <f>'27'!P53</f>
        <v>116</v>
      </c>
      <c r="G53" s="105">
        <f>'27'!Q53</f>
        <v>0</v>
      </c>
      <c r="H53" s="161">
        <f>'27'!R53</f>
        <v>0</v>
      </c>
      <c r="I53" s="161">
        <f>'27'!S53</f>
        <v>0</v>
      </c>
      <c r="J53" s="161"/>
      <c r="K53" s="106">
        <f>'27'!T53</f>
        <v>0</v>
      </c>
      <c r="L53" s="85">
        <f>'27'!U53</f>
        <v>3</v>
      </c>
      <c r="M53" s="105">
        <f>'27'!V53</f>
        <v>0</v>
      </c>
      <c r="N53" s="161"/>
      <c r="O53" s="106">
        <f>'27'!W53</f>
        <v>0</v>
      </c>
      <c r="P53" s="107" t="str">
        <f>IF('27'!X53=0,"",'27'!X53)</f>
        <v/>
      </c>
      <c r="Q53" s="111" t="str">
        <f>IF('27'!Y53=0,"",'27'!Y53)</f>
        <v/>
      </c>
      <c r="R53" s="85" t="str">
        <f>IF('27'!Z53=0,"",'27'!Z53)</f>
        <v>0035</v>
      </c>
      <c r="S53" s="85" t="e">
        <f>IF('27'!AA53=0,"",'27'!AA53)</f>
        <v>#N/A</v>
      </c>
      <c r="T53" s="268"/>
      <c r="U53" s="268"/>
      <c r="V53" s="268"/>
    </row>
    <row r="54" ht="15" customHeight="1" spans="2:22">
      <c r="B54" s="6">
        <f t="shared" si="0"/>
        <v>17</v>
      </c>
      <c r="C54" s="79" t="str">
        <f>'27'!M54</f>
        <v>99908 Frida</v>
      </c>
      <c r="D54" s="62" t="str">
        <f>IF('27'!N54=0,"",'27'!N54)</f>
        <v/>
      </c>
      <c r="E54" s="81">
        <f>'27'!O54</f>
        <v>27</v>
      </c>
      <c r="F54" s="81">
        <f>'27'!P54</f>
        <v>117</v>
      </c>
      <c r="G54" s="100" t="str">
        <f>'27'!Q54</f>
        <v>Double</v>
      </c>
      <c r="H54" s="159">
        <f>'27'!R54</f>
        <v>0</v>
      </c>
      <c r="I54" s="159">
        <f>'27'!S54</f>
        <v>0</v>
      </c>
      <c r="J54" s="159"/>
      <c r="K54" s="101">
        <f>'27'!T54</f>
        <v>0</v>
      </c>
      <c r="L54" s="81">
        <f>'27'!U54</f>
        <v>0</v>
      </c>
      <c r="M54" s="100">
        <f>'27'!V54</f>
        <v>2</v>
      </c>
      <c r="N54" s="159"/>
      <c r="O54" s="101">
        <f>'27'!W54</f>
        <v>0</v>
      </c>
      <c r="P54" s="102" t="str">
        <f>IF('27'!X54=0,"",'27'!X54)</f>
        <v/>
      </c>
      <c r="Q54" s="108" t="str">
        <f>IF('27'!Y54=0,"",'27'!Y54)</f>
        <v/>
      </c>
      <c r="R54" s="81" t="str">
        <f>IF('27'!Z54=0,"",'27'!Z54)</f>
        <v/>
      </c>
      <c r="S54" s="81" t="e">
        <f>IF('27'!AA54=0,"",'27'!AA54)</f>
        <v>#N/A</v>
      </c>
      <c r="T54" s="268"/>
      <c r="U54" s="268"/>
      <c r="V54" s="268"/>
    </row>
    <row r="55" ht="15" customHeight="1" spans="2:22">
      <c r="B55" s="9">
        <f t="shared" si="0"/>
        <v>17</v>
      </c>
      <c r="C55" s="31">
        <f>'27'!M55</f>
        <v>0</v>
      </c>
      <c r="D55" s="32" t="str">
        <f>IF('27'!N55=0,"",'27'!N55)</f>
        <v>DNK</v>
      </c>
      <c r="E55" s="36">
        <f>'27'!O55</f>
        <v>27</v>
      </c>
      <c r="F55" s="36">
        <f>'27'!P55</f>
        <v>117</v>
      </c>
      <c r="G55" s="103">
        <f>'27'!Q55</f>
        <v>0</v>
      </c>
      <c r="H55" s="160">
        <f>'27'!R55</f>
        <v>0</v>
      </c>
      <c r="I55" s="160">
        <f>'27'!S55</f>
        <v>0</v>
      </c>
      <c r="J55" s="160"/>
      <c r="K55" s="104">
        <f>'27'!T55</f>
        <v>0</v>
      </c>
      <c r="L55" s="36">
        <f>'27'!U55</f>
        <v>2</v>
      </c>
      <c r="M55" s="103">
        <f>'27'!V55</f>
        <v>0</v>
      </c>
      <c r="N55" s="160"/>
      <c r="O55" s="104">
        <f>'27'!W55</f>
        <v>0</v>
      </c>
      <c r="P55" s="52" t="str">
        <f>IF('27'!X55=0,"",'27'!X55)</f>
        <v/>
      </c>
      <c r="Q55" s="109" t="str">
        <f>IF('27'!Y55=0,"",'27'!Y55)</f>
        <v/>
      </c>
      <c r="R55" s="36" t="str">
        <f>IF('27'!Z55=0,"",'27'!Z55)</f>
        <v>0037</v>
      </c>
      <c r="S55" s="36" t="e">
        <f>IF('27'!AA55=0,"",'27'!AA55)</f>
        <v>#N/A</v>
      </c>
      <c r="T55" s="268"/>
      <c r="U55" s="268"/>
      <c r="V55" s="268"/>
    </row>
    <row r="56" ht="15" customHeight="1" spans="2:22">
      <c r="B56" s="14">
        <f t="shared" si="0"/>
        <v>17</v>
      </c>
      <c r="C56" s="83">
        <f>'27'!M56</f>
        <v>0</v>
      </c>
      <c r="D56" s="110" t="str">
        <f>IF('27'!N56=0,"",'27'!N56)</f>
        <v>DNK</v>
      </c>
      <c r="E56" s="85">
        <f>'27'!O56</f>
        <v>27</v>
      </c>
      <c r="F56" s="85">
        <f>'27'!P56</f>
        <v>117</v>
      </c>
      <c r="G56" s="105">
        <f>'27'!Q56</f>
        <v>0</v>
      </c>
      <c r="H56" s="161">
        <f>'27'!R56</f>
        <v>0</v>
      </c>
      <c r="I56" s="161">
        <f>'27'!S56</f>
        <v>0</v>
      </c>
      <c r="J56" s="161"/>
      <c r="K56" s="106">
        <f>'27'!T56</f>
        <v>0</v>
      </c>
      <c r="L56" s="85">
        <f>'27'!U56</f>
        <v>3</v>
      </c>
      <c r="M56" s="105">
        <f>'27'!V56</f>
        <v>0</v>
      </c>
      <c r="N56" s="161"/>
      <c r="O56" s="106">
        <f>'27'!W56</f>
        <v>0</v>
      </c>
      <c r="P56" s="107" t="str">
        <f>IF('27'!X56=0,"",'27'!X56)</f>
        <v/>
      </c>
      <c r="Q56" s="111" t="str">
        <f>IF('27'!Y56=0,"",'27'!Y56)</f>
        <v/>
      </c>
      <c r="R56" s="85" t="str">
        <f>IF('27'!Z56=0,"",'27'!Z56)</f>
        <v>0036</v>
      </c>
      <c r="S56" s="85" t="e">
        <f>IF('27'!AA56=0,"",'27'!AA56)</f>
        <v>#N/A</v>
      </c>
      <c r="T56" s="268"/>
      <c r="U56" s="268"/>
      <c r="V56" s="268"/>
    </row>
    <row r="57" ht="15" customHeight="1" spans="2:22">
      <c r="B57" s="6">
        <f t="shared" si="0"/>
        <v>18</v>
      </c>
      <c r="C57" s="79" t="str">
        <f>'27'!M57</f>
        <v>99906 Christoffer</v>
      </c>
      <c r="D57" s="62" t="str">
        <f>IF('27'!N57=0,"",'27'!N57)</f>
        <v>DNK</v>
      </c>
      <c r="E57" s="81">
        <f>'27'!O57</f>
        <v>27</v>
      </c>
      <c r="F57" s="81">
        <f>'27'!P57</f>
        <v>118</v>
      </c>
      <c r="G57" s="100" t="str">
        <f>'27'!Q57</f>
        <v>Triple</v>
      </c>
      <c r="H57" s="159">
        <f>'27'!R57</f>
        <v>0</v>
      </c>
      <c r="I57" s="159">
        <f>'27'!S57</f>
        <v>0</v>
      </c>
      <c r="J57" s="159"/>
      <c r="K57" s="101">
        <f>'27'!T57</f>
        <v>0</v>
      </c>
      <c r="L57" s="81">
        <f>'27'!U57</f>
        <v>1</v>
      </c>
      <c r="M57" s="100">
        <f>'27'!V57</f>
        <v>3</v>
      </c>
      <c r="N57" s="159"/>
      <c r="O57" s="101">
        <f>'27'!W57</f>
        <v>0</v>
      </c>
      <c r="P57" s="102" t="str">
        <f>IF('27'!X57=0,"",'27'!X57)</f>
        <v/>
      </c>
      <c r="Q57" s="108" t="str">
        <f>IF('27'!Y57=0,"",'27'!Y57)</f>
        <v/>
      </c>
      <c r="R57" s="81" t="str">
        <f>IF('27'!Z57=0,"",'27'!Z57)</f>
        <v>0039</v>
      </c>
      <c r="S57" s="81" t="e">
        <f>IF('27'!AA57=0,"",'27'!AA57)</f>
        <v>#N/A</v>
      </c>
      <c r="T57" s="268"/>
      <c r="U57" s="268"/>
      <c r="V57" s="268"/>
    </row>
    <row r="58" ht="15" customHeight="1" spans="2:22">
      <c r="B58" s="9">
        <f t="shared" si="0"/>
        <v>18</v>
      </c>
      <c r="C58" s="31">
        <f>'27'!M58</f>
        <v>0</v>
      </c>
      <c r="D58" s="32" t="str">
        <f>IF('27'!N58=0,"",'27'!N58)</f>
        <v>DNK</v>
      </c>
      <c r="E58" s="36">
        <f>'27'!O58</f>
        <v>27</v>
      </c>
      <c r="F58" s="36">
        <f>'27'!P58</f>
        <v>118</v>
      </c>
      <c r="G58" s="103">
        <f>'27'!Q58</f>
        <v>0</v>
      </c>
      <c r="H58" s="160">
        <f>'27'!R58</f>
        <v>0</v>
      </c>
      <c r="I58" s="160">
        <f>'27'!S58</f>
        <v>0</v>
      </c>
      <c r="J58" s="160"/>
      <c r="K58" s="104">
        <f>'27'!T58</f>
        <v>0</v>
      </c>
      <c r="L58" s="36">
        <f>'27'!U58</f>
        <v>2</v>
      </c>
      <c r="M58" s="103">
        <f>'27'!V58</f>
        <v>0</v>
      </c>
      <c r="N58" s="160"/>
      <c r="O58" s="104">
        <f>'27'!W58</f>
        <v>0</v>
      </c>
      <c r="P58" s="52" t="str">
        <f>IF('27'!X58=0,"",'27'!X58)</f>
        <v/>
      </c>
      <c r="Q58" s="109" t="str">
        <f>IF('27'!Y58=0,"",'27'!Y58)</f>
        <v/>
      </c>
      <c r="R58" s="36" t="str">
        <f>IF('27'!Z58=0,"",'27'!Z58)</f>
        <v>0038</v>
      </c>
      <c r="S58" s="36" t="e">
        <f>IF('27'!AA58=0,"",'27'!AA58)</f>
        <v>#N/A</v>
      </c>
      <c r="T58" s="268"/>
      <c r="U58" s="268"/>
      <c r="V58" s="268"/>
    </row>
    <row r="59" ht="15" customHeight="1" spans="2:22">
      <c r="B59" s="14">
        <f t="shared" si="0"/>
        <v>18</v>
      </c>
      <c r="C59" s="83">
        <f>'27'!M59</f>
        <v>0</v>
      </c>
      <c r="D59" s="110" t="str">
        <f>IF('27'!N59=0,"",'27'!N59)</f>
        <v>DNK</v>
      </c>
      <c r="E59" s="85">
        <f>'27'!O59</f>
        <v>27</v>
      </c>
      <c r="F59" s="85">
        <f>'27'!P59</f>
        <v>118</v>
      </c>
      <c r="G59" s="105">
        <f>'27'!Q59</f>
        <v>0</v>
      </c>
      <c r="H59" s="161">
        <f>'27'!R59</f>
        <v>0</v>
      </c>
      <c r="I59" s="161">
        <f>'27'!S59</f>
        <v>0</v>
      </c>
      <c r="J59" s="161"/>
      <c r="K59" s="106">
        <f>'27'!T59</f>
        <v>0</v>
      </c>
      <c r="L59" s="85">
        <f>'27'!U59</f>
        <v>3</v>
      </c>
      <c r="M59" s="105">
        <f>'27'!V59</f>
        <v>0</v>
      </c>
      <c r="N59" s="161"/>
      <c r="O59" s="106">
        <f>'27'!W59</f>
        <v>0</v>
      </c>
      <c r="P59" s="107" t="str">
        <f>IF('27'!X59=0,"",'27'!X59)</f>
        <v/>
      </c>
      <c r="Q59" s="111" t="str">
        <f>IF('27'!Y59=0,"",'27'!Y59)</f>
        <v/>
      </c>
      <c r="R59" s="85" t="str">
        <f>IF('27'!Z59=0,"",'27'!Z59)</f>
        <v>0040</v>
      </c>
      <c r="S59" s="85" t="e">
        <f>IF('27'!AA59=0,"",'27'!AA59)</f>
        <v>#N/A</v>
      </c>
      <c r="T59" s="268"/>
      <c r="U59" s="268"/>
      <c r="V59" s="268"/>
    </row>
    <row r="60" ht="15" customHeight="1" spans="2:22">
      <c r="B60" s="6">
        <f t="shared" si="0"/>
        <v>19</v>
      </c>
      <c r="C60" s="79" t="str">
        <f>'27'!M60</f>
        <v>99904 Philip</v>
      </c>
      <c r="D60" s="62" t="str">
        <f>IF('27'!N60=0,"",'27'!N60)</f>
        <v>DNK</v>
      </c>
      <c r="E60" s="81">
        <f>'27'!O60</f>
        <v>27</v>
      </c>
      <c r="F60" s="81">
        <f>'27'!P60</f>
        <v>119</v>
      </c>
      <c r="G60" s="100" t="str">
        <f>'27'!Q60</f>
        <v>Triple</v>
      </c>
      <c r="H60" s="159">
        <f>'27'!R60</f>
        <v>0</v>
      </c>
      <c r="I60" s="159">
        <f>'27'!S60</f>
        <v>0</v>
      </c>
      <c r="J60" s="159"/>
      <c r="K60" s="101">
        <f>'27'!T60</f>
        <v>0</v>
      </c>
      <c r="L60" s="81">
        <f>'27'!U60</f>
        <v>1</v>
      </c>
      <c r="M60" s="100">
        <f>'27'!V60</f>
        <v>3</v>
      </c>
      <c r="N60" s="159"/>
      <c r="O60" s="101">
        <f>'27'!W60</f>
        <v>0</v>
      </c>
      <c r="P60" s="102" t="str">
        <f>IF('27'!X60=0,"",'27'!X60)</f>
        <v/>
      </c>
      <c r="Q60" s="108" t="str">
        <f>IF('27'!Y60=0,"",'27'!Y60)</f>
        <v/>
      </c>
      <c r="R60" s="81" t="str">
        <f>IF('27'!Z60=0,"",'27'!Z60)</f>
        <v>0042</v>
      </c>
      <c r="S60" s="81" t="e">
        <f>IF('27'!AA60=0,"",'27'!AA60)</f>
        <v>#N/A</v>
      </c>
      <c r="T60" s="268"/>
      <c r="U60" s="268"/>
      <c r="V60" s="268"/>
    </row>
    <row r="61" ht="15" customHeight="1" spans="2:22">
      <c r="B61" s="9">
        <f t="shared" si="0"/>
        <v>19</v>
      </c>
      <c r="C61" s="31">
        <f>'27'!M61</f>
        <v>0</v>
      </c>
      <c r="D61" s="32" t="str">
        <f>IF('27'!N61=0,"",'27'!N61)</f>
        <v>DNK</v>
      </c>
      <c r="E61" s="36">
        <f>'27'!O61</f>
        <v>27</v>
      </c>
      <c r="F61" s="36">
        <f>'27'!P61</f>
        <v>119</v>
      </c>
      <c r="G61" s="103">
        <f>'27'!Q61</f>
        <v>0</v>
      </c>
      <c r="H61" s="160">
        <f>'27'!R61</f>
        <v>0</v>
      </c>
      <c r="I61" s="160">
        <f>'27'!S61</f>
        <v>0</v>
      </c>
      <c r="J61" s="160"/>
      <c r="K61" s="104">
        <f>'27'!T61</f>
        <v>0</v>
      </c>
      <c r="L61" s="36">
        <f>'27'!U61</f>
        <v>2</v>
      </c>
      <c r="M61" s="103">
        <f>'27'!V61</f>
        <v>0</v>
      </c>
      <c r="N61" s="160"/>
      <c r="O61" s="104">
        <f>'27'!W61</f>
        <v>0</v>
      </c>
      <c r="P61" s="52" t="str">
        <f>IF('27'!X61=0,"",'27'!X61)</f>
        <v/>
      </c>
      <c r="Q61" s="109" t="str">
        <f>IF('27'!Y61=0,"",'27'!Y61)</f>
        <v/>
      </c>
      <c r="R61" s="36" t="str">
        <f>IF('27'!Z61=0,"",'27'!Z61)</f>
        <v>0041</v>
      </c>
      <c r="S61" s="36" t="e">
        <f>IF('27'!AA61=0,"",'27'!AA61)</f>
        <v>#N/A</v>
      </c>
      <c r="T61" s="268"/>
      <c r="U61" s="268"/>
      <c r="V61" s="268"/>
    </row>
    <row r="62" ht="15" customHeight="1" spans="2:22">
      <c r="B62" s="14">
        <f t="shared" si="0"/>
        <v>19</v>
      </c>
      <c r="C62" s="83">
        <f>'27'!M62</f>
        <v>0</v>
      </c>
      <c r="D62" s="110" t="str">
        <f>IF('27'!N62=0,"",'27'!N62)</f>
        <v>DNK</v>
      </c>
      <c r="E62" s="85">
        <f>'27'!O62</f>
        <v>27</v>
      </c>
      <c r="F62" s="85">
        <f>'27'!P62</f>
        <v>119</v>
      </c>
      <c r="G62" s="105">
        <f>'27'!Q62</f>
        <v>0</v>
      </c>
      <c r="H62" s="161">
        <f>'27'!R62</f>
        <v>0</v>
      </c>
      <c r="I62" s="161">
        <f>'27'!S62</f>
        <v>0</v>
      </c>
      <c r="J62" s="161"/>
      <c r="K62" s="106">
        <f>'27'!T62</f>
        <v>0</v>
      </c>
      <c r="L62" s="85">
        <f>'27'!U62</f>
        <v>3</v>
      </c>
      <c r="M62" s="105">
        <f>'27'!V62</f>
        <v>0</v>
      </c>
      <c r="N62" s="161"/>
      <c r="O62" s="106">
        <f>'27'!W62</f>
        <v>0</v>
      </c>
      <c r="P62" s="107" t="str">
        <f>IF('27'!X62=0,"",'27'!X62)</f>
        <v/>
      </c>
      <c r="Q62" s="111" t="str">
        <f>IF('27'!Y62=0,"",'27'!Y62)</f>
        <v/>
      </c>
      <c r="R62" s="85" t="str">
        <f>IF('27'!Z62=0,"",'27'!Z62)</f>
        <v>0043</v>
      </c>
      <c r="S62" s="85" t="e">
        <f>IF('27'!AA62=0,"",'27'!AA62)</f>
        <v>#N/A</v>
      </c>
      <c r="T62" s="268"/>
      <c r="U62" s="268"/>
      <c r="V62" s="268"/>
    </row>
    <row r="63" ht="15" customHeight="1" spans="2:22">
      <c r="B63" s="6">
        <f t="shared" si="0"/>
        <v>20</v>
      </c>
      <c r="C63" s="79" t="str">
        <f>'27'!M63</f>
        <v>99902 Peter</v>
      </c>
      <c r="D63" s="62" t="str">
        <f>IF('27'!N63=0,"",'27'!N63)</f>
        <v>DNK</v>
      </c>
      <c r="E63" s="81">
        <f>'27'!O63</f>
        <v>27</v>
      </c>
      <c r="F63" s="81">
        <f>'27'!P63</f>
        <v>120</v>
      </c>
      <c r="G63" s="100" t="str">
        <f>'27'!Q63</f>
        <v>Double</v>
      </c>
      <c r="H63" s="159">
        <f>'27'!R63</f>
        <v>0</v>
      </c>
      <c r="I63" s="159">
        <f>'27'!S63</f>
        <v>0</v>
      </c>
      <c r="J63" s="159"/>
      <c r="K63" s="101">
        <f>'27'!T63</f>
        <v>0</v>
      </c>
      <c r="L63" s="81">
        <f>'27'!U63</f>
        <v>1</v>
      </c>
      <c r="M63" s="100">
        <f>'27'!V63</f>
        <v>2</v>
      </c>
      <c r="N63" s="159"/>
      <c r="O63" s="101">
        <f>'27'!W63</f>
        <v>0</v>
      </c>
      <c r="P63" s="102" t="str">
        <f>IF('27'!X63=0,"",'27'!X63)</f>
        <v/>
      </c>
      <c r="Q63" s="108" t="str">
        <f>IF('27'!Y63=0,"",'27'!Y63)</f>
        <v/>
      </c>
      <c r="R63" s="81" t="str">
        <f>IF('27'!Z63=0,"",'27'!Z63)</f>
        <v>0044</v>
      </c>
      <c r="S63" s="81" t="e">
        <f>IF('27'!AA63=0,"",'27'!AA63)</f>
        <v>#N/A</v>
      </c>
      <c r="T63" s="268"/>
      <c r="U63" s="268"/>
      <c r="V63" s="268"/>
    </row>
    <row r="64" ht="15" customHeight="1" spans="2:22">
      <c r="B64" s="9">
        <f t="shared" si="0"/>
        <v>20</v>
      </c>
      <c r="C64" s="31">
        <f>'27'!M64</f>
        <v>0</v>
      </c>
      <c r="D64" s="32" t="str">
        <f>IF('27'!N64=0,"",'27'!N64)</f>
        <v/>
      </c>
      <c r="E64" s="36">
        <f>'27'!O64</f>
        <v>27</v>
      </c>
      <c r="F64" s="36">
        <f>'27'!P64</f>
        <v>120</v>
      </c>
      <c r="G64" s="103">
        <f>'27'!Q64</f>
        <v>0</v>
      </c>
      <c r="H64" s="160">
        <f>'27'!R64</f>
        <v>0</v>
      </c>
      <c r="I64" s="160">
        <f>'27'!S64</f>
        <v>0</v>
      </c>
      <c r="J64" s="160"/>
      <c r="K64" s="104">
        <f>'27'!T64</f>
        <v>0</v>
      </c>
      <c r="L64" s="36">
        <f>'27'!U64</f>
        <v>0</v>
      </c>
      <c r="M64" s="103">
        <f>'27'!V64</f>
        <v>0</v>
      </c>
      <c r="N64" s="160"/>
      <c r="O64" s="104">
        <f>'27'!W64</f>
        <v>0</v>
      </c>
      <c r="P64" s="52" t="str">
        <f>IF('27'!X64=0,"",'27'!X64)</f>
        <v/>
      </c>
      <c r="Q64" s="109" t="str">
        <f>IF('27'!Y64=0,"",'27'!Y64)</f>
        <v/>
      </c>
      <c r="R64" s="36" t="str">
        <f>IF('27'!Z64=0,"",'27'!Z64)</f>
        <v/>
      </c>
      <c r="S64" s="36" t="e">
        <f>IF('27'!AA64=0,"",'27'!AA64)</f>
        <v>#N/A</v>
      </c>
      <c r="T64" s="268"/>
      <c r="U64" s="268"/>
      <c r="V64" s="268"/>
    </row>
    <row r="65" ht="15" customHeight="1" spans="2:22">
      <c r="B65" s="14">
        <f t="shared" si="0"/>
        <v>20</v>
      </c>
      <c r="C65" s="83">
        <f>'27'!M65</f>
        <v>0</v>
      </c>
      <c r="D65" s="110" t="str">
        <f>IF('27'!N65=0,"",'27'!N65)</f>
        <v>DNK</v>
      </c>
      <c r="E65" s="85">
        <f>'27'!O65</f>
        <v>27</v>
      </c>
      <c r="F65" s="85">
        <f>'27'!P65</f>
        <v>120</v>
      </c>
      <c r="G65" s="105">
        <f>'27'!Q65</f>
        <v>0</v>
      </c>
      <c r="H65" s="161">
        <f>'27'!R65</f>
        <v>0</v>
      </c>
      <c r="I65" s="161">
        <f>'27'!S65</f>
        <v>0</v>
      </c>
      <c r="J65" s="161"/>
      <c r="K65" s="106">
        <f>'27'!T65</f>
        <v>0</v>
      </c>
      <c r="L65" s="85">
        <f>'27'!U65</f>
        <v>3</v>
      </c>
      <c r="M65" s="105">
        <f>'27'!V65</f>
        <v>0</v>
      </c>
      <c r="N65" s="161"/>
      <c r="O65" s="106">
        <f>'27'!W65</f>
        <v>0</v>
      </c>
      <c r="P65" s="107" t="str">
        <f>IF('27'!X65=0,"",'27'!X65)</f>
        <v/>
      </c>
      <c r="Q65" s="111" t="str">
        <f>IF('27'!Y65=0,"",'27'!Y65)</f>
        <v/>
      </c>
      <c r="R65" s="85" t="str">
        <f>IF('27'!Z65=0,"",'27'!Z65)</f>
        <v>0045</v>
      </c>
      <c r="S65" s="85" t="e">
        <f>IF('27'!AA65=0,"",'27'!AA65)</f>
        <v>#N/A</v>
      </c>
      <c r="T65" s="268"/>
      <c r="U65" s="268"/>
      <c r="V65" s="268"/>
    </row>
    <row r="66" ht="15" customHeight="1" spans="2:22">
      <c r="B66" s="6">
        <f t="shared" si="0"/>
        <v>21</v>
      </c>
      <c r="C66" s="79" t="str">
        <f>'27'!M66</f>
        <v>99921 Elin</v>
      </c>
      <c r="D66" s="62" t="str">
        <f>IF('27'!N66=0,"",'27'!N66)</f>
        <v/>
      </c>
      <c r="E66" s="81">
        <f>'27'!O66</f>
        <v>27</v>
      </c>
      <c r="F66" s="81">
        <f>'27'!P66</f>
        <v>201</v>
      </c>
      <c r="G66" s="100" t="str">
        <f>'27'!Q66</f>
        <v>Double</v>
      </c>
      <c r="H66" s="159">
        <f>'27'!R66</f>
        <v>0</v>
      </c>
      <c r="I66" s="159">
        <f>'27'!S66</f>
        <v>0</v>
      </c>
      <c r="J66" s="159"/>
      <c r="K66" s="101">
        <f>'27'!T66</f>
        <v>0</v>
      </c>
      <c r="L66" s="81">
        <f>'27'!U66</f>
        <v>0</v>
      </c>
      <c r="M66" s="100">
        <f>'27'!V66</f>
        <v>2</v>
      </c>
      <c r="N66" s="159"/>
      <c r="O66" s="101">
        <f>'27'!W66</f>
        <v>0</v>
      </c>
      <c r="P66" s="102" t="str">
        <f>IF('27'!X66=0,"",'27'!X66)</f>
        <v/>
      </c>
      <c r="Q66" s="108" t="str">
        <f>IF('27'!Y66=0,"",'27'!Y66)</f>
        <v/>
      </c>
      <c r="R66" s="81" t="str">
        <f>IF('27'!Z66=0,"",'27'!Z66)</f>
        <v/>
      </c>
      <c r="S66" s="81" t="e">
        <f>IF('27'!AA66=0,"",'27'!AA66)</f>
        <v>#N/A</v>
      </c>
      <c r="T66" s="268"/>
      <c r="U66" s="268"/>
      <c r="V66" s="268"/>
    </row>
    <row r="67" ht="15" customHeight="1" spans="2:22">
      <c r="B67" s="9">
        <f t="shared" si="0"/>
        <v>21</v>
      </c>
      <c r="C67" s="31">
        <f>'27'!M67</f>
        <v>0</v>
      </c>
      <c r="D67" s="32" t="str">
        <f>IF('27'!N67=0,"",'27'!N67)</f>
        <v>DNK</v>
      </c>
      <c r="E67" s="36">
        <f>'27'!O67</f>
        <v>27</v>
      </c>
      <c r="F67" s="36">
        <f>'27'!P67</f>
        <v>201</v>
      </c>
      <c r="G67" s="103">
        <f>'27'!Q67</f>
        <v>0</v>
      </c>
      <c r="H67" s="160">
        <f>'27'!R67</f>
        <v>0</v>
      </c>
      <c r="I67" s="160">
        <f>'27'!S67</f>
        <v>0</v>
      </c>
      <c r="J67" s="160"/>
      <c r="K67" s="104">
        <f>'27'!T67</f>
        <v>0</v>
      </c>
      <c r="L67" s="36">
        <f>'27'!U67</f>
        <v>2</v>
      </c>
      <c r="M67" s="103">
        <f>'27'!V67</f>
        <v>0</v>
      </c>
      <c r="N67" s="160"/>
      <c r="O67" s="104">
        <f>'27'!W67</f>
        <v>0</v>
      </c>
      <c r="P67" s="52" t="str">
        <f>IF('27'!X67=0,"",'27'!X67)</f>
        <v/>
      </c>
      <c r="Q67" s="109" t="str">
        <f>IF('27'!Y67=0,"",'27'!Y67)</f>
        <v/>
      </c>
      <c r="R67" s="36" t="str">
        <f>IF('27'!Z67=0,"",'27'!Z67)</f>
        <v>0046</v>
      </c>
      <c r="S67" s="36" t="e">
        <f>IF('27'!AA67=0,"",'27'!AA67)</f>
        <v>#N/A</v>
      </c>
      <c r="T67" s="268"/>
      <c r="U67" s="268"/>
      <c r="V67" s="268"/>
    </row>
    <row r="68" ht="15" customHeight="1" spans="2:22">
      <c r="B68" s="14">
        <f t="shared" si="0"/>
        <v>21</v>
      </c>
      <c r="C68" s="83">
        <f>'27'!M68</f>
        <v>0</v>
      </c>
      <c r="D68" s="110" t="str">
        <f>IF('27'!N68=0,"",'27'!N68)</f>
        <v>DNK</v>
      </c>
      <c r="E68" s="85">
        <f>'27'!O68</f>
        <v>27</v>
      </c>
      <c r="F68" s="85">
        <f>'27'!P68</f>
        <v>201</v>
      </c>
      <c r="G68" s="105">
        <f>'27'!Q68</f>
        <v>0</v>
      </c>
      <c r="H68" s="161">
        <f>'27'!R68</f>
        <v>0</v>
      </c>
      <c r="I68" s="161">
        <f>'27'!S68</f>
        <v>0</v>
      </c>
      <c r="J68" s="161"/>
      <c r="K68" s="106">
        <f>'27'!T68</f>
        <v>0</v>
      </c>
      <c r="L68" s="85">
        <f>'27'!U68</f>
        <v>3</v>
      </c>
      <c r="M68" s="105">
        <f>'27'!V68</f>
        <v>0</v>
      </c>
      <c r="N68" s="161"/>
      <c r="O68" s="106">
        <f>'27'!W68</f>
        <v>0</v>
      </c>
      <c r="P68" s="107" t="str">
        <f>IF('27'!X68=0,"",'27'!X68)</f>
        <v/>
      </c>
      <c r="Q68" s="111" t="str">
        <f>IF('27'!Y68=0,"",'27'!Y68)</f>
        <v/>
      </c>
      <c r="R68" s="85" t="str">
        <f>IF('27'!Z68=0,"",'27'!Z68)</f>
        <v>0047</v>
      </c>
      <c r="S68" s="85" t="e">
        <f>IF('27'!AA68=0,"",'27'!AA68)</f>
        <v>#N/A</v>
      </c>
      <c r="T68" s="268"/>
      <c r="U68" s="268"/>
      <c r="V68" s="268"/>
    </row>
    <row r="69" ht="15" customHeight="1" spans="2:22">
      <c r="B69" s="6">
        <f t="shared" si="0"/>
        <v>22</v>
      </c>
      <c r="C69" s="79" t="str">
        <f>'27'!M69</f>
        <v>99923 William</v>
      </c>
      <c r="D69" s="62" t="str">
        <f>IF('27'!N69=0,"",'27'!N69)</f>
        <v/>
      </c>
      <c r="E69" s="81">
        <f>'27'!O69</f>
        <v>27</v>
      </c>
      <c r="F69" s="81">
        <f>'27'!P69</f>
        <v>202</v>
      </c>
      <c r="G69" s="100" t="str">
        <f>'27'!Q69</f>
        <v>Single</v>
      </c>
      <c r="H69" s="159">
        <f>'27'!R69</f>
        <v>0</v>
      </c>
      <c r="I69" s="159">
        <f>'27'!S69</f>
        <v>0</v>
      </c>
      <c r="J69" s="159"/>
      <c r="K69" s="101">
        <f>'27'!T69</f>
        <v>0</v>
      </c>
      <c r="L69" s="81">
        <f>'27'!U69</f>
        <v>0</v>
      </c>
      <c r="M69" s="100">
        <f>'27'!V69</f>
        <v>1</v>
      </c>
      <c r="N69" s="159"/>
      <c r="O69" s="101">
        <f>'27'!W69</f>
        <v>0</v>
      </c>
      <c r="P69" s="102" t="str">
        <f>IF('27'!X69=0,"",'27'!X69)</f>
        <v/>
      </c>
      <c r="Q69" s="108" t="str">
        <f>IF('27'!Y69=0,"",'27'!Y69)</f>
        <v/>
      </c>
      <c r="R69" s="81" t="str">
        <f>IF('27'!Z69=0,"",'27'!Z69)</f>
        <v/>
      </c>
      <c r="S69" s="81" t="e">
        <f>IF('27'!AA69=0,"",'27'!AA69)</f>
        <v>#N/A</v>
      </c>
      <c r="T69" s="268"/>
      <c r="U69" s="268"/>
      <c r="V69" s="268"/>
    </row>
    <row r="70" ht="15" customHeight="1" spans="2:22">
      <c r="B70" s="9">
        <f t="shared" ref="B70:B132" si="1">COUNTA(C70)-IF(C70=0,1)+B69</f>
        <v>22</v>
      </c>
      <c r="C70" s="31">
        <f>'27'!M70</f>
        <v>0</v>
      </c>
      <c r="D70" s="32" t="str">
        <f>IF('27'!N70=0,"",'27'!N70)</f>
        <v/>
      </c>
      <c r="E70" s="36">
        <f>'27'!O70</f>
        <v>27</v>
      </c>
      <c r="F70" s="36">
        <f>'27'!P70</f>
        <v>202</v>
      </c>
      <c r="G70" s="103">
        <f>'27'!Q70</f>
        <v>0</v>
      </c>
      <c r="H70" s="160">
        <f>'27'!R70</f>
        <v>0</v>
      </c>
      <c r="I70" s="160">
        <f>'27'!S70</f>
        <v>0</v>
      </c>
      <c r="J70" s="160"/>
      <c r="K70" s="104">
        <f>'27'!T70</f>
        <v>0</v>
      </c>
      <c r="L70" s="36">
        <f>'27'!U70</f>
        <v>0</v>
      </c>
      <c r="M70" s="103">
        <f>'27'!V70</f>
        <v>0</v>
      </c>
      <c r="N70" s="160"/>
      <c r="O70" s="104">
        <f>'27'!W70</f>
        <v>0</v>
      </c>
      <c r="P70" s="52" t="str">
        <f>IF('27'!X70=0,"",'27'!X70)</f>
        <v/>
      </c>
      <c r="Q70" s="109" t="str">
        <f>IF('27'!Y70=0,"",'27'!Y70)</f>
        <v/>
      </c>
      <c r="R70" s="36" t="str">
        <f>IF('27'!Z70=0,"",'27'!Z70)</f>
        <v/>
      </c>
      <c r="S70" s="36" t="e">
        <f>IF('27'!AA70=0,"",'27'!AA70)</f>
        <v>#N/A</v>
      </c>
      <c r="T70" s="268"/>
      <c r="U70" s="268"/>
      <c r="V70" s="268"/>
    </row>
    <row r="71" ht="15" customHeight="1" spans="2:22">
      <c r="B71" s="14">
        <f t="shared" si="1"/>
        <v>22</v>
      </c>
      <c r="C71" s="83">
        <f>'27'!M71</f>
        <v>0</v>
      </c>
      <c r="D71" s="110" t="str">
        <f>IF('27'!N71=0,"",'27'!N71)</f>
        <v>DNK</v>
      </c>
      <c r="E71" s="85">
        <f>'27'!O71</f>
        <v>27</v>
      </c>
      <c r="F71" s="85">
        <f>'27'!P71</f>
        <v>202</v>
      </c>
      <c r="G71" s="105">
        <f>'27'!Q71</f>
        <v>0</v>
      </c>
      <c r="H71" s="161">
        <f>'27'!R71</f>
        <v>0</v>
      </c>
      <c r="I71" s="161">
        <f>'27'!S71</f>
        <v>0</v>
      </c>
      <c r="J71" s="161"/>
      <c r="K71" s="106">
        <f>'27'!T71</f>
        <v>0</v>
      </c>
      <c r="L71" s="85">
        <f>'27'!U71</f>
        <v>3</v>
      </c>
      <c r="M71" s="105">
        <f>'27'!V71</f>
        <v>0</v>
      </c>
      <c r="N71" s="161"/>
      <c r="O71" s="106">
        <f>'27'!W71</f>
        <v>0</v>
      </c>
      <c r="P71" s="107" t="str">
        <f>IF('27'!X71=0,"",'27'!X71)</f>
        <v/>
      </c>
      <c r="Q71" s="111" t="str">
        <f>IF('27'!Y71=0,"",'27'!Y71)</f>
        <v/>
      </c>
      <c r="R71" s="85" t="str">
        <f>IF('27'!Z71=0,"",'27'!Z71)</f>
        <v>0048</v>
      </c>
      <c r="S71" s="85" t="e">
        <f>IF('27'!AA71=0,"",'27'!AA71)</f>
        <v>#N/A</v>
      </c>
      <c r="T71" s="268"/>
      <c r="U71" s="268"/>
      <c r="V71" s="268"/>
    </row>
    <row r="72" ht="15" customHeight="1" spans="2:22">
      <c r="B72" s="6">
        <f t="shared" si="1"/>
        <v>23</v>
      </c>
      <c r="C72" s="79" t="str">
        <f>'27'!M72</f>
        <v>99932 Elin</v>
      </c>
      <c r="D72" s="62" t="str">
        <f>IF('27'!N72=0,"",'27'!N72)</f>
        <v>DNK</v>
      </c>
      <c r="E72" s="81">
        <f>'27'!O72</f>
        <v>27</v>
      </c>
      <c r="F72" s="81">
        <f>'27'!P72</f>
        <v>203</v>
      </c>
      <c r="G72" s="100" t="str">
        <f>'27'!Q72</f>
        <v>Double</v>
      </c>
      <c r="H72" s="159">
        <f>'27'!R72</f>
        <v>0</v>
      </c>
      <c r="I72" s="159">
        <f>'27'!S72</f>
        <v>0</v>
      </c>
      <c r="J72" s="159"/>
      <c r="K72" s="101">
        <f>'27'!T72</f>
        <v>0</v>
      </c>
      <c r="L72" s="81">
        <f>'27'!U72</f>
        <v>1</v>
      </c>
      <c r="M72" s="100">
        <f>'27'!V72</f>
        <v>2</v>
      </c>
      <c r="N72" s="159"/>
      <c r="O72" s="101">
        <f>'27'!W72</f>
        <v>0</v>
      </c>
      <c r="P72" s="102" t="str">
        <f>IF('27'!X72=0,"",'27'!X72)</f>
        <v/>
      </c>
      <c r="Q72" s="108" t="str">
        <f>IF('27'!Y72=0,"",'27'!Y72)</f>
        <v/>
      </c>
      <c r="R72" s="81" t="str">
        <f>IF('27'!Z72=0,"",'27'!Z72)</f>
        <v>0049</v>
      </c>
      <c r="S72" s="81" t="e">
        <f>IF('27'!AA72=0,"",'27'!AA72)</f>
        <v>#N/A</v>
      </c>
      <c r="T72" s="268"/>
      <c r="U72" s="268"/>
      <c r="V72" s="268"/>
    </row>
    <row r="73" ht="15" customHeight="1" spans="2:22">
      <c r="B73" s="9">
        <f t="shared" si="1"/>
        <v>24</v>
      </c>
      <c r="C73" s="31" t="str">
        <f>'27'!M73</f>
        <v>99933 Julia</v>
      </c>
      <c r="D73" s="32" t="str">
        <f>IF('27'!N73=0,"",'27'!N73)</f>
        <v/>
      </c>
      <c r="E73" s="36">
        <f>'27'!O73</f>
        <v>27</v>
      </c>
      <c r="F73" s="36">
        <f>'27'!P73</f>
        <v>203</v>
      </c>
      <c r="G73" s="103">
        <f>'27'!Q73</f>
        <v>0</v>
      </c>
      <c r="H73" s="160">
        <f>'27'!R73</f>
        <v>0</v>
      </c>
      <c r="I73" s="160">
        <f>'27'!S73</f>
        <v>0</v>
      </c>
      <c r="J73" s="160"/>
      <c r="K73" s="104">
        <f>'27'!T73</f>
        <v>0</v>
      </c>
      <c r="L73" s="36">
        <f>'27'!U73</f>
        <v>0</v>
      </c>
      <c r="M73" s="103">
        <f>'27'!V73</f>
        <v>0</v>
      </c>
      <c r="N73" s="160"/>
      <c r="O73" s="104">
        <f>'27'!W73</f>
        <v>0</v>
      </c>
      <c r="P73" s="52" t="str">
        <f>IF('27'!X73=0,"",'27'!X73)</f>
        <v/>
      </c>
      <c r="Q73" s="109" t="str">
        <f>IF('27'!Y73=0,"",'27'!Y73)</f>
        <v/>
      </c>
      <c r="R73" s="36" t="str">
        <f>IF('27'!Z73=0,"",'27'!Z73)</f>
        <v/>
      </c>
      <c r="S73" s="36" t="e">
        <f>IF('27'!AA73=0,"",'27'!AA73)</f>
        <v>#N/A</v>
      </c>
      <c r="T73" s="268"/>
      <c r="U73" s="268"/>
      <c r="V73" s="268"/>
    </row>
    <row r="74" ht="15" customHeight="1" spans="2:22">
      <c r="B74" s="14">
        <f t="shared" si="1"/>
        <v>24</v>
      </c>
      <c r="C74" s="83">
        <f>'27'!M74</f>
        <v>0</v>
      </c>
      <c r="D74" s="110" t="str">
        <f>IF('27'!N74=0,"",'27'!N74)</f>
        <v>DNK</v>
      </c>
      <c r="E74" s="85">
        <f>'27'!O74</f>
        <v>27</v>
      </c>
      <c r="F74" s="85">
        <f>'27'!P74</f>
        <v>203</v>
      </c>
      <c r="G74" s="105">
        <f>'27'!Q74</f>
        <v>0</v>
      </c>
      <c r="H74" s="161">
        <f>'27'!R74</f>
        <v>0</v>
      </c>
      <c r="I74" s="161">
        <f>'27'!S74</f>
        <v>0</v>
      </c>
      <c r="J74" s="161"/>
      <c r="K74" s="106">
        <f>'27'!T74</f>
        <v>0</v>
      </c>
      <c r="L74" s="85">
        <f>'27'!U74</f>
        <v>3</v>
      </c>
      <c r="M74" s="105">
        <f>'27'!V74</f>
        <v>0</v>
      </c>
      <c r="N74" s="161"/>
      <c r="O74" s="106">
        <f>'27'!W74</f>
        <v>0</v>
      </c>
      <c r="P74" s="107" t="str">
        <f>IF('27'!X74=0,"",'27'!X74)</f>
        <v/>
      </c>
      <c r="Q74" s="111" t="str">
        <f>IF('27'!Y74=0,"",'27'!Y74)</f>
        <v/>
      </c>
      <c r="R74" s="85" t="str">
        <f>IF('27'!Z74=0,"",'27'!Z74)</f>
        <v>0050</v>
      </c>
      <c r="S74" s="85" t="e">
        <f>IF('27'!AA74=0,"",'27'!AA74)</f>
        <v>#N/A</v>
      </c>
      <c r="T74" s="268"/>
      <c r="U74" s="268"/>
      <c r="V74" s="268"/>
    </row>
    <row r="75" ht="15" customHeight="1" spans="2:22">
      <c r="B75" s="6">
        <f t="shared" si="1"/>
        <v>25</v>
      </c>
      <c r="C75" s="79" t="str">
        <f>'27'!M75</f>
        <v>99936 Eric</v>
      </c>
      <c r="D75" s="62" t="str">
        <f>IF('27'!N75=0,"",'27'!N75)</f>
        <v>DNK</v>
      </c>
      <c r="E75" s="81">
        <f>'27'!O75</f>
        <v>27</v>
      </c>
      <c r="F75" s="81">
        <f>'27'!P75</f>
        <v>204</v>
      </c>
      <c r="G75" s="100" t="str">
        <f>'27'!Q75</f>
        <v>Double</v>
      </c>
      <c r="H75" s="159">
        <f>'27'!R75</f>
        <v>0</v>
      </c>
      <c r="I75" s="159">
        <f>'27'!S75</f>
        <v>0</v>
      </c>
      <c r="J75" s="159"/>
      <c r="K75" s="101">
        <f>'27'!T75</f>
        <v>0</v>
      </c>
      <c r="L75" s="81">
        <f>'27'!U75</f>
        <v>1</v>
      </c>
      <c r="M75" s="100">
        <f>'27'!V75</f>
        <v>2</v>
      </c>
      <c r="N75" s="159"/>
      <c r="O75" s="101">
        <f>'27'!W75</f>
        <v>0</v>
      </c>
      <c r="P75" s="102" t="str">
        <f>IF('27'!X75=0,"",'27'!X75)</f>
        <v/>
      </c>
      <c r="Q75" s="108" t="str">
        <f>IF('27'!Y75=0,"",'27'!Y75)</f>
        <v/>
      </c>
      <c r="R75" s="81" t="str">
        <f>IF('27'!Z75=0,"",'27'!Z75)</f>
        <v>0052</v>
      </c>
      <c r="S75" s="81" t="e">
        <f>IF('27'!AA75=0,"",'27'!AA75)</f>
        <v>#N/A</v>
      </c>
      <c r="T75" s="268"/>
      <c r="U75" s="268"/>
      <c r="V75" s="268"/>
    </row>
    <row r="76" ht="15" customHeight="1" spans="2:22">
      <c r="B76" s="9">
        <f t="shared" si="1"/>
        <v>26</v>
      </c>
      <c r="C76" s="31" t="str">
        <f>'27'!M76</f>
        <v>99937 Maria</v>
      </c>
      <c r="D76" s="32" t="str">
        <f>IF('27'!N76=0,"",'27'!N76)</f>
        <v>DNK</v>
      </c>
      <c r="E76" s="36">
        <f>'27'!O76</f>
        <v>27</v>
      </c>
      <c r="F76" s="36">
        <f>'27'!P76</f>
        <v>204</v>
      </c>
      <c r="G76" s="103">
        <f>'27'!Q76</f>
        <v>0</v>
      </c>
      <c r="H76" s="160">
        <f>'27'!R76</f>
        <v>0</v>
      </c>
      <c r="I76" s="160">
        <f>'27'!S76</f>
        <v>0</v>
      </c>
      <c r="J76" s="160"/>
      <c r="K76" s="104">
        <f>'27'!T76</f>
        <v>0</v>
      </c>
      <c r="L76" s="36">
        <f>'27'!U76</f>
        <v>2</v>
      </c>
      <c r="M76" s="103">
        <f>'27'!V76</f>
        <v>0</v>
      </c>
      <c r="N76" s="160"/>
      <c r="O76" s="104">
        <f>'27'!W76</f>
        <v>0</v>
      </c>
      <c r="P76" s="52" t="str">
        <f>IF('27'!X76=0,"",'27'!X76)</f>
        <v/>
      </c>
      <c r="Q76" s="109" t="str">
        <f>IF('27'!Y76=0,"",'27'!Y76)</f>
        <v/>
      </c>
      <c r="R76" s="36" t="str">
        <f>IF('27'!Z76=0,"",'27'!Z76)</f>
        <v>0051</v>
      </c>
      <c r="S76" s="36" t="e">
        <f>IF('27'!AA76=0,"",'27'!AA76)</f>
        <v>#N/A</v>
      </c>
      <c r="T76" s="268"/>
      <c r="U76" s="268"/>
      <c r="V76" s="268"/>
    </row>
    <row r="77" ht="15" customHeight="1" spans="2:22">
      <c r="B77" s="14">
        <f t="shared" si="1"/>
        <v>26</v>
      </c>
      <c r="C77" s="83">
        <f>'27'!M77</f>
        <v>0</v>
      </c>
      <c r="D77" s="110" t="str">
        <f>IF('27'!N77=0,"",'27'!N77)</f>
        <v/>
      </c>
      <c r="E77" s="85">
        <f>'27'!O77</f>
        <v>27</v>
      </c>
      <c r="F77" s="85">
        <f>'27'!P77</f>
        <v>204</v>
      </c>
      <c r="G77" s="105">
        <f>'27'!Q77</f>
        <v>0</v>
      </c>
      <c r="H77" s="161">
        <f>'27'!R77</f>
        <v>0</v>
      </c>
      <c r="I77" s="161">
        <f>'27'!S77</f>
        <v>0</v>
      </c>
      <c r="J77" s="161"/>
      <c r="K77" s="106">
        <f>'27'!T77</f>
        <v>0</v>
      </c>
      <c r="L77" s="85">
        <f>'27'!U77</f>
        <v>0</v>
      </c>
      <c r="M77" s="105">
        <f>'27'!V77</f>
        <v>0</v>
      </c>
      <c r="N77" s="161"/>
      <c r="O77" s="106">
        <f>'27'!W77</f>
        <v>0</v>
      </c>
      <c r="P77" s="107" t="str">
        <f>IF('27'!X77=0,"",'27'!X77)</f>
        <v/>
      </c>
      <c r="Q77" s="111" t="str">
        <f>IF('27'!Y77=0,"",'27'!Y77)</f>
        <v/>
      </c>
      <c r="R77" s="85" t="str">
        <f>IF('27'!Z77=0,"",'27'!Z77)</f>
        <v/>
      </c>
      <c r="S77" s="85" t="e">
        <f>IF('27'!AA77=0,"",'27'!AA77)</f>
        <v>#N/A</v>
      </c>
      <c r="T77" s="268"/>
      <c r="U77" s="268"/>
      <c r="V77" s="268"/>
    </row>
    <row r="78" ht="15" customHeight="1" spans="2:22">
      <c r="B78" s="6">
        <f t="shared" si="1"/>
        <v>27</v>
      </c>
      <c r="C78" s="79" t="str">
        <f>'27'!M78</f>
        <v>99948 Rebecca B 13/1-20/1 Guest</v>
      </c>
      <c r="D78" s="62" t="str">
        <f>IF('27'!N78=0,"",'27'!N78)</f>
        <v>DNK</v>
      </c>
      <c r="E78" s="81">
        <f>'27'!O78</f>
        <v>27</v>
      </c>
      <c r="F78" s="81">
        <f>'27'!P78</f>
        <v>205</v>
      </c>
      <c r="G78" s="100" t="str">
        <f>'27'!Q78</f>
        <v>Single</v>
      </c>
      <c r="H78" s="159">
        <f>'27'!R78</f>
        <v>0</v>
      </c>
      <c r="I78" s="159">
        <f>'27'!S78</f>
        <v>0</v>
      </c>
      <c r="J78" s="159"/>
      <c r="K78" s="101">
        <f>'27'!T78</f>
        <v>0</v>
      </c>
      <c r="L78" s="81">
        <f>'27'!U78</f>
        <v>0</v>
      </c>
      <c r="M78" s="100">
        <f>'27'!V78</f>
        <v>1</v>
      </c>
      <c r="N78" s="159"/>
      <c r="O78" s="101">
        <f>'27'!W78</f>
        <v>0</v>
      </c>
      <c r="P78" s="102" t="str">
        <f>IF('27'!X78=0,"",'27'!X78)</f>
        <v/>
      </c>
      <c r="Q78" s="108" t="str">
        <f>IF('27'!Y78=0,"",'27'!Y78)</f>
        <v/>
      </c>
      <c r="R78" s="81" t="str">
        <f>IF('27'!Z78=0,"",'27'!Z78)</f>
        <v>0054</v>
      </c>
      <c r="S78" s="81" t="e">
        <f>IF('27'!AA78=0,"",'27'!AA78)</f>
        <v>#N/A</v>
      </c>
      <c r="T78" s="268"/>
      <c r="U78" s="268"/>
      <c r="V78" s="268"/>
    </row>
    <row r="79" ht="15" customHeight="1" spans="2:22">
      <c r="B79" s="9">
        <f t="shared" si="1"/>
        <v>28</v>
      </c>
      <c r="C79" s="31" t="str">
        <f>'27'!M79</f>
        <v>99949 Cassandra B 13/1-20/1 Guest</v>
      </c>
      <c r="D79" s="32" t="str">
        <f>IF('27'!N79=0,"",'27'!N79)</f>
        <v>DNK</v>
      </c>
      <c r="E79" s="36">
        <f>'27'!O79</f>
        <v>27</v>
      </c>
      <c r="F79" s="36">
        <f>'27'!P79</f>
        <v>205</v>
      </c>
      <c r="G79" s="103">
        <f>'27'!Q79</f>
        <v>0</v>
      </c>
      <c r="H79" s="160">
        <f>'27'!R79</f>
        <v>0</v>
      </c>
      <c r="I79" s="160">
        <f>'27'!S79</f>
        <v>0</v>
      </c>
      <c r="J79" s="160"/>
      <c r="K79" s="104">
        <f>'27'!T79</f>
        <v>0</v>
      </c>
      <c r="L79" s="36">
        <f>'27'!U79</f>
        <v>2</v>
      </c>
      <c r="M79" s="103">
        <f>'27'!V79</f>
        <v>0</v>
      </c>
      <c r="N79" s="160"/>
      <c r="O79" s="104">
        <f>'27'!W79</f>
        <v>0</v>
      </c>
      <c r="P79" s="52" t="str">
        <f>IF('27'!X79=0,"",'27'!X79)</f>
        <v/>
      </c>
      <c r="Q79" s="109" t="str">
        <f>IF('27'!Y79=0,"",'27'!Y79)</f>
        <v/>
      </c>
      <c r="R79" s="36" t="str">
        <f>IF('27'!Z79=0,"",'27'!Z79)</f>
        <v>0053</v>
      </c>
      <c r="S79" s="36" t="e">
        <f>IF('27'!AA79=0,"",'27'!AA79)</f>
        <v>#N/A</v>
      </c>
      <c r="T79" s="268"/>
      <c r="U79" s="268"/>
      <c r="V79" s="268"/>
    </row>
    <row r="80" ht="15" customHeight="1" spans="2:22">
      <c r="B80" s="14">
        <f t="shared" si="1"/>
        <v>28</v>
      </c>
      <c r="C80" s="83">
        <f>'27'!M80</f>
        <v>0</v>
      </c>
      <c r="D80" s="110" t="str">
        <f>IF('27'!N80=0,"",'27'!N80)</f>
        <v/>
      </c>
      <c r="E80" s="85">
        <f>'27'!O80</f>
        <v>27</v>
      </c>
      <c r="F80" s="85">
        <f>'27'!P80</f>
        <v>205</v>
      </c>
      <c r="G80" s="105">
        <f>'27'!Q80</f>
        <v>0</v>
      </c>
      <c r="H80" s="161">
        <f>'27'!R80</f>
        <v>0</v>
      </c>
      <c r="I80" s="161">
        <f>'27'!S80</f>
        <v>0</v>
      </c>
      <c r="J80" s="161"/>
      <c r="K80" s="106">
        <f>'27'!T80</f>
        <v>0</v>
      </c>
      <c r="L80" s="85">
        <f>'27'!U80</f>
        <v>0</v>
      </c>
      <c r="M80" s="105">
        <f>'27'!V80</f>
        <v>0</v>
      </c>
      <c r="N80" s="161"/>
      <c r="O80" s="106">
        <f>'27'!W80</f>
        <v>0</v>
      </c>
      <c r="P80" s="107" t="str">
        <f>IF('27'!X80=0,"",'27'!X80)</f>
        <v/>
      </c>
      <c r="Q80" s="111" t="str">
        <f>IF('27'!Y80=0,"",'27'!Y80)</f>
        <v/>
      </c>
      <c r="R80" s="85" t="str">
        <f>IF('27'!Z80=0,"",'27'!Z80)</f>
        <v/>
      </c>
      <c r="S80" s="85" t="e">
        <f>IF('27'!AA80=0,"",'27'!AA80)</f>
        <v>#N/A</v>
      </c>
      <c r="T80" s="268"/>
      <c r="U80" s="268"/>
      <c r="V80" s="268"/>
    </row>
    <row r="81" ht="15" customHeight="1" spans="2:22">
      <c r="B81" s="6">
        <f t="shared" si="1"/>
        <v>29</v>
      </c>
      <c r="C81" s="79" t="str">
        <f>'27'!M81</f>
        <v>99950 Daniel J 13/1-20/1 Guest</v>
      </c>
      <c r="D81" s="62" t="str">
        <f>IF('27'!N81=0,"",'27'!N81)</f>
        <v>DNK</v>
      </c>
      <c r="E81" s="81">
        <f>'27'!O81</f>
        <v>27</v>
      </c>
      <c r="F81" s="81">
        <f>'27'!P81</f>
        <v>206</v>
      </c>
      <c r="G81" s="100" t="str">
        <f>'27'!Q81</f>
        <v>Double</v>
      </c>
      <c r="H81" s="159">
        <f>'27'!R81</f>
        <v>0</v>
      </c>
      <c r="I81" s="159">
        <f>'27'!S81</f>
        <v>0</v>
      </c>
      <c r="J81" s="159"/>
      <c r="K81" s="101">
        <f>'27'!T81</f>
        <v>0</v>
      </c>
      <c r="L81" s="81">
        <f>'27'!U81</f>
        <v>1</v>
      </c>
      <c r="M81" s="100">
        <f>'27'!V81</f>
        <v>2</v>
      </c>
      <c r="N81" s="159"/>
      <c r="O81" s="101">
        <f>'27'!W81</f>
        <v>0</v>
      </c>
      <c r="P81" s="102" t="str">
        <f>IF('27'!X81=0,"",'27'!X81)</f>
        <v/>
      </c>
      <c r="Q81" s="108" t="str">
        <f>IF('27'!Y81=0,"",'27'!Y81)</f>
        <v/>
      </c>
      <c r="R81" s="81" t="str">
        <f>IF('27'!Z81=0,"",'27'!Z81)</f>
        <v>0878</v>
      </c>
      <c r="S81" s="81" t="e">
        <f>IF('27'!AA81=0,"",'27'!AA81)</f>
        <v>#N/A</v>
      </c>
      <c r="T81" s="268"/>
      <c r="U81" s="268"/>
      <c r="V81" s="268"/>
    </row>
    <row r="82" ht="15" customHeight="1" spans="2:22">
      <c r="B82" s="9">
        <f t="shared" si="1"/>
        <v>29</v>
      </c>
      <c r="C82" s="31">
        <f>'27'!M82</f>
        <v>0</v>
      </c>
      <c r="D82" s="32" t="str">
        <f>IF('27'!N82=0,"",'27'!N82)</f>
        <v/>
      </c>
      <c r="E82" s="36">
        <f>'27'!O82</f>
        <v>27</v>
      </c>
      <c r="F82" s="36">
        <f>'27'!P82</f>
        <v>206</v>
      </c>
      <c r="G82" s="103">
        <f>'27'!Q82</f>
        <v>0</v>
      </c>
      <c r="H82" s="160">
        <f>'27'!R82</f>
        <v>0</v>
      </c>
      <c r="I82" s="160">
        <f>'27'!S82</f>
        <v>0</v>
      </c>
      <c r="J82" s="160"/>
      <c r="K82" s="104">
        <f>'27'!T82</f>
        <v>0</v>
      </c>
      <c r="L82" s="36">
        <f>'27'!U82</f>
        <v>0</v>
      </c>
      <c r="M82" s="103">
        <f>'27'!V82</f>
        <v>0</v>
      </c>
      <c r="N82" s="160"/>
      <c r="O82" s="104">
        <f>'27'!W82</f>
        <v>0</v>
      </c>
      <c r="P82" s="52" t="str">
        <f>IF('27'!X82=0,"",'27'!X82)</f>
        <v/>
      </c>
      <c r="Q82" s="109" t="str">
        <f>IF('27'!Y82=0,"",'27'!Y82)</f>
        <v/>
      </c>
      <c r="R82" s="36" t="str">
        <f>IF('27'!Z82=0,"",'27'!Z82)</f>
        <v/>
      </c>
      <c r="S82" s="36" t="e">
        <f>IF('27'!AA82=0,"",'27'!AA82)</f>
        <v>#N/A</v>
      </c>
      <c r="T82" s="268"/>
      <c r="U82" s="268"/>
      <c r="V82" s="268"/>
    </row>
    <row r="83" ht="15" customHeight="1" spans="2:22">
      <c r="B83" s="14">
        <f t="shared" si="1"/>
        <v>29</v>
      </c>
      <c r="C83" s="83">
        <f>'27'!M83</f>
        <v>0</v>
      </c>
      <c r="D83" s="110" t="str">
        <f>IF('27'!N83=0,"",'27'!N83)</f>
        <v>DNK</v>
      </c>
      <c r="E83" s="85">
        <f>'27'!O83</f>
        <v>27</v>
      </c>
      <c r="F83" s="85">
        <f>'27'!P83</f>
        <v>206</v>
      </c>
      <c r="G83" s="105">
        <f>'27'!Q83</f>
        <v>0</v>
      </c>
      <c r="H83" s="161">
        <f>'27'!R83</f>
        <v>0</v>
      </c>
      <c r="I83" s="161">
        <f>'27'!S83</f>
        <v>0</v>
      </c>
      <c r="J83" s="161"/>
      <c r="K83" s="106">
        <f>'27'!T83</f>
        <v>0</v>
      </c>
      <c r="L83" s="85">
        <f>'27'!U83</f>
        <v>3</v>
      </c>
      <c r="M83" s="105">
        <f>'27'!V83</f>
        <v>0</v>
      </c>
      <c r="N83" s="161"/>
      <c r="O83" s="106">
        <f>'27'!W83</f>
        <v>0</v>
      </c>
      <c r="P83" s="107" t="str">
        <f>IF('27'!X83=0,"",'27'!X83)</f>
        <v/>
      </c>
      <c r="Q83" s="111" t="str">
        <f>IF('27'!Y83=0,"",'27'!Y83)</f>
        <v/>
      </c>
      <c r="R83" s="85" t="str">
        <f>IF('27'!Z83=0,"",'27'!Z83)</f>
        <v>0056</v>
      </c>
      <c r="S83" s="85" t="e">
        <f>IF('27'!AA83=0,"",'27'!AA83)</f>
        <v>#N/A</v>
      </c>
      <c r="T83" s="268"/>
      <c r="U83" s="268"/>
      <c r="V83" s="268"/>
    </row>
    <row r="84" ht="15" customHeight="1" spans="2:22">
      <c r="B84" s="6">
        <f t="shared" si="1"/>
        <v>30</v>
      </c>
      <c r="C84" s="79" t="str">
        <f>'27'!M84</f>
        <v> 99951 Anton.W 13/1-20/1 Guest</v>
      </c>
      <c r="D84" s="62" t="str">
        <f>IF('27'!N84=0,"",'27'!N84)</f>
        <v/>
      </c>
      <c r="E84" s="81">
        <f>'27'!O84</f>
        <v>27</v>
      </c>
      <c r="F84" s="81">
        <f>'27'!P84</f>
        <v>207</v>
      </c>
      <c r="G84" s="100" t="str">
        <f>'27'!Q84</f>
        <v>Single</v>
      </c>
      <c r="H84" s="159">
        <f>'27'!R84</f>
        <v>0</v>
      </c>
      <c r="I84" s="159">
        <f>'27'!S84</f>
        <v>0</v>
      </c>
      <c r="J84" s="159"/>
      <c r="K84" s="101">
        <f>'27'!T84</f>
        <v>0</v>
      </c>
      <c r="L84" s="81">
        <f>'27'!U84</f>
        <v>1</v>
      </c>
      <c r="M84" s="100">
        <f>'27'!V84</f>
        <v>1</v>
      </c>
      <c r="N84" s="159"/>
      <c r="O84" s="101">
        <f>'27'!W84</f>
        <v>0</v>
      </c>
      <c r="P84" s="102" t="str">
        <f>IF('27'!X84=0,"",'27'!X84)</f>
        <v/>
      </c>
      <c r="Q84" s="108" t="str">
        <f>IF('27'!Y84=0,"",'27'!Y84)</f>
        <v/>
      </c>
      <c r="R84" s="81" t="str">
        <f>IF('27'!Z84=0,"",'27'!Z84)</f>
        <v>0054</v>
      </c>
      <c r="S84" s="81" t="e">
        <f>IF('27'!AA84=0,"",'27'!AA84)</f>
        <v>#N/A</v>
      </c>
      <c r="T84" s="268" t="s">
        <v>6588</v>
      </c>
      <c r="U84" s="268"/>
      <c r="V84" s="268"/>
    </row>
    <row r="85" ht="15" customHeight="1" spans="2:22">
      <c r="B85" s="9">
        <f t="shared" si="1"/>
        <v>30</v>
      </c>
      <c r="C85" s="31">
        <f>'27'!M85</f>
        <v>0</v>
      </c>
      <c r="D85" s="32" t="str">
        <f>IF('27'!N85=0,"",'27'!N85)</f>
        <v/>
      </c>
      <c r="E85" s="36">
        <f>'27'!O85</f>
        <v>27</v>
      </c>
      <c r="F85" s="36">
        <f>'27'!P85</f>
        <v>207</v>
      </c>
      <c r="G85" s="103">
        <f>'27'!Q85</f>
        <v>0</v>
      </c>
      <c r="H85" s="160">
        <f>'27'!R85</f>
        <v>0</v>
      </c>
      <c r="I85" s="160">
        <f>'27'!S85</f>
        <v>0</v>
      </c>
      <c r="J85" s="160"/>
      <c r="K85" s="104">
        <f>'27'!T85</f>
        <v>0</v>
      </c>
      <c r="L85" s="36">
        <f>'27'!U85</f>
        <v>0</v>
      </c>
      <c r="M85" s="103">
        <f>'27'!V85</f>
        <v>0</v>
      </c>
      <c r="N85" s="160"/>
      <c r="O85" s="104">
        <f>'27'!W85</f>
        <v>0</v>
      </c>
      <c r="P85" s="52" t="str">
        <f>IF('27'!X85=0,"",'27'!X85)</f>
        <v/>
      </c>
      <c r="Q85" s="109" t="str">
        <f>IF('27'!Y85=0,"",'27'!Y85)</f>
        <v/>
      </c>
      <c r="R85" s="36" t="str">
        <f>IF('27'!Z85=0,"",'27'!Z85)</f>
        <v/>
      </c>
      <c r="S85" s="36" t="e">
        <f>IF('27'!AA85=0,"",'27'!AA85)</f>
        <v>#N/A</v>
      </c>
      <c r="T85" s="268"/>
      <c r="U85" s="268"/>
      <c r="V85" s="268"/>
    </row>
    <row r="86" ht="15" customHeight="1" spans="2:22">
      <c r="B86" s="14">
        <f t="shared" si="1"/>
        <v>30</v>
      </c>
      <c r="C86" s="83">
        <f>'27'!M86</f>
        <v>0</v>
      </c>
      <c r="D86" s="110" t="str">
        <f>IF('27'!N86=0,"",'27'!N86)</f>
        <v/>
      </c>
      <c r="E86" s="85">
        <f>'27'!O86</f>
        <v>27</v>
      </c>
      <c r="F86" s="85">
        <f>'27'!P86</f>
        <v>207</v>
      </c>
      <c r="G86" s="105">
        <f>'27'!Q86</f>
        <v>0</v>
      </c>
      <c r="H86" s="161">
        <f>'27'!R86</f>
        <v>0</v>
      </c>
      <c r="I86" s="161">
        <f>'27'!S86</f>
        <v>0</v>
      </c>
      <c r="J86" s="161"/>
      <c r="K86" s="106">
        <f>'27'!T86</f>
        <v>0</v>
      </c>
      <c r="L86" s="85">
        <f>'27'!U86</f>
        <v>0</v>
      </c>
      <c r="M86" s="105">
        <f>'27'!V86</f>
        <v>0</v>
      </c>
      <c r="N86" s="161"/>
      <c r="O86" s="106">
        <f>'27'!W86</f>
        <v>0</v>
      </c>
      <c r="P86" s="107" t="str">
        <f>IF('27'!X86=0,"",'27'!X86)</f>
        <v/>
      </c>
      <c r="Q86" s="111" t="str">
        <f>IF('27'!Y86=0,"",'27'!Y86)</f>
        <v/>
      </c>
      <c r="R86" s="85" t="str">
        <f>IF('27'!Z86=0,"",'27'!Z86)</f>
        <v/>
      </c>
      <c r="S86" s="85" t="e">
        <f>IF('27'!AA86=0,"",'27'!AA86)</f>
        <v>#N/A</v>
      </c>
      <c r="T86" s="268"/>
      <c r="U86" s="268"/>
      <c r="V86" s="268"/>
    </row>
    <row r="87" ht="15" customHeight="1" spans="2:22">
      <c r="B87" s="6">
        <f t="shared" si="1"/>
        <v>31</v>
      </c>
      <c r="C87" s="79" t="str">
        <f>'27'!M87</f>
        <v>99952 Isac A 13/1-20/1 Guest</v>
      </c>
      <c r="D87" s="62" t="str">
        <f>IF('27'!N87=0,"",'27'!N87)</f>
        <v/>
      </c>
      <c r="E87" s="81">
        <f>'27'!O87</f>
        <v>27</v>
      </c>
      <c r="F87" s="81">
        <f>'27'!P87</f>
        <v>208</v>
      </c>
      <c r="G87" s="100" t="str">
        <f>'27'!Q87</f>
        <v>Double</v>
      </c>
      <c r="H87" s="159">
        <f>'27'!R87</f>
        <v>0</v>
      </c>
      <c r="I87" s="159">
        <f>'27'!S87</f>
        <v>0</v>
      </c>
      <c r="J87" s="159"/>
      <c r="K87" s="101">
        <f>'27'!T87</f>
        <v>0</v>
      </c>
      <c r="L87" s="81">
        <f>'27'!U87</f>
        <v>0</v>
      </c>
      <c r="M87" s="100">
        <f>'27'!V87</f>
        <v>2</v>
      </c>
      <c r="N87" s="159"/>
      <c r="O87" s="101">
        <f>'27'!W87</f>
        <v>0</v>
      </c>
      <c r="P87" s="102" t="str">
        <f>IF('27'!X87=0,"",'27'!X87)</f>
        <v/>
      </c>
      <c r="Q87" s="108" t="str">
        <f>IF('27'!Y87=0,"",'27'!Y87)</f>
        <v/>
      </c>
      <c r="R87" s="81" t="str">
        <f>IF('27'!Z87=0,"",'27'!Z87)</f>
        <v/>
      </c>
      <c r="S87" s="81" t="e">
        <f>IF('27'!AA87=0,"",'27'!AA87)</f>
        <v>#N/A</v>
      </c>
      <c r="T87" s="268"/>
      <c r="U87" s="268"/>
      <c r="V87" s="268"/>
    </row>
    <row r="88" ht="15" customHeight="1" spans="2:22">
      <c r="B88" s="9">
        <f t="shared" si="1"/>
        <v>32</v>
      </c>
      <c r="C88" s="31" t="str">
        <f>'27'!M88</f>
        <v>99953 Liam B 13/1-20/1 Guest</v>
      </c>
      <c r="D88" s="32" t="str">
        <f>IF('27'!N88=0,"",'27'!N88)</f>
        <v>DNK</v>
      </c>
      <c r="E88" s="36">
        <f>'27'!O88</f>
        <v>27</v>
      </c>
      <c r="F88" s="36">
        <f>'27'!P88</f>
        <v>208</v>
      </c>
      <c r="G88" s="103">
        <f>'27'!Q88</f>
        <v>0</v>
      </c>
      <c r="H88" s="160">
        <f>'27'!R88</f>
        <v>0</v>
      </c>
      <c r="I88" s="160">
        <f>'27'!S88</f>
        <v>0</v>
      </c>
      <c r="J88" s="160"/>
      <c r="K88" s="104">
        <f>'27'!T88</f>
        <v>0</v>
      </c>
      <c r="L88" s="36">
        <f>'27'!U88</f>
        <v>2</v>
      </c>
      <c r="M88" s="103">
        <f>'27'!V88</f>
        <v>0</v>
      </c>
      <c r="N88" s="160"/>
      <c r="O88" s="104">
        <f>'27'!W88</f>
        <v>0</v>
      </c>
      <c r="P88" s="52" t="str">
        <f>IF('27'!X88=0,"",'27'!X88)</f>
        <v/>
      </c>
      <c r="Q88" s="109" t="str">
        <f>IF('27'!Y88=0,"",'27'!Y88)</f>
        <v/>
      </c>
      <c r="R88" s="36" t="str">
        <f>IF('27'!Z88=0,"",'27'!Z88)</f>
        <v>0059</v>
      </c>
      <c r="S88" s="36" t="e">
        <f>IF('27'!AA88=0,"",'27'!AA88)</f>
        <v>#N/A</v>
      </c>
      <c r="T88" s="268"/>
      <c r="U88" s="268"/>
      <c r="V88" s="268"/>
    </row>
    <row r="89" ht="15" customHeight="1" spans="2:22">
      <c r="B89" s="14">
        <f t="shared" si="1"/>
        <v>32</v>
      </c>
      <c r="C89" s="83">
        <f>'27'!M89</f>
        <v>0</v>
      </c>
      <c r="D89" s="110" t="str">
        <f>IF('27'!N89=0,"",'27'!N89)</f>
        <v>DNK</v>
      </c>
      <c r="E89" s="85">
        <f>'27'!O89</f>
        <v>27</v>
      </c>
      <c r="F89" s="85">
        <f>'27'!P89</f>
        <v>208</v>
      </c>
      <c r="G89" s="105">
        <f>'27'!Q89</f>
        <v>0</v>
      </c>
      <c r="H89" s="161">
        <f>'27'!R89</f>
        <v>0</v>
      </c>
      <c r="I89" s="161">
        <f>'27'!S89</f>
        <v>0</v>
      </c>
      <c r="J89" s="161"/>
      <c r="K89" s="106">
        <f>'27'!T89</f>
        <v>0</v>
      </c>
      <c r="L89" s="85">
        <f>'27'!U89</f>
        <v>3</v>
      </c>
      <c r="M89" s="105">
        <f>'27'!V89</f>
        <v>0</v>
      </c>
      <c r="N89" s="161"/>
      <c r="O89" s="106">
        <f>'27'!W89</f>
        <v>0</v>
      </c>
      <c r="P89" s="107" t="str">
        <f>IF('27'!X89=0,"",'27'!X89)</f>
        <v/>
      </c>
      <c r="Q89" s="111" t="str">
        <f>IF('27'!Y89=0,"",'27'!Y89)</f>
        <v/>
      </c>
      <c r="R89" s="85" t="str">
        <f>IF('27'!Z89=0,"",'27'!Z89)</f>
        <v>0058</v>
      </c>
      <c r="S89" s="85" t="e">
        <f>IF('27'!AA89=0,"",'27'!AA89)</f>
        <v>#N/A</v>
      </c>
      <c r="T89" s="268"/>
      <c r="U89" s="268"/>
      <c r="V89" s="268"/>
    </row>
    <row r="90" ht="15" customHeight="1" spans="2:22">
      <c r="B90" s="6">
        <f t="shared" si="1"/>
        <v>33</v>
      </c>
      <c r="C90" s="79" t="str">
        <f>'27'!M90</f>
        <v>99954 Axel D 13/1-20/1 Guest</v>
      </c>
      <c r="D90" s="62" t="str">
        <f>IF('27'!N90=0,"",'27'!N90)</f>
        <v>DNK</v>
      </c>
      <c r="E90" s="81">
        <f>'27'!O90</f>
        <v>27</v>
      </c>
      <c r="F90" s="81">
        <f>'27'!P90</f>
        <v>209</v>
      </c>
      <c r="G90" s="100" t="str">
        <f>'27'!Q90</f>
        <v>Double</v>
      </c>
      <c r="H90" s="159">
        <f>'27'!R90</f>
        <v>0</v>
      </c>
      <c r="I90" s="159">
        <f>'27'!S90</f>
        <v>0</v>
      </c>
      <c r="J90" s="159"/>
      <c r="K90" s="101">
        <f>'27'!T90</f>
        <v>0</v>
      </c>
      <c r="L90" s="81">
        <f>'27'!U90</f>
        <v>1</v>
      </c>
      <c r="M90" s="100">
        <f>'27'!V90</f>
        <v>2</v>
      </c>
      <c r="N90" s="159"/>
      <c r="O90" s="101">
        <f>'27'!W90</f>
        <v>0</v>
      </c>
      <c r="P90" s="102" t="str">
        <f>IF('27'!X90=0,"",'27'!X90)</f>
        <v/>
      </c>
      <c r="Q90" s="108" t="str">
        <f>IF('27'!Y90=0,"",'27'!Y90)</f>
        <v/>
      </c>
      <c r="R90" s="81" t="str">
        <f>IF('27'!Z90=0,"",'27'!Z90)</f>
        <v>0061</v>
      </c>
      <c r="S90" s="81" t="e">
        <f>IF('27'!AA90=0,"",'27'!AA90)</f>
        <v>#N/A</v>
      </c>
      <c r="T90" s="268"/>
      <c r="U90" s="268"/>
      <c r="V90" s="268"/>
    </row>
    <row r="91" ht="15" customHeight="1" spans="2:22">
      <c r="B91" s="9">
        <f t="shared" si="1"/>
        <v>34</v>
      </c>
      <c r="C91" s="31" t="str">
        <f>'27'!M91</f>
        <v>99955 Viktor L 13/1-20/1 Guest</v>
      </c>
      <c r="D91" s="32" t="str">
        <f>IF('27'!N91=0,"",'27'!N91)</f>
        <v>DNK</v>
      </c>
      <c r="E91" s="36">
        <f>'27'!O91</f>
        <v>27</v>
      </c>
      <c r="F91" s="36">
        <f>'27'!P91</f>
        <v>209</v>
      </c>
      <c r="G91" s="103">
        <f>'27'!Q91</f>
        <v>0</v>
      </c>
      <c r="H91" s="160">
        <f>'27'!R91</f>
        <v>0</v>
      </c>
      <c r="I91" s="160">
        <f>'27'!S91</f>
        <v>0</v>
      </c>
      <c r="J91" s="160"/>
      <c r="K91" s="104">
        <f>'27'!T91</f>
        <v>0</v>
      </c>
      <c r="L91" s="36">
        <f>'27'!U91</f>
        <v>2</v>
      </c>
      <c r="M91" s="103">
        <f>'27'!V91</f>
        <v>0</v>
      </c>
      <c r="N91" s="160"/>
      <c r="O91" s="104">
        <f>'27'!W91</f>
        <v>0</v>
      </c>
      <c r="P91" s="52" t="str">
        <f>IF('27'!X91=0,"",'27'!X91)</f>
        <v/>
      </c>
      <c r="Q91" s="109" t="str">
        <f>IF('27'!Y91=0,"",'27'!Y91)</f>
        <v/>
      </c>
      <c r="R91" s="36" t="str">
        <f>IF('27'!Z91=0,"",'27'!Z91)</f>
        <v>0060</v>
      </c>
      <c r="S91" s="36" t="e">
        <f>IF('27'!AA91=0,"",'27'!AA91)</f>
        <v>#N/A</v>
      </c>
      <c r="T91" s="268"/>
      <c r="U91" s="268"/>
      <c r="V91" s="268"/>
    </row>
    <row r="92" ht="15" customHeight="1" spans="2:22">
      <c r="B92" s="14">
        <f t="shared" si="1"/>
        <v>34</v>
      </c>
      <c r="C92" s="83">
        <f>'27'!M92</f>
        <v>0</v>
      </c>
      <c r="D92" s="110" t="str">
        <f>IF('27'!N92=0,"",'27'!N92)</f>
        <v/>
      </c>
      <c r="E92" s="85">
        <f>'27'!O92</f>
        <v>27</v>
      </c>
      <c r="F92" s="85">
        <f>'27'!P92</f>
        <v>209</v>
      </c>
      <c r="G92" s="105">
        <f>'27'!Q92</f>
        <v>0</v>
      </c>
      <c r="H92" s="161">
        <f>'27'!R92</f>
        <v>0</v>
      </c>
      <c r="I92" s="161">
        <f>'27'!S92</f>
        <v>0</v>
      </c>
      <c r="J92" s="161"/>
      <c r="K92" s="106">
        <f>'27'!T92</f>
        <v>0</v>
      </c>
      <c r="L92" s="85">
        <f>'27'!U92</f>
        <v>0</v>
      </c>
      <c r="M92" s="105">
        <f>'27'!V92</f>
        <v>0</v>
      </c>
      <c r="N92" s="161"/>
      <c r="O92" s="106">
        <f>'27'!W92</f>
        <v>0</v>
      </c>
      <c r="P92" s="107" t="str">
        <f>IF('27'!X92=0,"",'27'!X92)</f>
        <v/>
      </c>
      <c r="Q92" s="111" t="str">
        <f>IF('27'!Y92=0,"",'27'!Y92)</f>
        <v/>
      </c>
      <c r="R92" s="85" t="str">
        <f>IF('27'!Z92=0,"",'27'!Z92)</f>
        <v/>
      </c>
      <c r="S92" s="85" t="e">
        <f>IF('27'!AA92=0,"",'27'!AA92)</f>
        <v>#N/A</v>
      </c>
      <c r="T92" s="268"/>
      <c r="U92" s="268"/>
      <c r="V92" s="268"/>
    </row>
    <row r="93" ht="15" customHeight="1" spans="2:22">
      <c r="B93" s="6">
        <f t="shared" si="1"/>
        <v>35</v>
      </c>
      <c r="C93" s="79" t="str">
        <f>'27'!M93</f>
        <v>99956 Albin A 13/1-20/1 Guest</v>
      </c>
      <c r="D93" s="62" t="str">
        <f>IF('27'!N93=0,"",'27'!N93)</f>
        <v/>
      </c>
      <c r="E93" s="81">
        <f>'27'!O93</f>
        <v>27</v>
      </c>
      <c r="F93" s="81">
        <f>'27'!P93</f>
        <v>210</v>
      </c>
      <c r="G93" s="100" t="str">
        <f>'27'!Q93</f>
        <v>Double</v>
      </c>
      <c r="H93" s="159">
        <f>'27'!R93</f>
        <v>0</v>
      </c>
      <c r="I93" s="159">
        <f>'27'!S93</f>
        <v>0</v>
      </c>
      <c r="J93" s="159"/>
      <c r="K93" s="101">
        <f>'27'!T93</f>
        <v>0</v>
      </c>
      <c r="L93" s="81">
        <f>'27'!U93</f>
        <v>0</v>
      </c>
      <c r="M93" s="100">
        <f>'27'!V93</f>
        <v>2</v>
      </c>
      <c r="N93" s="159"/>
      <c r="O93" s="101">
        <f>'27'!W93</f>
        <v>0</v>
      </c>
      <c r="P93" s="102" t="str">
        <f>IF('27'!X93=0,"",'27'!X93)</f>
        <v/>
      </c>
      <c r="Q93" s="108" t="str">
        <f>IF('27'!Y93=0,"",'27'!Y93)</f>
        <v/>
      </c>
      <c r="R93" s="81" t="str">
        <f>IF('27'!Z93=0,"",'27'!Z93)</f>
        <v/>
      </c>
      <c r="S93" s="81" t="e">
        <f>IF('27'!AA93=0,"",'27'!AA93)</f>
        <v>#N/A</v>
      </c>
      <c r="T93" s="268"/>
      <c r="U93" s="268"/>
      <c r="V93" s="268"/>
    </row>
    <row r="94" ht="15" customHeight="1" spans="2:22">
      <c r="B94" s="9">
        <f t="shared" si="1"/>
        <v>36</v>
      </c>
      <c r="C94" s="31" t="str">
        <f>'27'!M94</f>
        <v>99957 Alfons B 13/1-20/1 Guest</v>
      </c>
      <c r="D94" s="32" t="str">
        <f>IF('27'!N94=0,"",'27'!N94)</f>
        <v>DNK</v>
      </c>
      <c r="E94" s="36">
        <f>'27'!O94</f>
        <v>27</v>
      </c>
      <c r="F94" s="36">
        <f>'27'!P94</f>
        <v>210</v>
      </c>
      <c r="G94" s="103">
        <f>'27'!Q94</f>
        <v>0</v>
      </c>
      <c r="H94" s="160">
        <f>'27'!R94</f>
        <v>0</v>
      </c>
      <c r="I94" s="160">
        <f>'27'!S94</f>
        <v>0</v>
      </c>
      <c r="J94" s="160"/>
      <c r="K94" s="104">
        <f>'27'!T94</f>
        <v>0</v>
      </c>
      <c r="L94" s="36">
        <f>'27'!U94</f>
        <v>2</v>
      </c>
      <c r="M94" s="103">
        <f>'27'!V94</f>
        <v>0</v>
      </c>
      <c r="N94" s="160"/>
      <c r="O94" s="104">
        <f>'27'!W94</f>
        <v>0</v>
      </c>
      <c r="P94" s="52" t="str">
        <f>IF('27'!X94=0,"",'27'!X94)</f>
        <v/>
      </c>
      <c r="Q94" s="109" t="str">
        <f>IF('27'!Y94=0,"",'27'!Y94)</f>
        <v/>
      </c>
      <c r="R94" s="36" t="str">
        <f>IF('27'!Z94=0,"",'27'!Z94)</f>
        <v>0062</v>
      </c>
      <c r="S94" s="36" t="e">
        <f>IF('27'!AA94=0,"",'27'!AA94)</f>
        <v>#N/A</v>
      </c>
      <c r="T94" s="268"/>
      <c r="U94" s="268"/>
      <c r="V94" s="268"/>
    </row>
    <row r="95" ht="15" customHeight="1" spans="2:22">
      <c r="B95" s="14">
        <f t="shared" si="1"/>
        <v>36</v>
      </c>
      <c r="C95" s="83">
        <f>'27'!M95</f>
        <v>0</v>
      </c>
      <c r="D95" s="110" t="str">
        <f>IF('27'!N95=0,"",'27'!N95)</f>
        <v>DNK</v>
      </c>
      <c r="E95" s="85">
        <f>'27'!O95</f>
        <v>27</v>
      </c>
      <c r="F95" s="85">
        <f>'27'!P95</f>
        <v>210</v>
      </c>
      <c r="G95" s="105">
        <f>'27'!Q95</f>
        <v>0</v>
      </c>
      <c r="H95" s="161">
        <f>'27'!R95</f>
        <v>0</v>
      </c>
      <c r="I95" s="161">
        <f>'27'!S95</f>
        <v>0</v>
      </c>
      <c r="J95" s="161"/>
      <c r="K95" s="106">
        <f>'27'!T95</f>
        <v>0</v>
      </c>
      <c r="L95" s="85">
        <f>'27'!U95</f>
        <v>3</v>
      </c>
      <c r="M95" s="105">
        <f>'27'!V95</f>
        <v>0</v>
      </c>
      <c r="N95" s="161"/>
      <c r="O95" s="106">
        <f>'27'!W95</f>
        <v>0</v>
      </c>
      <c r="P95" s="107" t="str">
        <f>IF('27'!X95=0,"",'27'!X95)</f>
        <v/>
      </c>
      <c r="Q95" s="111" t="str">
        <f>IF('27'!Y95=0,"",'27'!Y95)</f>
        <v/>
      </c>
      <c r="R95" s="85" t="str">
        <f>IF('27'!Z95=0,"",'27'!Z95)</f>
        <v>0063</v>
      </c>
      <c r="S95" s="85" t="e">
        <f>IF('27'!AA95=0,"",'27'!AA95)</f>
        <v>#N/A</v>
      </c>
      <c r="T95" s="268"/>
      <c r="U95" s="268"/>
      <c r="V95" s="268"/>
    </row>
    <row r="96" ht="15" customHeight="1" spans="2:22">
      <c r="B96" s="6">
        <f t="shared" si="1"/>
        <v>37</v>
      </c>
      <c r="C96" s="79" t="str">
        <f>'27'!M96</f>
        <v>99958 Sam F 13/1-20/1 Guest</v>
      </c>
      <c r="D96" s="62" t="str">
        <f>IF('27'!N96=0,"",'27'!N96)</f>
        <v>DNK</v>
      </c>
      <c r="E96" s="81">
        <f>'27'!O96</f>
        <v>27</v>
      </c>
      <c r="F96" s="81">
        <f>'27'!P96</f>
        <v>211</v>
      </c>
      <c r="G96" s="100" t="str">
        <f>'27'!Q96</f>
        <v>Double</v>
      </c>
      <c r="H96" s="159">
        <f>'27'!R96</f>
        <v>0</v>
      </c>
      <c r="I96" s="159">
        <f>'27'!S96</f>
        <v>0</v>
      </c>
      <c r="J96" s="159"/>
      <c r="K96" s="101">
        <f>'27'!T96</f>
        <v>0</v>
      </c>
      <c r="L96" s="81">
        <f>'27'!U96</f>
        <v>1</v>
      </c>
      <c r="M96" s="100">
        <f>'27'!V96</f>
        <v>2</v>
      </c>
      <c r="N96" s="159"/>
      <c r="O96" s="101">
        <f>'27'!W96</f>
        <v>0</v>
      </c>
      <c r="P96" s="102" t="str">
        <f>IF('27'!X96=0,"",'27'!X96)</f>
        <v/>
      </c>
      <c r="Q96" s="108" t="str">
        <f>IF('27'!Y96=0,"",'27'!Y96)</f>
        <v/>
      </c>
      <c r="R96" s="81" t="str">
        <f>IF('27'!Z96=0,"",'27'!Z96)</f>
        <v>0065</v>
      </c>
      <c r="S96" s="81" t="e">
        <f>IF('27'!AA96=0,"",'27'!AA96)</f>
        <v>#N/A</v>
      </c>
      <c r="T96" s="268"/>
      <c r="U96" s="268"/>
      <c r="V96" s="268"/>
    </row>
    <row r="97" ht="15" customHeight="1" spans="2:22">
      <c r="B97" s="9">
        <f t="shared" si="1"/>
        <v>37</v>
      </c>
      <c r="C97" s="31">
        <f>'27'!M97</f>
        <v>0</v>
      </c>
      <c r="D97" s="32" t="str">
        <f>IF('27'!N97=0,"",'27'!N97)</f>
        <v>DNK</v>
      </c>
      <c r="E97" s="36">
        <f>'27'!O97</f>
        <v>27</v>
      </c>
      <c r="F97" s="36">
        <f>'27'!P97</f>
        <v>211</v>
      </c>
      <c r="G97" s="103">
        <f>'27'!Q97</f>
        <v>0</v>
      </c>
      <c r="H97" s="160">
        <f>'27'!R97</f>
        <v>0</v>
      </c>
      <c r="I97" s="160">
        <f>'27'!S97</f>
        <v>0</v>
      </c>
      <c r="J97" s="160"/>
      <c r="K97" s="104">
        <f>'27'!T97</f>
        <v>0</v>
      </c>
      <c r="L97" s="36">
        <f>'27'!U97</f>
        <v>2</v>
      </c>
      <c r="M97" s="103">
        <f>'27'!V97</f>
        <v>0</v>
      </c>
      <c r="N97" s="160"/>
      <c r="O97" s="104">
        <f>'27'!W97</f>
        <v>0</v>
      </c>
      <c r="P97" s="52" t="str">
        <f>IF('27'!X97=0,"",'27'!X97)</f>
        <v/>
      </c>
      <c r="Q97" s="109" t="str">
        <f>IF('27'!Y97=0,"",'27'!Y97)</f>
        <v/>
      </c>
      <c r="R97" s="36" t="str">
        <f>IF('27'!Z97=0,"",'27'!Z97)</f>
        <v>0064</v>
      </c>
      <c r="S97" s="36" t="e">
        <f>IF('27'!AA97=0,"",'27'!AA97)</f>
        <v>#N/A</v>
      </c>
      <c r="T97" s="268"/>
      <c r="U97" s="268"/>
      <c r="V97" s="268"/>
    </row>
    <row r="98" ht="15" customHeight="1" spans="2:22">
      <c r="B98" s="14">
        <f t="shared" si="1"/>
        <v>37</v>
      </c>
      <c r="C98" s="83">
        <f>'27'!M98</f>
        <v>0</v>
      </c>
      <c r="D98" s="110" t="str">
        <f>IF('27'!N98=0,"",'27'!N98)</f>
        <v/>
      </c>
      <c r="E98" s="85">
        <f>'27'!O98</f>
        <v>27</v>
      </c>
      <c r="F98" s="85">
        <f>'27'!P98</f>
        <v>211</v>
      </c>
      <c r="G98" s="105">
        <f>'27'!Q98</f>
        <v>0</v>
      </c>
      <c r="H98" s="161">
        <f>'27'!R98</f>
        <v>0</v>
      </c>
      <c r="I98" s="161">
        <f>'27'!S98</f>
        <v>0</v>
      </c>
      <c r="J98" s="161"/>
      <c r="K98" s="106">
        <f>'27'!T98</f>
        <v>0</v>
      </c>
      <c r="L98" s="85">
        <f>'27'!U98</f>
        <v>0</v>
      </c>
      <c r="M98" s="105">
        <f>'27'!V98</f>
        <v>0</v>
      </c>
      <c r="N98" s="161"/>
      <c r="O98" s="106">
        <f>'27'!W98</f>
        <v>0</v>
      </c>
      <c r="P98" s="107" t="str">
        <f>IF('27'!X98=0,"",'27'!X98)</f>
        <v/>
      </c>
      <c r="Q98" s="111" t="str">
        <f>IF('27'!Y98=0,"",'27'!Y98)</f>
        <v/>
      </c>
      <c r="R98" s="85" t="str">
        <f>IF('27'!Z98=0,"",'27'!Z98)</f>
        <v/>
      </c>
      <c r="S98" s="85" t="e">
        <f>IF('27'!AA98=0,"",'27'!AA98)</f>
        <v>#N/A</v>
      </c>
      <c r="T98" s="268"/>
      <c r="U98" s="268"/>
      <c r="V98" s="268"/>
    </row>
    <row r="99" ht="15" customHeight="1" spans="2:22">
      <c r="B99" s="6">
        <f t="shared" si="1"/>
        <v>37</v>
      </c>
      <c r="C99" s="79">
        <f>'27'!M99</f>
        <v>0</v>
      </c>
      <c r="D99" s="62" t="str">
        <f>IF('27'!N99=0,"",'27'!N99)</f>
        <v>DNK</v>
      </c>
      <c r="E99" s="81">
        <f>'27'!O99</f>
        <v>27</v>
      </c>
      <c r="F99" s="81">
        <f>'27'!P99</f>
        <v>212</v>
      </c>
      <c r="G99" s="100" t="str">
        <f>'27'!Q99</f>
        <v>Triple</v>
      </c>
      <c r="H99" s="159">
        <f>'27'!R99</f>
        <v>0</v>
      </c>
      <c r="I99" s="159">
        <f>'27'!S99</f>
        <v>0</v>
      </c>
      <c r="J99" s="159"/>
      <c r="K99" s="101">
        <f>'27'!T99</f>
        <v>0</v>
      </c>
      <c r="L99" s="81">
        <f>'27'!U99</f>
        <v>1</v>
      </c>
      <c r="M99" s="100">
        <f>'27'!V99</f>
        <v>3</v>
      </c>
      <c r="N99" s="159"/>
      <c r="O99" s="101">
        <f>'27'!W99</f>
        <v>0</v>
      </c>
      <c r="P99" s="102" t="str">
        <f>IF('27'!X99=0,"",'27'!X99)</f>
        <v/>
      </c>
      <c r="Q99" s="108" t="str">
        <f>IF('27'!Y99=0,"",'27'!Y99)</f>
        <v/>
      </c>
      <c r="R99" s="81" t="str">
        <f>IF('27'!Z99=0,"",'27'!Z99)</f>
        <v>0066</v>
      </c>
      <c r="S99" s="81" t="e">
        <f>IF('27'!AA99=0,"",'27'!AA99)</f>
        <v>#N/A</v>
      </c>
      <c r="T99" s="268"/>
      <c r="U99" s="268"/>
      <c r="V99" s="268"/>
    </row>
    <row r="100" ht="15" customHeight="1" spans="2:22">
      <c r="B100" s="9">
        <f t="shared" si="1"/>
        <v>37</v>
      </c>
      <c r="C100" s="31">
        <f>'27'!M100</f>
        <v>0</v>
      </c>
      <c r="D100" s="32" t="str">
        <f>IF('27'!N100=0,"",'27'!N100)</f>
        <v>DNK</v>
      </c>
      <c r="E100" s="36">
        <f>'27'!O100</f>
        <v>27</v>
      </c>
      <c r="F100" s="36">
        <f>'27'!P100</f>
        <v>212</v>
      </c>
      <c r="G100" s="103">
        <f>'27'!Q100</f>
        <v>0</v>
      </c>
      <c r="H100" s="160">
        <f>'27'!R100</f>
        <v>0</v>
      </c>
      <c r="I100" s="160">
        <f>'27'!S100</f>
        <v>0</v>
      </c>
      <c r="J100" s="160"/>
      <c r="K100" s="104">
        <f>'27'!T100</f>
        <v>0</v>
      </c>
      <c r="L100" s="36">
        <f>'27'!U100</f>
        <v>2</v>
      </c>
      <c r="M100" s="103">
        <f>'27'!V100</f>
        <v>0</v>
      </c>
      <c r="N100" s="160"/>
      <c r="O100" s="104">
        <f>'27'!W100</f>
        <v>0</v>
      </c>
      <c r="P100" s="52" t="str">
        <f>IF('27'!X100=0,"",'27'!X100)</f>
        <v/>
      </c>
      <c r="Q100" s="109" t="str">
        <f>IF('27'!Y100=0,"",'27'!Y100)</f>
        <v/>
      </c>
      <c r="R100" s="36" t="str">
        <f>IF('27'!Z100=0,"",'27'!Z100)</f>
        <v>0068</v>
      </c>
      <c r="S100" s="36" t="e">
        <f>IF('27'!AA100=0,"",'27'!AA100)</f>
        <v>#N/A</v>
      </c>
      <c r="T100" s="268"/>
      <c r="U100" s="268"/>
      <c r="V100" s="268"/>
    </row>
    <row r="101" ht="15" customHeight="1" spans="2:22">
      <c r="B101" s="14">
        <f t="shared" si="1"/>
        <v>37</v>
      </c>
      <c r="C101" s="83">
        <f>'27'!M101</f>
        <v>0</v>
      </c>
      <c r="D101" s="110" t="str">
        <f>IF('27'!N101=0,"",'27'!N101)</f>
        <v>DNK</v>
      </c>
      <c r="E101" s="85">
        <f>'27'!O101</f>
        <v>27</v>
      </c>
      <c r="F101" s="85">
        <f>'27'!P101</f>
        <v>212</v>
      </c>
      <c r="G101" s="105">
        <f>'27'!Q101</f>
        <v>0</v>
      </c>
      <c r="H101" s="161">
        <f>'27'!R101</f>
        <v>0</v>
      </c>
      <c r="I101" s="161">
        <f>'27'!S101</f>
        <v>0</v>
      </c>
      <c r="J101" s="161"/>
      <c r="K101" s="106">
        <f>'27'!T101</f>
        <v>0</v>
      </c>
      <c r="L101" s="85">
        <f>'27'!U101</f>
        <v>3</v>
      </c>
      <c r="M101" s="105">
        <f>'27'!V101</f>
        <v>0</v>
      </c>
      <c r="N101" s="161"/>
      <c r="O101" s="106">
        <f>'27'!W101</f>
        <v>0</v>
      </c>
      <c r="P101" s="107" t="str">
        <f>IF('27'!X101=0,"",'27'!X101)</f>
        <v/>
      </c>
      <c r="Q101" s="111" t="str">
        <f>IF('27'!Y101=0,"",'27'!Y101)</f>
        <v/>
      </c>
      <c r="R101" s="85" t="str">
        <f>IF('27'!Z101=0,"",'27'!Z101)</f>
        <v>0067</v>
      </c>
      <c r="S101" s="85" t="e">
        <f>IF('27'!AA101=0,"",'27'!AA101)</f>
        <v>#N/A</v>
      </c>
      <c r="T101" s="268"/>
      <c r="U101" s="268"/>
      <c r="V101" s="268"/>
    </row>
    <row r="102" ht="15" customHeight="1" spans="2:22">
      <c r="B102" s="6">
        <f t="shared" si="1"/>
        <v>38</v>
      </c>
      <c r="C102" s="79" t="str">
        <f>'27'!M102</f>
        <v>99946 Otto B 13/1-20/1 Guest</v>
      </c>
      <c r="D102" s="62" t="str">
        <f>IF('27'!N102=0,"",'27'!N102)</f>
        <v>DNK</v>
      </c>
      <c r="E102" s="81">
        <f>'27'!O102</f>
        <v>27</v>
      </c>
      <c r="F102" s="81">
        <f>'27'!P102</f>
        <v>213</v>
      </c>
      <c r="G102" s="100" t="str">
        <f>'27'!Q102</f>
        <v>Double</v>
      </c>
      <c r="H102" s="159">
        <f>'27'!R102</f>
        <v>0</v>
      </c>
      <c r="I102" s="159">
        <f>'27'!S102</f>
        <v>0</v>
      </c>
      <c r="J102" s="159"/>
      <c r="K102" s="101">
        <f>'27'!T102</f>
        <v>0</v>
      </c>
      <c r="L102" s="81">
        <f>'27'!U102</f>
        <v>1</v>
      </c>
      <c r="M102" s="100">
        <f>'27'!V102</f>
        <v>2</v>
      </c>
      <c r="N102" s="159"/>
      <c r="O102" s="101">
        <f>'27'!W102</f>
        <v>0</v>
      </c>
      <c r="P102" s="102" t="str">
        <f>IF('27'!X102=0,"",'27'!X102)</f>
        <v/>
      </c>
      <c r="Q102" s="108" t="str">
        <f>IF('27'!Y102=0,"",'27'!Y102)</f>
        <v/>
      </c>
      <c r="R102" s="81" t="str">
        <f>IF('27'!Z102=0,"",'27'!Z102)</f>
        <v>0070</v>
      </c>
      <c r="S102" s="81" t="e">
        <f>IF('27'!AA102=0,"",'27'!AA102)</f>
        <v>#N/A</v>
      </c>
      <c r="T102" s="268"/>
      <c r="U102" s="268"/>
      <c r="V102" s="268"/>
    </row>
    <row r="103" ht="15" customHeight="1" spans="2:22">
      <c r="B103" s="9">
        <f t="shared" si="1"/>
        <v>39</v>
      </c>
      <c r="C103" s="31" t="str">
        <f>'27'!M103</f>
        <v>99947 Vilhelm V 13/1-20/1 Guest</v>
      </c>
      <c r="D103" s="32" t="str">
        <f>IF('27'!N103=0,"",'27'!N103)</f>
        <v>DNK</v>
      </c>
      <c r="E103" s="36">
        <f>'27'!O103</f>
        <v>27</v>
      </c>
      <c r="F103" s="36">
        <f>'27'!P103</f>
        <v>213</v>
      </c>
      <c r="G103" s="103">
        <f>'27'!Q103</f>
        <v>0</v>
      </c>
      <c r="H103" s="160">
        <f>'27'!R103</f>
        <v>0</v>
      </c>
      <c r="I103" s="160">
        <f>'27'!S103</f>
        <v>0</v>
      </c>
      <c r="J103" s="160"/>
      <c r="K103" s="104">
        <f>'27'!T103</f>
        <v>0</v>
      </c>
      <c r="L103" s="36">
        <f>'27'!U103</f>
        <v>2</v>
      </c>
      <c r="M103" s="103">
        <f>'27'!V103</f>
        <v>0</v>
      </c>
      <c r="N103" s="160"/>
      <c r="O103" s="104">
        <f>'27'!W103</f>
        <v>0</v>
      </c>
      <c r="P103" s="52" t="str">
        <f>IF('27'!X103=0,"",'27'!X103)</f>
        <v/>
      </c>
      <c r="Q103" s="109" t="str">
        <f>IF('27'!Y103=0,"",'27'!Y103)</f>
        <v/>
      </c>
      <c r="R103" s="36" t="str">
        <f>IF('27'!Z103=0,"",'27'!Z103)</f>
        <v>0069</v>
      </c>
      <c r="S103" s="36" t="e">
        <f>IF('27'!AA103=0,"",'27'!AA103)</f>
        <v>#N/A</v>
      </c>
      <c r="T103" s="268"/>
      <c r="U103" s="268"/>
      <c r="V103" s="268"/>
    </row>
    <row r="104" ht="15" customHeight="1" spans="2:22">
      <c r="B104" s="14">
        <f t="shared" si="1"/>
        <v>39</v>
      </c>
      <c r="C104" s="83">
        <f>'27'!M104</f>
        <v>0</v>
      </c>
      <c r="D104" s="110" t="str">
        <f>IF('27'!N104=0,"",'27'!N104)</f>
        <v/>
      </c>
      <c r="E104" s="85">
        <f>'27'!O104</f>
        <v>27</v>
      </c>
      <c r="F104" s="85">
        <f>'27'!P104</f>
        <v>213</v>
      </c>
      <c r="G104" s="105">
        <f>'27'!Q104</f>
        <v>0</v>
      </c>
      <c r="H104" s="161">
        <f>'27'!R104</f>
        <v>0</v>
      </c>
      <c r="I104" s="161">
        <f>'27'!S104</f>
        <v>0</v>
      </c>
      <c r="J104" s="161"/>
      <c r="K104" s="106">
        <f>'27'!T104</f>
        <v>0</v>
      </c>
      <c r="L104" s="85">
        <f>'27'!U104</f>
        <v>0</v>
      </c>
      <c r="M104" s="105">
        <f>'27'!V104</f>
        <v>0</v>
      </c>
      <c r="N104" s="161"/>
      <c r="O104" s="106">
        <f>'27'!W104</f>
        <v>0</v>
      </c>
      <c r="P104" s="107" t="str">
        <f>IF('27'!X104=0,"",'27'!X104)</f>
        <v/>
      </c>
      <c r="Q104" s="111" t="str">
        <f>IF('27'!Y104=0,"",'27'!Y104)</f>
        <v/>
      </c>
      <c r="R104" s="85" t="str">
        <f>IF('27'!Z104=0,"",'27'!Z104)</f>
        <v/>
      </c>
      <c r="S104" s="85" t="e">
        <f>IF('27'!AA104=0,"",'27'!AA104)</f>
        <v>#N/A</v>
      </c>
      <c r="T104" s="268"/>
      <c r="U104" s="268"/>
      <c r="V104" s="268"/>
    </row>
    <row r="105" ht="15" customHeight="1" spans="2:22">
      <c r="B105" s="6">
        <f t="shared" si="1"/>
        <v>40</v>
      </c>
      <c r="C105" s="79" t="str">
        <f>'27'!M105</f>
        <v>99944 Emil A 13/1-20/1 Guest</v>
      </c>
      <c r="D105" s="62" t="str">
        <f>IF('27'!N105=0,"",'27'!N105)</f>
        <v>DNK</v>
      </c>
      <c r="E105" s="81">
        <f>'27'!O105</f>
        <v>27</v>
      </c>
      <c r="F105" s="81">
        <f>'27'!P105</f>
        <v>214</v>
      </c>
      <c r="G105" s="100" t="str">
        <f>'27'!Q105</f>
        <v>Double</v>
      </c>
      <c r="H105" s="159">
        <f>'27'!R105</f>
        <v>0</v>
      </c>
      <c r="I105" s="159">
        <f>'27'!S105</f>
        <v>0</v>
      </c>
      <c r="J105" s="159"/>
      <c r="K105" s="101">
        <f>'27'!T105</f>
        <v>0</v>
      </c>
      <c r="L105" s="81">
        <f>'27'!U105</f>
        <v>1</v>
      </c>
      <c r="M105" s="100">
        <f>'27'!V105</f>
        <v>2</v>
      </c>
      <c r="N105" s="159"/>
      <c r="O105" s="101">
        <f>'27'!W105</f>
        <v>0</v>
      </c>
      <c r="P105" s="102" t="str">
        <f>IF('27'!X105=0,"",'27'!X105)</f>
        <v/>
      </c>
      <c r="Q105" s="108" t="str">
        <f>IF('27'!Y105=0,"",'27'!Y105)</f>
        <v/>
      </c>
      <c r="R105" s="81" t="str">
        <f>IF('27'!Z105=0,"",'27'!Z105)</f>
        <v>0071</v>
      </c>
      <c r="S105" s="81" t="e">
        <f>IF('27'!AA105=0,"",'27'!AA105)</f>
        <v>#N/A</v>
      </c>
      <c r="T105" s="268"/>
      <c r="U105" s="268"/>
      <c r="V105" s="268"/>
    </row>
    <row r="106" ht="15" customHeight="1" spans="2:22">
      <c r="B106" s="9">
        <f t="shared" si="1"/>
        <v>41</v>
      </c>
      <c r="C106" s="31" t="str">
        <f>'27'!M106</f>
        <v>99945 Hugo B 13/1-20/1 Guest</v>
      </c>
      <c r="D106" s="32" t="str">
        <f>IF('27'!N106=0,"",'27'!N106)</f>
        <v/>
      </c>
      <c r="E106" s="36">
        <f>'27'!O106</f>
        <v>27</v>
      </c>
      <c r="F106" s="36">
        <f>'27'!P106</f>
        <v>214</v>
      </c>
      <c r="G106" s="103">
        <f>'27'!Q106</f>
        <v>0</v>
      </c>
      <c r="H106" s="160">
        <f>'27'!R106</f>
        <v>0</v>
      </c>
      <c r="I106" s="160">
        <f>'27'!S106</f>
        <v>0</v>
      </c>
      <c r="J106" s="160"/>
      <c r="K106" s="104">
        <f>'27'!T106</f>
        <v>0</v>
      </c>
      <c r="L106" s="36">
        <f>'27'!U106</f>
        <v>0</v>
      </c>
      <c r="M106" s="103">
        <f>'27'!V106</f>
        <v>0</v>
      </c>
      <c r="N106" s="160"/>
      <c r="O106" s="104">
        <f>'27'!W106</f>
        <v>0</v>
      </c>
      <c r="P106" s="52" t="str">
        <f>IF('27'!X106=0,"",'27'!X106)</f>
        <v/>
      </c>
      <c r="Q106" s="109" t="str">
        <f>IF('27'!Y106=0,"",'27'!Y106)</f>
        <v/>
      </c>
      <c r="R106" s="36" t="str">
        <f>IF('27'!Z106=0,"",'27'!Z106)</f>
        <v/>
      </c>
      <c r="S106" s="36" t="e">
        <f>IF('27'!AA106=0,"",'27'!AA106)</f>
        <v>#N/A</v>
      </c>
      <c r="T106" s="268"/>
      <c r="U106" s="268"/>
      <c r="V106" s="268"/>
    </row>
    <row r="107" ht="15" customHeight="1" spans="2:22">
      <c r="B107" s="14">
        <f t="shared" si="1"/>
        <v>41</v>
      </c>
      <c r="C107" s="83">
        <f>'27'!M107</f>
        <v>0</v>
      </c>
      <c r="D107" s="110" t="str">
        <f>IF('27'!N107=0,"",'27'!N107)</f>
        <v>DNK</v>
      </c>
      <c r="E107" s="85">
        <f>'27'!O107</f>
        <v>27</v>
      </c>
      <c r="F107" s="85">
        <f>'27'!P107</f>
        <v>214</v>
      </c>
      <c r="G107" s="105">
        <f>'27'!Q107</f>
        <v>0</v>
      </c>
      <c r="H107" s="161">
        <f>'27'!R107</f>
        <v>0</v>
      </c>
      <c r="I107" s="161">
        <f>'27'!S107</f>
        <v>0</v>
      </c>
      <c r="J107" s="161"/>
      <c r="K107" s="106">
        <f>'27'!T107</f>
        <v>0</v>
      </c>
      <c r="L107" s="85">
        <f>'27'!U107</f>
        <v>3</v>
      </c>
      <c r="M107" s="105">
        <f>'27'!V107</f>
        <v>0</v>
      </c>
      <c r="N107" s="161"/>
      <c r="O107" s="106">
        <f>'27'!W107</f>
        <v>0</v>
      </c>
      <c r="P107" s="107" t="str">
        <f>IF('27'!X107=0,"",'27'!X107)</f>
        <v/>
      </c>
      <c r="Q107" s="111" t="str">
        <f>IF('27'!Y107=0,"",'27'!Y107)</f>
        <v/>
      </c>
      <c r="R107" s="85" t="str">
        <f>IF('27'!Z107=0,"",'27'!Z107)</f>
        <v>0072</v>
      </c>
      <c r="S107" s="85" t="e">
        <f>IF('27'!AA107=0,"",'27'!AA107)</f>
        <v>#N/A</v>
      </c>
      <c r="T107" s="268"/>
      <c r="U107" s="268"/>
      <c r="V107" s="268"/>
    </row>
    <row r="108" ht="15" customHeight="1" spans="2:22">
      <c r="B108" s="6">
        <f t="shared" si="1"/>
        <v>42</v>
      </c>
      <c r="C108" s="79" t="str">
        <f>'27'!M108</f>
        <v>99942 Lydiana B 13/1-20/1 Guest</v>
      </c>
      <c r="D108" s="62" t="str">
        <f>IF('27'!N108=0,"",'27'!N108)</f>
        <v>DNK</v>
      </c>
      <c r="E108" s="81">
        <f>'27'!O108</f>
        <v>27</v>
      </c>
      <c r="F108" s="81">
        <f>'27'!P108</f>
        <v>215</v>
      </c>
      <c r="G108" s="100" t="str">
        <f>'27'!Q108</f>
        <v>Triple</v>
      </c>
      <c r="H108" s="159">
        <f>'27'!R108</f>
        <v>0</v>
      </c>
      <c r="I108" s="159">
        <f>'27'!S108</f>
        <v>0</v>
      </c>
      <c r="J108" s="159"/>
      <c r="K108" s="101">
        <f>'27'!T108</f>
        <v>0</v>
      </c>
      <c r="L108" s="81">
        <f>'27'!U108</f>
        <v>1</v>
      </c>
      <c r="M108" s="100">
        <f>'27'!V108</f>
        <v>3</v>
      </c>
      <c r="N108" s="159"/>
      <c r="O108" s="101">
        <f>'27'!W108</f>
        <v>0</v>
      </c>
      <c r="P108" s="102" t="str">
        <f>IF('27'!X108=0,"",'27'!X108)</f>
        <v/>
      </c>
      <c r="Q108" s="108" t="str">
        <f>IF('27'!Y108=0,"",'27'!Y108)</f>
        <v/>
      </c>
      <c r="R108" s="81" t="str">
        <f>IF('27'!Z108=0,"",'27'!Z108)</f>
        <v>0074</v>
      </c>
      <c r="S108" s="81" t="e">
        <f>IF('27'!AA108=0,"",'27'!AA108)</f>
        <v>#N/A</v>
      </c>
      <c r="T108" s="268"/>
      <c r="U108" s="268"/>
      <c r="V108" s="268"/>
    </row>
    <row r="109" ht="15" customHeight="1" spans="2:22">
      <c r="B109" s="9">
        <f t="shared" si="1"/>
        <v>43</v>
      </c>
      <c r="C109" s="31" t="str">
        <f>'27'!M109</f>
        <v>99943 Isabelle S 13/1-20/1 Guest</v>
      </c>
      <c r="D109" s="32" t="str">
        <f>IF('27'!N109=0,"",'27'!N109)</f>
        <v>DNK</v>
      </c>
      <c r="E109" s="36">
        <f>'27'!O109</f>
        <v>27</v>
      </c>
      <c r="F109" s="36">
        <f>'27'!P109</f>
        <v>215</v>
      </c>
      <c r="G109" s="103">
        <f>'27'!Q109</f>
        <v>0</v>
      </c>
      <c r="H109" s="160">
        <f>'27'!R109</f>
        <v>0</v>
      </c>
      <c r="I109" s="160">
        <f>'27'!S109</f>
        <v>0</v>
      </c>
      <c r="J109" s="160"/>
      <c r="K109" s="104">
        <f>'27'!T109</f>
        <v>0</v>
      </c>
      <c r="L109" s="36">
        <f>'27'!U109</f>
        <v>2</v>
      </c>
      <c r="M109" s="103">
        <f>'27'!V109</f>
        <v>0</v>
      </c>
      <c r="N109" s="160"/>
      <c r="O109" s="104">
        <f>'27'!W109</f>
        <v>0</v>
      </c>
      <c r="P109" s="52" t="str">
        <f>IF('27'!X109=0,"",'27'!X109)</f>
        <v/>
      </c>
      <c r="Q109" s="109" t="str">
        <f>IF('27'!Y109=0,"",'27'!Y109)</f>
        <v/>
      </c>
      <c r="R109" s="36" t="str">
        <f>IF('27'!Z109=0,"",'27'!Z109)</f>
        <v>0073</v>
      </c>
      <c r="S109" s="36" t="e">
        <f>IF('27'!AA109=0,"",'27'!AA109)</f>
        <v>#N/A</v>
      </c>
      <c r="T109" s="268"/>
      <c r="U109" s="268"/>
      <c r="V109" s="268"/>
    </row>
    <row r="110" ht="15" customHeight="1" spans="2:22">
      <c r="B110" s="14">
        <f t="shared" si="1"/>
        <v>43</v>
      </c>
      <c r="C110" s="83">
        <f>'27'!M110</f>
        <v>0</v>
      </c>
      <c r="D110" s="110" t="str">
        <f>IF('27'!N110=0,"",'27'!N110)</f>
        <v>DNK</v>
      </c>
      <c r="E110" s="85">
        <f>'27'!O110</f>
        <v>27</v>
      </c>
      <c r="F110" s="85">
        <f>'27'!P110</f>
        <v>215</v>
      </c>
      <c r="G110" s="105">
        <f>'27'!Q110</f>
        <v>0</v>
      </c>
      <c r="H110" s="161">
        <f>'27'!R110</f>
        <v>0</v>
      </c>
      <c r="I110" s="161">
        <f>'27'!S110</f>
        <v>0</v>
      </c>
      <c r="J110" s="161"/>
      <c r="K110" s="106">
        <f>'27'!T110</f>
        <v>0</v>
      </c>
      <c r="L110" s="85">
        <f>'27'!U110</f>
        <v>3</v>
      </c>
      <c r="M110" s="105">
        <f>'27'!V110</f>
        <v>0</v>
      </c>
      <c r="N110" s="161"/>
      <c r="O110" s="106">
        <f>'27'!W110</f>
        <v>0</v>
      </c>
      <c r="P110" s="107" t="str">
        <f>IF('27'!X110=0,"",'27'!X110)</f>
        <v/>
      </c>
      <c r="Q110" s="111" t="str">
        <f>IF('27'!Y110=0,"",'27'!Y110)</f>
        <v/>
      </c>
      <c r="R110" s="85" t="str">
        <f>IF('27'!Z110=0,"",'27'!Z110)</f>
        <v>0075</v>
      </c>
      <c r="S110" s="85" t="e">
        <f>IF('27'!AA110=0,"",'27'!AA110)</f>
        <v>#N/A</v>
      </c>
      <c r="T110" s="268"/>
      <c r="U110" s="268"/>
      <c r="V110" s="268"/>
    </row>
    <row r="111" ht="15" customHeight="1" spans="2:22">
      <c r="B111" s="6">
        <f t="shared" si="1"/>
        <v>43</v>
      </c>
      <c r="C111" s="79">
        <f>'27'!M111</f>
        <v>0</v>
      </c>
      <c r="D111" s="62" t="str">
        <f>IF('27'!N111=0,"",'27'!N111)</f>
        <v/>
      </c>
      <c r="E111" s="81">
        <f>'27'!O111</f>
        <v>27</v>
      </c>
      <c r="F111" s="81">
        <f>'27'!P111</f>
        <v>216</v>
      </c>
      <c r="G111" s="100" t="str">
        <f>'27'!Q111</f>
        <v>Double</v>
      </c>
      <c r="H111" s="159">
        <f>'27'!R111</f>
        <v>0</v>
      </c>
      <c r="I111" s="159">
        <f>'27'!S111</f>
        <v>0</v>
      </c>
      <c r="J111" s="159"/>
      <c r="K111" s="101">
        <f>'27'!T111</f>
        <v>0</v>
      </c>
      <c r="L111" s="81">
        <f>'27'!U111</f>
        <v>0</v>
      </c>
      <c r="M111" s="100">
        <f>'27'!V111</f>
        <v>2</v>
      </c>
      <c r="N111" s="159"/>
      <c r="O111" s="101">
        <f>'27'!W111</f>
        <v>0</v>
      </c>
      <c r="P111" s="102" t="str">
        <f>IF('27'!X111=0,"",'27'!X111)</f>
        <v/>
      </c>
      <c r="Q111" s="108" t="str">
        <f>IF('27'!Y111=0,"",'27'!Y111)</f>
        <v/>
      </c>
      <c r="R111" s="81" t="str">
        <f>IF('27'!Z111=0,"",'27'!Z111)</f>
        <v/>
      </c>
      <c r="S111" s="81" t="e">
        <f>IF('27'!AA111=0,"",'27'!AA111)</f>
        <v>#N/A</v>
      </c>
      <c r="T111" s="268"/>
      <c r="U111" s="268"/>
      <c r="V111" s="268"/>
    </row>
    <row r="112" ht="15" customHeight="1" spans="2:22">
      <c r="B112" s="9">
        <f t="shared" si="1"/>
        <v>43</v>
      </c>
      <c r="C112" s="31">
        <f>'27'!M112</f>
        <v>0</v>
      </c>
      <c r="D112" s="32" t="str">
        <f>IF('27'!N112=0,"",'27'!N112)</f>
        <v>DNK</v>
      </c>
      <c r="E112" s="36">
        <f>'27'!O112</f>
        <v>27</v>
      </c>
      <c r="F112" s="36">
        <f>'27'!P112</f>
        <v>216</v>
      </c>
      <c r="G112" s="103">
        <f>'27'!Q112</f>
        <v>0</v>
      </c>
      <c r="H112" s="160">
        <f>'27'!R112</f>
        <v>0</v>
      </c>
      <c r="I112" s="160">
        <f>'27'!S112</f>
        <v>0</v>
      </c>
      <c r="J112" s="160"/>
      <c r="K112" s="104">
        <f>'27'!T112</f>
        <v>0</v>
      </c>
      <c r="L112" s="36">
        <f>'27'!U112</f>
        <v>2</v>
      </c>
      <c r="M112" s="103">
        <f>'27'!V112</f>
        <v>0</v>
      </c>
      <c r="N112" s="160"/>
      <c r="O112" s="104">
        <f>'27'!W112</f>
        <v>0</v>
      </c>
      <c r="P112" s="52" t="str">
        <f>IF('27'!X112=0,"",'27'!X112)</f>
        <v/>
      </c>
      <c r="Q112" s="109" t="str">
        <f>IF('27'!Y112=0,"",'27'!Y112)</f>
        <v/>
      </c>
      <c r="R112" s="36" t="str">
        <f>IF('27'!Z112=0,"",'27'!Z112)</f>
        <v>0077</v>
      </c>
      <c r="S112" s="36" t="e">
        <f>IF('27'!AA112=0,"",'27'!AA112)</f>
        <v>#N/A</v>
      </c>
      <c r="T112" s="268"/>
      <c r="U112" s="268"/>
      <c r="V112" s="268"/>
    </row>
    <row r="113" ht="15" customHeight="1" spans="2:22">
      <c r="B113" s="14">
        <f t="shared" si="1"/>
        <v>43</v>
      </c>
      <c r="C113" s="83">
        <f>'27'!M113</f>
        <v>0</v>
      </c>
      <c r="D113" s="110" t="str">
        <f>IF('27'!N113=0,"",'27'!N113)</f>
        <v>DNK</v>
      </c>
      <c r="E113" s="85">
        <f>'27'!O113</f>
        <v>27</v>
      </c>
      <c r="F113" s="85">
        <f>'27'!P113</f>
        <v>216</v>
      </c>
      <c r="G113" s="105">
        <f>'27'!Q113</f>
        <v>0</v>
      </c>
      <c r="H113" s="161">
        <f>'27'!R113</f>
        <v>0</v>
      </c>
      <c r="I113" s="161">
        <f>'27'!S113</f>
        <v>0</v>
      </c>
      <c r="J113" s="161"/>
      <c r="K113" s="106">
        <f>'27'!T113</f>
        <v>0</v>
      </c>
      <c r="L113" s="85">
        <f>'27'!U113</f>
        <v>3</v>
      </c>
      <c r="M113" s="105">
        <f>'27'!V113</f>
        <v>0</v>
      </c>
      <c r="N113" s="161"/>
      <c r="O113" s="106">
        <f>'27'!W113</f>
        <v>0</v>
      </c>
      <c r="P113" s="107" t="str">
        <f>IF('27'!X113=0,"",'27'!X113)</f>
        <v/>
      </c>
      <c r="Q113" s="111" t="str">
        <f>IF('27'!Y113=0,"",'27'!Y113)</f>
        <v/>
      </c>
      <c r="R113" s="85" t="str">
        <f>IF('27'!Z113=0,"",'27'!Z113)</f>
        <v>0842</v>
      </c>
      <c r="S113" s="85" t="e">
        <f>IF('27'!AA113=0,"",'27'!AA113)</f>
        <v>#N/A</v>
      </c>
      <c r="T113" s="268"/>
      <c r="U113" s="268"/>
      <c r="V113" s="268"/>
    </row>
    <row r="114" ht="15" customHeight="1" spans="2:22">
      <c r="B114" s="6">
        <f t="shared" si="1"/>
        <v>44</v>
      </c>
      <c r="C114" s="79" t="str">
        <f>'27'!M114</f>
        <v>99940 Ake Nordstrom</v>
      </c>
      <c r="D114" s="62" t="str">
        <f>IF('27'!N114=0,"",'27'!N114)</f>
        <v>DNK</v>
      </c>
      <c r="E114" s="81">
        <f>'27'!O114</f>
        <v>27</v>
      </c>
      <c r="F114" s="81">
        <f>'27'!P114</f>
        <v>217</v>
      </c>
      <c r="G114" s="100" t="str">
        <f>'27'!Q114</f>
        <v>Double</v>
      </c>
      <c r="H114" s="159">
        <f>'27'!R114</f>
        <v>0</v>
      </c>
      <c r="I114" s="159">
        <f>'27'!S114</f>
        <v>0</v>
      </c>
      <c r="J114" s="159"/>
      <c r="K114" s="101">
        <f>'27'!T114</f>
        <v>0</v>
      </c>
      <c r="L114" s="81">
        <f>'27'!U114</f>
        <v>1</v>
      </c>
      <c r="M114" s="100">
        <f>'27'!V114</f>
        <v>2</v>
      </c>
      <c r="N114" s="159"/>
      <c r="O114" s="101">
        <f>'27'!W114</f>
        <v>0</v>
      </c>
      <c r="P114" s="102" t="str">
        <f>IF('27'!X114=0,"",'27'!X114)</f>
        <v/>
      </c>
      <c r="Q114" s="108" t="str">
        <f>IF('27'!Y114=0,"",'27'!Y114)</f>
        <v/>
      </c>
      <c r="R114" s="81" t="str">
        <f>IF('27'!Z114=0,"",'27'!Z114)</f>
        <v>0078</v>
      </c>
      <c r="S114" s="81" t="e">
        <f>IF('27'!AA114=0,"",'27'!AA114)</f>
        <v>#N/A</v>
      </c>
      <c r="T114" s="268"/>
      <c r="U114" s="268"/>
      <c r="V114" s="268"/>
    </row>
    <row r="115" ht="15" customHeight="1" spans="2:22">
      <c r="B115" s="9">
        <f t="shared" si="1"/>
        <v>45</v>
      </c>
      <c r="C115" s="31" t="str">
        <f>'27'!M115</f>
        <v>99941 Maria Hjortstorp</v>
      </c>
      <c r="D115" s="32" t="str">
        <f>IF('27'!N115=0,"",'27'!N115)</f>
        <v>DNK</v>
      </c>
      <c r="E115" s="36">
        <f>'27'!O115</f>
        <v>27</v>
      </c>
      <c r="F115" s="36">
        <f>'27'!P115</f>
        <v>217</v>
      </c>
      <c r="G115" s="103">
        <f>'27'!Q115</f>
        <v>0</v>
      </c>
      <c r="H115" s="160">
        <f>'27'!R115</f>
        <v>0</v>
      </c>
      <c r="I115" s="160">
        <f>'27'!S115</f>
        <v>0</v>
      </c>
      <c r="J115" s="160"/>
      <c r="K115" s="104">
        <f>'27'!T115</f>
        <v>0</v>
      </c>
      <c r="L115" s="36">
        <f>'27'!U115</f>
        <v>0</v>
      </c>
      <c r="M115" s="103">
        <f>'27'!V115</f>
        <v>0</v>
      </c>
      <c r="N115" s="160"/>
      <c r="O115" s="104">
        <f>'27'!W115</f>
        <v>0</v>
      </c>
      <c r="P115" s="52" t="str">
        <f>IF('27'!X115=0,"",'27'!X115)</f>
        <v/>
      </c>
      <c r="Q115" s="109" t="str">
        <f>IF('27'!Y115=0,"",'27'!Y115)</f>
        <v/>
      </c>
      <c r="R115" s="36" t="str">
        <f>IF('27'!Z115=0,"",'27'!Z115)</f>
        <v>0079</v>
      </c>
      <c r="S115" s="36" t="e">
        <f>IF('27'!AA115=0,"",'27'!AA115)</f>
        <v>#N/A</v>
      </c>
      <c r="T115" s="268"/>
      <c r="U115" s="268"/>
      <c r="V115" s="268"/>
    </row>
    <row r="116" ht="15" customHeight="1" spans="2:22">
      <c r="B116" s="14">
        <f t="shared" si="1"/>
        <v>45</v>
      </c>
      <c r="C116" s="83">
        <f>'27'!M116</f>
        <v>0</v>
      </c>
      <c r="D116" s="110" t="str">
        <f>IF('27'!N116=0,"",'27'!N116)</f>
        <v/>
      </c>
      <c r="E116" s="85">
        <f>'27'!O116</f>
        <v>27</v>
      </c>
      <c r="F116" s="85">
        <f>'27'!P116</f>
        <v>217</v>
      </c>
      <c r="G116" s="105">
        <f>'27'!Q116</f>
        <v>0</v>
      </c>
      <c r="H116" s="161">
        <f>'27'!R116</f>
        <v>0</v>
      </c>
      <c r="I116" s="161">
        <f>'27'!S116</f>
        <v>0</v>
      </c>
      <c r="J116" s="161"/>
      <c r="K116" s="106">
        <f>'27'!T116</f>
        <v>0</v>
      </c>
      <c r="L116" s="85">
        <f>'27'!U116</f>
        <v>3</v>
      </c>
      <c r="M116" s="105">
        <f>'27'!V116</f>
        <v>0</v>
      </c>
      <c r="N116" s="161"/>
      <c r="O116" s="106">
        <f>'27'!W116</f>
        <v>0</v>
      </c>
      <c r="P116" s="107" t="str">
        <f>IF('27'!X116=0,"",'27'!X116)</f>
        <v/>
      </c>
      <c r="Q116" s="111" t="str">
        <f>IF('27'!Y116=0,"",'27'!Y116)</f>
        <v/>
      </c>
      <c r="R116" s="85" t="str">
        <f>IF('27'!Z116=0,"",'27'!Z116)</f>
        <v/>
      </c>
      <c r="S116" s="85" t="e">
        <f>IF('27'!AA116=0,"",'27'!AA116)</f>
        <v>#N/A</v>
      </c>
      <c r="T116" s="268"/>
      <c r="U116" s="268"/>
      <c r="V116" s="268"/>
    </row>
    <row r="117" ht="15" customHeight="1" spans="2:22">
      <c r="B117" s="6">
        <f t="shared" si="1"/>
        <v>46</v>
      </c>
      <c r="C117" s="79" t="str">
        <f>'27'!M117</f>
        <v>99934 Axel</v>
      </c>
      <c r="D117" s="62" t="str">
        <f>IF('27'!N117=0,"",'27'!N117)</f>
        <v/>
      </c>
      <c r="E117" s="81">
        <f>'27'!O117</f>
        <v>27</v>
      </c>
      <c r="F117" s="81">
        <f>'27'!P117</f>
        <v>218</v>
      </c>
      <c r="G117" s="100" t="str">
        <f>'27'!Q117</f>
        <v>Double</v>
      </c>
      <c r="H117" s="159">
        <f>'27'!R117</f>
        <v>0</v>
      </c>
      <c r="I117" s="159">
        <f>'27'!S117</f>
        <v>0</v>
      </c>
      <c r="J117" s="159"/>
      <c r="K117" s="101">
        <f>'27'!T117</f>
        <v>0</v>
      </c>
      <c r="L117" s="81">
        <f>'27'!U117</f>
        <v>0</v>
      </c>
      <c r="M117" s="100">
        <f>'27'!V117</f>
        <v>2</v>
      </c>
      <c r="N117" s="159"/>
      <c r="O117" s="101">
        <f>'27'!W117</f>
        <v>0</v>
      </c>
      <c r="P117" s="102" t="str">
        <f>IF('27'!X117=0,"",'27'!X117)</f>
        <v/>
      </c>
      <c r="Q117" s="108" t="str">
        <f>IF('27'!Y117=0,"",'27'!Y117)</f>
        <v/>
      </c>
      <c r="R117" s="81" t="str">
        <f>IF('27'!Z117=0,"",'27'!Z117)</f>
        <v/>
      </c>
      <c r="S117" s="81" t="e">
        <f>IF('27'!AA117=0,"",'27'!AA117)</f>
        <v>#N/A</v>
      </c>
      <c r="T117" s="268"/>
      <c r="U117" s="268"/>
      <c r="V117" s="268"/>
    </row>
    <row r="118" ht="15" customHeight="1" spans="2:22">
      <c r="B118" s="9">
        <f t="shared" si="1"/>
        <v>47</v>
      </c>
      <c r="C118" s="31" t="str">
        <f>'27'!M118</f>
        <v>99935 Cevin</v>
      </c>
      <c r="D118" s="32" t="str">
        <f>IF('27'!N118=0,"",'27'!N118)</f>
        <v>DNK</v>
      </c>
      <c r="E118" s="36">
        <f>'27'!O118</f>
        <v>27</v>
      </c>
      <c r="F118" s="36">
        <f>'27'!P118</f>
        <v>218</v>
      </c>
      <c r="G118" s="103">
        <f>'27'!Q118</f>
        <v>0</v>
      </c>
      <c r="H118" s="160">
        <f>'27'!R118</f>
        <v>0</v>
      </c>
      <c r="I118" s="160">
        <f>'27'!S118</f>
        <v>0</v>
      </c>
      <c r="J118" s="160"/>
      <c r="K118" s="104">
        <f>'27'!T118</f>
        <v>0</v>
      </c>
      <c r="L118" s="36">
        <f>'27'!U118</f>
        <v>2</v>
      </c>
      <c r="M118" s="103">
        <f>'27'!V118</f>
        <v>0</v>
      </c>
      <c r="N118" s="160"/>
      <c r="O118" s="104">
        <f>'27'!W118</f>
        <v>0</v>
      </c>
      <c r="P118" s="52" t="str">
        <f>IF('27'!X118=0,"",'27'!X118)</f>
        <v/>
      </c>
      <c r="Q118" s="109" t="str">
        <f>IF('27'!Y118=0,"",'27'!Y118)</f>
        <v/>
      </c>
      <c r="R118" s="36" t="str">
        <f>IF('27'!Z118=0,"",'27'!Z118)</f>
        <v>0080</v>
      </c>
      <c r="S118" s="36" t="e">
        <f>IF('27'!AA118=0,"",'27'!AA118)</f>
        <v>#N/A</v>
      </c>
      <c r="T118" s="268"/>
      <c r="U118" s="268"/>
      <c r="V118" s="268"/>
    </row>
    <row r="119" ht="15" customHeight="1" spans="2:22">
      <c r="B119" s="14">
        <f t="shared" si="1"/>
        <v>47</v>
      </c>
      <c r="C119" s="83">
        <f>'27'!M119</f>
        <v>0</v>
      </c>
      <c r="D119" s="110" t="str">
        <f>IF('27'!N119=0,"",'27'!N119)</f>
        <v>DNK</v>
      </c>
      <c r="E119" s="85">
        <f>'27'!O119</f>
        <v>27</v>
      </c>
      <c r="F119" s="85">
        <f>'27'!P119</f>
        <v>218</v>
      </c>
      <c r="G119" s="105">
        <f>'27'!Q119</f>
        <v>0</v>
      </c>
      <c r="H119" s="161">
        <f>'27'!R119</f>
        <v>0</v>
      </c>
      <c r="I119" s="161">
        <f>'27'!S119</f>
        <v>0</v>
      </c>
      <c r="J119" s="161"/>
      <c r="K119" s="106">
        <f>'27'!T119</f>
        <v>0</v>
      </c>
      <c r="L119" s="85">
        <f>'27'!U119</f>
        <v>3</v>
      </c>
      <c r="M119" s="105">
        <f>'27'!V119</f>
        <v>0</v>
      </c>
      <c r="N119" s="161"/>
      <c r="O119" s="106">
        <f>'27'!W119</f>
        <v>0</v>
      </c>
      <c r="P119" s="107" t="str">
        <f>IF('27'!X119=0,"",'27'!X119)</f>
        <v/>
      </c>
      <c r="Q119" s="111" t="str">
        <f>IF('27'!Y119=0,"",'27'!Y119)</f>
        <v/>
      </c>
      <c r="R119" s="85" t="str">
        <f>IF('27'!Z119=0,"",'27'!Z119)</f>
        <v>0081</v>
      </c>
      <c r="S119" s="85" t="e">
        <f>IF('27'!AA119=0,"",'27'!AA119)</f>
        <v>#N/A</v>
      </c>
      <c r="T119" s="268"/>
      <c r="U119" s="268"/>
      <c r="V119" s="268"/>
    </row>
    <row r="120" ht="15" customHeight="1" spans="2:22">
      <c r="B120" s="6">
        <f t="shared" si="1"/>
        <v>48</v>
      </c>
      <c r="C120" s="79" t="str">
        <f>'27'!M120</f>
        <v>99930 Simon</v>
      </c>
      <c r="D120" s="62" t="str">
        <f>IF('27'!N120=0,"",'27'!N120)</f>
        <v>DNK</v>
      </c>
      <c r="E120" s="81">
        <f>'27'!O120</f>
        <v>27</v>
      </c>
      <c r="F120" s="81">
        <f>'27'!P120</f>
        <v>219</v>
      </c>
      <c r="G120" s="100" t="str">
        <f>'27'!Q120</f>
        <v>Double</v>
      </c>
      <c r="H120" s="159">
        <f>'27'!R120</f>
        <v>0</v>
      </c>
      <c r="I120" s="159">
        <f>'27'!S120</f>
        <v>0</v>
      </c>
      <c r="J120" s="159"/>
      <c r="K120" s="101">
        <f>'27'!T120</f>
        <v>0</v>
      </c>
      <c r="L120" s="81">
        <f>'27'!U120</f>
        <v>1</v>
      </c>
      <c r="M120" s="100">
        <f>'27'!V120</f>
        <v>2</v>
      </c>
      <c r="N120" s="159"/>
      <c r="O120" s="101">
        <f>'27'!W120</f>
        <v>0</v>
      </c>
      <c r="P120" s="102" t="str">
        <f>IF('27'!X120=0,"",'27'!X120)</f>
        <v/>
      </c>
      <c r="Q120" s="108" t="str">
        <f>IF('27'!Y120=0,"",'27'!Y120)</f>
        <v/>
      </c>
      <c r="R120" s="81" t="str">
        <f>IF('27'!Z120=0,"",'27'!Z120)</f>
        <v>0082</v>
      </c>
      <c r="S120" s="81" t="e">
        <f>IF('27'!AA120=0,"",'27'!AA120)</f>
        <v>#N/A</v>
      </c>
      <c r="T120" s="268"/>
      <c r="U120" s="268"/>
      <c r="V120" s="268"/>
    </row>
    <row r="121" ht="15" customHeight="1" spans="2:22">
      <c r="B121" s="9">
        <f t="shared" si="1"/>
        <v>49</v>
      </c>
      <c r="C121" s="31" t="str">
        <f>'27'!M121</f>
        <v>99931 Victor</v>
      </c>
      <c r="D121" s="32" t="str">
        <f>IF('27'!N121=0,"",'27'!N121)</f>
        <v>DNK</v>
      </c>
      <c r="E121" s="36">
        <f>'27'!O121</f>
        <v>27</v>
      </c>
      <c r="F121" s="36">
        <f>'27'!P121</f>
        <v>219</v>
      </c>
      <c r="G121" s="103">
        <f>'27'!Q121</f>
        <v>0</v>
      </c>
      <c r="H121" s="160">
        <f>'27'!R121</f>
        <v>0</v>
      </c>
      <c r="I121" s="160">
        <f>'27'!S121</f>
        <v>0</v>
      </c>
      <c r="J121" s="160"/>
      <c r="K121" s="104">
        <f>'27'!T121</f>
        <v>0</v>
      </c>
      <c r="L121" s="36">
        <f>'27'!U121</f>
        <v>2</v>
      </c>
      <c r="M121" s="103">
        <f>'27'!V121</f>
        <v>0</v>
      </c>
      <c r="N121" s="160"/>
      <c r="O121" s="104">
        <f>'27'!W121</f>
        <v>0</v>
      </c>
      <c r="P121" s="52" t="str">
        <f>IF('27'!X121=0,"",'27'!X121)</f>
        <v/>
      </c>
      <c r="Q121" s="109" t="str">
        <f>IF('27'!Y121=0,"",'27'!Y121)</f>
        <v/>
      </c>
      <c r="R121" s="36" t="str">
        <f>IF('27'!Z121=0,"",'27'!Z121)</f>
        <v>0083</v>
      </c>
      <c r="S121" s="36" t="e">
        <f>IF('27'!AA121=0,"",'27'!AA121)</f>
        <v>#N/A</v>
      </c>
      <c r="T121" s="268"/>
      <c r="U121" s="268"/>
      <c r="V121" s="268"/>
    </row>
    <row r="122" ht="15" customHeight="1" spans="2:22">
      <c r="B122" s="14">
        <f t="shared" si="1"/>
        <v>49</v>
      </c>
      <c r="C122" s="83">
        <f>'27'!M122</f>
        <v>0</v>
      </c>
      <c r="D122" s="110" t="str">
        <f>IF('27'!N122=0,"",'27'!N122)</f>
        <v/>
      </c>
      <c r="E122" s="85">
        <f>'27'!O122</f>
        <v>27</v>
      </c>
      <c r="F122" s="85">
        <f>'27'!P122</f>
        <v>219</v>
      </c>
      <c r="G122" s="105">
        <f>'27'!Q122</f>
        <v>0</v>
      </c>
      <c r="H122" s="161">
        <f>'27'!R122</f>
        <v>0</v>
      </c>
      <c r="I122" s="161">
        <f>'27'!S122</f>
        <v>0</v>
      </c>
      <c r="J122" s="161"/>
      <c r="K122" s="106">
        <f>'27'!T122</f>
        <v>0</v>
      </c>
      <c r="L122" s="85">
        <f>'27'!U122</f>
        <v>0</v>
      </c>
      <c r="M122" s="105">
        <f>'27'!V122</f>
        <v>0</v>
      </c>
      <c r="N122" s="161"/>
      <c r="O122" s="106">
        <f>'27'!W122</f>
        <v>0</v>
      </c>
      <c r="P122" s="107" t="str">
        <f>IF('27'!X122=0,"",'27'!X122)</f>
        <v/>
      </c>
      <c r="Q122" s="111" t="str">
        <f>IF('27'!Y122=0,"",'27'!Y122)</f>
        <v/>
      </c>
      <c r="R122" s="85" t="str">
        <f>IF('27'!Z122=0,"",'27'!Z122)</f>
        <v/>
      </c>
      <c r="S122" s="85" t="e">
        <f>IF('27'!AA122=0,"",'27'!AA122)</f>
        <v>#N/A</v>
      </c>
      <c r="T122" s="268"/>
      <c r="U122" s="268"/>
      <c r="V122" s="268"/>
    </row>
    <row r="123" ht="15" customHeight="1" spans="2:22">
      <c r="B123" s="6">
        <f t="shared" si="1"/>
        <v>50</v>
      </c>
      <c r="C123" s="79" t="str">
        <f>'27'!M123</f>
        <v>99922 Oscar</v>
      </c>
      <c r="D123" s="62" t="str">
        <f>IF('27'!N123=0,"",'27'!N123)</f>
        <v>DNK</v>
      </c>
      <c r="E123" s="81">
        <f>'27'!O123</f>
        <v>27</v>
      </c>
      <c r="F123" s="81">
        <f>'27'!P123</f>
        <v>220</v>
      </c>
      <c r="G123" s="100" t="str">
        <f>'27'!Q123</f>
        <v>Double</v>
      </c>
      <c r="H123" s="159">
        <f>'27'!R123</f>
        <v>0</v>
      </c>
      <c r="I123" s="159">
        <f>'27'!S123</f>
        <v>0</v>
      </c>
      <c r="J123" s="159"/>
      <c r="K123" s="101">
        <f>'27'!T123</f>
        <v>0</v>
      </c>
      <c r="L123" s="81">
        <f>'27'!U123</f>
        <v>1</v>
      </c>
      <c r="M123" s="100">
        <f>'27'!V123</f>
        <v>2</v>
      </c>
      <c r="N123" s="159"/>
      <c r="O123" s="101">
        <f>'27'!W123</f>
        <v>0</v>
      </c>
      <c r="P123" s="102" t="str">
        <f>IF('27'!X123=0,"",'27'!X123)</f>
        <v/>
      </c>
      <c r="Q123" s="108" t="str">
        <f>IF('27'!Y123=0,"",'27'!Y123)</f>
        <v/>
      </c>
      <c r="R123" s="81" t="str">
        <f>IF('27'!Z123=0,"",'27'!Z123)</f>
        <v>0084</v>
      </c>
      <c r="S123" s="81" t="e">
        <f>IF('27'!AA123=0,"",'27'!AA123)</f>
        <v>#N/A</v>
      </c>
      <c r="T123" s="268"/>
      <c r="U123" s="268"/>
      <c r="V123" s="268"/>
    </row>
    <row r="124" ht="15" customHeight="1" spans="2:22">
      <c r="B124" s="9">
        <f t="shared" si="1"/>
        <v>50</v>
      </c>
      <c r="C124" s="31">
        <f>'27'!M124</f>
        <v>0</v>
      </c>
      <c r="D124" s="32" t="str">
        <f>IF('27'!N124=0,"",'27'!N124)</f>
        <v/>
      </c>
      <c r="E124" s="36">
        <f>'27'!O124</f>
        <v>27</v>
      </c>
      <c r="F124" s="36">
        <f>'27'!P124</f>
        <v>220</v>
      </c>
      <c r="G124" s="103">
        <f>'27'!Q124</f>
        <v>0</v>
      </c>
      <c r="H124" s="160">
        <f>'27'!R124</f>
        <v>0</v>
      </c>
      <c r="I124" s="160">
        <f>'27'!S124</f>
        <v>0</v>
      </c>
      <c r="J124" s="160"/>
      <c r="K124" s="104">
        <f>'27'!T124</f>
        <v>0</v>
      </c>
      <c r="L124" s="36">
        <f>'27'!U124</f>
        <v>0</v>
      </c>
      <c r="M124" s="103">
        <f>'27'!V124</f>
        <v>0</v>
      </c>
      <c r="N124" s="160"/>
      <c r="O124" s="104">
        <f>'27'!W124</f>
        <v>0</v>
      </c>
      <c r="P124" s="52" t="str">
        <f>IF('27'!X124=0,"",'27'!X124)</f>
        <v/>
      </c>
      <c r="Q124" s="109" t="str">
        <f>IF('27'!Y124=0,"",'27'!Y124)</f>
        <v/>
      </c>
      <c r="R124" s="36" t="str">
        <f>IF('27'!Z124=0,"",'27'!Z124)</f>
        <v/>
      </c>
      <c r="S124" s="36" t="e">
        <f>IF('27'!AA124=0,"",'27'!AA124)</f>
        <v>#N/A</v>
      </c>
      <c r="T124" s="268"/>
      <c r="U124" s="268"/>
      <c r="V124" s="268"/>
    </row>
    <row r="125" ht="15" customHeight="1" spans="2:22">
      <c r="B125" s="14">
        <f t="shared" si="1"/>
        <v>50</v>
      </c>
      <c r="C125" s="83">
        <f>'27'!M125</f>
        <v>0</v>
      </c>
      <c r="D125" s="110" t="str">
        <f>IF('27'!N125=0,"",'27'!N125)</f>
        <v>DNK</v>
      </c>
      <c r="E125" s="85">
        <f>'27'!O125</f>
        <v>27</v>
      </c>
      <c r="F125" s="85">
        <f>'27'!P125</f>
        <v>220</v>
      </c>
      <c r="G125" s="105">
        <f>'27'!Q125</f>
        <v>0</v>
      </c>
      <c r="H125" s="161">
        <f>'27'!R125</f>
        <v>0</v>
      </c>
      <c r="I125" s="161">
        <f>'27'!S125</f>
        <v>0</v>
      </c>
      <c r="J125" s="161"/>
      <c r="K125" s="106">
        <f>'27'!T125</f>
        <v>0</v>
      </c>
      <c r="L125" s="85">
        <f>'27'!U125</f>
        <v>3</v>
      </c>
      <c r="M125" s="105">
        <f>'27'!V125</f>
        <v>0</v>
      </c>
      <c r="N125" s="161"/>
      <c r="O125" s="106">
        <f>'27'!W125</f>
        <v>0</v>
      </c>
      <c r="P125" s="107" t="str">
        <f>IF('27'!X125=0,"",'27'!X125)</f>
        <v/>
      </c>
      <c r="Q125" s="111" t="str">
        <f>IF('27'!Y125=0,"",'27'!Y125)</f>
        <v/>
      </c>
      <c r="R125" s="85" t="str">
        <f>IF('27'!Z125=0,"",'27'!Z125)</f>
        <v>0871</v>
      </c>
      <c r="S125" s="85" t="e">
        <f>IF('27'!AA125=0,"",'27'!AA125)</f>
        <v>#N/A</v>
      </c>
      <c r="T125" s="268"/>
      <c r="U125" s="268"/>
      <c r="V125" s="268"/>
    </row>
    <row r="126" ht="15" customHeight="1" spans="2:22">
      <c r="B126" s="9" t="e">
        <f t="shared" si="1"/>
        <v>#REF!</v>
      </c>
      <c r="C126" s="79" t="e">
        <f>#REF!</f>
        <v>#REF!</v>
      </c>
      <c r="D126" s="32" t="e">
        <f>IF(#REF!=0,"",#REF!)</f>
        <v>#REF!</v>
      </c>
      <c r="E126" s="36" t="e">
        <f>IF(#REF!=0,"",#REF!)</f>
        <v>#REF!</v>
      </c>
      <c r="F126" s="36" t="e">
        <f>IF(#REF!=0,"",#REF!)</f>
        <v>#REF!</v>
      </c>
      <c r="G126" s="100" t="e">
        <f>#REF!</f>
        <v>#REF!</v>
      </c>
      <c r="H126" s="159">
        <f>'27'!R126</f>
        <v>0</v>
      </c>
      <c r="I126" s="159">
        <f>'27'!S126</f>
        <v>0</v>
      </c>
      <c r="J126" s="159"/>
      <c r="K126" s="101">
        <f>'27'!T126</f>
        <v>0</v>
      </c>
      <c r="L126" s="81" t="e">
        <f>#REF!</f>
        <v>#REF!</v>
      </c>
      <c r="M126" s="100" t="e">
        <f>#REF!</f>
        <v>#REF!</v>
      </c>
      <c r="N126" s="159"/>
      <c r="O126" s="101" t="e">
        <f>#REF!</f>
        <v>#REF!</v>
      </c>
      <c r="P126" s="102" t="e">
        <f>IF(#REF!=0,"",#REF!)</f>
        <v>#REF!</v>
      </c>
      <c r="Q126" s="108" t="e">
        <f>IF(#REF!=0,"",#REF!)</f>
        <v>#REF!</v>
      </c>
      <c r="R126" s="81" t="e">
        <f>IF(#REF!=0,"",#REF!)</f>
        <v>#REF!</v>
      </c>
      <c r="S126" s="81" t="e">
        <f>IF(#REF!=0,"",#REF!)</f>
        <v>#REF!</v>
      </c>
      <c r="T126" s="268"/>
      <c r="U126" s="268"/>
      <c r="V126" s="268"/>
    </row>
    <row r="127" ht="15" customHeight="1" spans="2:22">
      <c r="B127" s="9" t="e">
        <f t="shared" ref="B127:B128" si="2">COUNTA(C127)-IF(C127=0,1)+B126</f>
        <v>#REF!</v>
      </c>
      <c r="C127" s="31" t="e">
        <f>#REF!</f>
        <v>#REF!</v>
      </c>
      <c r="D127" s="32" t="e">
        <f>IF(#REF!=0,"",#REF!)</f>
        <v>#REF!</v>
      </c>
      <c r="E127" s="36" t="e">
        <f>IF(#REF!=0,"",#REF!)</f>
        <v>#REF!</v>
      </c>
      <c r="F127" s="36" t="e">
        <f>IF(#REF!=0,"",#REF!)</f>
        <v>#REF!</v>
      </c>
      <c r="G127" s="103">
        <f>'27'!Q127</f>
        <v>0</v>
      </c>
      <c r="H127" s="160">
        <f>'27'!R127</f>
        <v>0</v>
      </c>
      <c r="I127" s="160">
        <f>'27'!S127</f>
        <v>0</v>
      </c>
      <c r="J127" s="160"/>
      <c r="K127" s="104">
        <f>'27'!T127</f>
        <v>0</v>
      </c>
      <c r="L127" s="36" t="e">
        <f>#REF!</f>
        <v>#REF!</v>
      </c>
      <c r="M127" s="103" t="e">
        <f>#REF!</f>
        <v>#REF!</v>
      </c>
      <c r="N127" s="160"/>
      <c r="O127" s="104" t="e">
        <f>#REF!</f>
        <v>#REF!</v>
      </c>
      <c r="P127" s="52" t="e">
        <f>IF(#REF!=0,"",#REF!)</f>
        <v>#REF!</v>
      </c>
      <c r="Q127" s="109" t="e">
        <f>IF(#REF!=0,"",#REF!)</f>
        <v>#REF!</v>
      </c>
      <c r="R127" s="36" t="e">
        <f>IF(#REF!=0,"",#REF!)</f>
        <v>#REF!</v>
      </c>
      <c r="S127" s="36" t="e">
        <f>IF(#REF!=0,"",#REF!)</f>
        <v>#REF!</v>
      </c>
      <c r="T127" s="268"/>
      <c r="U127" s="268"/>
      <c r="V127" s="268"/>
    </row>
    <row r="128" ht="15" customHeight="1" spans="2:22">
      <c r="B128" s="9" t="e">
        <f t="shared" si="2"/>
        <v>#REF!</v>
      </c>
      <c r="C128" s="83" t="e">
        <f>#REF!</f>
        <v>#REF!</v>
      </c>
      <c r="D128" s="32" t="e">
        <f>IF(#REF!=0,"",#REF!)</f>
        <v>#REF!</v>
      </c>
      <c r="E128" s="36" t="e">
        <f>IF(#REF!=0,"",#REF!)</f>
        <v>#REF!</v>
      </c>
      <c r="F128" s="36" t="e">
        <f>IF(#REF!=0,"",#REF!)</f>
        <v>#REF!</v>
      </c>
      <c r="G128" s="105">
        <f>'27'!Q128</f>
        <v>0</v>
      </c>
      <c r="H128" s="161">
        <f>'27'!R128</f>
        <v>0</v>
      </c>
      <c r="I128" s="161">
        <f>'27'!S128</f>
        <v>0</v>
      </c>
      <c r="J128" s="161"/>
      <c r="K128" s="106">
        <f>'27'!T128</f>
        <v>0</v>
      </c>
      <c r="L128" s="85" t="e">
        <f>#REF!</f>
        <v>#REF!</v>
      </c>
      <c r="M128" s="105" t="e">
        <f>#REF!</f>
        <v>#REF!</v>
      </c>
      <c r="N128" s="161"/>
      <c r="O128" s="106" t="e">
        <f>#REF!</f>
        <v>#REF!</v>
      </c>
      <c r="P128" s="107" t="e">
        <f>IF(#REF!=0,"",#REF!)</f>
        <v>#REF!</v>
      </c>
      <c r="Q128" s="111" t="e">
        <f>IF(#REF!=0,"",#REF!)</f>
        <v>#REF!</v>
      </c>
      <c r="R128" s="85" t="e">
        <f>IF(#REF!=0,"",#REF!)</f>
        <v>#REF!</v>
      </c>
      <c r="S128" s="85" t="e">
        <f>IF(#REF!=0,"",#REF!)</f>
        <v>#REF!</v>
      </c>
      <c r="T128" s="268"/>
      <c r="U128" s="268"/>
      <c r="V128" s="268"/>
    </row>
    <row r="129" ht="15" customHeight="1" spans="2:22">
      <c r="B129" s="6" t="e">
        <f t="shared" si="1"/>
        <v>#REF!</v>
      </c>
      <c r="C129" s="79" t="e">
        <f>#REF!</f>
        <v>#REF!</v>
      </c>
      <c r="D129" s="62" t="e">
        <f>IF(#REF!=0,"",#REF!)</f>
        <v>#REF!</v>
      </c>
      <c r="E129" s="81" t="e">
        <f>IF(#REF!=0,"",#REF!)</f>
        <v>#REF!</v>
      </c>
      <c r="F129" s="81" t="e">
        <f>IF(#REF!=0,"",#REF!)</f>
        <v>#REF!</v>
      </c>
      <c r="G129" s="100" t="e">
        <f>#REF!</f>
        <v>#REF!</v>
      </c>
      <c r="H129" s="159">
        <f>'27'!R129</f>
        <v>0</v>
      </c>
      <c r="I129" s="159">
        <f>'27'!S129</f>
        <v>0</v>
      </c>
      <c r="J129" s="159"/>
      <c r="K129" s="101">
        <f>'27'!T129</f>
        <v>0</v>
      </c>
      <c r="L129" s="81" t="e">
        <f>#REF!</f>
        <v>#REF!</v>
      </c>
      <c r="M129" s="100" t="e">
        <f>#REF!</f>
        <v>#REF!</v>
      </c>
      <c r="N129" s="159"/>
      <c r="O129" s="101" t="e">
        <f>#REF!</f>
        <v>#REF!</v>
      </c>
      <c r="P129" s="102" t="e">
        <f>IF(#REF!=0,"",#REF!)</f>
        <v>#REF!</v>
      </c>
      <c r="Q129" s="108" t="e">
        <f>IF(#REF!=0,"",#REF!)</f>
        <v>#REF!</v>
      </c>
      <c r="R129" s="81" t="e">
        <f>IF(#REF!=0,"",#REF!)</f>
        <v>#REF!</v>
      </c>
      <c r="S129" s="81" t="e">
        <f>IF(#REF!=0,"",#REF!)</f>
        <v>#REF!</v>
      </c>
      <c r="T129" s="268"/>
      <c r="U129" s="268"/>
      <c r="V129" s="268"/>
    </row>
    <row r="130" ht="15" customHeight="1" spans="2:22">
      <c r="B130" s="6" t="e">
        <f t="shared" si="1"/>
        <v>#REF!</v>
      </c>
      <c r="C130" s="31" t="e">
        <f>#REF!</f>
        <v>#REF!</v>
      </c>
      <c r="D130" s="32" t="e">
        <f>IF(#REF!=0,"",#REF!)</f>
        <v>#REF!</v>
      </c>
      <c r="E130" s="36" t="e">
        <f>IF(#REF!=0,"",#REF!)</f>
        <v>#REF!</v>
      </c>
      <c r="F130" s="36" t="e">
        <f>IF(#REF!=0,"",#REF!)</f>
        <v>#REF!</v>
      </c>
      <c r="G130" s="103">
        <f>'27'!Q130</f>
        <v>0</v>
      </c>
      <c r="H130" s="160">
        <f>'27'!R130</f>
        <v>0</v>
      </c>
      <c r="I130" s="160">
        <f>'27'!S130</f>
        <v>0</v>
      </c>
      <c r="J130" s="160"/>
      <c r="K130" s="104">
        <f>'27'!T130</f>
        <v>0</v>
      </c>
      <c r="L130" s="36" t="e">
        <f>#REF!</f>
        <v>#REF!</v>
      </c>
      <c r="M130" s="103" t="e">
        <f>#REF!</f>
        <v>#REF!</v>
      </c>
      <c r="N130" s="160"/>
      <c r="O130" s="104" t="e">
        <f>#REF!</f>
        <v>#REF!</v>
      </c>
      <c r="P130" s="52" t="e">
        <f>IF(#REF!=0,"",#REF!)</f>
        <v>#REF!</v>
      </c>
      <c r="Q130" s="109" t="e">
        <f>IF(#REF!=0,"",#REF!)</f>
        <v>#REF!</v>
      </c>
      <c r="R130" s="36" t="e">
        <f>IF(#REF!=0,"",#REF!)</f>
        <v>#REF!</v>
      </c>
      <c r="S130" s="36" t="e">
        <f>IF(#REF!=0,"",#REF!)</f>
        <v>#REF!</v>
      </c>
      <c r="T130" s="268"/>
      <c r="U130" s="268"/>
      <c r="V130" s="268"/>
    </row>
    <row r="131" ht="15" customHeight="1" spans="2:22">
      <c r="B131" s="6" t="e">
        <f t="shared" si="1"/>
        <v>#REF!</v>
      </c>
      <c r="C131" s="83" t="e">
        <f>#REF!</f>
        <v>#REF!</v>
      </c>
      <c r="D131" s="110" t="e">
        <f>IF(#REF!=0,"",#REF!)</f>
        <v>#REF!</v>
      </c>
      <c r="E131" s="85" t="e">
        <f>IF(#REF!=0,"",#REF!)</f>
        <v>#REF!</v>
      </c>
      <c r="F131" s="85" t="e">
        <f>IF(#REF!=0,"",#REF!)</f>
        <v>#REF!</v>
      </c>
      <c r="G131" s="105">
        <f>'27'!Q131</f>
        <v>0</v>
      </c>
      <c r="H131" s="161">
        <f>'27'!R131</f>
        <v>0</v>
      </c>
      <c r="I131" s="161">
        <f>'27'!S131</f>
        <v>0</v>
      </c>
      <c r="J131" s="161"/>
      <c r="K131" s="106">
        <f>'27'!T131</f>
        <v>0</v>
      </c>
      <c r="L131" s="85" t="e">
        <f>#REF!</f>
        <v>#REF!</v>
      </c>
      <c r="M131" s="105" t="e">
        <f>#REF!</f>
        <v>#REF!</v>
      </c>
      <c r="N131" s="161"/>
      <c r="O131" s="106" t="e">
        <f>#REF!</f>
        <v>#REF!</v>
      </c>
      <c r="P131" s="107" t="e">
        <f>IF(#REF!=0,"",#REF!)</f>
        <v>#REF!</v>
      </c>
      <c r="Q131" s="111" t="e">
        <f>IF(#REF!=0,"",#REF!)</f>
        <v>#REF!</v>
      </c>
      <c r="R131" s="85" t="e">
        <f>IF(#REF!=0,"",#REF!)</f>
        <v>#REF!</v>
      </c>
      <c r="S131" s="85" t="e">
        <f>IF(#REF!=0,"",#REF!)</f>
        <v>#REF!</v>
      </c>
      <c r="T131" s="268"/>
      <c r="U131" s="268"/>
      <c r="V131" s="268"/>
    </row>
    <row r="132" ht="15" customHeight="1" spans="2:22">
      <c r="B132" s="6" t="e">
        <f t="shared" si="1"/>
        <v>#REF!</v>
      </c>
      <c r="C132" s="79" t="e">
        <f>#REF!</f>
        <v>#REF!</v>
      </c>
      <c r="D132" s="62" t="e">
        <f>IF(#REF!=0,"",#REF!)</f>
        <v>#REF!</v>
      </c>
      <c r="E132" s="81" t="e">
        <f>IF(#REF!=0,"",#REF!)</f>
        <v>#REF!</v>
      </c>
      <c r="F132" s="81" t="e">
        <f>IF(#REF!=0,"",#REF!)</f>
        <v>#REF!</v>
      </c>
      <c r="G132" s="100" t="e">
        <f>#REF!</f>
        <v>#REF!</v>
      </c>
      <c r="H132" s="159">
        <f>'27'!R132</f>
        <v>0</v>
      </c>
      <c r="I132" s="159">
        <f>'27'!S132</f>
        <v>0</v>
      </c>
      <c r="J132" s="159"/>
      <c r="K132" s="101">
        <f>'27'!T132</f>
        <v>0</v>
      </c>
      <c r="L132" s="81" t="e">
        <f>#REF!</f>
        <v>#REF!</v>
      </c>
      <c r="M132" s="100" t="e">
        <f>#REF!</f>
        <v>#REF!</v>
      </c>
      <c r="N132" s="159"/>
      <c r="O132" s="101" t="e">
        <f>#REF!</f>
        <v>#REF!</v>
      </c>
      <c r="P132" s="102" t="e">
        <f>IF(#REF!=0,"",#REF!)</f>
        <v>#REF!</v>
      </c>
      <c r="Q132" s="108" t="e">
        <f>IF(#REF!=0,"",#REF!)</f>
        <v>#REF!</v>
      </c>
      <c r="R132" s="81" t="e">
        <f>IF(#REF!=0,"",#REF!)</f>
        <v>#REF!</v>
      </c>
      <c r="S132" s="81" t="e">
        <f>IF(#REF!=0,"",#REF!)</f>
        <v>#REF!</v>
      </c>
      <c r="T132" s="268"/>
      <c r="U132" s="268"/>
      <c r="V132" s="268"/>
    </row>
    <row r="133" ht="15" customHeight="1" spans="2:22">
      <c r="B133" s="6" t="e">
        <f t="shared" ref="B133:B196" si="3">COUNTA(C133)-IF(C133=0,1)+B132</f>
        <v>#REF!</v>
      </c>
      <c r="C133" s="31" t="e">
        <f>#REF!</f>
        <v>#REF!</v>
      </c>
      <c r="D133" s="32" t="e">
        <f>IF(#REF!=0,"",#REF!)</f>
        <v>#REF!</v>
      </c>
      <c r="E133" s="36" t="e">
        <f>IF(#REF!=0,"",#REF!)</f>
        <v>#REF!</v>
      </c>
      <c r="F133" s="36" t="e">
        <f>IF(#REF!=0,"",#REF!)</f>
        <v>#REF!</v>
      </c>
      <c r="G133" s="103">
        <f>'27'!Q133</f>
        <v>0</v>
      </c>
      <c r="H133" s="160">
        <f>'27'!R133</f>
        <v>0</v>
      </c>
      <c r="I133" s="160">
        <f>'27'!S133</f>
        <v>0</v>
      </c>
      <c r="J133" s="160"/>
      <c r="K133" s="104">
        <f>'27'!T133</f>
        <v>0</v>
      </c>
      <c r="L133" s="36" t="e">
        <f>#REF!</f>
        <v>#REF!</v>
      </c>
      <c r="M133" s="103" t="e">
        <f>#REF!</f>
        <v>#REF!</v>
      </c>
      <c r="N133" s="160"/>
      <c r="O133" s="104" t="e">
        <f>#REF!</f>
        <v>#REF!</v>
      </c>
      <c r="P133" s="52" t="e">
        <f>IF(#REF!=0,"",#REF!)</f>
        <v>#REF!</v>
      </c>
      <c r="Q133" s="109" t="e">
        <f>IF(#REF!=0,"",#REF!)</f>
        <v>#REF!</v>
      </c>
      <c r="R133" s="36" t="e">
        <f>IF(#REF!=0,"",#REF!)</f>
        <v>#REF!</v>
      </c>
      <c r="S133" s="36" t="e">
        <f>IF(#REF!=0,"",#REF!)</f>
        <v>#REF!</v>
      </c>
      <c r="T133" s="268"/>
      <c r="U133" s="268"/>
      <c r="V133" s="268"/>
    </row>
    <row r="134" ht="15" customHeight="1" spans="2:22">
      <c r="B134" s="6" t="e">
        <f t="shared" si="3"/>
        <v>#REF!</v>
      </c>
      <c r="C134" s="83" t="e">
        <f>#REF!</f>
        <v>#REF!</v>
      </c>
      <c r="D134" s="110" t="e">
        <f>IF(#REF!=0,"",#REF!)</f>
        <v>#REF!</v>
      </c>
      <c r="E134" s="85" t="e">
        <f>IF(#REF!=0,"",#REF!)</f>
        <v>#REF!</v>
      </c>
      <c r="F134" s="85" t="e">
        <f>IF(#REF!=0,"",#REF!)</f>
        <v>#REF!</v>
      </c>
      <c r="G134" s="105">
        <f>'27'!Q134</f>
        <v>0</v>
      </c>
      <c r="H134" s="161">
        <f>'27'!R134</f>
        <v>0</v>
      </c>
      <c r="I134" s="161">
        <f>'27'!S134</f>
        <v>0</v>
      </c>
      <c r="J134" s="161"/>
      <c r="K134" s="106">
        <f>'27'!T134</f>
        <v>0</v>
      </c>
      <c r="L134" s="85" t="e">
        <f>#REF!</f>
        <v>#REF!</v>
      </c>
      <c r="M134" s="105" t="e">
        <f>#REF!</f>
        <v>#REF!</v>
      </c>
      <c r="N134" s="161"/>
      <c r="O134" s="106" t="e">
        <f>#REF!</f>
        <v>#REF!</v>
      </c>
      <c r="P134" s="107" t="e">
        <f>IF(#REF!=0,"",#REF!)</f>
        <v>#REF!</v>
      </c>
      <c r="Q134" s="111" t="e">
        <f>IF(#REF!=0,"",#REF!)</f>
        <v>#REF!</v>
      </c>
      <c r="R134" s="85" t="e">
        <f>IF(#REF!=0,"",#REF!)</f>
        <v>#REF!</v>
      </c>
      <c r="S134" s="85" t="e">
        <f>IF(#REF!=0,"",#REF!)</f>
        <v>#REF!</v>
      </c>
      <c r="T134" s="268"/>
      <c r="U134" s="268"/>
      <c r="V134" s="268"/>
    </row>
    <row r="135" ht="15" customHeight="1" spans="2:22">
      <c r="B135" s="6" t="e">
        <f t="shared" si="3"/>
        <v>#REF!</v>
      </c>
      <c r="C135" s="79" t="e">
        <f>#REF!</f>
        <v>#REF!</v>
      </c>
      <c r="D135" s="62" t="e">
        <f>IF(#REF!=0,"",#REF!)</f>
        <v>#REF!</v>
      </c>
      <c r="E135" s="81" t="e">
        <f>IF(#REF!=0,"",#REF!)</f>
        <v>#REF!</v>
      </c>
      <c r="F135" s="81" t="e">
        <f>IF(#REF!=0,"",#REF!)</f>
        <v>#REF!</v>
      </c>
      <c r="G135" s="100" t="e">
        <f>#REF!</f>
        <v>#REF!</v>
      </c>
      <c r="H135" s="159">
        <f>'27'!R135</f>
        <v>0</v>
      </c>
      <c r="I135" s="159">
        <f>'27'!S135</f>
        <v>0</v>
      </c>
      <c r="J135" s="159"/>
      <c r="K135" s="101">
        <f>'27'!T135</f>
        <v>0</v>
      </c>
      <c r="L135" s="81" t="e">
        <f>#REF!</f>
        <v>#REF!</v>
      </c>
      <c r="M135" s="100" t="e">
        <f>#REF!</f>
        <v>#REF!</v>
      </c>
      <c r="N135" s="159"/>
      <c r="O135" s="101" t="e">
        <f>#REF!</f>
        <v>#REF!</v>
      </c>
      <c r="P135" s="102" t="e">
        <f>IF(#REF!=0,"",#REF!)</f>
        <v>#REF!</v>
      </c>
      <c r="Q135" s="108" t="e">
        <f>IF(#REF!=0,"",#REF!)</f>
        <v>#REF!</v>
      </c>
      <c r="R135" s="81" t="e">
        <f>IF(#REF!=0,"",#REF!)</f>
        <v>#REF!</v>
      </c>
      <c r="S135" s="81" t="e">
        <f>IF(#REF!=0,"",#REF!)</f>
        <v>#REF!</v>
      </c>
      <c r="T135" s="268"/>
      <c r="U135" s="268"/>
      <c r="V135" s="268"/>
    </row>
    <row r="136" ht="15" customHeight="1" spans="2:22">
      <c r="B136" s="6" t="e">
        <f t="shared" si="3"/>
        <v>#REF!</v>
      </c>
      <c r="C136" s="31" t="e">
        <f>#REF!</f>
        <v>#REF!</v>
      </c>
      <c r="D136" s="32" t="e">
        <f>IF(#REF!=0,"",#REF!)</f>
        <v>#REF!</v>
      </c>
      <c r="E136" s="36" t="e">
        <f>IF(#REF!=0,"",#REF!)</f>
        <v>#REF!</v>
      </c>
      <c r="F136" s="36" t="e">
        <f>IF(#REF!=0,"",#REF!)</f>
        <v>#REF!</v>
      </c>
      <c r="G136" s="103">
        <f>'27'!Q136</f>
        <v>0</v>
      </c>
      <c r="H136" s="160">
        <f>'27'!R136</f>
        <v>0</v>
      </c>
      <c r="I136" s="160">
        <f>'27'!S136</f>
        <v>0</v>
      </c>
      <c r="J136" s="160"/>
      <c r="K136" s="104">
        <f>'27'!T136</f>
        <v>0</v>
      </c>
      <c r="L136" s="36" t="e">
        <f>#REF!</f>
        <v>#REF!</v>
      </c>
      <c r="M136" s="103" t="e">
        <f>#REF!</f>
        <v>#REF!</v>
      </c>
      <c r="N136" s="160"/>
      <c r="O136" s="104" t="e">
        <f>#REF!</f>
        <v>#REF!</v>
      </c>
      <c r="P136" s="52" t="e">
        <f>IF(#REF!=0,"",#REF!)</f>
        <v>#REF!</v>
      </c>
      <c r="Q136" s="109" t="e">
        <f>IF(#REF!=0,"",#REF!)</f>
        <v>#REF!</v>
      </c>
      <c r="R136" s="36" t="e">
        <f>IF(#REF!=0,"",#REF!)</f>
        <v>#REF!</v>
      </c>
      <c r="S136" s="36" t="e">
        <f>IF(#REF!=0,"",#REF!)</f>
        <v>#REF!</v>
      </c>
      <c r="T136" s="268"/>
      <c r="U136" s="268"/>
      <c r="V136" s="268"/>
    </row>
    <row r="137" ht="15" customHeight="1" spans="2:22">
      <c r="B137" s="6" t="e">
        <f t="shared" si="3"/>
        <v>#REF!</v>
      </c>
      <c r="C137" s="83" t="e">
        <f>#REF!</f>
        <v>#REF!</v>
      </c>
      <c r="D137" s="110" t="e">
        <f>IF(#REF!=0,"",#REF!)</f>
        <v>#REF!</v>
      </c>
      <c r="E137" s="85" t="e">
        <f>IF(#REF!=0,"",#REF!)</f>
        <v>#REF!</v>
      </c>
      <c r="F137" s="85" t="e">
        <f>IF(#REF!=0,"",#REF!)</f>
        <v>#REF!</v>
      </c>
      <c r="G137" s="105">
        <f>'27'!Q137</f>
        <v>0</v>
      </c>
      <c r="H137" s="161">
        <f>'27'!R137</f>
        <v>0</v>
      </c>
      <c r="I137" s="161">
        <f>'27'!S137</f>
        <v>0</v>
      </c>
      <c r="J137" s="161"/>
      <c r="K137" s="106">
        <f>'27'!T137</f>
        <v>0</v>
      </c>
      <c r="L137" s="85" t="e">
        <f>#REF!</f>
        <v>#REF!</v>
      </c>
      <c r="M137" s="105" t="e">
        <f>#REF!</f>
        <v>#REF!</v>
      </c>
      <c r="N137" s="161"/>
      <c r="O137" s="106" t="e">
        <f>#REF!</f>
        <v>#REF!</v>
      </c>
      <c r="P137" s="107" t="e">
        <f>IF(#REF!=0,"",#REF!)</f>
        <v>#REF!</v>
      </c>
      <c r="Q137" s="111" t="e">
        <f>IF(#REF!=0,"",#REF!)</f>
        <v>#REF!</v>
      </c>
      <c r="R137" s="85" t="e">
        <f>IF(#REF!=0,"",#REF!)</f>
        <v>#REF!</v>
      </c>
      <c r="S137" s="85" t="e">
        <f>IF(#REF!=0,"",#REF!)</f>
        <v>#REF!</v>
      </c>
      <c r="T137" s="268"/>
      <c r="U137" s="268"/>
      <c r="V137" s="268"/>
    </row>
    <row r="138" ht="15" customHeight="1" spans="2:22">
      <c r="B138" s="6" t="e">
        <f t="shared" si="3"/>
        <v>#REF!</v>
      </c>
      <c r="C138" s="79" t="e">
        <f>#REF!</f>
        <v>#REF!</v>
      </c>
      <c r="D138" s="62" t="e">
        <f>IF(#REF!=0,"",#REF!)</f>
        <v>#REF!</v>
      </c>
      <c r="E138" s="81" t="e">
        <f>IF(#REF!=0,"",#REF!)</f>
        <v>#REF!</v>
      </c>
      <c r="F138" s="81" t="e">
        <f>IF(#REF!=0,"",#REF!)</f>
        <v>#REF!</v>
      </c>
      <c r="G138" s="100" t="e">
        <f>#REF!</f>
        <v>#REF!</v>
      </c>
      <c r="H138" s="159">
        <f>'27'!R138</f>
        <v>0</v>
      </c>
      <c r="I138" s="159">
        <f>'27'!S138</f>
        <v>0</v>
      </c>
      <c r="J138" s="159"/>
      <c r="K138" s="101">
        <f>'27'!T138</f>
        <v>0</v>
      </c>
      <c r="L138" s="81" t="e">
        <f>#REF!</f>
        <v>#REF!</v>
      </c>
      <c r="M138" s="100" t="e">
        <f>#REF!</f>
        <v>#REF!</v>
      </c>
      <c r="N138" s="159"/>
      <c r="O138" s="101" t="e">
        <f>#REF!</f>
        <v>#REF!</v>
      </c>
      <c r="P138" s="102" t="e">
        <f>IF(#REF!=0,"",#REF!)</f>
        <v>#REF!</v>
      </c>
      <c r="Q138" s="108" t="e">
        <f>IF(#REF!=0,"",#REF!)</f>
        <v>#REF!</v>
      </c>
      <c r="R138" s="81" t="e">
        <f>IF(#REF!=0,"",#REF!)</f>
        <v>#REF!</v>
      </c>
      <c r="S138" s="81" t="e">
        <f>IF(#REF!=0,"",#REF!)</f>
        <v>#REF!</v>
      </c>
      <c r="T138" s="268"/>
      <c r="U138" s="268"/>
      <c r="V138" s="268"/>
    </row>
    <row r="139" ht="15" customHeight="1" spans="2:22">
      <c r="B139" s="6" t="e">
        <f t="shared" si="3"/>
        <v>#REF!</v>
      </c>
      <c r="C139" s="31" t="e">
        <f>#REF!</f>
        <v>#REF!</v>
      </c>
      <c r="D139" s="32" t="e">
        <f>IF(#REF!=0,"",#REF!)</f>
        <v>#REF!</v>
      </c>
      <c r="E139" s="36" t="e">
        <f>IF(#REF!=0,"",#REF!)</f>
        <v>#REF!</v>
      </c>
      <c r="F139" s="36" t="e">
        <f>IF(#REF!=0,"",#REF!)</f>
        <v>#REF!</v>
      </c>
      <c r="G139" s="103">
        <f>'27'!Q139</f>
        <v>0</v>
      </c>
      <c r="H139" s="160">
        <f>'27'!R139</f>
        <v>0</v>
      </c>
      <c r="I139" s="160">
        <f>'27'!S139</f>
        <v>0</v>
      </c>
      <c r="J139" s="160"/>
      <c r="K139" s="104">
        <f>'27'!T139</f>
        <v>0</v>
      </c>
      <c r="L139" s="36" t="e">
        <f>#REF!</f>
        <v>#REF!</v>
      </c>
      <c r="M139" s="103" t="e">
        <f>#REF!</f>
        <v>#REF!</v>
      </c>
      <c r="N139" s="160"/>
      <c r="O139" s="104" t="e">
        <f>#REF!</f>
        <v>#REF!</v>
      </c>
      <c r="P139" s="52" t="e">
        <f>IF(#REF!=0,"",#REF!)</f>
        <v>#REF!</v>
      </c>
      <c r="Q139" s="109" t="e">
        <f>IF(#REF!=0,"",#REF!)</f>
        <v>#REF!</v>
      </c>
      <c r="R139" s="36" t="e">
        <f>IF(#REF!=0,"",#REF!)</f>
        <v>#REF!</v>
      </c>
      <c r="S139" s="36" t="e">
        <f>IF(#REF!=0,"",#REF!)</f>
        <v>#REF!</v>
      </c>
      <c r="T139" s="268"/>
      <c r="U139" s="268"/>
      <c r="V139" s="268"/>
    </row>
    <row r="140" ht="15" customHeight="1" spans="2:22">
      <c r="B140" s="6" t="e">
        <f t="shared" si="3"/>
        <v>#REF!</v>
      </c>
      <c r="C140" s="83" t="e">
        <f>#REF!</f>
        <v>#REF!</v>
      </c>
      <c r="D140" s="110" t="e">
        <f>IF(#REF!=0,"",#REF!)</f>
        <v>#REF!</v>
      </c>
      <c r="E140" s="85" t="e">
        <f>IF(#REF!=0,"",#REF!)</f>
        <v>#REF!</v>
      </c>
      <c r="F140" s="85" t="e">
        <f>IF(#REF!=0,"",#REF!)</f>
        <v>#REF!</v>
      </c>
      <c r="G140" s="105">
        <f>'27'!Q140</f>
        <v>0</v>
      </c>
      <c r="H140" s="161">
        <f>'27'!R140</f>
        <v>0</v>
      </c>
      <c r="I140" s="161">
        <f>'27'!S140</f>
        <v>0</v>
      </c>
      <c r="J140" s="161"/>
      <c r="K140" s="106">
        <f>'27'!T140</f>
        <v>0</v>
      </c>
      <c r="L140" s="85" t="e">
        <f>#REF!</f>
        <v>#REF!</v>
      </c>
      <c r="M140" s="105" t="e">
        <f>#REF!</f>
        <v>#REF!</v>
      </c>
      <c r="N140" s="161"/>
      <c r="O140" s="106" t="e">
        <f>#REF!</f>
        <v>#REF!</v>
      </c>
      <c r="P140" s="107" t="e">
        <f>IF(#REF!=0,"",#REF!)</f>
        <v>#REF!</v>
      </c>
      <c r="Q140" s="111" t="e">
        <f>IF(#REF!=0,"",#REF!)</f>
        <v>#REF!</v>
      </c>
      <c r="R140" s="85" t="e">
        <f>IF(#REF!=0,"",#REF!)</f>
        <v>#REF!</v>
      </c>
      <c r="S140" s="85" t="e">
        <f>IF(#REF!=0,"",#REF!)</f>
        <v>#REF!</v>
      </c>
      <c r="T140" s="268"/>
      <c r="U140" s="268"/>
      <c r="V140" s="268"/>
    </row>
    <row r="141" ht="15" customHeight="1" spans="2:22">
      <c r="B141" s="6" t="e">
        <f t="shared" si="3"/>
        <v>#REF!</v>
      </c>
      <c r="C141" s="79" t="e">
        <f>#REF!</f>
        <v>#REF!</v>
      </c>
      <c r="D141" s="62" t="e">
        <f>IF(#REF!=0,"",#REF!)</f>
        <v>#REF!</v>
      </c>
      <c r="E141" s="81" t="e">
        <f>IF(#REF!=0,"",#REF!)</f>
        <v>#REF!</v>
      </c>
      <c r="F141" s="81" t="e">
        <f>IF(#REF!=0,"",#REF!)</f>
        <v>#REF!</v>
      </c>
      <c r="G141" s="100" t="e">
        <f>#REF!</f>
        <v>#REF!</v>
      </c>
      <c r="H141" s="159">
        <f>'27'!R141</f>
        <v>0</v>
      </c>
      <c r="I141" s="159">
        <f>'27'!S141</f>
        <v>0</v>
      </c>
      <c r="J141" s="159"/>
      <c r="K141" s="101">
        <f>'27'!T141</f>
        <v>0</v>
      </c>
      <c r="L141" s="81" t="e">
        <f>#REF!</f>
        <v>#REF!</v>
      </c>
      <c r="M141" s="100" t="e">
        <f>#REF!</f>
        <v>#REF!</v>
      </c>
      <c r="N141" s="159"/>
      <c r="O141" s="101" t="e">
        <f>#REF!</f>
        <v>#REF!</v>
      </c>
      <c r="P141" s="102" t="e">
        <f>IF(#REF!=0,"",#REF!)</f>
        <v>#REF!</v>
      </c>
      <c r="Q141" s="108" t="e">
        <f>IF(#REF!=0,"",#REF!)</f>
        <v>#REF!</v>
      </c>
      <c r="R141" s="81" t="e">
        <f>IF(#REF!=0,"",#REF!)</f>
        <v>#REF!</v>
      </c>
      <c r="S141" s="81" t="e">
        <f>IF(#REF!=0,"",#REF!)</f>
        <v>#REF!</v>
      </c>
      <c r="T141" s="268"/>
      <c r="U141" s="268"/>
      <c r="V141" s="268"/>
    </row>
    <row r="142" ht="15" customHeight="1" spans="2:22">
      <c r="B142" s="6" t="e">
        <f t="shared" si="3"/>
        <v>#REF!</v>
      </c>
      <c r="C142" s="31" t="e">
        <f>#REF!</f>
        <v>#REF!</v>
      </c>
      <c r="D142" s="32" t="e">
        <f>IF(#REF!=0,"",#REF!)</f>
        <v>#REF!</v>
      </c>
      <c r="E142" s="36" t="e">
        <f>IF(#REF!=0,"",#REF!)</f>
        <v>#REF!</v>
      </c>
      <c r="F142" s="36" t="e">
        <f>IF(#REF!=0,"",#REF!)</f>
        <v>#REF!</v>
      </c>
      <c r="G142" s="103">
        <f>'27'!Q142</f>
        <v>0</v>
      </c>
      <c r="H142" s="160">
        <f>'27'!R142</f>
        <v>0</v>
      </c>
      <c r="I142" s="160">
        <f>'27'!S142</f>
        <v>0</v>
      </c>
      <c r="J142" s="160"/>
      <c r="K142" s="104">
        <f>'27'!T142</f>
        <v>0</v>
      </c>
      <c r="L142" s="36" t="e">
        <f>#REF!</f>
        <v>#REF!</v>
      </c>
      <c r="M142" s="103" t="e">
        <f>#REF!</f>
        <v>#REF!</v>
      </c>
      <c r="N142" s="160"/>
      <c r="O142" s="104" t="e">
        <f>#REF!</f>
        <v>#REF!</v>
      </c>
      <c r="P142" s="52" t="e">
        <f>IF(#REF!=0,"",#REF!)</f>
        <v>#REF!</v>
      </c>
      <c r="Q142" s="109" t="e">
        <f>IF(#REF!=0,"",#REF!)</f>
        <v>#REF!</v>
      </c>
      <c r="R142" s="36" t="e">
        <f>IF(#REF!=0,"",#REF!)</f>
        <v>#REF!</v>
      </c>
      <c r="S142" s="36" t="e">
        <f>IF(#REF!=0,"",#REF!)</f>
        <v>#REF!</v>
      </c>
      <c r="T142" s="268"/>
      <c r="U142" s="268"/>
      <c r="V142" s="268"/>
    </row>
    <row r="143" ht="15" customHeight="1" spans="2:22">
      <c r="B143" s="6" t="e">
        <f t="shared" si="3"/>
        <v>#REF!</v>
      </c>
      <c r="C143" s="83" t="e">
        <f>#REF!</f>
        <v>#REF!</v>
      </c>
      <c r="D143" s="110" t="e">
        <f>IF(#REF!=0,"",#REF!)</f>
        <v>#REF!</v>
      </c>
      <c r="E143" s="85" t="e">
        <f>IF(#REF!=0,"",#REF!)</f>
        <v>#REF!</v>
      </c>
      <c r="F143" s="85" t="e">
        <f>IF(#REF!=0,"",#REF!)</f>
        <v>#REF!</v>
      </c>
      <c r="G143" s="105">
        <f>'27'!Q143</f>
        <v>0</v>
      </c>
      <c r="H143" s="161">
        <f>'27'!R143</f>
        <v>0</v>
      </c>
      <c r="I143" s="161">
        <f>'27'!S143</f>
        <v>0</v>
      </c>
      <c r="J143" s="161"/>
      <c r="K143" s="106">
        <f>'27'!T143</f>
        <v>0</v>
      </c>
      <c r="L143" s="85" t="e">
        <f>#REF!</f>
        <v>#REF!</v>
      </c>
      <c r="M143" s="105" t="e">
        <f>#REF!</f>
        <v>#REF!</v>
      </c>
      <c r="N143" s="161"/>
      <c r="O143" s="106" t="e">
        <f>#REF!</f>
        <v>#REF!</v>
      </c>
      <c r="P143" s="107" t="e">
        <f>IF(#REF!=0,"",#REF!)</f>
        <v>#REF!</v>
      </c>
      <c r="Q143" s="111" t="e">
        <f>IF(#REF!=0,"",#REF!)</f>
        <v>#REF!</v>
      </c>
      <c r="R143" s="85" t="e">
        <f>IF(#REF!=0,"",#REF!)</f>
        <v>#REF!</v>
      </c>
      <c r="S143" s="85" t="e">
        <f>IF(#REF!=0,"",#REF!)</f>
        <v>#REF!</v>
      </c>
      <c r="T143" s="268"/>
      <c r="U143" s="268"/>
      <c r="V143" s="268"/>
    </row>
    <row r="144" ht="15" customHeight="1" spans="2:22">
      <c r="B144" s="6" t="e">
        <f t="shared" si="3"/>
        <v>#REF!</v>
      </c>
      <c r="C144" s="79" t="e">
        <f>#REF!</f>
        <v>#REF!</v>
      </c>
      <c r="D144" s="62" t="e">
        <f>IF(#REF!=0,"",#REF!)</f>
        <v>#REF!</v>
      </c>
      <c r="E144" s="81" t="e">
        <f>IF(#REF!=0,"",#REF!)</f>
        <v>#REF!</v>
      </c>
      <c r="F144" s="81" t="e">
        <f>IF(#REF!=0,"",#REF!)</f>
        <v>#REF!</v>
      </c>
      <c r="G144" s="100" t="e">
        <f>#REF!</f>
        <v>#REF!</v>
      </c>
      <c r="H144" s="159">
        <f>'27'!R144</f>
        <v>0</v>
      </c>
      <c r="I144" s="159">
        <f>'27'!S144</f>
        <v>0</v>
      </c>
      <c r="J144" s="159"/>
      <c r="K144" s="101">
        <f>'27'!T144</f>
        <v>0</v>
      </c>
      <c r="L144" s="81" t="e">
        <f>#REF!</f>
        <v>#REF!</v>
      </c>
      <c r="M144" s="100" t="e">
        <f>#REF!</f>
        <v>#REF!</v>
      </c>
      <c r="N144" s="159"/>
      <c r="O144" s="101" t="e">
        <f>#REF!</f>
        <v>#REF!</v>
      </c>
      <c r="P144" s="102" t="e">
        <f>IF(#REF!=0,"",#REF!)</f>
        <v>#REF!</v>
      </c>
      <c r="Q144" s="108" t="e">
        <f>IF(#REF!=0,"",#REF!)</f>
        <v>#REF!</v>
      </c>
      <c r="R144" s="81" t="e">
        <f>IF(#REF!=0,"",#REF!)</f>
        <v>#REF!</v>
      </c>
      <c r="S144" s="81" t="e">
        <f>IF(#REF!=0,"",#REF!)</f>
        <v>#REF!</v>
      </c>
      <c r="T144" s="268"/>
      <c r="U144" s="268"/>
      <c r="V144" s="268"/>
    </row>
    <row r="145" ht="15" customHeight="1" spans="2:22">
      <c r="B145" s="6" t="e">
        <f t="shared" si="3"/>
        <v>#REF!</v>
      </c>
      <c r="C145" s="31" t="e">
        <f>#REF!</f>
        <v>#REF!</v>
      </c>
      <c r="D145" s="32" t="e">
        <f>IF(#REF!=0,"",#REF!)</f>
        <v>#REF!</v>
      </c>
      <c r="E145" s="36" t="e">
        <f>IF(#REF!=0,"",#REF!)</f>
        <v>#REF!</v>
      </c>
      <c r="F145" s="36" t="e">
        <f>IF(#REF!=0,"",#REF!)</f>
        <v>#REF!</v>
      </c>
      <c r="G145" s="103">
        <f>'27'!Q145</f>
        <v>0</v>
      </c>
      <c r="H145" s="160">
        <f>'27'!R145</f>
        <v>0</v>
      </c>
      <c r="I145" s="160">
        <f>'27'!S145</f>
        <v>0</v>
      </c>
      <c r="J145" s="160"/>
      <c r="K145" s="104">
        <f>'27'!T145</f>
        <v>0</v>
      </c>
      <c r="L145" s="36" t="e">
        <f>#REF!</f>
        <v>#REF!</v>
      </c>
      <c r="M145" s="103" t="e">
        <f>#REF!</f>
        <v>#REF!</v>
      </c>
      <c r="N145" s="160"/>
      <c r="O145" s="104" t="e">
        <f>#REF!</f>
        <v>#REF!</v>
      </c>
      <c r="P145" s="52" t="e">
        <f>IF(#REF!=0,"",#REF!)</f>
        <v>#REF!</v>
      </c>
      <c r="Q145" s="109" t="e">
        <f>IF(#REF!=0,"",#REF!)</f>
        <v>#REF!</v>
      </c>
      <c r="R145" s="36" t="e">
        <f>IF(#REF!=0,"",#REF!)</f>
        <v>#REF!</v>
      </c>
      <c r="S145" s="36" t="e">
        <f>IF(#REF!=0,"",#REF!)</f>
        <v>#REF!</v>
      </c>
      <c r="T145" s="268"/>
      <c r="U145" s="268"/>
      <c r="V145" s="268"/>
    </row>
    <row r="146" ht="15" customHeight="1" spans="2:22">
      <c r="B146" s="6" t="e">
        <f t="shared" si="3"/>
        <v>#REF!</v>
      </c>
      <c r="C146" s="83" t="e">
        <f>#REF!</f>
        <v>#REF!</v>
      </c>
      <c r="D146" s="110" t="e">
        <f>IF(#REF!=0,"",#REF!)</f>
        <v>#REF!</v>
      </c>
      <c r="E146" s="85" t="e">
        <f>IF(#REF!=0,"",#REF!)</f>
        <v>#REF!</v>
      </c>
      <c r="F146" s="85" t="e">
        <f>IF(#REF!=0,"",#REF!)</f>
        <v>#REF!</v>
      </c>
      <c r="G146" s="105">
        <f>'27'!Q146</f>
        <v>0</v>
      </c>
      <c r="H146" s="161">
        <f>'27'!R146</f>
        <v>0</v>
      </c>
      <c r="I146" s="161">
        <f>'27'!S146</f>
        <v>0</v>
      </c>
      <c r="J146" s="161"/>
      <c r="K146" s="106">
        <f>'27'!T146</f>
        <v>0</v>
      </c>
      <c r="L146" s="85" t="e">
        <f>#REF!</f>
        <v>#REF!</v>
      </c>
      <c r="M146" s="105" t="e">
        <f>#REF!</f>
        <v>#REF!</v>
      </c>
      <c r="N146" s="161"/>
      <c r="O146" s="106" t="e">
        <f>#REF!</f>
        <v>#REF!</v>
      </c>
      <c r="P146" s="107" t="e">
        <f>IF(#REF!=0,"",#REF!)</f>
        <v>#REF!</v>
      </c>
      <c r="Q146" s="111" t="e">
        <f>IF(#REF!=0,"",#REF!)</f>
        <v>#REF!</v>
      </c>
      <c r="R146" s="85" t="e">
        <f>IF(#REF!=0,"",#REF!)</f>
        <v>#REF!</v>
      </c>
      <c r="S146" s="85" t="e">
        <f>IF(#REF!=0,"",#REF!)</f>
        <v>#REF!</v>
      </c>
      <c r="T146" s="268"/>
      <c r="U146" s="268"/>
      <c r="V146" s="268"/>
    </row>
    <row r="147" ht="15" customHeight="1" spans="2:22">
      <c r="B147" s="6" t="e">
        <f t="shared" si="3"/>
        <v>#REF!</v>
      </c>
      <c r="C147" s="79" t="e">
        <f>#REF!</f>
        <v>#REF!</v>
      </c>
      <c r="D147" s="62" t="e">
        <f>IF(#REF!=0,"",#REF!)</f>
        <v>#REF!</v>
      </c>
      <c r="E147" s="81" t="e">
        <f>IF(#REF!=0,"",#REF!)</f>
        <v>#REF!</v>
      </c>
      <c r="F147" s="81" t="e">
        <f>IF(#REF!=0,"",#REF!)</f>
        <v>#REF!</v>
      </c>
      <c r="G147" s="100" t="e">
        <f>#REF!</f>
        <v>#REF!</v>
      </c>
      <c r="H147" s="159">
        <f>'27'!R147</f>
        <v>0</v>
      </c>
      <c r="I147" s="159">
        <f>'27'!S147</f>
        <v>0</v>
      </c>
      <c r="J147" s="159"/>
      <c r="K147" s="101">
        <f>'27'!T147</f>
        <v>0</v>
      </c>
      <c r="L147" s="81" t="e">
        <f>#REF!</f>
        <v>#REF!</v>
      </c>
      <c r="M147" s="100" t="e">
        <f>#REF!</f>
        <v>#REF!</v>
      </c>
      <c r="N147" s="159"/>
      <c r="O147" s="101" t="e">
        <f>#REF!</f>
        <v>#REF!</v>
      </c>
      <c r="P147" s="102" t="e">
        <f>IF(#REF!=0,"",#REF!)</f>
        <v>#REF!</v>
      </c>
      <c r="Q147" s="108" t="e">
        <f>IF(#REF!=0,"",#REF!)</f>
        <v>#REF!</v>
      </c>
      <c r="R147" s="81" t="e">
        <f>IF(#REF!=0,"",#REF!)</f>
        <v>#REF!</v>
      </c>
      <c r="S147" s="81" t="e">
        <f>IF(#REF!=0,"",#REF!)</f>
        <v>#REF!</v>
      </c>
      <c r="T147" s="268"/>
      <c r="U147" s="268"/>
      <c r="V147" s="268"/>
    </row>
    <row r="148" ht="15" customHeight="1" spans="2:22">
      <c r="B148" s="6" t="e">
        <f t="shared" si="3"/>
        <v>#REF!</v>
      </c>
      <c r="C148" s="31" t="e">
        <f>#REF!</f>
        <v>#REF!</v>
      </c>
      <c r="D148" s="32" t="e">
        <f>IF(#REF!=0,"",#REF!)</f>
        <v>#REF!</v>
      </c>
      <c r="E148" s="36" t="e">
        <f>IF(#REF!=0,"",#REF!)</f>
        <v>#REF!</v>
      </c>
      <c r="F148" s="36" t="e">
        <f>IF(#REF!=0,"",#REF!)</f>
        <v>#REF!</v>
      </c>
      <c r="G148" s="103">
        <f>'27'!Q148</f>
        <v>0</v>
      </c>
      <c r="H148" s="160">
        <f>'27'!R148</f>
        <v>0</v>
      </c>
      <c r="I148" s="160">
        <f>'27'!S148</f>
        <v>0</v>
      </c>
      <c r="J148" s="160"/>
      <c r="K148" s="104">
        <f>'27'!T148</f>
        <v>0</v>
      </c>
      <c r="L148" s="36" t="e">
        <f>#REF!</f>
        <v>#REF!</v>
      </c>
      <c r="M148" s="103" t="e">
        <f>#REF!</f>
        <v>#REF!</v>
      </c>
      <c r="N148" s="160"/>
      <c r="O148" s="104" t="e">
        <f>#REF!</f>
        <v>#REF!</v>
      </c>
      <c r="P148" s="52" t="e">
        <f>IF(#REF!=0,"",#REF!)</f>
        <v>#REF!</v>
      </c>
      <c r="Q148" s="109" t="e">
        <f>IF(#REF!=0,"",#REF!)</f>
        <v>#REF!</v>
      </c>
      <c r="R148" s="36" t="e">
        <f>IF(#REF!=0,"",#REF!)</f>
        <v>#REF!</v>
      </c>
      <c r="S148" s="36" t="e">
        <f>IF(#REF!=0,"",#REF!)</f>
        <v>#REF!</v>
      </c>
      <c r="T148" s="268"/>
      <c r="U148" s="268"/>
      <c r="V148" s="268"/>
    </row>
    <row r="149" ht="15" customHeight="1" spans="2:22">
      <c r="B149" s="6" t="e">
        <f t="shared" si="3"/>
        <v>#REF!</v>
      </c>
      <c r="C149" s="83" t="e">
        <f>#REF!</f>
        <v>#REF!</v>
      </c>
      <c r="D149" s="110" t="e">
        <f>IF(#REF!=0,"",#REF!)</f>
        <v>#REF!</v>
      </c>
      <c r="E149" s="85" t="e">
        <f>IF(#REF!=0,"",#REF!)</f>
        <v>#REF!</v>
      </c>
      <c r="F149" s="85" t="e">
        <f>IF(#REF!=0,"",#REF!)</f>
        <v>#REF!</v>
      </c>
      <c r="G149" s="105">
        <f>'27'!Q149</f>
        <v>0</v>
      </c>
      <c r="H149" s="161">
        <f>'27'!R149</f>
        <v>0</v>
      </c>
      <c r="I149" s="161">
        <f>'27'!S149</f>
        <v>0</v>
      </c>
      <c r="J149" s="161"/>
      <c r="K149" s="106">
        <f>'27'!T149</f>
        <v>0</v>
      </c>
      <c r="L149" s="85" t="e">
        <f>#REF!</f>
        <v>#REF!</v>
      </c>
      <c r="M149" s="105" t="e">
        <f>#REF!</f>
        <v>#REF!</v>
      </c>
      <c r="N149" s="161"/>
      <c r="O149" s="106" t="e">
        <f>#REF!</f>
        <v>#REF!</v>
      </c>
      <c r="P149" s="107" t="e">
        <f>IF(#REF!=0,"",#REF!)</f>
        <v>#REF!</v>
      </c>
      <c r="Q149" s="111" t="e">
        <f>IF(#REF!=0,"",#REF!)</f>
        <v>#REF!</v>
      </c>
      <c r="R149" s="85" t="e">
        <f>IF(#REF!=0,"",#REF!)</f>
        <v>#REF!</v>
      </c>
      <c r="S149" s="85" t="e">
        <f>IF(#REF!=0,"",#REF!)</f>
        <v>#REF!</v>
      </c>
      <c r="T149" s="268"/>
      <c r="U149" s="268"/>
      <c r="V149" s="268"/>
    </row>
    <row r="150" ht="15" customHeight="1" spans="2:22">
      <c r="B150" s="6" t="e">
        <f t="shared" si="3"/>
        <v>#REF!</v>
      </c>
      <c r="C150" s="79" t="e">
        <f>#REF!</f>
        <v>#REF!</v>
      </c>
      <c r="D150" s="62" t="e">
        <f>IF(#REF!=0,"",#REF!)</f>
        <v>#REF!</v>
      </c>
      <c r="E150" s="81" t="e">
        <f>IF(#REF!=0,"",#REF!)</f>
        <v>#REF!</v>
      </c>
      <c r="F150" s="81" t="e">
        <f>IF(#REF!=0,"",#REF!)</f>
        <v>#REF!</v>
      </c>
      <c r="G150" s="100" t="e">
        <f>#REF!</f>
        <v>#REF!</v>
      </c>
      <c r="H150" s="159">
        <f>'27'!R150</f>
        <v>0</v>
      </c>
      <c r="I150" s="159">
        <f>'27'!S150</f>
        <v>0</v>
      </c>
      <c r="J150" s="159"/>
      <c r="K150" s="101">
        <f>'27'!T150</f>
        <v>0</v>
      </c>
      <c r="L150" s="81" t="e">
        <f>#REF!</f>
        <v>#REF!</v>
      </c>
      <c r="M150" s="100" t="e">
        <f>#REF!</f>
        <v>#REF!</v>
      </c>
      <c r="N150" s="159"/>
      <c r="O150" s="101" t="e">
        <f>#REF!</f>
        <v>#REF!</v>
      </c>
      <c r="P150" s="102" t="e">
        <f>IF(#REF!=0,"",#REF!)</f>
        <v>#REF!</v>
      </c>
      <c r="Q150" s="108" t="e">
        <f>IF(#REF!=0,"",#REF!)</f>
        <v>#REF!</v>
      </c>
      <c r="R150" s="81" t="e">
        <f>IF(#REF!=0,"",#REF!)</f>
        <v>#REF!</v>
      </c>
      <c r="S150" s="81" t="e">
        <f>IF(#REF!=0,"",#REF!)</f>
        <v>#REF!</v>
      </c>
      <c r="T150" s="268"/>
      <c r="U150" s="268"/>
      <c r="V150" s="268"/>
    </row>
    <row r="151" ht="15" customHeight="1" spans="2:22">
      <c r="B151" s="6" t="e">
        <f t="shared" si="3"/>
        <v>#REF!</v>
      </c>
      <c r="C151" s="31" t="e">
        <f>#REF!</f>
        <v>#REF!</v>
      </c>
      <c r="D151" s="32" t="e">
        <f>IF(#REF!=0,"",#REF!)</f>
        <v>#REF!</v>
      </c>
      <c r="E151" s="36" t="e">
        <f>IF(#REF!=0,"",#REF!)</f>
        <v>#REF!</v>
      </c>
      <c r="F151" s="36" t="e">
        <f>IF(#REF!=0,"",#REF!)</f>
        <v>#REF!</v>
      </c>
      <c r="G151" s="103">
        <f>'27'!Q151</f>
        <v>0</v>
      </c>
      <c r="H151" s="160">
        <f>'27'!R151</f>
        <v>0</v>
      </c>
      <c r="I151" s="160">
        <f>'27'!S151</f>
        <v>0</v>
      </c>
      <c r="J151" s="160"/>
      <c r="K151" s="104">
        <f>'27'!T151</f>
        <v>0</v>
      </c>
      <c r="L151" s="36" t="e">
        <f>#REF!</f>
        <v>#REF!</v>
      </c>
      <c r="M151" s="103" t="e">
        <f>#REF!</f>
        <v>#REF!</v>
      </c>
      <c r="N151" s="160"/>
      <c r="O151" s="104" t="e">
        <f>#REF!</f>
        <v>#REF!</v>
      </c>
      <c r="P151" s="52" t="e">
        <f>IF(#REF!=0,"",#REF!)</f>
        <v>#REF!</v>
      </c>
      <c r="Q151" s="109" t="e">
        <f>IF(#REF!=0,"",#REF!)</f>
        <v>#REF!</v>
      </c>
      <c r="R151" s="36" t="e">
        <f>IF(#REF!=0,"",#REF!)</f>
        <v>#REF!</v>
      </c>
      <c r="S151" s="36" t="e">
        <f>IF(#REF!=0,"",#REF!)</f>
        <v>#REF!</v>
      </c>
      <c r="T151" s="268"/>
      <c r="U151" s="268"/>
      <c r="V151" s="268"/>
    </row>
    <row r="152" ht="15" customHeight="1" spans="2:22">
      <c r="B152" s="6" t="e">
        <f t="shared" si="3"/>
        <v>#REF!</v>
      </c>
      <c r="C152" s="83" t="e">
        <f>#REF!</f>
        <v>#REF!</v>
      </c>
      <c r="D152" s="110" t="e">
        <f>IF(#REF!=0,"",#REF!)</f>
        <v>#REF!</v>
      </c>
      <c r="E152" s="85" t="e">
        <f>IF(#REF!=0,"",#REF!)</f>
        <v>#REF!</v>
      </c>
      <c r="F152" s="85" t="e">
        <f>IF(#REF!=0,"",#REF!)</f>
        <v>#REF!</v>
      </c>
      <c r="G152" s="105">
        <f>'27'!Q152</f>
        <v>0</v>
      </c>
      <c r="H152" s="161">
        <f>'27'!R152</f>
        <v>0</v>
      </c>
      <c r="I152" s="161">
        <f>'27'!S152</f>
        <v>0</v>
      </c>
      <c r="J152" s="161"/>
      <c r="K152" s="106">
        <f>'27'!T152</f>
        <v>0</v>
      </c>
      <c r="L152" s="85" t="e">
        <f>#REF!</f>
        <v>#REF!</v>
      </c>
      <c r="M152" s="105" t="e">
        <f>#REF!</f>
        <v>#REF!</v>
      </c>
      <c r="N152" s="161"/>
      <c r="O152" s="106" t="e">
        <f>#REF!</f>
        <v>#REF!</v>
      </c>
      <c r="P152" s="107" t="e">
        <f>IF(#REF!=0,"",#REF!)</f>
        <v>#REF!</v>
      </c>
      <c r="Q152" s="111" t="e">
        <f>IF(#REF!=0,"",#REF!)</f>
        <v>#REF!</v>
      </c>
      <c r="R152" s="85" t="e">
        <f>IF(#REF!=0,"",#REF!)</f>
        <v>#REF!</v>
      </c>
      <c r="S152" s="85" t="e">
        <f>IF(#REF!=0,"",#REF!)</f>
        <v>#REF!</v>
      </c>
      <c r="T152" s="268"/>
      <c r="U152" s="268"/>
      <c r="V152" s="268"/>
    </row>
    <row r="153" ht="15" customHeight="1" spans="2:22">
      <c r="B153" s="6" t="e">
        <f t="shared" si="3"/>
        <v>#REF!</v>
      </c>
      <c r="C153" s="79" t="e">
        <f>#REF!</f>
        <v>#REF!</v>
      </c>
      <c r="D153" s="62" t="e">
        <f>IF(#REF!=0,"",#REF!)</f>
        <v>#REF!</v>
      </c>
      <c r="E153" s="81" t="e">
        <f>IF(#REF!=0,"",#REF!)</f>
        <v>#REF!</v>
      </c>
      <c r="F153" s="81" t="e">
        <f>IF(#REF!=0,"",#REF!)</f>
        <v>#REF!</v>
      </c>
      <c r="G153" s="100" t="e">
        <f>#REF!</f>
        <v>#REF!</v>
      </c>
      <c r="H153" s="159">
        <f>'27'!R153</f>
        <v>0</v>
      </c>
      <c r="I153" s="159">
        <f>'27'!S153</f>
        <v>0</v>
      </c>
      <c r="J153" s="159"/>
      <c r="K153" s="101">
        <f>'27'!T153</f>
        <v>0</v>
      </c>
      <c r="L153" s="81" t="e">
        <f>#REF!</f>
        <v>#REF!</v>
      </c>
      <c r="M153" s="100" t="e">
        <f>#REF!</f>
        <v>#REF!</v>
      </c>
      <c r="N153" s="159"/>
      <c r="O153" s="101" t="e">
        <f>#REF!</f>
        <v>#REF!</v>
      </c>
      <c r="P153" s="102" t="e">
        <f>IF(#REF!=0,"",#REF!)</f>
        <v>#REF!</v>
      </c>
      <c r="Q153" s="108" t="e">
        <f>IF(#REF!=0,"",#REF!)</f>
        <v>#REF!</v>
      </c>
      <c r="R153" s="81" t="e">
        <f>IF(#REF!=0,"",#REF!)</f>
        <v>#REF!</v>
      </c>
      <c r="S153" s="81" t="e">
        <f>IF(#REF!=0,"",#REF!)</f>
        <v>#REF!</v>
      </c>
      <c r="T153" s="268"/>
      <c r="U153" s="268"/>
      <c r="V153" s="268"/>
    </row>
    <row r="154" ht="15" customHeight="1" spans="2:22">
      <c r="B154" s="6" t="e">
        <f t="shared" si="3"/>
        <v>#REF!</v>
      </c>
      <c r="C154" s="31" t="e">
        <f>#REF!</f>
        <v>#REF!</v>
      </c>
      <c r="D154" s="32" t="e">
        <f>IF(#REF!=0,"",#REF!)</f>
        <v>#REF!</v>
      </c>
      <c r="E154" s="36" t="e">
        <f>IF(#REF!=0,"",#REF!)</f>
        <v>#REF!</v>
      </c>
      <c r="F154" s="36" t="e">
        <f>IF(#REF!=0,"",#REF!)</f>
        <v>#REF!</v>
      </c>
      <c r="G154" s="103">
        <f>'27'!Q154</f>
        <v>0</v>
      </c>
      <c r="H154" s="160">
        <f>'27'!R154</f>
        <v>0</v>
      </c>
      <c r="I154" s="160">
        <f>'27'!S154</f>
        <v>0</v>
      </c>
      <c r="J154" s="160"/>
      <c r="K154" s="104">
        <f>'27'!T154</f>
        <v>0</v>
      </c>
      <c r="L154" s="36" t="e">
        <f>#REF!</f>
        <v>#REF!</v>
      </c>
      <c r="M154" s="103" t="e">
        <f>#REF!</f>
        <v>#REF!</v>
      </c>
      <c r="N154" s="160"/>
      <c r="O154" s="104" t="e">
        <f>#REF!</f>
        <v>#REF!</v>
      </c>
      <c r="P154" s="52" t="e">
        <f>IF(#REF!=0,"",#REF!)</f>
        <v>#REF!</v>
      </c>
      <c r="Q154" s="109" t="e">
        <f>IF(#REF!=0,"",#REF!)</f>
        <v>#REF!</v>
      </c>
      <c r="R154" s="36" t="e">
        <f>IF(#REF!=0,"",#REF!)</f>
        <v>#REF!</v>
      </c>
      <c r="S154" s="36" t="e">
        <f>IF(#REF!=0,"",#REF!)</f>
        <v>#REF!</v>
      </c>
      <c r="T154" s="268"/>
      <c r="U154" s="268"/>
      <c r="V154" s="268"/>
    </row>
    <row r="155" ht="15" customHeight="1" spans="2:22">
      <c r="B155" s="6" t="e">
        <f t="shared" si="3"/>
        <v>#REF!</v>
      </c>
      <c r="C155" s="83" t="e">
        <f>#REF!</f>
        <v>#REF!</v>
      </c>
      <c r="D155" s="110" t="e">
        <f>IF(#REF!=0,"",#REF!)</f>
        <v>#REF!</v>
      </c>
      <c r="E155" s="85" t="e">
        <f>IF(#REF!=0,"",#REF!)</f>
        <v>#REF!</v>
      </c>
      <c r="F155" s="85" t="e">
        <f>IF(#REF!=0,"",#REF!)</f>
        <v>#REF!</v>
      </c>
      <c r="G155" s="105">
        <f>'27'!Q155</f>
        <v>0</v>
      </c>
      <c r="H155" s="161">
        <f>'27'!R155</f>
        <v>0</v>
      </c>
      <c r="I155" s="161">
        <f>'27'!S155</f>
        <v>0</v>
      </c>
      <c r="J155" s="161"/>
      <c r="K155" s="106">
        <f>'27'!T155</f>
        <v>0</v>
      </c>
      <c r="L155" s="85" t="e">
        <f>#REF!</f>
        <v>#REF!</v>
      </c>
      <c r="M155" s="105" t="e">
        <f>#REF!</f>
        <v>#REF!</v>
      </c>
      <c r="N155" s="161"/>
      <c r="O155" s="106" t="e">
        <f>#REF!</f>
        <v>#REF!</v>
      </c>
      <c r="P155" s="107" t="e">
        <f>IF(#REF!=0,"",#REF!)</f>
        <v>#REF!</v>
      </c>
      <c r="Q155" s="111" t="e">
        <f>IF(#REF!=0,"",#REF!)</f>
        <v>#REF!</v>
      </c>
      <c r="R155" s="85" t="e">
        <f>IF(#REF!=0,"",#REF!)</f>
        <v>#REF!</v>
      </c>
      <c r="S155" s="85" t="e">
        <f>IF(#REF!=0,"",#REF!)</f>
        <v>#REF!</v>
      </c>
      <c r="T155" s="268"/>
      <c r="U155" s="268"/>
      <c r="V155" s="268"/>
    </row>
    <row r="156" ht="15" customHeight="1" spans="2:22">
      <c r="B156" s="6" t="e">
        <f t="shared" si="3"/>
        <v>#REF!</v>
      </c>
      <c r="C156" s="79" t="e">
        <f>#REF!</f>
        <v>#REF!</v>
      </c>
      <c r="D156" s="62" t="e">
        <f>IF(#REF!=0,"",#REF!)</f>
        <v>#REF!</v>
      </c>
      <c r="E156" s="81" t="e">
        <f>IF(#REF!=0,"",#REF!)</f>
        <v>#REF!</v>
      </c>
      <c r="F156" s="81" t="e">
        <f>IF(#REF!=0,"",#REF!)</f>
        <v>#REF!</v>
      </c>
      <c r="G156" s="100" t="e">
        <f>#REF!</f>
        <v>#REF!</v>
      </c>
      <c r="H156" s="159">
        <f>'27'!R156</f>
        <v>0</v>
      </c>
      <c r="I156" s="159">
        <f>'27'!S156</f>
        <v>0</v>
      </c>
      <c r="J156" s="159"/>
      <c r="K156" s="101">
        <f>'27'!T156</f>
        <v>0</v>
      </c>
      <c r="L156" s="81" t="e">
        <f>#REF!</f>
        <v>#REF!</v>
      </c>
      <c r="M156" s="100" t="e">
        <f>#REF!</f>
        <v>#REF!</v>
      </c>
      <c r="N156" s="159"/>
      <c r="O156" s="101" t="e">
        <f>#REF!</f>
        <v>#REF!</v>
      </c>
      <c r="P156" s="102" t="e">
        <f>IF(#REF!=0,"",#REF!)</f>
        <v>#REF!</v>
      </c>
      <c r="Q156" s="108" t="e">
        <f>IF(#REF!=0,"",#REF!)</f>
        <v>#REF!</v>
      </c>
      <c r="R156" s="81" t="e">
        <f>IF(#REF!=0,"",#REF!)</f>
        <v>#REF!</v>
      </c>
      <c r="S156" s="81" t="e">
        <f>IF(#REF!=0,"",#REF!)</f>
        <v>#REF!</v>
      </c>
      <c r="T156" s="268"/>
      <c r="U156" s="268"/>
      <c r="V156" s="268"/>
    </row>
    <row r="157" ht="15" customHeight="1" spans="2:22">
      <c r="B157" s="6" t="e">
        <f t="shared" si="3"/>
        <v>#REF!</v>
      </c>
      <c r="C157" s="31" t="e">
        <f>#REF!</f>
        <v>#REF!</v>
      </c>
      <c r="D157" s="32" t="e">
        <f>IF(#REF!=0,"",#REF!)</f>
        <v>#REF!</v>
      </c>
      <c r="E157" s="36" t="e">
        <f>IF(#REF!=0,"",#REF!)</f>
        <v>#REF!</v>
      </c>
      <c r="F157" s="36" t="e">
        <f>IF(#REF!=0,"",#REF!)</f>
        <v>#REF!</v>
      </c>
      <c r="G157" s="103">
        <f>'27'!Q157</f>
        <v>0</v>
      </c>
      <c r="H157" s="160">
        <f>'27'!R157</f>
        <v>0</v>
      </c>
      <c r="I157" s="160">
        <f>'27'!S157</f>
        <v>0</v>
      </c>
      <c r="J157" s="160"/>
      <c r="K157" s="104">
        <f>'27'!T157</f>
        <v>0</v>
      </c>
      <c r="L157" s="36" t="e">
        <f>#REF!</f>
        <v>#REF!</v>
      </c>
      <c r="M157" s="103" t="e">
        <f>#REF!</f>
        <v>#REF!</v>
      </c>
      <c r="N157" s="160"/>
      <c r="O157" s="104" t="e">
        <f>#REF!</f>
        <v>#REF!</v>
      </c>
      <c r="P157" s="52" t="e">
        <f>IF(#REF!=0,"",#REF!)</f>
        <v>#REF!</v>
      </c>
      <c r="Q157" s="109" t="e">
        <f>IF(#REF!=0,"",#REF!)</f>
        <v>#REF!</v>
      </c>
      <c r="R157" s="36" t="e">
        <f>IF(#REF!=0,"",#REF!)</f>
        <v>#REF!</v>
      </c>
      <c r="S157" s="36" t="e">
        <f>IF(#REF!=0,"",#REF!)</f>
        <v>#REF!</v>
      </c>
      <c r="T157" s="268"/>
      <c r="U157" s="268"/>
      <c r="V157" s="268"/>
    </row>
    <row r="158" ht="15" customHeight="1" spans="2:22">
      <c r="B158" s="6" t="e">
        <f t="shared" si="3"/>
        <v>#REF!</v>
      </c>
      <c r="C158" s="83" t="e">
        <f>#REF!</f>
        <v>#REF!</v>
      </c>
      <c r="D158" s="110" t="e">
        <f>IF(#REF!=0,"",#REF!)</f>
        <v>#REF!</v>
      </c>
      <c r="E158" s="85" t="e">
        <f>IF(#REF!=0,"",#REF!)</f>
        <v>#REF!</v>
      </c>
      <c r="F158" s="85" t="e">
        <f>IF(#REF!=0,"",#REF!)</f>
        <v>#REF!</v>
      </c>
      <c r="G158" s="105">
        <f>'27'!Q158</f>
        <v>0</v>
      </c>
      <c r="H158" s="161">
        <f>'27'!R158</f>
        <v>0</v>
      </c>
      <c r="I158" s="161">
        <f>'27'!S158</f>
        <v>0</v>
      </c>
      <c r="J158" s="161"/>
      <c r="K158" s="106">
        <f>'27'!T158</f>
        <v>0</v>
      </c>
      <c r="L158" s="85" t="e">
        <f>#REF!</f>
        <v>#REF!</v>
      </c>
      <c r="M158" s="105" t="e">
        <f>#REF!</f>
        <v>#REF!</v>
      </c>
      <c r="N158" s="161"/>
      <c r="O158" s="106" t="e">
        <f>#REF!</f>
        <v>#REF!</v>
      </c>
      <c r="P158" s="107" t="e">
        <f>IF(#REF!=0,"",#REF!)</f>
        <v>#REF!</v>
      </c>
      <c r="Q158" s="111" t="e">
        <f>IF(#REF!=0,"",#REF!)</f>
        <v>#REF!</v>
      </c>
      <c r="R158" s="85" t="e">
        <f>IF(#REF!=0,"",#REF!)</f>
        <v>#REF!</v>
      </c>
      <c r="S158" s="85" t="e">
        <f>IF(#REF!=0,"",#REF!)</f>
        <v>#REF!</v>
      </c>
      <c r="T158" s="268"/>
      <c r="U158" s="268"/>
      <c r="V158" s="268"/>
    </row>
    <row r="159" ht="15" customHeight="1" spans="2:22">
      <c r="B159" s="6" t="e">
        <f t="shared" si="3"/>
        <v>#REF!</v>
      </c>
      <c r="C159" s="79" t="e">
        <f>#REF!</f>
        <v>#REF!</v>
      </c>
      <c r="D159" s="62" t="e">
        <f>IF(#REF!=0,"",#REF!)</f>
        <v>#REF!</v>
      </c>
      <c r="E159" s="81" t="e">
        <f>IF(#REF!=0,"",#REF!)</f>
        <v>#REF!</v>
      </c>
      <c r="F159" s="81" t="e">
        <f>IF(#REF!=0,"",#REF!)</f>
        <v>#REF!</v>
      </c>
      <c r="G159" s="100" t="e">
        <f>#REF!</f>
        <v>#REF!</v>
      </c>
      <c r="H159" s="159">
        <f>'27'!R159</f>
        <v>0</v>
      </c>
      <c r="I159" s="159">
        <f>'27'!S159</f>
        <v>0</v>
      </c>
      <c r="J159" s="159"/>
      <c r="K159" s="101">
        <f>'27'!T159</f>
        <v>0</v>
      </c>
      <c r="L159" s="81" t="e">
        <f>#REF!</f>
        <v>#REF!</v>
      </c>
      <c r="M159" s="100" t="e">
        <f>#REF!</f>
        <v>#REF!</v>
      </c>
      <c r="N159" s="159"/>
      <c r="O159" s="101" t="e">
        <f>#REF!</f>
        <v>#REF!</v>
      </c>
      <c r="P159" s="102" t="e">
        <f>IF(#REF!=0,"",#REF!)</f>
        <v>#REF!</v>
      </c>
      <c r="Q159" s="108" t="e">
        <f>IF(#REF!=0,"",#REF!)</f>
        <v>#REF!</v>
      </c>
      <c r="R159" s="81" t="e">
        <f>IF(#REF!=0,"",#REF!)</f>
        <v>#REF!</v>
      </c>
      <c r="S159" s="81" t="e">
        <f>IF(#REF!=0,"",#REF!)</f>
        <v>#REF!</v>
      </c>
      <c r="T159" s="268"/>
      <c r="U159" s="268"/>
      <c r="V159" s="268"/>
    </row>
    <row r="160" ht="15" customHeight="1" spans="2:22">
      <c r="B160" s="6" t="e">
        <f t="shared" si="3"/>
        <v>#REF!</v>
      </c>
      <c r="C160" s="31" t="e">
        <f>#REF!</f>
        <v>#REF!</v>
      </c>
      <c r="D160" s="32" t="e">
        <f>IF(#REF!=0,"",#REF!)</f>
        <v>#REF!</v>
      </c>
      <c r="E160" s="36" t="e">
        <f>IF(#REF!=0,"",#REF!)</f>
        <v>#REF!</v>
      </c>
      <c r="F160" s="36" t="e">
        <f>IF(#REF!=0,"",#REF!)</f>
        <v>#REF!</v>
      </c>
      <c r="G160" s="103">
        <f>'27'!Q160</f>
        <v>0</v>
      </c>
      <c r="H160" s="160">
        <f>'27'!R160</f>
        <v>0</v>
      </c>
      <c r="I160" s="160">
        <f>'27'!S160</f>
        <v>0</v>
      </c>
      <c r="J160" s="160"/>
      <c r="K160" s="104">
        <f>'27'!T160</f>
        <v>0</v>
      </c>
      <c r="L160" s="36" t="e">
        <f>#REF!</f>
        <v>#REF!</v>
      </c>
      <c r="M160" s="103" t="e">
        <f>#REF!</f>
        <v>#REF!</v>
      </c>
      <c r="N160" s="160"/>
      <c r="O160" s="104" t="e">
        <f>#REF!</f>
        <v>#REF!</v>
      </c>
      <c r="P160" s="52" t="e">
        <f>IF(#REF!=0,"",#REF!)</f>
        <v>#REF!</v>
      </c>
      <c r="Q160" s="109" t="e">
        <f>IF(#REF!=0,"",#REF!)</f>
        <v>#REF!</v>
      </c>
      <c r="R160" s="36" t="e">
        <f>IF(#REF!=0,"",#REF!)</f>
        <v>#REF!</v>
      </c>
      <c r="S160" s="36" t="e">
        <f>IF(#REF!=0,"",#REF!)</f>
        <v>#REF!</v>
      </c>
      <c r="T160" s="268"/>
      <c r="U160" s="268"/>
      <c r="V160" s="268"/>
    </row>
    <row r="161" ht="15" customHeight="1" spans="2:22">
      <c r="B161" s="6" t="e">
        <f t="shared" si="3"/>
        <v>#REF!</v>
      </c>
      <c r="C161" s="83" t="e">
        <f>#REF!</f>
        <v>#REF!</v>
      </c>
      <c r="D161" s="110" t="e">
        <f>IF(#REF!=0,"",#REF!)</f>
        <v>#REF!</v>
      </c>
      <c r="E161" s="85" t="e">
        <f>IF(#REF!=0,"",#REF!)</f>
        <v>#REF!</v>
      </c>
      <c r="F161" s="85" t="e">
        <f>IF(#REF!=0,"",#REF!)</f>
        <v>#REF!</v>
      </c>
      <c r="G161" s="105">
        <f>'27'!Q161</f>
        <v>0</v>
      </c>
      <c r="H161" s="161">
        <f>'27'!R161</f>
        <v>0</v>
      </c>
      <c r="I161" s="161">
        <f>'27'!S161</f>
        <v>0</v>
      </c>
      <c r="J161" s="161"/>
      <c r="K161" s="106">
        <f>'27'!T161</f>
        <v>0</v>
      </c>
      <c r="L161" s="85" t="e">
        <f>#REF!</f>
        <v>#REF!</v>
      </c>
      <c r="M161" s="105" t="e">
        <f>#REF!</f>
        <v>#REF!</v>
      </c>
      <c r="N161" s="161"/>
      <c r="O161" s="106" t="e">
        <f>#REF!</f>
        <v>#REF!</v>
      </c>
      <c r="P161" s="107" t="e">
        <f>IF(#REF!=0,"",#REF!)</f>
        <v>#REF!</v>
      </c>
      <c r="Q161" s="111" t="e">
        <f>IF(#REF!=0,"",#REF!)</f>
        <v>#REF!</v>
      </c>
      <c r="R161" s="85" t="e">
        <f>IF(#REF!=0,"",#REF!)</f>
        <v>#REF!</v>
      </c>
      <c r="S161" s="85" t="e">
        <f>IF(#REF!=0,"",#REF!)</f>
        <v>#REF!</v>
      </c>
      <c r="T161" s="268"/>
      <c r="U161" s="268"/>
      <c r="V161" s="268"/>
    </row>
    <row r="162" ht="15" customHeight="1" spans="2:22">
      <c r="B162" s="6" t="e">
        <f t="shared" si="3"/>
        <v>#REF!</v>
      </c>
      <c r="C162" s="79" t="e">
        <f>#REF!</f>
        <v>#REF!</v>
      </c>
      <c r="D162" s="62" t="e">
        <f>IF(#REF!=0,"",#REF!)</f>
        <v>#REF!</v>
      </c>
      <c r="E162" s="81" t="e">
        <f>IF(#REF!=0,"",#REF!)</f>
        <v>#REF!</v>
      </c>
      <c r="F162" s="81" t="e">
        <f>IF(#REF!=0,"",#REF!)</f>
        <v>#REF!</v>
      </c>
      <c r="G162" s="100" t="e">
        <f>#REF!</f>
        <v>#REF!</v>
      </c>
      <c r="H162" s="159">
        <f>'27'!R162</f>
        <v>0</v>
      </c>
      <c r="I162" s="159">
        <f>'27'!S162</f>
        <v>0</v>
      </c>
      <c r="J162" s="159"/>
      <c r="K162" s="101">
        <f>'27'!T162</f>
        <v>0</v>
      </c>
      <c r="L162" s="81" t="e">
        <f>#REF!</f>
        <v>#REF!</v>
      </c>
      <c r="M162" s="100" t="e">
        <f>#REF!</f>
        <v>#REF!</v>
      </c>
      <c r="N162" s="159"/>
      <c r="O162" s="101" t="e">
        <f>#REF!</f>
        <v>#REF!</v>
      </c>
      <c r="P162" s="102" t="e">
        <f>IF(#REF!=0,"",#REF!)</f>
        <v>#REF!</v>
      </c>
      <c r="Q162" s="108" t="e">
        <f>IF(#REF!=0,"",#REF!)</f>
        <v>#REF!</v>
      </c>
      <c r="R162" s="81" t="e">
        <f>IF(#REF!=0,"",#REF!)</f>
        <v>#REF!</v>
      </c>
      <c r="S162" s="81" t="e">
        <f>IF(#REF!=0,"",#REF!)</f>
        <v>#REF!</v>
      </c>
      <c r="T162" s="268"/>
      <c r="U162" s="268"/>
      <c r="V162" s="268"/>
    </row>
    <row r="163" ht="15" customHeight="1" spans="2:22">
      <c r="B163" s="6" t="e">
        <f t="shared" si="3"/>
        <v>#REF!</v>
      </c>
      <c r="C163" s="31" t="e">
        <f>#REF!</f>
        <v>#REF!</v>
      </c>
      <c r="D163" s="32" t="e">
        <f>IF(#REF!=0,"",#REF!)</f>
        <v>#REF!</v>
      </c>
      <c r="E163" s="36" t="e">
        <f>IF(#REF!=0,"",#REF!)</f>
        <v>#REF!</v>
      </c>
      <c r="F163" s="36" t="e">
        <f>IF(#REF!=0,"",#REF!)</f>
        <v>#REF!</v>
      </c>
      <c r="G163" s="103">
        <f>'27'!Q163</f>
        <v>0</v>
      </c>
      <c r="H163" s="160">
        <f>'27'!R163</f>
        <v>0</v>
      </c>
      <c r="I163" s="160">
        <f>'27'!S163</f>
        <v>0</v>
      </c>
      <c r="J163" s="160"/>
      <c r="K163" s="104">
        <f>'27'!T163</f>
        <v>0</v>
      </c>
      <c r="L163" s="36" t="e">
        <f>#REF!</f>
        <v>#REF!</v>
      </c>
      <c r="M163" s="103" t="e">
        <f>#REF!</f>
        <v>#REF!</v>
      </c>
      <c r="N163" s="160"/>
      <c r="O163" s="104" t="e">
        <f>#REF!</f>
        <v>#REF!</v>
      </c>
      <c r="P163" s="52" t="e">
        <f>IF(#REF!=0,"",#REF!)</f>
        <v>#REF!</v>
      </c>
      <c r="Q163" s="109" t="e">
        <f>IF(#REF!=0,"",#REF!)</f>
        <v>#REF!</v>
      </c>
      <c r="R163" s="36" t="e">
        <f>IF(#REF!=0,"",#REF!)</f>
        <v>#REF!</v>
      </c>
      <c r="S163" s="36" t="e">
        <f>IF(#REF!=0,"",#REF!)</f>
        <v>#REF!</v>
      </c>
      <c r="T163" s="268"/>
      <c r="U163" s="268"/>
      <c r="V163" s="268"/>
    </row>
    <row r="164" ht="15" customHeight="1" spans="2:22">
      <c r="B164" s="6" t="e">
        <f t="shared" si="3"/>
        <v>#REF!</v>
      </c>
      <c r="C164" s="83" t="e">
        <f>#REF!</f>
        <v>#REF!</v>
      </c>
      <c r="D164" s="110" t="e">
        <f>IF(#REF!=0,"",#REF!)</f>
        <v>#REF!</v>
      </c>
      <c r="E164" s="85" t="e">
        <f>IF(#REF!=0,"",#REF!)</f>
        <v>#REF!</v>
      </c>
      <c r="F164" s="85" t="e">
        <f>IF(#REF!=0,"",#REF!)</f>
        <v>#REF!</v>
      </c>
      <c r="G164" s="105">
        <f>'27'!Q164</f>
        <v>0</v>
      </c>
      <c r="H164" s="161">
        <f>'27'!R164</f>
        <v>0</v>
      </c>
      <c r="I164" s="161">
        <f>'27'!S164</f>
        <v>0</v>
      </c>
      <c r="J164" s="161"/>
      <c r="K164" s="106">
        <f>'27'!T164</f>
        <v>0</v>
      </c>
      <c r="L164" s="85" t="e">
        <f>#REF!</f>
        <v>#REF!</v>
      </c>
      <c r="M164" s="105" t="e">
        <f>#REF!</f>
        <v>#REF!</v>
      </c>
      <c r="N164" s="161"/>
      <c r="O164" s="106" t="e">
        <f>#REF!</f>
        <v>#REF!</v>
      </c>
      <c r="P164" s="107" t="e">
        <f>IF(#REF!=0,"",#REF!)</f>
        <v>#REF!</v>
      </c>
      <c r="Q164" s="111" t="e">
        <f>IF(#REF!=0,"",#REF!)</f>
        <v>#REF!</v>
      </c>
      <c r="R164" s="85" t="e">
        <f>IF(#REF!=0,"",#REF!)</f>
        <v>#REF!</v>
      </c>
      <c r="S164" s="85" t="e">
        <f>IF(#REF!=0,"",#REF!)</f>
        <v>#REF!</v>
      </c>
      <c r="T164" s="268"/>
      <c r="U164" s="268"/>
      <c r="V164" s="268"/>
    </row>
    <row r="165" ht="15" customHeight="1" spans="2:22">
      <c r="B165" s="6" t="e">
        <f t="shared" si="3"/>
        <v>#REF!</v>
      </c>
      <c r="C165" s="79" t="e">
        <f>#REF!</f>
        <v>#REF!</v>
      </c>
      <c r="D165" s="62" t="e">
        <f>IF(#REF!=0,"",#REF!)</f>
        <v>#REF!</v>
      </c>
      <c r="E165" s="81" t="e">
        <f>IF(#REF!=0,"",#REF!)</f>
        <v>#REF!</v>
      </c>
      <c r="F165" s="81" t="e">
        <f>IF(#REF!=0,"",#REF!)</f>
        <v>#REF!</v>
      </c>
      <c r="G165" s="100" t="e">
        <f>#REF!</f>
        <v>#REF!</v>
      </c>
      <c r="H165" s="159">
        <f>'27'!R165</f>
        <v>0</v>
      </c>
      <c r="I165" s="159">
        <f>'27'!S165</f>
        <v>0</v>
      </c>
      <c r="J165" s="159"/>
      <c r="K165" s="101">
        <f>'27'!T165</f>
        <v>0</v>
      </c>
      <c r="L165" s="81" t="e">
        <f>#REF!</f>
        <v>#REF!</v>
      </c>
      <c r="M165" s="100" t="e">
        <f>#REF!</f>
        <v>#REF!</v>
      </c>
      <c r="N165" s="159"/>
      <c r="O165" s="101" t="e">
        <f>#REF!</f>
        <v>#REF!</v>
      </c>
      <c r="P165" s="102" t="e">
        <f>IF(#REF!=0,"",#REF!)</f>
        <v>#REF!</v>
      </c>
      <c r="Q165" s="108" t="e">
        <f>IF(#REF!=0,"",#REF!)</f>
        <v>#REF!</v>
      </c>
      <c r="R165" s="81" t="e">
        <f>IF(#REF!=0,"",#REF!)</f>
        <v>#REF!</v>
      </c>
      <c r="S165" s="81" t="e">
        <f>IF(#REF!=0,"",#REF!)</f>
        <v>#REF!</v>
      </c>
      <c r="T165" s="268"/>
      <c r="U165" s="268"/>
      <c r="V165" s="268"/>
    </row>
    <row r="166" ht="15" customHeight="1" spans="2:22">
      <c r="B166" s="6" t="e">
        <f t="shared" si="3"/>
        <v>#REF!</v>
      </c>
      <c r="C166" s="31" t="e">
        <f>#REF!</f>
        <v>#REF!</v>
      </c>
      <c r="D166" s="32" t="e">
        <f>IF(#REF!=0,"",#REF!)</f>
        <v>#REF!</v>
      </c>
      <c r="E166" s="36" t="e">
        <f>IF(#REF!=0,"",#REF!)</f>
        <v>#REF!</v>
      </c>
      <c r="F166" s="36" t="e">
        <f>IF(#REF!=0,"",#REF!)</f>
        <v>#REF!</v>
      </c>
      <c r="G166" s="103">
        <f>'27'!Q166</f>
        <v>0</v>
      </c>
      <c r="H166" s="160">
        <f>'27'!R166</f>
        <v>0</v>
      </c>
      <c r="I166" s="160">
        <f>'27'!S166</f>
        <v>0</v>
      </c>
      <c r="J166" s="160"/>
      <c r="K166" s="104">
        <f>'27'!T166</f>
        <v>0</v>
      </c>
      <c r="L166" s="36" t="e">
        <f>#REF!</f>
        <v>#REF!</v>
      </c>
      <c r="M166" s="103" t="e">
        <f>#REF!</f>
        <v>#REF!</v>
      </c>
      <c r="N166" s="160"/>
      <c r="O166" s="104" t="e">
        <f>#REF!</f>
        <v>#REF!</v>
      </c>
      <c r="P166" s="52" t="e">
        <f>IF(#REF!=0,"",#REF!)</f>
        <v>#REF!</v>
      </c>
      <c r="Q166" s="109" t="e">
        <f>IF(#REF!=0,"",#REF!)</f>
        <v>#REF!</v>
      </c>
      <c r="R166" s="36" t="e">
        <f>IF(#REF!=0,"",#REF!)</f>
        <v>#REF!</v>
      </c>
      <c r="S166" s="36" t="e">
        <f>IF(#REF!=0,"",#REF!)</f>
        <v>#REF!</v>
      </c>
      <c r="T166" s="268"/>
      <c r="U166" s="268"/>
      <c r="V166" s="268"/>
    </row>
    <row r="167" ht="15" customHeight="1" spans="2:22">
      <c r="B167" s="6" t="e">
        <f t="shared" si="3"/>
        <v>#REF!</v>
      </c>
      <c r="C167" s="83" t="e">
        <f>#REF!</f>
        <v>#REF!</v>
      </c>
      <c r="D167" s="110" t="e">
        <f>IF(#REF!=0,"",#REF!)</f>
        <v>#REF!</v>
      </c>
      <c r="E167" s="85" t="e">
        <f>IF(#REF!=0,"",#REF!)</f>
        <v>#REF!</v>
      </c>
      <c r="F167" s="85" t="e">
        <f>IF(#REF!=0,"",#REF!)</f>
        <v>#REF!</v>
      </c>
      <c r="G167" s="105">
        <f>'27'!Q167</f>
        <v>0</v>
      </c>
      <c r="H167" s="161">
        <f>'27'!R167</f>
        <v>0</v>
      </c>
      <c r="I167" s="161">
        <f>'27'!S167</f>
        <v>0</v>
      </c>
      <c r="J167" s="161"/>
      <c r="K167" s="106">
        <f>'27'!T167</f>
        <v>0</v>
      </c>
      <c r="L167" s="85" t="e">
        <f>#REF!</f>
        <v>#REF!</v>
      </c>
      <c r="M167" s="105" t="e">
        <f>#REF!</f>
        <v>#REF!</v>
      </c>
      <c r="N167" s="161"/>
      <c r="O167" s="106" t="e">
        <f>#REF!</f>
        <v>#REF!</v>
      </c>
      <c r="P167" s="107" t="e">
        <f>IF(#REF!=0,"",#REF!)</f>
        <v>#REF!</v>
      </c>
      <c r="Q167" s="111" t="e">
        <f>IF(#REF!=0,"",#REF!)</f>
        <v>#REF!</v>
      </c>
      <c r="R167" s="85" t="e">
        <f>IF(#REF!=0,"",#REF!)</f>
        <v>#REF!</v>
      </c>
      <c r="S167" s="85" t="e">
        <f>IF(#REF!=0,"",#REF!)</f>
        <v>#REF!</v>
      </c>
      <c r="T167" s="268"/>
      <c r="U167" s="268"/>
      <c r="V167" s="268"/>
    </row>
    <row r="168" ht="15" customHeight="1" spans="2:22">
      <c r="B168" s="6" t="e">
        <f t="shared" si="3"/>
        <v>#REF!</v>
      </c>
      <c r="C168" s="79" t="e">
        <f>#REF!</f>
        <v>#REF!</v>
      </c>
      <c r="D168" s="62" t="e">
        <f>IF(#REF!=0,"",#REF!)</f>
        <v>#REF!</v>
      </c>
      <c r="E168" s="81" t="e">
        <f>IF(#REF!=0,"",#REF!)</f>
        <v>#REF!</v>
      </c>
      <c r="F168" s="81" t="e">
        <f>IF(#REF!=0,"",#REF!)</f>
        <v>#REF!</v>
      </c>
      <c r="G168" s="100" t="e">
        <f>#REF!</f>
        <v>#REF!</v>
      </c>
      <c r="H168" s="159">
        <f>'27'!R168</f>
        <v>0</v>
      </c>
      <c r="I168" s="159">
        <f>'27'!S168</f>
        <v>0</v>
      </c>
      <c r="J168" s="159"/>
      <c r="K168" s="101">
        <f>'27'!T168</f>
        <v>0</v>
      </c>
      <c r="L168" s="81" t="e">
        <f>#REF!</f>
        <v>#REF!</v>
      </c>
      <c r="M168" s="100" t="e">
        <f>#REF!</f>
        <v>#REF!</v>
      </c>
      <c r="N168" s="159"/>
      <c r="O168" s="101" t="e">
        <f>#REF!</f>
        <v>#REF!</v>
      </c>
      <c r="P168" s="102" t="e">
        <f>IF(#REF!=0,"",#REF!)</f>
        <v>#REF!</v>
      </c>
      <c r="Q168" s="108" t="e">
        <f>IF(#REF!=0,"",#REF!)</f>
        <v>#REF!</v>
      </c>
      <c r="R168" s="81" t="e">
        <f>IF(#REF!=0,"",#REF!)</f>
        <v>#REF!</v>
      </c>
      <c r="S168" s="81" t="e">
        <f>IF(#REF!=0,"",#REF!)</f>
        <v>#REF!</v>
      </c>
      <c r="T168" s="268"/>
      <c r="U168" s="268"/>
      <c r="V168" s="268"/>
    </row>
    <row r="169" ht="15" customHeight="1" spans="2:22">
      <c r="B169" s="6" t="e">
        <f t="shared" si="3"/>
        <v>#REF!</v>
      </c>
      <c r="C169" s="31" t="e">
        <f>#REF!</f>
        <v>#REF!</v>
      </c>
      <c r="D169" s="32" t="e">
        <f>IF(#REF!=0,"",#REF!)</f>
        <v>#REF!</v>
      </c>
      <c r="E169" s="36" t="e">
        <f>IF(#REF!=0,"",#REF!)</f>
        <v>#REF!</v>
      </c>
      <c r="F169" s="36" t="e">
        <f>IF(#REF!=0,"",#REF!)</f>
        <v>#REF!</v>
      </c>
      <c r="G169" s="103">
        <f>'27'!Q169</f>
        <v>0</v>
      </c>
      <c r="H169" s="160">
        <f>'27'!R169</f>
        <v>0</v>
      </c>
      <c r="I169" s="160">
        <f>'27'!S169</f>
        <v>0</v>
      </c>
      <c r="J169" s="160"/>
      <c r="K169" s="104">
        <f>'27'!T169</f>
        <v>0</v>
      </c>
      <c r="L169" s="36" t="e">
        <f>#REF!</f>
        <v>#REF!</v>
      </c>
      <c r="M169" s="103" t="e">
        <f>#REF!</f>
        <v>#REF!</v>
      </c>
      <c r="N169" s="160"/>
      <c r="O169" s="104" t="e">
        <f>#REF!</f>
        <v>#REF!</v>
      </c>
      <c r="P169" s="52" t="e">
        <f>IF(#REF!=0,"",#REF!)</f>
        <v>#REF!</v>
      </c>
      <c r="Q169" s="109" t="e">
        <f>IF(#REF!=0,"",#REF!)</f>
        <v>#REF!</v>
      </c>
      <c r="R169" s="36" t="e">
        <f>IF(#REF!=0,"",#REF!)</f>
        <v>#REF!</v>
      </c>
      <c r="S169" s="36" t="e">
        <f>IF(#REF!=0,"",#REF!)</f>
        <v>#REF!</v>
      </c>
      <c r="T169" s="268"/>
      <c r="U169" s="268"/>
      <c r="V169" s="268"/>
    </row>
    <row r="170" ht="15" customHeight="1" spans="2:22">
      <c r="B170" s="6" t="e">
        <f t="shared" si="3"/>
        <v>#REF!</v>
      </c>
      <c r="C170" s="83" t="e">
        <f>#REF!</f>
        <v>#REF!</v>
      </c>
      <c r="D170" s="110" t="e">
        <f>IF(#REF!=0,"",#REF!)</f>
        <v>#REF!</v>
      </c>
      <c r="E170" s="85" t="e">
        <f>IF(#REF!=0,"",#REF!)</f>
        <v>#REF!</v>
      </c>
      <c r="F170" s="85" t="e">
        <f>IF(#REF!=0,"",#REF!)</f>
        <v>#REF!</v>
      </c>
      <c r="G170" s="105">
        <f>'27'!Q170</f>
        <v>0</v>
      </c>
      <c r="H170" s="161">
        <f>'27'!R170</f>
        <v>0</v>
      </c>
      <c r="I170" s="161">
        <f>'27'!S170</f>
        <v>0</v>
      </c>
      <c r="J170" s="161"/>
      <c r="K170" s="106">
        <f>'27'!T170</f>
        <v>0</v>
      </c>
      <c r="L170" s="85" t="e">
        <f>#REF!</f>
        <v>#REF!</v>
      </c>
      <c r="M170" s="105" t="e">
        <f>#REF!</f>
        <v>#REF!</v>
      </c>
      <c r="N170" s="161"/>
      <c r="O170" s="106" t="e">
        <f>#REF!</f>
        <v>#REF!</v>
      </c>
      <c r="P170" s="107" t="e">
        <f>IF(#REF!=0,"",#REF!)</f>
        <v>#REF!</v>
      </c>
      <c r="Q170" s="111" t="e">
        <f>IF(#REF!=0,"",#REF!)</f>
        <v>#REF!</v>
      </c>
      <c r="R170" s="85" t="e">
        <f>IF(#REF!=0,"",#REF!)</f>
        <v>#REF!</v>
      </c>
      <c r="S170" s="85" t="e">
        <f>IF(#REF!=0,"",#REF!)</f>
        <v>#REF!</v>
      </c>
      <c r="T170" s="268"/>
      <c r="U170" s="268"/>
      <c r="V170" s="268"/>
    </row>
    <row r="171" ht="15" customHeight="1" spans="2:22">
      <c r="B171" s="6" t="e">
        <f t="shared" si="3"/>
        <v>#REF!</v>
      </c>
      <c r="C171" s="79" t="e">
        <f>#REF!</f>
        <v>#REF!</v>
      </c>
      <c r="D171" s="62" t="e">
        <f>IF(#REF!=0,"",#REF!)</f>
        <v>#REF!</v>
      </c>
      <c r="E171" s="81" t="e">
        <f>IF(#REF!=0,"",#REF!)</f>
        <v>#REF!</v>
      </c>
      <c r="F171" s="81" t="e">
        <f>IF(#REF!=0,"",#REF!)</f>
        <v>#REF!</v>
      </c>
      <c r="G171" s="100" t="e">
        <f>#REF!</f>
        <v>#REF!</v>
      </c>
      <c r="H171" s="159">
        <f>'27'!R171</f>
        <v>0</v>
      </c>
      <c r="I171" s="159">
        <f>'27'!S171</f>
        <v>0</v>
      </c>
      <c r="J171" s="159"/>
      <c r="K171" s="101">
        <f>'27'!T171</f>
        <v>0</v>
      </c>
      <c r="L171" s="81" t="e">
        <f>#REF!</f>
        <v>#REF!</v>
      </c>
      <c r="M171" s="100" t="e">
        <f>#REF!</f>
        <v>#REF!</v>
      </c>
      <c r="N171" s="159"/>
      <c r="O171" s="101" t="e">
        <f>#REF!</f>
        <v>#REF!</v>
      </c>
      <c r="P171" s="102" t="e">
        <f>IF(#REF!=0,"",#REF!)</f>
        <v>#REF!</v>
      </c>
      <c r="Q171" s="108" t="e">
        <f>IF(#REF!=0,"",#REF!)</f>
        <v>#REF!</v>
      </c>
      <c r="R171" s="81" t="e">
        <f>IF(#REF!=0,"",#REF!)</f>
        <v>#REF!</v>
      </c>
      <c r="S171" s="81" t="e">
        <f>IF(#REF!=0,"",#REF!)</f>
        <v>#REF!</v>
      </c>
      <c r="T171" s="268"/>
      <c r="U171" s="268"/>
      <c r="V171" s="268"/>
    </row>
    <row r="172" ht="15" customHeight="1" spans="2:22">
      <c r="B172" s="6" t="e">
        <f t="shared" si="3"/>
        <v>#REF!</v>
      </c>
      <c r="C172" s="31" t="e">
        <f>#REF!</f>
        <v>#REF!</v>
      </c>
      <c r="D172" s="32" t="e">
        <f>IF(#REF!=0,"",#REF!)</f>
        <v>#REF!</v>
      </c>
      <c r="E172" s="36" t="e">
        <f>IF(#REF!=0,"",#REF!)</f>
        <v>#REF!</v>
      </c>
      <c r="F172" s="36" t="e">
        <f>IF(#REF!=0,"",#REF!)</f>
        <v>#REF!</v>
      </c>
      <c r="G172" s="103">
        <f>'27'!Q172</f>
        <v>0</v>
      </c>
      <c r="H172" s="160">
        <f>'27'!R172</f>
        <v>0</v>
      </c>
      <c r="I172" s="160">
        <f>'27'!S172</f>
        <v>0</v>
      </c>
      <c r="J172" s="160"/>
      <c r="K172" s="104">
        <f>'27'!T172</f>
        <v>0</v>
      </c>
      <c r="L172" s="36" t="e">
        <f>#REF!</f>
        <v>#REF!</v>
      </c>
      <c r="M172" s="103" t="e">
        <f>#REF!</f>
        <v>#REF!</v>
      </c>
      <c r="N172" s="160"/>
      <c r="O172" s="104" t="e">
        <f>#REF!</f>
        <v>#REF!</v>
      </c>
      <c r="P172" s="52" t="e">
        <f>IF(#REF!=0,"",#REF!)</f>
        <v>#REF!</v>
      </c>
      <c r="Q172" s="109" t="e">
        <f>IF(#REF!=0,"",#REF!)</f>
        <v>#REF!</v>
      </c>
      <c r="R172" s="36" t="e">
        <f>IF(#REF!=0,"",#REF!)</f>
        <v>#REF!</v>
      </c>
      <c r="S172" s="36" t="e">
        <f>IF(#REF!=0,"",#REF!)</f>
        <v>#REF!</v>
      </c>
      <c r="T172" s="268"/>
      <c r="U172" s="268"/>
      <c r="V172" s="268"/>
    </row>
    <row r="173" ht="15" customHeight="1" spans="2:22">
      <c r="B173" s="6" t="e">
        <f t="shared" si="3"/>
        <v>#REF!</v>
      </c>
      <c r="C173" s="83" t="e">
        <f>#REF!</f>
        <v>#REF!</v>
      </c>
      <c r="D173" s="110" t="e">
        <f>IF(#REF!=0,"",#REF!)</f>
        <v>#REF!</v>
      </c>
      <c r="E173" s="85" t="e">
        <f>IF(#REF!=0,"",#REF!)</f>
        <v>#REF!</v>
      </c>
      <c r="F173" s="85" t="e">
        <f>IF(#REF!=0,"",#REF!)</f>
        <v>#REF!</v>
      </c>
      <c r="G173" s="105">
        <f>'27'!Q173</f>
        <v>0</v>
      </c>
      <c r="H173" s="161">
        <f>'27'!R173</f>
        <v>0</v>
      </c>
      <c r="I173" s="161">
        <f>'27'!S173</f>
        <v>0</v>
      </c>
      <c r="J173" s="161"/>
      <c r="K173" s="106">
        <f>'27'!T173</f>
        <v>0</v>
      </c>
      <c r="L173" s="85" t="e">
        <f>#REF!</f>
        <v>#REF!</v>
      </c>
      <c r="M173" s="105" t="e">
        <f>#REF!</f>
        <v>#REF!</v>
      </c>
      <c r="N173" s="161"/>
      <c r="O173" s="106" t="e">
        <f>#REF!</f>
        <v>#REF!</v>
      </c>
      <c r="P173" s="107" t="e">
        <f>IF(#REF!=0,"",#REF!)</f>
        <v>#REF!</v>
      </c>
      <c r="Q173" s="111" t="e">
        <f>IF(#REF!=0,"",#REF!)</f>
        <v>#REF!</v>
      </c>
      <c r="R173" s="85" t="e">
        <f>IF(#REF!=0,"",#REF!)</f>
        <v>#REF!</v>
      </c>
      <c r="S173" s="85" t="e">
        <f>IF(#REF!=0,"",#REF!)</f>
        <v>#REF!</v>
      </c>
      <c r="T173" s="268"/>
      <c r="U173" s="268"/>
      <c r="V173" s="268"/>
    </row>
    <row r="174" ht="15" customHeight="1" spans="2:22">
      <c r="B174" s="6" t="e">
        <f t="shared" si="3"/>
        <v>#REF!</v>
      </c>
      <c r="C174" s="79" t="e">
        <f>#REF!</f>
        <v>#REF!</v>
      </c>
      <c r="D174" s="62" t="e">
        <f>IF(#REF!=0,"",#REF!)</f>
        <v>#REF!</v>
      </c>
      <c r="E174" s="81" t="e">
        <f>IF(#REF!=0,"",#REF!)</f>
        <v>#REF!</v>
      </c>
      <c r="F174" s="81" t="e">
        <f>IF(#REF!=0,"",#REF!)</f>
        <v>#REF!</v>
      </c>
      <c r="G174" s="100" t="e">
        <f>#REF!</f>
        <v>#REF!</v>
      </c>
      <c r="H174" s="159">
        <f>'27'!R174</f>
        <v>0</v>
      </c>
      <c r="I174" s="159">
        <f>'27'!S174</f>
        <v>0</v>
      </c>
      <c r="J174" s="159"/>
      <c r="K174" s="101">
        <f>'27'!T174</f>
        <v>0</v>
      </c>
      <c r="L174" s="81" t="e">
        <f>#REF!</f>
        <v>#REF!</v>
      </c>
      <c r="M174" s="100" t="e">
        <f>#REF!</f>
        <v>#REF!</v>
      </c>
      <c r="N174" s="159"/>
      <c r="O174" s="101" t="e">
        <f>#REF!</f>
        <v>#REF!</v>
      </c>
      <c r="P174" s="102" t="e">
        <f>IF(#REF!=0,"",#REF!)</f>
        <v>#REF!</v>
      </c>
      <c r="Q174" s="108" t="e">
        <f>IF(#REF!=0,"",#REF!)</f>
        <v>#REF!</v>
      </c>
      <c r="R174" s="81" t="e">
        <f>IF(#REF!=0,"",#REF!)</f>
        <v>#REF!</v>
      </c>
      <c r="S174" s="81" t="e">
        <f>IF(#REF!=0,"",#REF!)</f>
        <v>#REF!</v>
      </c>
      <c r="T174" s="268"/>
      <c r="U174" s="268"/>
      <c r="V174" s="268"/>
    </row>
    <row r="175" ht="15" customHeight="1" spans="2:22">
      <c r="B175" s="6" t="e">
        <f t="shared" si="3"/>
        <v>#REF!</v>
      </c>
      <c r="C175" s="31" t="e">
        <f>#REF!</f>
        <v>#REF!</v>
      </c>
      <c r="D175" s="32" t="e">
        <f>IF(#REF!=0,"",#REF!)</f>
        <v>#REF!</v>
      </c>
      <c r="E175" s="36" t="e">
        <f>IF(#REF!=0,"",#REF!)</f>
        <v>#REF!</v>
      </c>
      <c r="F175" s="36" t="e">
        <f>IF(#REF!=0,"",#REF!)</f>
        <v>#REF!</v>
      </c>
      <c r="G175" s="103">
        <f>'27'!Q175</f>
        <v>0</v>
      </c>
      <c r="H175" s="160">
        <f>'27'!R175</f>
        <v>0</v>
      </c>
      <c r="I175" s="160">
        <f>'27'!S175</f>
        <v>0</v>
      </c>
      <c r="J175" s="160"/>
      <c r="K175" s="104">
        <f>'27'!T175</f>
        <v>0</v>
      </c>
      <c r="L175" s="36" t="e">
        <f>#REF!</f>
        <v>#REF!</v>
      </c>
      <c r="M175" s="103" t="e">
        <f>#REF!</f>
        <v>#REF!</v>
      </c>
      <c r="N175" s="160"/>
      <c r="O175" s="104" t="e">
        <f>#REF!</f>
        <v>#REF!</v>
      </c>
      <c r="P175" s="52" t="e">
        <f>IF(#REF!=0,"",#REF!)</f>
        <v>#REF!</v>
      </c>
      <c r="Q175" s="109" t="e">
        <f>IF(#REF!=0,"",#REF!)</f>
        <v>#REF!</v>
      </c>
      <c r="R175" s="36" t="e">
        <f>IF(#REF!=0,"",#REF!)</f>
        <v>#REF!</v>
      </c>
      <c r="S175" s="36" t="e">
        <f>IF(#REF!=0,"",#REF!)</f>
        <v>#REF!</v>
      </c>
      <c r="T175" s="268"/>
      <c r="U175" s="268"/>
      <c r="V175" s="268"/>
    </row>
    <row r="176" ht="15" customHeight="1" spans="2:22">
      <c r="B176" s="6" t="e">
        <f t="shared" si="3"/>
        <v>#REF!</v>
      </c>
      <c r="C176" s="83" t="e">
        <f>#REF!</f>
        <v>#REF!</v>
      </c>
      <c r="D176" s="110" t="e">
        <f>IF(#REF!=0,"",#REF!)</f>
        <v>#REF!</v>
      </c>
      <c r="E176" s="85" t="e">
        <f>IF(#REF!=0,"",#REF!)</f>
        <v>#REF!</v>
      </c>
      <c r="F176" s="85" t="e">
        <f>IF(#REF!=0,"",#REF!)</f>
        <v>#REF!</v>
      </c>
      <c r="G176" s="105">
        <f>'27'!Q176</f>
        <v>0</v>
      </c>
      <c r="H176" s="161">
        <f>'27'!R176</f>
        <v>0</v>
      </c>
      <c r="I176" s="161">
        <f>'27'!S176</f>
        <v>0</v>
      </c>
      <c r="J176" s="161"/>
      <c r="K176" s="106">
        <f>'27'!T176</f>
        <v>0</v>
      </c>
      <c r="L176" s="85" t="e">
        <f>#REF!</f>
        <v>#REF!</v>
      </c>
      <c r="M176" s="105" t="e">
        <f>#REF!</f>
        <v>#REF!</v>
      </c>
      <c r="N176" s="161"/>
      <c r="O176" s="106" t="e">
        <f>#REF!</f>
        <v>#REF!</v>
      </c>
      <c r="P176" s="107" t="e">
        <f>IF(#REF!=0,"",#REF!)</f>
        <v>#REF!</v>
      </c>
      <c r="Q176" s="111" t="e">
        <f>IF(#REF!=0,"",#REF!)</f>
        <v>#REF!</v>
      </c>
      <c r="R176" s="85" t="e">
        <f>IF(#REF!=0,"",#REF!)</f>
        <v>#REF!</v>
      </c>
      <c r="S176" s="85" t="e">
        <f>IF(#REF!=0,"",#REF!)</f>
        <v>#REF!</v>
      </c>
      <c r="T176" s="268"/>
      <c r="U176" s="268"/>
      <c r="V176" s="268"/>
    </row>
    <row r="177" ht="15" customHeight="1" spans="2:22">
      <c r="B177" s="6" t="e">
        <f t="shared" si="3"/>
        <v>#REF!</v>
      </c>
      <c r="C177" s="79" t="e">
        <f>#REF!</f>
        <v>#REF!</v>
      </c>
      <c r="D177" s="62" t="e">
        <f>IF(#REF!=0,"",#REF!)</f>
        <v>#REF!</v>
      </c>
      <c r="E177" s="81" t="e">
        <f>IF(#REF!=0,"",#REF!)</f>
        <v>#REF!</v>
      </c>
      <c r="F177" s="81" t="e">
        <f>IF(#REF!=0,"",#REF!)</f>
        <v>#REF!</v>
      </c>
      <c r="G177" s="100" t="e">
        <f>#REF!</f>
        <v>#REF!</v>
      </c>
      <c r="H177" s="159">
        <f>'27'!R177</f>
        <v>0</v>
      </c>
      <c r="I177" s="159">
        <f>'27'!S177</f>
        <v>0</v>
      </c>
      <c r="J177" s="159"/>
      <c r="K177" s="101">
        <f>'27'!T177</f>
        <v>0</v>
      </c>
      <c r="L177" s="81" t="e">
        <f>#REF!</f>
        <v>#REF!</v>
      </c>
      <c r="M177" s="100" t="e">
        <f>#REF!</f>
        <v>#REF!</v>
      </c>
      <c r="N177" s="159"/>
      <c r="O177" s="101" t="e">
        <f>#REF!</f>
        <v>#REF!</v>
      </c>
      <c r="P177" s="102" t="e">
        <f>IF(#REF!=0,"",#REF!)</f>
        <v>#REF!</v>
      </c>
      <c r="Q177" s="108" t="e">
        <f>IF(#REF!=0,"",#REF!)</f>
        <v>#REF!</v>
      </c>
      <c r="R177" s="81" t="e">
        <f>IF(#REF!=0,"",#REF!)</f>
        <v>#REF!</v>
      </c>
      <c r="S177" s="81" t="e">
        <f>IF(#REF!=0,"",#REF!)</f>
        <v>#REF!</v>
      </c>
      <c r="T177" s="268"/>
      <c r="U177" s="268"/>
      <c r="V177" s="268"/>
    </row>
    <row r="178" ht="15" customHeight="1" spans="2:22">
      <c r="B178" s="6" t="e">
        <f t="shared" si="3"/>
        <v>#REF!</v>
      </c>
      <c r="C178" s="31" t="e">
        <f>#REF!</f>
        <v>#REF!</v>
      </c>
      <c r="D178" s="32" t="e">
        <f>IF(#REF!=0,"",#REF!)</f>
        <v>#REF!</v>
      </c>
      <c r="E178" s="36" t="e">
        <f>IF(#REF!=0,"",#REF!)</f>
        <v>#REF!</v>
      </c>
      <c r="F178" s="36" t="e">
        <f>IF(#REF!=0,"",#REF!)</f>
        <v>#REF!</v>
      </c>
      <c r="G178" s="103">
        <f>'27'!Q178</f>
        <v>0</v>
      </c>
      <c r="H178" s="160">
        <f>'27'!R178</f>
        <v>0</v>
      </c>
      <c r="I178" s="160">
        <f>'27'!S178</f>
        <v>0</v>
      </c>
      <c r="J178" s="160"/>
      <c r="K178" s="104">
        <f>'27'!T178</f>
        <v>0</v>
      </c>
      <c r="L178" s="36" t="e">
        <f>#REF!</f>
        <v>#REF!</v>
      </c>
      <c r="M178" s="103" t="e">
        <f>#REF!</f>
        <v>#REF!</v>
      </c>
      <c r="N178" s="160"/>
      <c r="O178" s="104" t="e">
        <f>#REF!</f>
        <v>#REF!</v>
      </c>
      <c r="P178" s="52" t="e">
        <f>IF(#REF!=0,"",#REF!)</f>
        <v>#REF!</v>
      </c>
      <c r="Q178" s="109" t="e">
        <f>IF(#REF!=0,"",#REF!)</f>
        <v>#REF!</v>
      </c>
      <c r="R178" s="36" t="e">
        <f>IF(#REF!=0,"",#REF!)</f>
        <v>#REF!</v>
      </c>
      <c r="S178" s="36" t="e">
        <f>IF(#REF!=0,"",#REF!)</f>
        <v>#REF!</v>
      </c>
      <c r="T178" s="268"/>
      <c r="U178" s="268"/>
      <c r="V178" s="268"/>
    </row>
    <row r="179" ht="15" customHeight="1" spans="2:22">
      <c r="B179" s="6" t="e">
        <f t="shared" si="3"/>
        <v>#REF!</v>
      </c>
      <c r="C179" s="83" t="e">
        <f>#REF!</f>
        <v>#REF!</v>
      </c>
      <c r="D179" s="110" t="e">
        <f>IF(#REF!=0,"",#REF!)</f>
        <v>#REF!</v>
      </c>
      <c r="E179" s="85" t="e">
        <f>IF(#REF!=0,"",#REF!)</f>
        <v>#REF!</v>
      </c>
      <c r="F179" s="85" t="e">
        <f>IF(#REF!=0,"",#REF!)</f>
        <v>#REF!</v>
      </c>
      <c r="G179" s="105">
        <f>'27'!Q179</f>
        <v>0</v>
      </c>
      <c r="H179" s="161">
        <f>'27'!R179</f>
        <v>0</v>
      </c>
      <c r="I179" s="161">
        <f>'27'!S179</f>
        <v>0</v>
      </c>
      <c r="J179" s="161"/>
      <c r="K179" s="106">
        <f>'27'!T179</f>
        <v>0</v>
      </c>
      <c r="L179" s="85" t="e">
        <f>#REF!</f>
        <v>#REF!</v>
      </c>
      <c r="M179" s="105" t="e">
        <f>#REF!</f>
        <v>#REF!</v>
      </c>
      <c r="N179" s="161"/>
      <c r="O179" s="106" t="e">
        <f>#REF!</f>
        <v>#REF!</v>
      </c>
      <c r="P179" s="107" t="e">
        <f>IF(#REF!=0,"",#REF!)</f>
        <v>#REF!</v>
      </c>
      <c r="Q179" s="111" t="e">
        <f>IF(#REF!=0,"",#REF!)</f>
        <v>#REF!</v>
      </c>
      <c r="R179" s="85" t="e">
        <f>IF(#REF!=0,"",#REF!)</f>
        <v>#REF!</v>
      </c>
      <c r="S179" s="85" t="e">
        <f>IF(#REF!=0,"",#REF!)</f>
        <v>#REF!</v>
      </c>
      <c r="T179" s="268"/>
      <c r="U179" s="268"/>
      <c r="V179" s="268"/>
    </row>
    <row r="180" ht="15" customHeight="1" spans="2:22">
      <c r="B180" s="6" t="e">
        <f t="shared" si="3"/>
        <v>#REF!</v>
      </c>
      <c r="C180" s="79" t="e">
        <f>#REF!</f>
        <v>#REF!</v>
      </c>
      <c r="D180" s="62" t="e">
        <f>IF(#REF!=0,"",#REF!)</f>
        <v>#REF!</v>
      </c>
      <c r="E180" s="81" t="e">
        <f>IF(#REF!=0,"",#REF!)</f>
        <v>#REF!</v>
      </c>
      <c r="F180" s="81" t="e">
        <f>IF(#REF!=0,"",#REF!)</f>
        <v>#REF!</v>
      </c>
      <c r="G180" s="100" t="e">
        <f>#REF!</f>
        <v>#REF!</v>
      </c>
      <c r="H180" s="159">
        <f>'27'!R180</f>
        <v>0</v>
      </c>
      <c r="I180" s="159">
        <f>'27'!S180</f>
        <v>0</v>
      </c>
      <c r="J180" s="159"/>
      <c r="K180" s="101">
        <f>'27'!T180</f>
        <v>0</v>
      </c>
      <c r="L180" s="81" t="e">
        <f>#REF!</f>
        <v>#REF!</v>
      </c>
      <c r="M180" s="100" t="e">
        <f>#REF!</f>
        <v>#REF!</v>
      </c>
      <c r="N180" s="159"/>
      <c r="O180" s="101" t="e">
        <f>#REF!</f>
        <v>#REF!</v>
      </c>
      <c r="P180" s="102" t="e">
        <f>IF(#REF!=0,"",#REF!)</f>
        <v>#REF!</v>
      </c>
      <c r="Q180" s="108" t="e">
        <f>IF(#REF!=0,"",#REF!)</f>
        <v>#REF!</v>
      </c>
      <c r="R180" s="81" t="e">
        <f>IF(#REF!=0,"",#REF!)</f>
        <v>#REF!</v>
      </c>
      <c r="S180" s="81" t="e">
        <f>IF(#REF!=0,"",#REF!)</f>
        <v>#REF!</v>
      </c>
      <c r="T180" s="268"/>
      <c r="U180" s="268"/>
      <c r="V180" s="268"/>
    </row>
    <row r="181" ht="15" customHeight="1" spans="2:22">
      <c r="B181" s="6" t="e">
        <f t="shared" si="3"/>
        <v>#REF!</v>
      </c>
      <c r="C181" s="31" t="e">
        <f>#REF!</f>
        <v>#REF!</v>
      </c>
      <c r="D181" s="32" t="e">
        <f>IF(#REF!=0,"",#REF!)</f>
        <v>#REF!</v>
      </c>
      <c r="E181" s="36" t="e">
        <f>IF(#REF!=0,"",#REF!)</f>
        <v>#REF!</v>
      </c>
      <c r="F181" s="36" t="e">
        <f>IF(#REF!=0,"",#REF!)</f>
        <v>#REF!</v>
      </c>
      <c r="G181" s="103">
        <f>'27'!Q181</f>
        <v>0</v>
      </c>
      <c r="H181" s="160">
        <f>'27'!R181</f>
        <v>0</v>
      </c>
      <c r="I181" s="160">
        <f>'27'!S181</f>
        <v>0</v>
      </c>
      <c r="J181" s="160"/>
      <c r="K181" s="104">
        <f>'27'!T181</f>
        <v>0</v>
      </c>
      <c r="L181" s="36" t="e">
        <f>#REF!</f>
        <v>#REF!</v>
      </c>
      <c r="M181" s="103" t="e">
        <f>#REF!</f>
        <v>#REF!</v>
      </c>
      <c r="N181" s="160"/>
      <c r="O181" s="104" t="e">
        <f>#REF!</f>
        <v>#REF!</v>
      </c>
      <c r="P181" s="52" t="e">
        <f>IF(#REF!=0,"",#REF!)</f>
        <v>#REF!</v>
      </c>
      <c r="Q181" s="109" t="e">
        <f>IF(#REF!=0,"",#REF!)</f>
        <v>#REF!</v>
      </c>
      <c r="R181" s="36" t="e">
        <f>IF(#REF!=0,"",#REF!)</f>
        <v>#REF!</v>
      </c>
      <c r="S181" s="36" t="e">
        <f>IF(#REF!=0,"",#REF!)</f>
        <v>#REF!</v>
      </c>
      <c r="T181" s="268"/>
      <c r="U181" s="268"/>
      <c r="V181" s="268"/>
    </row>
    <row r="182" ht="15" customHeight="1" spans="2:22">
      <c r="B182" s="6" t="e">
        <f t="shared" si="3"/>
        <v>#REF!</v>
      </c>
      <c r="C182" s="83" t="e">
        <f>#REF!</f>
        <v>#REF!</v>
      </c>
      <c r="D182" s="110" t="e">
        <f>IF(#REF!=0,"",#REF!)</f>
        <v>#REF!</v>
      </c>
      <c r="E182" s="85" t="e">
        <f>IF(#REF!=0,"",#REF!)</f>
        <v>#REF!</v>
      </c>
      <c r="F182" s="85" t="e">
        <f>IF(#REF!=0,"",#REF!)</f>
        <v>#REF!</v>
      </c>
      <c r="G182" s="105">
        <f>'27'!Q182</f>
        <v>0</v>
      </c>
      <c r="H182" s="161">
        <f>'27'!R182</f>
        <v>0</v>
      </c>
      <c r="I182" s="161">
        <f>'27'!S182</f>
        <v>0</v>
      </c>
      <c r="J182" s="161"/>
      <c r="K182" s="106">
        <f>'27'!T182</f>
        <v>0</v>
      </c>
      <c r="L182" s="85" t="e">
        <f>#REF!</f>
        <v>#REF!</v>
      </c>
      <c r="M182" s="105" t="e">
        <f>#REF!</f>
        <v>#REF!</v>
      </c>
      <c r="N182" s="161"/>
      <c r="O182" s="106" t="e">
        <f>#REF!</f>
        <v>#REF!</v>
      </c>
      <c r="P182" s="107" t="e">
        <f>IF(#REF!=0,"",#REF!)</f>
        <v>#REF!</v>
      </c>
      <c r="Q182" s="111" t="e">
        <f>IF(#REF!=0,"",#REF!)</f>
        <v>#REF!</v>
      </c>
      <c r="R182" s="85" t="e">
        <f>IF(#REF!=0,"",#REF!)</f>
        <v>#REF!</v>
      </c>
      <c r="S182" s="85" t="e">
        <f>IF(#REF!=0,"",#REF!)</f>
        <v>#REF!</v>
      </c>
      <c r="T182" s="268"/>
      <c r="U182" s="268"/>
      <c r="V182" s="268"/>
    </row>
    <row r="183" ht="15" customHeight="1" spans="2:22">
      <c r="B183" s="6" t="e">
        <f t="shared" si="3"/>
        <v>#REF!</v>
      </c>
      <c r="C183" s="79" t="e">
        <f>#REF!</f>
        <v>#REF!</v>
      </c>
      <c r="D183" s="62" t="e">
        <f>IF(#REF!=0,"",#REF!)</f>
        <v>#REF!</v>
      </c>
      <c r="E183" s="81" t="e">
        <f>IF(#REF!=0,"",#REF!)</f>
        <v>#REF!</v>
      </c>
      <c r="F183" s="81" t="e">
        <f>IF(#REF!=0,"",#REF!)</f>
        <v>#REF!</v>
      </c>
      <c r="G183" s="100" t="e">
        <f>#REF!</f>
        <v>#REF!</v>
      </c>
      <c r="H183" s="159">
        <f>'27'!R183</f>
        <v>0</v>
      </c>
      <c r="I183" s="159">
        <f>'27'!S183</f>
        <v>0</v>
      </c>
      <c r="J183" s="159"/>
      <c r="K183" s="101">
        <f>'27'!T183</f>
        <v>0</v>
      </c>
      <c r="L183" s="81" t="e">
        <f>#REF!</f>
        <v>#REF!</v>
      </c>
      <c r="M183" s="100" t="e">
        <f>#REF!</f>
        <v>#REF!</v>
      </c>
      <c r="N183" s="159"/>
      <c r="O183" s="101" t="e">
        <f>#REF!</f>
        <v>#REF!</v>
      </c>
      <c r="P183" s="102" t="e">
        <f>IF(#REF!=0,"",#REF!)</f>
        <v>#REF!</v>
      </c>
      <c r="Q183" s="108" t="e">
        <f>IF(#REF!=0,"",#REF!)</f>
        <v>#REF!</v>
      </c>
      <c r="R183" s="81" t="e">
        <f>IF(#REF!=0,"",#REF!)</f>
        <v>#REF!</v>
      </c>
      <c r="S183" s="81" t="e">
        <f>IF(#REF!=0,"",#REF!)</f>
        <v>#REF!</v>
      </c>
      <c r="T183" s="268"/>
      <c r="U183" s="268"/>
      <c r="V183" s="268"/>
    </row>
    <row r="184" ht="15" customHeight="1" spans="2:22">
      <c r="B184" s="6" t="e">
        <f t="shared" si="3"/>
        <v>#REF!</v>
      </c>
      <c r="C184" s="31" t="e">
        <f>#REF!</f>
        <v>#REF!</v>
      </c>
      <c r="D184" s="32" t="e">
        <f>IF(#REF!=0,"",#REF!)</f>
        <v>#REF!</v>
      </c>
      <c r="E184" s="36" t="e">
        <f>IF(#REF!=0,"",#REF!)</f>
        <v>#REF!</v>
      </c>
      <c r="F184" s="36" t="e">
        <f>IF(#REF!=0,"",#REF!)</f>
        <v>#REF!</v>
      </c>
      <c r="G184" s="103">
        <f>'27'!Q184</f>
        <v>0</v>
      </c>
      <c r="H184" s="160">
        <f>'27'!R184</f>
        <v>0</v>
      </c>
      <c r="I184" s="160">
        <f>'27'!S184</f>
        <v>0</v>
      </c>
      <c r="J184" s="160"/>
      <c r="K184" s="104">
        <f>'27'!T184</f>
        <v>0</v>
      </c>
      <c r="L184" s="36" t="e">
        <f>#REF!</f>
        <v>#REF!</v>
      </c>
      <c r="M184" s="103" t="e">
        <f>#REF!</f>
        <v>#REF!</v>
      </c>
      <c r="N184" s="160"/>
      <c r="O184" s="104" t="e">
        <f>#REF!</f>
        <v>#REF!</v>
      </c>
      <c r="P184" s="52" t="e">
        <f>IF(#REF!=0,"",#REF!)</f>
        <v>#REF!</v>
      </c>
      <c r="Q184" s="109" t="e">
        <f>IF(#REF!=0,"",#REF!)</f>
        <v>#REF!</v>
      </c>
      <c r="R184" s="36" t="e">
        <f>IF(#REF!=0,"",#REF!)</f>
        <v>#REF!</v>
      </c>
      <c r="S184" s="36" t="e">
        <f>IF(#REF!=0,"",#REF!)</f>
        <v>#REF!</v>
      </c>
      <c r="T184" s="268"/>
      <c r="U184" s="268"/>
      <c r="V184" s="268"/>
    </row>
    <row r="185" ht="15" customHeight="1" spans="2:22">
      <c r="B185" s="6" t="e">
        <f t="shared" si="3"/>
        <v>#REF!</v>
      </c>
      <c r="C185" s="83" t="e">
        <f>#REF!</f>
        <v>#REF!</v>
      </c>
      <c r="D185" s="110" t="e">
        <f>IF(#REF!=0,"",#REF!)</f>
        <v>#REF!</v>
      </c>
      <c r="E185" s="85" t="e">
        <f>IF(#REF!=0,"",#REF!)</f>
        <v>#REF!</v>
      </c>
      <c r="F185" s="85" t="e">
        <f>IF(#REF!=0,"",#REF!)</f>
        <v>#REF!</v>
      </c>
      <c r="G185" s="105">
        <f>'27'!Q185</f>
        <v>0</v>
      </c>
      <c r="H185" s="161">
        <f>'27'!R185</f>
        <v>0</v>
      </c>
      <c r="I185" s="161">
        <f>'27'!S185</f>
        <v>0</v>
      </c>
      <c r="J185" s="161"/>
      <c r="K185" s="106">
        <f>'27'!T185</f>
        <v>0</v>
      </c>
      <c r="L185" s="85" t="e">
        <f>#REF!</f>
        <v>#REF!</v>
      </c>
      <c r="M185" s="105" t="e">
        <f>#REF!</f>
        <v>#REF!</v>
      </c>
      <c r="N185" s="161"/>
      <c r="O185" s="106" t="e">
        <f>#REF!</f>
        <v>#REF!</v>
      </c>
      <c r="P185" s="107" t="e">
        <f>IF(#REF!=0,"",#REF!)</f>
        <v>#REF!</v>
      </c>
      <c r="Q185" s="111" t="e">
        <f>IF(#REF!=0,"",#REF!)</f>
        <v>#REF!</v>
      </c>
      <c r="R185" s="85" t="e">
        <f>IF(#REF!=0,"",#REF!)</f>
        <v>#REF!</v>
      </c>
      <c r="S185" s="85" t="e">
        <f>IF(#REF!=0,"",#REF!)</f>
        <v>#REF!</v>
      </c>
      <c r="T185" s="268"/>
      <c r="U185" s="268"/>
      <c r="V185" s="268"/>
    </row>
    <row r="186" ht="15" customHeight="1" spans="2:22">
      <c r="B186" s="6" t="e">
        <f t="shared" si="3"/>
        <v>#REF!</v>
      </c>
      <c r="C186" s="79" t="e">
        <f>#REF!</f>
        <v>#REF!</v>
      </c>
      <c r="D186" s="62" t="e">
        <f>IF(#REF!=0,"",#REF!)</f>
        <v>#REF!</v>
      </c>
      <c r="E186" s="81" t="e">
        <f>IF(#REF!=0,"",#REF!)</f>
        <v>#REF!</v>
      </c>
      <c r="F186" s="81" t="e">
        <f>IF(#REF!=0,"",#REF!)</f>
        <v>#REF!</v>
      </c>
      <c r="G186" s="100" t="e">
        <f>#REF!</f>
        <v>#REF!</v>
      </c>
      <c r="H186" s="159">
        <f>'27'!R186</f>
        <v>0</v>
      </c>
      <c r="I186" s="159">
        <f>'27'!S186</f>
        <v>0</v>
      </c>
      <c r="J186" s="159"/>
      <c r="K186" s="101">
        <f>'27'!T186</f>
        <v>0</v>
      </c>
      <c r="L186" s="81" t="e">
        <f>#REF!</f>
        <v>#REF!</v>
      </c>
      <c r="M186" s="100" t="e">
        <f>#REF!</f>
        <v>#REF!</v>
      </c>
      <c r="N186" s="159"/>
      <c r="O186" s="101" t="e">
        <f>#REF!</f>
        <v>#REF!</v>
      </c>
      <c r="P186" s="102" t="e">
        <f>IF(#REF!=0,"",#REF!)</f>
        <v>#REF!</v>
      </c>
      <c r="Q186" s="108" t="e">
        <f>IF(#REF!=0,"",#REF!)</f>
        <v>#REF!</v>
      </c>
      <c r="R186" s="81" t="e">
        <f>IF(#REF!=0,"",#REF!)</f>
        <v>#REF!</v>
      </c>
      <c r="S186" s="81" t="e">
        <f>IF(#REF!=0,"",#REF!)</f>
        <v>#REF!</v>
      </c>
      <c r="T186" s="268"/>
      <c r="U186" s="268"/>
      <c r="V186" s="268"/>
    </row>
    <row r="187" ht="15" customHeight="1" spans="2:22">
      <c r="B187" s="6" t="e">
        <f t="shared" si="3"/>
        <v>#REF!</v>
      </c>
      <c r="C187" s="31" t="e">
        <f>#REF!</f>
        <v>#REF!</v>
      </c>
      <c r="D187" s="32" t="e">
        <f>IF(#REF!=0,"",#REF!)</f>
        <v>#REF!</v>
      </c>
      <c r="E187" s="36" t="e">
        <f>IF(#REF!=0,"",#REF!)</f>
        <v>#REF!</v>
      </c>
      <c r="F187" s="36" t="e">
        <f>IF(#REF!=0,"",#REF!)</f>
        <v>#REF!</v>
      </c>
      <c r="G187" s="103">
        <f>'27'!Q187</f>
        <v>0</v>
      </c>
      <c r="H187" s="160">
        <f>'27'!R187</f>
        <v>0</v>
      </c>
      <c r="I187" s="160">
        <f>'27'!S187</f>
        <v>0</v>
      </c>
      <c r="J187" s="160"/>
      <c r="K187" s="104">
        <f>'27'!T187</f>
        <v>0</v>
      </c>
      <c r="L187" s="36" t="e">
        <f>#REF!</f>
        <v>#REF!</v>
      </c>
      <c r="M187" s="103" t="e">
        <f>#REF!</f>
        <v>#REF!</v>
      </c>
      <c r="N187" s="160"/>
      <c r="O187" s="104" t="e">
        <f>#REF!</f>
        <v>#REF!</v>
      </c>
      <c r="P187" s="52" t="e">
        <f>IF(#REF!=0,"",#REF!)</f>
        <v>#REF!</v>
      </c>
      <c r="Q187" s="109" t="e">
        <f>IF(#REF!=0,"",#REF!)</f>
        <v>#REF!</v>
      </c>
      <c r="R187" s="36" t="e">
        <f>IF(#REF!=0,"",#REF!)</f>
        <v>#REF!</v>
      </c>
      <c r="S187" s="36" t="e">
        <f>IF(#REF!=0,"",#REF!)</f>
        <v>#REF!</v>
      </c>
      <c r="T187" s="268"/>
      <c r="U187" s="268"/>
      <c r="V187" s="268"/>
    </row>
    <row r="188" ht="15" customHeight="1" spans="2:22">
      <c r="B188" s="6" t="e">
        <f t="shared" si="3"/>
        <v>#REF!</v>
      </c>
      <c r="C188" s="83" t="e">
        <f>#REF!</f>
        <v>#REF!</v>
      </c>
      <c r="D188" s="110" t="e">
        <f>IF(#REF!=0,"",#REF!)</f>
        <v>#REF!</v>
      </c>
      <c r="E188" s="85" t="e">
        <f>IF(#REF!=0,"",#REF!)</f>
        <v>#REF!</v>
      </c>
      <c r="F188" s="85" t="e">
        <f>IF(#REF!=0,"",#REF!)</f>
        <v>#REF!</v>
      </c>
      <c r="G188" s="105">
        <f>'27'!Q188</f>
        <v>0</v>
      </c>
      <c r="H188" s="161">
        <f>'27'!R188</f>
        <v>0</v>
      </c>
      <c r="I188" s="161">
        <f>'27'!S188</f>
        <v>0</v>
      </c>
      <c r="J188" s="161"/>
      <c r="K188" s="106">
        <f>'27'!T188</f>
        <v>0</v>
      </c>
      <c r="L188" s="85" t="e">
        <f>#REF!</f>
        <v>#REF!</v>
      </c>
      <c r="M188" s="105" t="e">
        <f>#REF!</f>
        <v>#REF!</v>
      </c>
      <c r="N188" s="161"/>
      <c r="O188" s="106" t="e">
        <f>#REF!</f>
        <v>#REF!</v>
      </c>
      <c r="P188" s="107" t="e">
        <f>IF(#REF!=0,"",#REF!)</f>
        <v>#REF!</v>
      </c>
      <c r="Q188" s="111" t="e">
        <f>IF(#REF!=0,"",#REF!)</f>
        <v>#REF!</v>
      </c>
      <c r="R188" s="85" t="e">
        <f>IF(#REF!=0,"",#REF!)</f>
        <v>#REF!</v>
      </c>
      <c r="S188" s="85" t="e">
        <f>IF(#REF!=0,"",#REF!)</f>
        <v>#REF!</v>
      </c>
      <c r="T188" s="268"/>
      <c r="U188" s="268"/>
      <c r="V188" s="268"/>
    </row>
    <row r="189" ht="15" customHeight="1" spans="2:22">
      <c r="B189" s="6" t="e">
        <f t="shared" si="3"/>
        <v>#REF!</v>
      </c>
      <c r="C189" s="79" t="e">
        <f>#REF!</f>
        <v>#REF!</v>
      </c>
      <c r="D189" s="62" t="e">
        <f>IF(#REF!=0,"",#REF!)</f>
        <v>#REF!</v>
      </c>
      <c r="E189" s="81" t="e">
        <f>IF(#REF!=0,"",#REF!)</f>
        <v>#REF!</v>
      </c>
      <c r="F189" s="81" t="e">
        <f>IF(#REF!=0,"",#REF!)</f>
        <v>#REF!</v>
      </c>
      <c r="G189" s="100" t="e">
        <f>#REF!</f>
        <v>#REF!</v>
      </c>
      <c r="H189" s="159">
        <f>'27'!R189</f>
        <v>0</v>
      </c>
      <c r="I189" s="159">
        <f>'27'!S189</f>
        <v>0</v>
      </c>
      <c r="J189" s="159"/>
      <c r="K189" s="101">
        <f>'27'!T189</f>
        <v>0</v>
      </c>
      <c r="L189" s="81" t="e">
        <f>#REF!</f>
        <v>#REF!</v>
      </c>
      <c r="M189" s="100" t="e">
        <f>#REF!</f>
        <v>#REF!</v>
      </c>
      <c r="N189" s="159"/>
      <c r="O189" s="101" t="e">
        <f>#REF!</f>
        <v>#REF!</v>
      </c>
      <c r="P189" s="102" t="e">
        <f>IF(#REF!=0,"",#REF!)</f>
        <v>#REF!</v>
      </c>
      <c r="Q189" s="108" t="e">
        <f>IF(#REF!=0,"",#REF!)</f>
        <v>#REF!</v>
      </c>
      <c r="R189" s="81" t="e">
        <f>IF(#REF!=0,"",#REF!)</f>
        <v>#REF!</v>
      </c>
      <c r="S189" s="81" t="e">
        <f>IF(#REF!=0,"",#REF!)</f>
        <v>#REF!</v>
      </c>
      <c r="T189" s="268"/>
      <c r="U189" s="268"/>
      <c r="V189" s="268"/>
    </row>
    <row r="190" ht="15" customHeight="1" spans="2:22">
      <c r="B190" s="6" t="e">
        <f t="shared" si="3"/>
        <v>#REF!</v>
      </c>
      <c r="C190" s="31" t="e">
        <f>#REF!</f>
        <v>#REF!</v>
      </c>
      <c r="D190" s="32" t="e">
        <f>IF(#REF!=0,"",#REF!)</f>
        <v>#REF!</v>
      </c>
      <c r="E190" s="36" t="e">
        <f>IF(#REF!=0,"",#REF!)</f>
        <v>#REF!</v>
      </c>
      <c r="F190" s="36" t="e">
        <f>IF(#REF!=0,"",#REF!)</f>
        <v>#REF!</v>
      </c>
      <c r="G190" s="103">
        <f>'27'!Q190</f>
        <v>0</v>
      </c>
      <c r="H190" s="160">
        <f>'27'!R190</f>
        <v>0</v>
      </c>
      <c r="I190" s="160">
        <f>'27'!S190</f>
        <v>0</v>
      </c>
      <c r="J190" s="160"/>
      <c r="K190" s="104">
        <f>'27'!T190</f>
        <v>0</v>
      </c>
      <c r="L190" s="36" t="e">
        <f>#REF!</f>
        <v>#REF!</v>
      </c>
      <c r="M190" s="103" t="e">
        <f>#REF!</f>
        <v>#REF!</v>
      </c>
      <c r="N190" s="160"/>
      <c r="O190" s="104" t="e">
        <f>#REF!</f>
        <v>#REF!</v>
      </c>
      <c r="P190" s="52" t="e">
        <f>IF(#REF!=0,"",#REF!)</f>
        <v>#REF!</v>
      </c>
      <c r="Q190" s="109" t="e">
        <f>IF(#REF!=0,"",#REF!)</f>
        <v>#REF!</v>
      </c>
      <c r="R190" s="36" t="e">
        <f>IF(#REF!=0,"",#REF!)</f>
        <v>#REF!</v>
      </c>
      <c r="S190" s="36" t="e">
        <f>IF(#REF!=0,"",#REF!)</f>
        <v>#REF!</v>
      </c>
      <c r="T190" s="268"/>
      <c r="U190" s="268"/>
      <c r="V190" s="268"/>
    </row>
    <row r="191" ht="15" customHeight="1" spans="2:22">
      <c r="B191" s="6" t="e">
        <f t="shared" si="3"/>
        <v>#REF!</v>
      </c>
      <c r="C191" s="83" t="e">
        <f>#REF!</f>
        <v>#REF!</v>
      </c>
      <c r="D191" s="110" t="e">
        <f>IF(#REF!=0,"",#REF!)</f>
        <v>#REF!</v>
      </c>
      <c r="E191" s="85" t="e">
        <f>IF(#REF!=0,"",#REF!)</f>
        <v>#REF!</v>
      </c>
      <c r="F191" s="85" t="e">
        <f>IF(#REF!=0,"",#REF!)</f>
        <v>#REF!</v>
      </c>
      <c r="G191" s="105">
        <f>'27'!Q191</f>
        <v>0</v>
      </c>
      <c r="H191" s="161">
        <f>'27'!R191</f>
        <v>0</v>
      </c>
      <c r="I191" s="161">
        <f>'27'!S191</f>
        <v>0</v>
      </c>
      <c r="J191" s="161"/>
      <c r="K191" s="106">
        <f>'27'!T191</f>
        <v>0</v>
      </c>
      <c r="L191" s="85" t="e">
        <f>#REF!</f>
        <v>#REF!</v>
      </c>
      <c r="M191" s="105" t="e">
        <f>#REF!</f>
        <v>#REF!</v>
      </c>
      <c r="N191" s="161"/>
      <c r="O191" s="106" t="e">
        <f>#REF!</f>
        <v>#REF!</v>
      </c>
      <c r="P191" s="107" t="e">
        <f>IF(#REF!=0,"",#REF!)</f>
        <v>#REF!</v>
      </c>
      <c r="Q191" s="111" t="e">
        <f>IF(#REF!=0,"",#REF!)</f>
        <v>#REF!</v>
      </c>
      <c r="R191" s="85" t="e">
        <f>IF(#REF!=0,"",#REF!)</f>
        <v>#REF!</v>
      </c>
      <c r="S191" s="85" t="e">
        <f>IF(#REF!=0,"",#REF!)</f>
        <v>#REF!</v>
      </c>
      <c r="T191" s="268"/>
      <c r="U191" s="268"/>
      <c r="V191" s="268"/>
    </row>
    <row r="192" ht="15" customHeight="1" spans="2:22">
      <c r="B192" s="6" t="e">
        <f t="shared" si="3"/>
        <v>#REF!</v>
      </c>
      <c r="C192" s="79" t="e">
        <f>#REF!</f>
        <v>#REF!</v>
      </c>
      <c r="D192" s="62" t="e">
        <f>IF(#REF!=0,"",#REF!)</f>
        <v>#REF!</v>
      </c>
      <c r="E192" s="81" t="e">
        <f>IF(#REF!=0,"",#REF!)</f>
        <v>#REF!</v>
      </c>
      <c r="F192" s="81" t="e">
        <f>IF(#REF!=0,"",#REF!)</f>
        <v>#REF!</v>
      </c>
      <c r="G192" s="100" t="e">
        <f>#REF!</f>
        <v>#REF!</v>
      </c>
      <c r="H192" s="159">
        <f>'27'!R192</f>
        <v>0</v>
      </c>
      <c r="I192" s="159">
        <f>'27'!S192</f>
        <v>0</v>
      </c>
      <c r="J192" s="159"/>
      <c r="K192" s="101">
        <f>'27'!T192</f>
        <v>0</v>
      </c>
      <c r="L192" s="81" t="e">
        <f>#REF!</f>
        <v>#REF!</v>
      </c>
      <c r="M192" s="100" t="e">
        <f>#REF!</f>
        <v>#REF!</v>
      </c>
      <c r="N192" s="159"/>
      <c r="O192" s="101" t="e">
        <f>#REF!</f>
        <v>#REF!</v>
      </c>
      <c r="P192" s="102" t="e">
        <f>IF(#REF!=0,"",#REF!)</f>
        <v>#REF!</v>
      </c>
      <c r="Q192" s="108" t="e">
        <f>IF(#REF!=0,"",#REF!)</f>
        <v>#REF!</v>
      </c>
      <c r="R192" s="81" t="e">
        <f>IF(#REF!=0,"",#REF!)</f>
        <v>#REF!</v>
      </c>
      <c r="S192" s="81" t="e">
        <f>IF(#REF!=0,"",#REF!)</f>
        <v>#REF!</v>
      </c>
      <c r="T192" s="268"/>
      <c r="U192" s="268"/>
      <c r="V192" s="268"/>
    </row>
    <row r="193" ht="15" customHeight="1" spans="2:22">
      <c r="B193" s="6" t="e">
        <f t="shared" si="3"/>
        <v>#REF!</v>
      </c>
      <c r="C193" s="31" t="e">
        <f>#REF!</f>
        <v>#REF!</v>
      </c>
      <c r="D193" s="32" t="e">
        <f>IF(#REF!=0,"",#REF!)</f>
        <v>#REF!</v>
      </c>
      <c r="E193" s="36" t="e">
        <f>IF(#REF!=0,"",#REF!)</f>
        <v>#REF!</v>
      </c>
      <c r="F193" s="36" t="e">
        <f>IF(#REF!=0,"",#REF!)</f>
        <v>#REF!</v>
      </c>
      <c r="G193" s="103">
        <f>'27'!Q193</f>
        <v>0</v>
      </c>
      <c r="H193" s="160">
        <f>'27'!R193</f>
        <v>0</v>
      </c>
      <c r="I193" s="160">
        <f>'27'!S193</f>
        <v>0</v>
      </c>
      <c r="J193" s="160"/>
      <c r="K193" s="104">
        <f>'27'!T193</f>
        <v>0</v>
      </c>
      <c r="L193" s="36" t="e">
        <f>#REF!</f>
        <v>#REF!</v>
      </c>
      <c r="M193" s="103" t="e">
        <f>#REF!</f>
        <v>#REF!</v>
      </c>
      <c r="N193" s="160"/>
      <c r="O193" s="104" t="e">
        <f>#REF!</f>
        <v>#REF!</v>
      </c>
      <c r="P193" s="52" t="e">
        <f>IF(#REF!=0,"",#REF!)</f>
        <v>#REF!</v>
      </c>
      <c r="Q193" s="109" t="e">
        <f>IF(#REF!=0,"",#REF!)</f>
        <v>#REF!</v>
      </c>
      <c r="R193" s="36" t="e">
        <f>IF(#REF!=0,"",#REF!)</f>
        <v>#REF!</v>
      </c>
      <c r="S193" s="36" t="e">
        <f>IF(#REF!=0,"",#REF!)</f>
        <v>#REF!</v>
      </c>
      <c r="T193" s="268"/>
      <c r="U193" s="268"/>
      <c r="V193" s="268"/>
    </row>
    <row r="194" ht="15" customHeight="1" spans="2:22">
      <c r="B194" s="6" t="e">
        <f t="shared" si="3"/>
        <v>#REF!</v>
      </c>
      <c r="C194" s="83" t="e">
        <f>#REF!</f>
        <v>#REF!</v>
      </c>
      <c r="D194" s="110" t="e">
        <f>IF(#REF!=0,"",#REF!)</f>
        <v>#REF!</v>
      </c>
      <c r="E194" s="85" t="e">
        <f>IF(#REF!=0,"",#REF!)</f>
        <v>#REF!</v>
      </c>
      <c r="F194" s="85" t="e">
        <f>IF(#REF!=0,"",#REF!)</f>
        <v>#REF!</v>
      </c>
      <c r="G194" s="105">
        <f>'27'!Q194</f>
        <v>0</v>
      </c>
      <c r="H194" s="161">
        <f>'27'!R194</f>
        <v>0</v>
      </c>
      <c r="I194" s="161">
        <f>'27'!S194</f>
        <v>0</v>
      </c>
      <c r="J194" s="161"/>
      <c r="K194" s="106">
        <f>'27'!T194</f>
        <v>0</v>
      </c>
      <c r="L194" s="85" t="e">
        <f>#REF!</f>
        <v>#REF!</v>
      </c>
      <c r="M194" s="105" t="e">
        <f>#REF!</f>
        <v>#REF!</v>
      </c>
      <c r="N194" s="161"/>
      <c r="O194" s="106" t="e">
        <f>#REF!</f>
        <v>#REF!</v>
      </c>
      <c r="P194" s="107" t="e">
        <f>IF(#REF!=0,"",#REF!)</f>
        <v>#REF!</v>
      </c>
      <c r="Q194" s="111" t="e">
        <f>IF(#REF!=0,"",#REF!)</f>
        <v>#REF!</v>
      </c>
      <c r="R194" s="85" t="e">
        <f>IF(#REF!=0,"",#REF!)</f>
        <v>#REF!</v>
      </c>
      <c r="S194" s="85" t="e">
        <f>IF(#REF!=0,"",#REF!)</f>
        <v>#REF!</v>
      </c>
      <c r="T194" s="268"/>
      <c r="U194" s="268"/>
      <c r="V194" s="268"/>
    </row>
    <row r="195" ht="15" customHeight="1" spans="2:22">
      <c r="B195" s="6" t="e">
        <f t="shared" si="3"/>
        <v>#REF!</v>
      </c>
      <c r="C195" s="79" t="e">
        <f>#REF!</f>
        <v>#REF!</v>
      </c>
      <c r="D195" s="62" t="e">
        <f>IF(#REF!=0,"",#REF!)</f>
        <v>#REF!</v>
      </c>
      <c r="E195" s="81" t="e">
        <f>IF(#REF!=0,"",#REF!)</f>
        <v>#REF!</v>
      </c>
      <c r="F195" s="81" t="e">
        <f>IF(#REF!=0,"",#REF!)</f>
        <v>#REF!</v>
      </c>
      <c r="G195" s="100" t="e">
        <f>#REF!</f>
        <v>#REF!</v>
      </c>
      <c r="H195" s="159">
        <f>'27'!R195</f>
        <v>0</v>
      </c>
      <c r="I195" s="159">
        <f>'27'!S195</f>
        <v>0</v>
      </c>
      <c r="J195" s="159"/>
      <c r="K195" s="101">
        <f>'27'!T195</f>
        <v>0</v>
      </c>
      <c r="L195" s="81" t="e">
        <f>#REF!</f>
        <v>#REF!</v>
      </c>
      <c r="M195" s="100" t="e">
        <f>#REF!</f>
        <v>#REF!</v>
      </c>
      <c r="N195" s="159"/>
      <c r="O195" s="101" t="e">
        <f>#REF!</f>
        <v>#REF!</v>
      </c>
      <c r="P195" s="102" t="e">
        <f>IF(#REF!=0,"",#REF!)</f>
        <v>#REF!</v>
      </c>
      <c r="Q195" s="108" t="e">
        <f>IF(#REF!=0,"",#REF!)</f>
        <v>#REF!</v>
      </c>
      <c r="R195" s="81" t="e">
        <f>IF(#REF!=0,"",#REF!)</f>
        <v>#REF!</v>
      </c>
      <c r="S195" s="81" t="e">
        <f>IF(#REF!=0,"",#REF!)</f>
        <v>#REF!</v>
      </c>
      <c r="T195" s="268"/>
      <c r="U195" s="268"/>
      <c r="V195" s="268"/>
    </row>
    <row r="196" ht="15" customHeight="1" spans="2:22">
      <c r="B196" s="6" t="e">
        <f t="shared" si="3"/>
        <v>#REF!</v>
      </c>
      <c r="C196" s="31" t="e">
        <f>#REF!</f>
        <v>#REF!</v>
      </c>
      <c r="D196" s="32" t="e">
        <f>IF(#REF!=0,"",#REF!)</f>
        <v>#REF!</v>
      </c>
      <c r="E196" s="36" t="e">
        <f>IF(#REF!=0,"",#REF!)</f>
        <v>#REF!</v>
      </c>
      <c r="F196" s="36" t="e">
        <f>IF(#REF!=0,"",#REF!)</f>
        <v>#REF!</v>
      </c>
      <c r="G196" s="103">
        <f>'27'!Q196</f>
        <v>0</v>
      </c>
      <c r="H196" s="160">
        <f>'27'!R196</f>
        <v>0</v>
      </c>
      <c r="I196" s="160">
        <f>'27'!S196</f>
        <v>0</v>
      </c>
      <c r="J196" s="160"/>
      <c r="K196" s="104">
        <f>'27'!T196</f>
        <v>0</v>
      </c>
      <c r="L196" s="36" t="e">
        <f>#REF!</f>
        <v>#REF!</v>
      </c>
      <c r="M196" s="103" t="e">
        <f>#REF!</f>
        <v>#REF!</v>
      </c>
      <c r="N196" s="160"/>
      <c r="O196" s="104" t="e">
        <f>#REF!</f>
        <v>#REF!</v>
      </c>
      <c r="P196" s="52" t="e">
        <f>IF(#REF!=0,"",#REF!)</f>
        <v>#REF!</v>
      </c>
      <c r="Q196" s="109" t="e">
        <f>IF(#REF!=0,"",#REF!)</f>
        <v>#REF!</v>
      </c>
      <c r="R196" s="36" t="e">
        <f>IF(#REF!=0,"",#REF!)</f>
        <v>#REF!</v>
      </c>
      <c r="S196" s="36" t="e">
        <f>IF(#REF!=0,"",#REF!)</f>
        <v>#REF!</v>
      </c>
      <c r="T196" s="268"/>
      <c r="U196" s="268"/>
      <c r="V196" s="268"/>
    </row>
    <row r="197" ht="15" customHeight="1" spans="2:22">
      <c r="B197" s="6" t="e">
        <f t="shared" ref="B197:B259" si="4">COUNTA(C197)-IF(C197=0,1)+B196</f>
        <v>#REF!</v>
      </c>
      <c r="C197" s="83" t="e">
        <f>#REF!</f>
        <v>#REF!</v>
      </c>
      <c r="D197" s="110" t="e">
        <f>IF(#REF!=0,"",#REF!)</f>
        <v>#REF!</v>
      </c>
      <c r="E197" s="85" t="e">
        <f>IF(#REF!=0,"",#REF!)</f>
        <v>#REF!</v>
      </c>
      <c r="F197" s="85" t="e">
        <f>IF(#REF!=0,"",#REF!)</f>
        <v>#REF!</v>
      </c>
      <c r="G197" s="105">
        <f>'27'!Q197</f>
        <v>0</v>
      </c>
      <c r="H197" s="161">
        <f>'27'!R197</f>
        <v>0</v>
      </c>
      <c r="I197" s="161">
        <f>'27'!S197</f>
        <v>0</v>
      </c>
      <c r="J197" s="161"/>
      <c r="K197" s="106">
        <f>'27'!T197</f>
        <v>0</v>
      </c>
      <c r="L197" s="85" t="e">
        <f>#REF!</f>
        <v>#REF!</v>
      </c>
      <c r="M197" s="105" t="e">
        <f>#REF!</f>
        <v>#REF!</v>
      </c>
      <c r="N197" s="161"/>
      <c r="O197" s="106" t="e">
        <f>#REF!</f>
        <v>#REF!</v>
      </c>
      <c r="P197" s="107" t="e">
        <f>IF(#REF!=0,"",#REF!)</f>
        <v>#REF!</v>
      </c>
      <c r="Q197" s="111" t="e">
        <f>IF(#REF!=0,"",#REF!)</f>
        <v>#REF!</v>
      </c>
      <c r="R197" s="85" t="e">
        <f>IF(#REF!=0,"",#REF!)</f>
        <v>#REF!</v>
      </c>
      <c r="S197" s="85" t="e">
        <f>IF(#REF!=0,"",#REF!)</f>
        <v>#REF!</v>
      </c>
      <c r="T197" s="268"/>
      <c r="U197" s="268"/>
      <c r="V197" s="268"/>
    </row>
    <row r="198" ht="15" customHeight="1" spans="2:22">
      <c r="B198" s="6" t="e">
        <f t="shared" si="4"/>
        <v>#REF!</v>
      </c>
      <c r="C198" s="79" t="e">
        <f>#REF!</f>
        <v>#REF!</v>
      </c>
      <c r="D198" s="62" t="e">
        <f>IF(#REF!=0,"",#REF!)</f>
        <v>#REF!</v>
      </c>
      <c r="E198" s="81" t="e">
        <f>IF(#REF!=0,"",#REF!)</f>
        <v>#REF!</v>
      </c>
      <c r="F198" s="81" t="e">
        <f>IF(#REF!=0,"",#REF!)</f>
        <v>#REF!</v>
      </c>
      <c r="G198" s="100" t="e">
        <f>#REF!</f>
        <v>#REF!</v>
      </c>
      <c r="H198" s="159">
        <f>'27'!R198</f>
        <v>0</v>
      </c>
      <c r="I198" s="159">
        <f>'27'!S198</f>
        <v>0</v>
      </c>
      <c r="J198" s="159"/>
      <c r="K198" s="101">
        <f>'27'!T198</f>
        <v>0</v>
      </c>
      <c r="L198" s="81" t="e">
        <f>#REF!</f>
        <v>#REF!</v>
      </c>
      <c r="M198" s="100" t="e">
        <f>#REF!</f>
        <v>#REF!</v>
      </c>
      <c r="N198" s="159"/>
      <c r="O198" s="101" t="e">
        <f>#REF!</f>
        <v>#REF!</v>
      </c>
      <c r="P198" s="102" t="e">
        <f>IF(#REF!=0,"",#REF!)</f>
        <v>#REF!</v>
      </c>
      <c r="Q198" s="108" t="e">
        <f>IF(#REF!=0,"",#REF!)</f>
        <v>#REF!</v>
      </c>
      <c r="R198" s="81" t="e">
        <f>IF(#REF!=0,"",#REF!)</f>
        <v>#REF!</v>
      </c>
      <c r="S198" s="81" t="e">
        <f>IF(#REF!=0,"",#REF!)</f>
        <v>#REF!</v>
      </c>
      <c r="T198" s="268"/>
      <c r="U198" s="268"/>
      <c r="V198" s="268"/>
    </row>
    <row r="199" ht="15" customHeight="1" spans="2:22">
      <c r="B199" s="6" t="e">
        <f t="shared" si="4"/>
        <v>#REF!</v>
      </c>
      <c r="C199" s="31" t="e">
        <f>#REF!</f>
        <v>#REF!</v>
      </c>
      <c r="D199" s="32" t="e">
        <f>IF(#REF!=0,"",#REF!)</f>
        <v>#REF!</v>
      </c>
      <c r="E199" s="36" t="e">
        <f>IF(#REF!=0,"",#REF!)</f>
        <v>#REF!</v>
      </c>
      <c r="F199" s="36" t="e">
        <f>IF(#REF!=0,"",#REF!)</f>
        <v>#REF!</v>
      </c>
      <c r="G199" s="103">
        <f>'27'!Q199</f>
        <v>0</v>
      </c>
      <c r="H199" s="160">
        <f>'27'!R199</f>
        <v>0</v>
      </c>
      <c r="I199" s="160">
        <f>'27'!S199</f>
        <v>0</v>
      </c>
      <c r="J199" s="160"/>
      <c r="K199" s="104">
        <f>'27'!T199</f>
        <v>0</v>
      </c>
      <c r="L199" s="36" t="e">
        <f>#REF!</f>
        <v>#REF!</v>
      </c>
      <c r="M199" s="103" t="e">
        <f>#REF!</f>
        <v>#REF!</v>
      </c>
      <c r="N199" s="160"/>
      <c r="O199" s="104" t="e">
        <f>#REF!</f>
        <v>#REF!</v>
      </c>
      <c r="P199" s="52" t="e">
        <f>IF(#REF!=0,"",#REF!)</f>
        <v>#REF!</v>
      </c>
      <c r="Q199" s="109" t="e">
        <f>IF(#REF!=0,"",#REF!)</f>
        <v>#REF!</v>
      </c>
      <c r="R199" s="36" t="e">
        <f>IF(#REF!=0,"",#REF!)</f>
        <v>#REF!</v>
      </c>
      <c r="S199" s="36" t="e">
        <f>IF(#REF!=0,"",#REF!)</f>
        <v>#REF!</v>
      </c>
      <c r="T199" s="268"/>
      <c r="U199" s="268"/>
      <c r="V199" s="268"/>
    </row>
    <row r="200" ht="15" customHeight="1" spans="2:22">
      <c r="B200" s="6" t="e">
        <f t="shared" si="4"/>
        <v>#REF!</v>
      </c>
      <c r="C200" s="83" t="e">
        <f>#REF!</f>
        <v>#REF!</v>
      </c>
      <c r="D200" s="110" t="e">
        <f>IF(#REF!=0,"",#REF!)</f>
        <v>#REF!</v>
      </c>
      <c r="E200" s="85" t="e">
        <f>IF(#REF!=0,"",#REF!)</f>
        <v>#REF!</v>
      </c>
      <c r="F200" s="85" t="e">
        <f>IF(#REF!=0,"",#REF!)</f>
        <v>#REF!</v>
      </c>
      <c r="G200" s="105">
        <f>'27'!Q200</f>
        <v>0</v>
      </c>
      <c r="H200" s="161">
        <f>'27'!R200</f>
        <v>0</v>
      </c>
      <c r="I200" s="161">
        <f>'27'!S200</f>
        <v>0</v>
      </c>
      <c r="J200" s="161"/>
      <c r="K200" s="106">
        <f>'27'!T200</f>
        <v>0</v>
      </c>
      <c r="L200" s="85" t="e">
        <f>#REF!</f>
        <v>#REF!</v>
      </c>
      <c r="M200" s="105" t="e">
        <f>#REF!</f>
        <v>#REF!</v>
      </c>
      <c r="N200" s="161"/>
      <c r="O200" s="106" t="e">
        <f>#REF!</f>
        <v>#REF!</v>
      </c>
      <c r="P200" s="107" t="e">
        <f>IF(#REF!=0,"",#REF!)</f>
        <v>#REF!</v>
      </c>
      <c r="Q200" s="111" t="e">
        <f>IF(#REF!=0,"",#REF!)</f>
        <v>#REF!</v>
      </c>
      <c r="R200" s="85" t="e">
        <f>IF(#REF!=0,"",#REF!)</f>
        <v>#REF!</v>
      </c>
      <c r="S200" s="85" t="e">
        <f>IF(#REF!=0,"",#REF!)</f>
        <v>#REF!</v>
      </c>
      <c r="T200" s="268"/>
      <c r="U200" s="268"/>
      <c r="V200" s="268"/>
    </row>
    <row r="201" ht="15" customHeight="1" spans="2:22">
      <c r="B201" s="6" t="e">
        <f t="shared" si="4"/>
        <v>#REF!</v>
      </c>
      <c r="C201" s="79" t="e">
        <f>#REF!</f>
        <v>#REF!</v>
      </c>
      <c r="D201" s="62" t="e">
        <f>IF(#REF!=0,"",#REF!)</f>
        <v>#REF!</v>
      </c>
      <c r="E201" s="81" t="e">
        <f>IF(#REF!=0,"",#REF!)</f>
        <v>#REF!</v>
      </c>
      <c r="F201" s="81" t="e">
        <f>IF(#REF!=0,"",#REF!)</f>
        <v>#REF!</v>
      </c>
      <c r="G201" s="100" t="e">
        <f>#REF!</f>
        <v>#REF!</v>
      </c>
      <c r="H201" s="159">
        <f>'27'!R201</f>
        <v>0</v>
      </c>
      <c r="I201" s="159">
        <f>'27'!S201</f>
        <v>0</v>
      </c>
      <c r="J201" s="159"/>
      <c r="K201" s="101">
        <f>'27'!T201</f>
        <v>0</v>
      </c>
      <c r="L201" s="81" t="e">
        <f>#REF!</f>
        <v>#REF!</v>
      </c>
      <c r="M201" s="100" t="e">
        <f>#REF!</f>
        <v>#REF!</v>
      </c>
      <c r="N201" s="159"/>
      <c r="O201" s="101" t="e">
        <f>#REF!</f>
        <v>#REF!</v>
      </c>
      <c r="P201" s="102" t="e">
        <f>IF(#REF!=0,"",#REF!)</f>
        <v>#REF!</v>
      </c>
      <c r="Q201" s="108" t="e">
        <f>IF(#REF!=0,"",#REF!)</f>
        <v>#REF!</v>
      </c>
      <c r="R201" s="81" t="e">
        <f>IF(#REF!=0,"",#REF!)</f>
        <v>#REF!</v>
      </c>
      <c r="S201" s="81" t="e">
        <f>IF(#REF!=0,"",#REF!)</f>
        <v>#REF!</v>
      </c>
      <c r="T201" s="268"/>
      <c r="U201" s="268"/>
      <c r="V201" s="268"/>
    </row>
    <row r="202" ht="15" customHeight="1" spans="2:22">
      <c r="B202" s="6" t="e">
        <f t="shared" si="4"/>
        <v>#REF!</v>
      </c>
      <c r="C202" s="31" t="e">
        <f>#REF!</f>
        <v>#REF!</v>
      </c>
      <c r="D202" s="32" t="e">
        <f>IF(#REF!=0,"",#REF!)</f>
        <v>#REF!</v>
      </c>
      <c r="E202" s="36" t="e">
        <f>IF(#REF!=0,"",#REF!)</f>
        <v>#REF!</v>
      </c>
      <c r="F202" s="36" t="e">
        <f>IF(#REF!=0,"",#REF!)</f>
        <v>#REF!</v>
      </c>
      <c r="G202" s="103">
        <f>'27'!Q202</f>
        <v>0</v>
      </c>
      <c r="H202" s="160">
        <f>'27'!R202</f>
        <v>0</v>
      </c>
      <c r="I202" s="160">
        <f>'27'!S202</f>
        <v>0</v>
      </c>
      <c r="J202" s="160"/>
      <c r="K202" s="104">
        <f>'27'!T202</f>
        <v>0</v>
      </c>
      <c r="L202" s="36" t="e">
        <f>#REF!</f>
        <v>#REF!</v>
      </c>
      <c r="M202" s="103" t="e">
        <f>#REF!</f>
        <v>#REF!</v>
      </c>
      <c r="N202" s="160"/>
      <c r="O202" s="104" t="e">
        <f>#REF!</f>
        <v>#REF!</v>
      </c>
      <c r="P202" s="52" t="e">
        <f>IF(#REF!=0,"",#REF!)</f>
        <v>#REF!</v>
      </c>
      <c r="Q202" s="109" t="e">
        <f>IF(#REF!=0,"",#REF!)</f>
        <v>#REF!</v>
      </c>
      <c r="R202" s="36" t="e">
        <f>IF(#REF!=0,"",#REF!)</f>
        <v>#REF!</v>
      </c>
      <c r="S202" s="36" t="e">
        <f>IF(#REF!=0,"",#REF!)</f>
        <v>#REF!</v>
      </c>
      <c r="T202" s="268"/>
      <c r="U202" s="268"/>
      <c r="V202" s="268"/>
    </row>
    <row r="203" ht="15" customHeight="1" spans="2:22">
      <c r="B203" s="6" t="e">
        <f t="shared" si="4"/>
        <v>#REF!</v>
      </c>
      <c r="C203" s="83" t="e">
        <f>#REF!</f>
        <v>#REF!</v>
      </c>
      <c r="D203" s="110" t="e">
        <f>IF(#REF!=0,"",#REF!)</f>
        <v>#REF!</v>
      </c>
      <c r="E203" s="85" t="e">
        <f>IF(#REF!=0,"",#REF!)</f>
        <v>#REF!</v>
      </c>
      <c r="F203" s="85" t="e">
        <f>IF(#REF!=0,"",#REF!)</f>
        <v>#REF!</v>
      </c>
      <c r="G203" s="105">
        <f>'27'!Q203</f>
        <v>0</v>
      </c>
      <c r="H203" s="161">
        <f>'27'!R203</f>
        <v>0</v>
      </c>
      <c r="I203" s="161">
        <f>'27'!S203</f>
        <v>0</v>
      </c>
      <c r="J203" s="161"/>
      <c r="K203" s="106">
        <f>'27'!T203</f>
        <v>0</v>
      </c>
      <c r="L203" s="85" t="e">
        <f>#REF!</f>
        <v>#REF!</v>
      </c>
      <c r="M203" s="105" t="e">
        <f>#REF!</f>
        <v>#REF!</v>
      </c>
      <c r="N203" s="161"/>
      <c r="O203" s="106" t="e">
        <f>#REF!</f>
        <v>#REF!</v>
      </c>
      <c r="P203" s="107" t="e">
        <f>IF(#REF!=0,"",#REF!)</f>
        <v>#REF!</v>
      </c>
      <c r="Q203" s="111" t="e">
        <f>IF(#REF!=0,"",#REF!)</f>
        <v>#REF!</v>
      </c>
      <c r="R203" s="85" t="e">
        <f>IF(#REF!=0,"",#REF!)</f>
        <v>#REF!</v>
      </c>
      <c r="S203" s="85" t="e">
        <f>IF(#REF!=0,"",#REF!)</f>
        <v>#REF!</v>
      </c>
      <c r="T203" s="268"/>
      <c r="U203" s="268"/>
      <c r="V203" s="268"/>
    </row>
    <row r="204" ht="15" customHeight="1" spans="2:22">
      <c r="B204" s="6" t="e">
        <f t="shared" si="4"/>
        <v>#REF!</v>
      </c>
      <c r="C204" s="79" t="e">
        <f>#REF!</f>
        <v>#REF!</v>
      </c>
      <c r="D204" s="62" t="e">
        <f>IF(#REF!=0,"",#REF!)</f>
        <v>#REF!</v>
      </c>
      <c r="E204" s="81" t="e">
        <f>IF(#REF!=0,"",#REF!)</f>
        <v>#REF!</v>
      </c>
      <c r="F204" s="81" t="e">
        <f>IF(#REF!=0,"",#REF!)</f>
        <v>#REF!</v>
      </c>
      <c r="G204" s="100" t="e">
        <f>#REF!</f>
        <v>#REF!</v>
      </c>
      <c r="H204" s="159">
        <f>'27'!R204</f>
        <v>0</v>
      </c>
      <c r="I204" s="159">
        <f>'27'!S204</f>
        <v>0</v>
      </c>
      <c r="J204" s="159"/>
      <c r="K204" s="101">
        <f>'27'!T204</f>
        <v>0</v>
      </c>
      <c r="L204" s="81" t="e">
        <f>#REF!</f>
        <v>#REF!</v>
      </c>
      <c r="M204" s="100" t="e">
        <f>#REF!</f>
        <v>#REF!</v>
      </c>
      <c r="N204" s="159"/>
      <c r="O204" s="101" t="e">
        <f>#REF!</f>
        <v>#REF!</v>
      </c>
      <c r="P204" s="102" t="e">
        <f>IF(#REF!=0,"",#REF!)</f>
        <v>#REF!</v>
      </c>
      <c r="Q204" s="108" t="e">
        <f>IF(#REF!=0,"",#REF!)</f>
        <v>#REF!</v>
      </c>
      <c r="R204" s="81" t="e">
        <f>IF(#REF!=0,"",#REF!)</f>
        <v>#REF!</v>
      </c>
      <c r="S204" s="81" t="e">
        <f>IF(#REF!=0,"",#REF!)</f>
        <v>#REF!</v>
      </c>
      <c r="T204" s="268"/>
      <c r="U204" s="268"/>
      <c r="V204" s="268"/>
    </row>
    <row r="205" ht="15" customHeight="1" spans="2:22">
      <c r="B205" s="6" t="e">
        <f t="shared" si="4"/>
        <v>#REF!</v>
      </c>
      <c r="C205" s="31" t="e">
        <f>#REF!</f>
        <v>#REF!</v>
      </c>
      <c r="D205" s="32" t="e">
        <f>IF(#REF!=0,"",#REF!)</f>
        <v>#REF!</v>
      </c>
      <c r="E205" s="36" t="e">
        <f>IF(#REF!=0,"",#REF!)</f>
        <v>#REF!</v>
      </c>
      <c r="F205" s="36" t="e">
        <f>IF(#REF!=0,"",#REF!)</f>
        <v>#REF!</v>
      </c>
      <c r="G205" s="103">
        <f>'27'!Q205</f>
        <v>0</v>
      </c>
      <c r="H205" s="160">
        <f>'27'!R205</f>
        <v>0</v>
      </c>
      <c r="I205" s="160">
        <f>'27'!S205</f>
        <v>0</v>
      </c>
      <c r="J205" s="160"/>
      <c r="K205" s="104">
        <f>'27'!T205</f>
        <v>0</v>
      </c>
      <c r="L205" s="36" t="e">
        <f>#REF!</f>
        <v>#REF!</v>
      </c>
      <c r="M205" s="103" t="e">
        <f>#REF!</f>
        <v>#REF!</v>
      </c>
      <c r="N205" s="160"/>
      <c r="O205" s="104" t="e">
        <f>#REF!</f>
        <v>#REF!</v>
      </c>
      <c r="P205" s="52" t="e">
        <f>IF(#REF!=0,"",#REF!)</f>
        <v>#REF!</v>
      </c>
      <c r="Q205" s="109" t="e">
        <f>IF(#REF!=0,"",#REF!)</f>
        <v>#REF!</v>
      </c>
      <c r="R205" s="36" t="e">
        <f>IF(#REF!=0,"",#REF!)</f>
        <v>#REF!</v>
      </c>
      <c r="S205" s="36" t="e">
        <f>IF(#REF!=0,"",#REF!)</f>
        <v>#REF!</v>
      </c>
      <c r="T205" s="268"/>
      <c r="U205" s="268"/>
      <c r="V205" s="268"/>
    </row>
    <row r="206" ht="15" customHeight="1" spans="2:22">
      <c r="B206" s="6" t="e">
        <f t="shared" si="4"/>
        <v>#REF!</v>
      </c>
      <c r="C206" s="83" t="e">
        <f>#REF!</f>
        <v>#REF!</v>
      </c>
      <c r="D206" s="110" t="e">
        <f>IF(#REF!=0,"",#REF!)</f>
        <v>#REF!</v>
      </c>
      <c r="E206" s="85" t="e">
        <f>IF(#REF!=0,"",#REF!)</f>
        <v>#REF!</v>
      </c>
      <c r="F206" s="85" t="e">
        <f>IF(#REF!=0,"",#REF!)</f>
        <v>#REF!</v>
      </c>
      <c r="G206" s="105">
        <f>'27'!Q206</f>
        <v>0</v>
      </c>
      <c r="H206" s="161">
        <f>'27'!R206</f>
        <v>0</v>
      </c>
      <c r="I206" s="161">
        <f>'27'!S206</f>
        <v>0</v>
      </c>
      <c r="J206" s="161"/>
      <c r="K206" s="106">
        <f>'27'!T206</f>
        <v>0</v>
      </c>
      <c r="L206" s="85" t="e">
        <f>#REF!</f>
        <v>#REF!</v>
      </c>
      <c r="M206" s="105" t="e">
        <f>#REF!</f>
        <v>#REF!</v>
      </c>
      <c r="N206" s="161"/>
      <c r="O206" s="106" t="e">
        <f>#REF!</f>
        <v>#REF!</v>
      </c>
      <c r="P206" s="107" t="e">
        <f>IF(#REF!=0,"",#REF!)</f>
        <v>#REF!</v>
      </c>
      <c r="Q206" s="111" t="e">
        <f>IF(#REF!=0,"",#REF!)</f>
        <v>#REF!</v>
      </c>
      <c r="R206" s="85" t="e">
        <f>IF(#REF!=0,"",#REF!)</f>
        <v>#REF!</v>
      </c>
      <c r="S206" s="85" t="e">
        <f>IF(#REF!=0,"",#REF!)</f>
        <v>#REF!</v>
      </c>
      <c r="T206" s="268"/>
      <c r="U206" s="268"/>
      <c r="V206" s="268"/>
    </row>
    <row r="207" ht="15" customHeight="1" spans="2:22">
      <c r="B207" s="6" t="e">
        <f t="shared" si="4"/>
        <v>#REF!</v>
      </c>
      <c r="C207" s="79" t="e">
        <f>#REF!</f>
        <v>#REF!</v>
      </c>
      <c r="D207" s="62" t="e">
        <f>IF(#REF!=0,"",#REF!)</f>
        <v>#REF!</v>
      </c>
      <c r="E207" s="81" t="e">
        <f>IF(#REF!=0,"",#REF!)</f>
        <v>#REF!</v>
      </c>
      <c r="F207" s="81" t="e">
        <f>IF(#REF!=0,"",#REF!)</f>
        <v>#REF!</v>
      </c>
      <c r="G207" s="100" t="e">
        <f>#REF!</f>
        <v>#REF!</v>
      </c>
      <c r="H207" s="159">
        <f>'27'!R207</f>
        <v>0</v>
      </c>
      <c r="I207" s="159">
        <f>'27'!S207</f>
        <v>0</v>
      </c>
      <c r="J207" s="159"/>
      <c r="K207" s="101">
        <f>'27'!T207</f>
        <v>0</v>
      </c>
      <c r="L207" s="81" t="e">
        <f>#REF!</f>
        <v>#REF!</v>
      </c>
      <c r="M207" s="100" t="e">
        <f>#REF!</f>
        <v>#REF!</v>
      </c>
      <c r="N207" s="159"/>
      <c r="O207" s="101" t="e">
        <f>#REF!</f>
        <v>#REF!</v>
      </c>
      <c r="P207" s="102" t="e">
        <f>IF(#REF!=0,"",#REF!)</f>
        <v>#REF!</v>
      </c>
      <c r="Q207" s="108" t="e">
        <f>IF(#REF!=0,"",#REF!)</f>
        <v>#REF!</v>
      </c>
      <c r="R207" s="81" t="e">
        <f>IF(#REF!=0,"",#REF!)</f>
        <v>#REF!</v>
      </c>
      <c r="S207" s="81" t="e">
        <f>IF(#REF!=0,"",#REF!)</f>
        <v>#REF!</v>
      </c>
      <c r="T207" s="268"/>
      <c r="U207" s="268"/>
      <c r="V207" s="268"/>
    </row>
    <row r="208" ht="15" customHeight="1" spans="2:22">
      <c r="B208" s="6" t="e">
        <f t="shared" si="4"/>
        <v>#REF!</v>
      </c>
      <c r="C208" s="31" t="e">
        <f>#REF!</f>
        <v>#REF!</v>
      </c>
      <c r="D208" s="32" t="e">
        <f>IF(#REF!=0,"",#REF!)</f>
        <v>#REF!</v>
      </c>
      <c r="E208" s="36" t="e">
        <f>IF(#REF!=0,"",#REF!)</f>
        <v>#REF!</v>
      </c>
      <c r="F208" s="36" t="e">
        <f>IF(#REF!=0,"",#REF!)</f>
        <v>#REF!</v>
      </c>
      <c r="G208" s="103">
        <f>'27'!Q208</f>
        <v>0</v>
      </c>
      <c r="H208" s="160">
        <f>'27'!R208</f>
        <v>0</v>
      </c>
      <c r="I208" s="160">
        <f>'27'!S208</f>
        <v>0</v>
      </c>
      <c r="J208" s="160"/>
      <c r="K208" s="104">
        <f>'27'!T208</f>
        <v>0</v>
      </c>
      <c r="L208" s="36" t="e">
        <f>#REF!</f>
        <v>#REF!</v>
      </c>
      <c r="M208" s="103" t="e">
        <f>#REF!</f>
        <v>#REF!</v>
      </c>
      <c r="N208" s="160"/>
      <c r="O208" s="104" t="e">
        <f>#REF!</f>
        <v>#REF!</v>
      </c>
      <c r="P208" s="52" t="e">
        <f>IF(#REF!=0,"",#REF!)</f>
        <v>#REF!</v>
      </c>
      <c r="Q208" s="109" t="e">
        <f>IF(#REF!=0,"",#REF!)</f>
        <v>#REF!</v>
      </c>
      <c r="R208" s="36" t="e">
        <f>IF(#REF!=0,"",#REF!)</f>
        <v>#REF!</v>
      </c>
      <c r="S208" s="36" t="e">
        <f>IF(#REF!=0,"",#REF!)</f>
        <v>#REF!</v>
      </c>
      <c r="T208" s="268"/>
      <c r="U208" s="268"/>
      <c r="V208" s="268"/>
    </row>
    <row r="209" ht="15" customHeight="1" spans="2:22">
      <c r="B209" s="6" t="e">
        <f t="shared" si="4"/>
        <v>#REF!</v>
      </c>
      <c r="C209" s="83" t="e">
        <f>#REF!</f>
        <v>#REF!</v>
      </c>
      <c r="D209" s="110" t="e">
        <f>IF(#REF!=0,"",#REF!)</f>
        <v>#REF!</v>
      </c>
      <c r="E209" s="85" t="e">
        <f>IF(#REF!=0,"",#REF!)</f>
        <v>#REF!</v>
      </c>
      <c r="F209" s="85" t="e">
        <f>IF(#REF!=0,"",#REF!)</f>
        <v>#REF!</v>
      </c>
      <c r="G209" s="105">
        <f>'27'!Q209</f>
        <v>0</v>
      </c>
      <c r="H209" s="161">
        <f>'27'!R209</f>
        <v>0</v>
      </c>
      <c r="I209" s="161">
        <f>'27'!S209</f>
        <v>0</v>
      </c>
      <c r="J209" s="161"/>
      <c r="K209" s="106">
        <f>'27'!T209</f>
        <v>0</v>
      </c>
      <c r="L209" s="85" t="e">
        <f>#REF!</f>
        <v>#REF!</v>
      </c>
      <c r="M209" s="105" t="e">
        <f>#REF!</f>
        <v>#REF!</v>
      </c>
      <c r="N209" s="161"/>
      <c r="O209" s="106" t="e">
        <f>#REF!</f>
        <v>#REF!</v>
      </c>
      <c r="P209" s="107" t="e">
        <f>IF(#REF!=0,"",#REF!)</f>
        <v>#REF!</v>
      </c>
      <c r="Q209" s="111" t="e">
        <f>IF(#REF!=0,"",#REF!)</f>
        <v>#REF!</v>
      </c>
      <c r="R209" s="85" t="e">
        <f>IF(#REF!=0,"",#REF!)</f>
        <v>#REF!</v>
      </c>
      <c r="S209" s="85" t="e">
        <f>IF(#REF!=0,"",#REF!)</f>
        <v>#REF!</v>
      </c>
      <c r="T209" s="268"/>
      <c r="U209" s="268"/>
      <c r="V209" s="268"/>
    </row>
    <row r="210" ht="15" customHeight="1" spans="2:22">
      <c r="B210" s="6" t="e">
        <f t="shared" si="4"/>
        <v>#REF!</v>
      </c>
      <c r="C210" s="79" t="e">
        <f>#REF!</f>
        <v>#REF!</v>
      </c>
      <c r="D210" s="62" t="e">
        <f>IF(#REF!=0,"",#REF!)</f>
        <v>#REF!</v>
      </c>
      <c r="E210" s="81" t="e">
        <f>IF(#REF!=0,"",#REF!)</f>
        <v>#REF!</v>
      </c>
      <c r="F210" s="81" t="e">
        <f>IF(#REF!=0,"",#REF!)</f>
        <v>#REF!</v>
      </c>
      <c r="G210" s="100" t="e">
        <f>#REF!</f>
        <v>#REF!</v>
      </c>
      <c r="H210" s="159">
        <f>'27'!R210</f>
        <v>0</v>
      </c>
      <c r="I210" s="159">
        <f>'27'!S210</f>
        <v>0</v>
      </c>
      <c r="J210" s="159"/>
      <c r="K210" s="101">
        <f>'27'!T210</f>
        <v>0</v>
      </c>
      <c r="L210" s="81" t="e">
        <f>#REF!</f>
        <v>#REF!</v>
      </c>
      <c r="M210" s="100" t="e">
        <f>#REF!</f>
        <v>#REF!</v>
      </c>
      <c r="N210" s="159"/>
      <c r="O210" s="101" t="e">
        <f>#REF!</f>
        <v>#REF!</v>
      </c>
      <c r="P210" s="102" t="e">
        <f>IF(#REF!=0,"",#REF!)</f>
        <v>#REF!</v>
      </c>
      <c r="Q210" s="108" t="e">
        <f>IF(#REF!=0,"",#REF!)</f>
        <v>#REF!</v>
      </c>
      <c r="R210" s="81" t="e">
        <f>IF(#REF!=0,"",#REF!)</f>
        <v>#REF!</v>
      </c>
      <c r="S210" s="81" t="e">
        <f>IF(#REF!=0,"",#REF!)</f>
        <v>#REF!</v>
      </c>
      <c r="T210" s="268"/>
      <c r="U210" s="268"/>
      <c r="V210" s="268"/>
    </row>
    <row r="211" ht="15" customHeight="1" spans="2:22">
      <c r="B211" s="6" t="e">
        <f t="shared" si="4"/>
        <v>#REF!</v>
      </c>
      <c r="C211" s="31" t="e">
        <f>#REF!</f>
        <v>#REF!</v>
      </c>
      <c r="D211" s="32" t="e">
        <f>IF(#REF!=0,"",#REF!)</f>
        <v>#REF!</v>
      </c>
      <c r="E211" s="36" t="e">
        <f>IF(#REF!=0,"",#REF!)</f>
        <v>#REF!</v>
      </c>
      <c r="F211" s="36" t="e">
        <f>IF(#REF!=0,"",#REF!)</f>
        <v>#REF!</v>
      </c>
      <c r="G211" s="103">
        <f>'27'!Q211</f>
        <v>0</v>
      </c>
      <c r="H211" s="160">
        <f>'27'!R211</f>
        <v>0</v>
      </c>
      <c r="I211" s="160">
        <f>'27'!S211</f>
        <v>0</v>
      </c>
      <c r="J211" s="160"/>
      <c r="K211" s="104">
        <f>'27'!T211</f>
        <v>0</v>
      </c>
      <c r="L211" s="36" t="e">
        <f>#REF!</f>
        <v>#REF!</v>
      </c>
      <c r="M211" s="103" t="e">
        <f>#REF!</f>
        <v>#REF!</v>
      </c>
      <c r="N211" s="160"/>
      <c r="O211" s="104" t="e">
        <f>#REF!</f>
        <v>#REF!</v>
      </c>
      <c r="P211" s="52" t="e">
        <f>IF(#REF!=0,"",#REF!)</f>
        <v>#REF!</v>
      </c>
      <c r="Q211" s="109" t="e">
        <f>IF(#REF!=0,"",#REF!)</f>
        <v>#REF!</v>
      </c>
      <c r="R211" s="36" t="e">
        <f>IF(#REF!=0,"",#REF!)</f>
        <v>#REF!</v>
      </c>
      <c r="S211" s="36" t="e">
        <f>IF(#REF!=0,"",#REF!)</f>
        <v>#REF!</v>
      </c>
      <c r="T211" s="268"/>
      <c r="U211" s="268"/>
      <c r="V211" s="268"/>
    </row>
    <row r="212" ht="15" customHeight="1" spans="2:22">
      <c r="B212" s="6" t="e">
        <f t="shared" si="4"/>
        <v>#REF!</v>
      </c>
      <c r="C212" s="83" t="e">
        <f>#REF!</f>
        <v>#REF!</v>
      </c>
      <c r="D212" s="110" t="e">
        <f>IF(#REF!=0,"",#REF!)</f>
        <v>#REF!</v>
      </c>
      <c r="E212" s="85" t="e">
        <f>IF(#REF!=0,"",#REF!)</f>
        <v>#REF!</v>
      </c>
      <c r="F212" s="85" t="e">
        <f>IF(#REF!=0,"",#REF!)</f>
        <v>#REF!</v>
      </c>
      <c r="G212" s="105">
        <f>'27'!Q212</f>
        <v>0</v>
      </c>
      <c r="H212" s="161">
        <f>'27'!R212</f>
        <v>0</v>
      </c>
      <c r="I212" s="161">
        <f>'27'!S212</f>
        <v>0</v>
      </c>
      <c r="J212" s="161"/>
      <c r="K212" s="106">
        <f>'27'!T212</f>
        <v>0</v>
      </c>
      <c r="L212" s="85" t="e">
        <f>#REF!</f>
        <v>#REF!</v>
      </c>
      <c r="M212" s="105" t="e">
        <f>#REF!</f>
        <v>#REF!</v>
      </c>
      <c r="N212" s="161"/>
      <c r="O212" s="106" t="e">
        <f>#REF!</f>
        <v>#REF!</v>
      </c>
      <c r="P212" s="107" t="e">
        <f>IF(#REF!=0,"",#REF!)</f>
        <v>#REF!</v>
      </c>
      <c r="Q212" s="111" t="e">
        <f>IF(#REF!=0,"",#REF!)</f>
        <v>#REF!</v>
      </c>
      <c r="R212" s="85" t="e">
        <f>IF(#REF!=0,"",#REF!)</f>
        <v>#REF!</v>
      </c>
      <c r="S212" s="85" t="e">
        <f>IF(#REF!=0,"",#REF!)</f>
        <v>#REF!</v>
      </c>
      <c r="T212" s="268"/>
      <c r="U212" s="268"/>
      <c r="V212" s="268"/>
    </row>
    <row r="213" ht="15" customHeight="1" spans="2:22">
      <c r="B213" s="6" t="e">
        <f t="shared" si="4"/>
        <v>#REF!</v>
      </c>
      <c r="C213" s="79" t="e">
        <f>#REF!</f>
        <v>#REF!</v>
      </c>
      <c r="D213" s="62" t="e">
        <f>IF(#REF!=0,"",#REF!)</f>
        <v>#REF!</v>
      </c>
      <c r="E213" s="81" t="e">
        <f>IF(#REF!=0,"",#REF!)</f>
        <v>#REF!</v>
      </c>
      <c r="F213" s="81" t="e">
        <f>IF(#REF!=0,"",#REF!)</f>
        <v>#REF!</v>
      </c>
      <c r="G213" s="100" t="e">
        <f>#REF!</f>
        <v>#REF!</v>
      </c>
      <c r="H213" s="159">
        <f>'27'!R213</f>
        <v>0</v>
      </c>
      <c r="I213" s="159">
        <f>'27'!S213</f>
        <v>0</v>
      </c>
      <c r="J213" s="159"/>
      <c r="K213" s="101">
        <f>'27'!T213</f>
        <v>0</v>
      </c>
      <c r="L213" s="81" t="e">
        <f>#REF!</f>
        <v>#REF!</v>
      </c>
      <c r="M213" s="100" t="e">
        <f>#REF!</f>
        <v>#REF!</v>
      </c>
      <c r="N213" s="159"/>
      <c r="O213" s="101" t="e">
        <f>#REF!</f>
        <v>#REF!</v>
      </c>
      <c r="P213" s="102" t="e">
        <f>IF(#REF!=0,"",#REF!)</f>
        <v>#REF!</v>
      </c>
      <c r="Q213" s="108" t="e">
        <f>IF(#REF!=0,"",#REF!)</f>
        <v>#REF!</v>
      </c>
      <c r="R213" s="81" t="e">
        <f>IF(#REF!=0,"",#REF!)</f>
        <v>#REF!</v>
      </c>
      <c r="S213" s="81" t="e">
        <f>IF(#REF!=0,"",#REF!)</f>
        <v>#REF!</v>
      </c>
      <c r="T213" s="268"/>
      <c r="U213" s="268"/>
      <c r="V213" s="268"/>
    </row>
    <row r="214" ht="15" customHeight="1" spans="2:22">
      <c r="B214" s="6" t="e">
        <f t="shared" si="4"/>
        <v>#REF!</v>
      </c>
      <c r="C214" s="31" t="e">
        <f>#REF!</f>
        <v>#REF!</v>
      </c>
      <c r="D214" s="32" t="e">
        <f>IF(#REF!=0,"",#REF!)</f>
        <v>#REF!</v>
      </c>
      <c r="E214" s="36" t="e">
        <f>IF(#REF!=0,"",#REF!)</f>
        <v>#REF!</v>
      </c>
      <c r="F214" s="36" t="e">
        <f>IF(#REF!=0,"",#REF!)</f>
        <v>#REF!</v>
      </c>
      <c r="G214" s="103">
        <f>'27'!Q214</f>
        <v>0</v>
      </c>
      <c r="H214" s="160">
        <f>'27'!R214</f>
        <v>0</v>
      </c>
      <c r="I214" s="160">
        <f>'27'!S214</f>
        <v>0</v>
      </c>
      <c r="J214" s="160"/>
      <c r="K214" s="104">
        <f>'27'!T214</f>
        <v>0</v>
      </c>
      <c r="L214" s="36" t="e">
        <f>#REF!</f>
        <v>#REF!</v>
      </c>
      <c r="M214" s="103" t="e">
        <f>#REF!</f>
        <v>#REF!</v>
      </c>
      <c r="N214" s="160"/>
      <c r="O214" s="104" t="e">
        <f>#REF!</f>
        <v>#REF!</v>
      </c>
      <c r="P214" s="52" t="e">
        <f>IF(#REF!=0,"",#REF!)</f>
        <v>#REF!</v>
      </c>
      <c r="Q214" s="109" t="e">
        <f>IF(#REF!=0,"",#REF!)</f>
        <v>#REF!</v>
      </c>
      <c r="R214" s="36" t="e">
        <f>IF(#REF!=0,"",#REF!)</f>
        <v>#REF!</v>
      </c>
      <c r="S214" s="36" t="e">
        <f>IF(#REF!=0,"",#REF!)</f>
        <v>#REF!</v>
      </c>
      <c r="T214" s="268"/>
      <c r="U214" s="268"/>
      <c r="V214" s="268"/>
    </row>
    <row r="215" ht="15" customHeight="1" spans="2:22">
      <c r="B215" s="6" t="e">
        <f t="shared" si="4"/>
        <v>#REF!</v>
      </c>
      <c r="C215" s="83" t="e">
        <f>#REF!</f>
        <v>#REF!</v>
      </c>
      <c r="D215" s="110" t="e">
        <f>IF(#REF!=0,"",#REF!)</f>
        <v>#REF!</v>
      </c>
      <c r="E215" s="85" t="e">
        <f>IF(#REF!=0,"",#REF!)</f>
        <v>#REF!</v>
      </c>
      <c r="F215" s="85" t="e">
        <f>IF(#REF!=0,"",#REF!)</f>
        <v>#REF!</v>
      </c>
      <c r="G215" s="105">
        <f>'27'!Q215</f>
        <v>0</v>
      </c>
      <c r="H215" s="161">
        <f>'27'!R215</f>
        <v>0</v>
      </c>
      <c r="I215" s="161">
        <f>'27'!S215</f>
        <v>0</v>
      </c>
      <c r="J215" s="161"/>
      <c r="K215" s="106">
        <f>'27'!T215</f>
        <v>0</v>
      </c>
      <c r="L215" s="85" t="e">
        <f>#REF!</f>
        <v>#REF!</v>
      </c>
      <c r="M215" s="105" t="e">
        <f>#REF!</f>
        <v>#REF!</v>
      </c>
      <c r="N215" s="161"/>
      <c r="O215" s="106" t="e">
        <f>#REF!</f>
        <v>#REF!</v>
      </c>
      <c r="P215" s="107" t="e">
        <f>IF(#REF!=0,"",#REF!)</f>
        <v>#REF!</v>
      </c>
      <c r="Q215" s="111" t="e">
        <f>IF(#REF!=0,"",#REF!)</f>
        <v>#REF!</v>
      </c>
      <c r="R215" s="85" t="e">
        <f>IF(#REF!=0,"",#REF!)</f>
        <v>#REF!</v>
      </c>
      <c r="S215" s="85" t="e">
        <f>IF(#REF!=0,"",#REF!)</f>
        <v>#REF!</v>
      </c>
      <c r="T215" s="268"/>
      <c r="U215" s="268"/>
      <c r="V215" s="268"/>
    </row>
    <row r="216" ht="15" customHeight="1" spans="2:22">
      <c r="B216" s="6" t="e">
        <f t="shared" si="4"/>
        <v>#REF!</v>
      </c>
      <c r="C216" s="79" t="e">
        <f>#REF!</f>
        <v>#REF!</v>
      </c>
      <c r="D216" s="62" t="e">
        <f>IF(#REF!=0,"",#REF!)</f>
        <v>#REF!</v>
      </c>
      <c r="E216" s="81" t="e">
        <f>IF(#REF!=0,"",#REF!)</f>
        <v>#REF!</v>
      </c>
      <c r="F216" s="81" t="e">
        <f>IF(#REF!=0,"",#REF!)</f>
        <v>#REF!</v>
      </c>
      <c r="G216" s="100" t="e">
        <f>#REF!</f>
        <v>#REF!</v>
      </c>
      <c r="H216" s="159">
        <f>'27'!R216</f>
        <v>0</v>
      </c>
      <c r="I216" s="159">
        <f>'27'!S216</f>
        <v>0</v>
      </c>
      <c r="J216" s="159"/>
      <c r="K216" s="101">
        <f>'27'!T216</f>
        <v>0</v>
      </c>
      <c r="L216" s="81" t="e">
        <f>#REF!</f>
        <v>#REF!</v>
      </c>
      <c r="M216" s="100" t="e">
        <f>#REF!</f>
        <v>#REF!</v>
      </c>
      <c r="N216" s="159"/>
      <c r="O216" s="101" t="e">
        <f>#REF!</f>
        <v>#REF!</v>
      </c>
      <c r="P216" s="102" t="e">
        <f>IF(#REF!=0,"",#REF!)</f>
        <v>#REF!</v>
      </c>
      <c r="Q216" s="108" t="e">
        <f>IF(#REF!=0,"",#REF!)</f>
        <v>#REF!</v>
      </c>
      <c r="R216" s="81" t="e">
        <f>IF(#REF!=0,"",#REF!)</f>
        <v>#REF!</v>
      </c>
      <c r="S216" s="81" t="e">
        <f>IF(#REF!=0,"",#REF!)</f>
        <v>#REF!</v>
      </c>
      <c r="T216" s="268"/>
      <c r="U216" s="268"/>
      <c r="V216" s="268"/>
    </row>
    <row r="217" ht="15" customHeight="1" spans="2:22">
      <c r="B217" s="6" t="e">
        <f t="shared" si="4"/>
        <v>#REF!</v>
      </c>
      <c r="C217" s="31" t="e">
        <f>#REF!</f>
        <v>#REF!</v>
      </c>
      <c r="D217" s="32" t="e">
        <f>IF(#REF!=0,"",#REF!)</f>
        <v>#REF!</v>
      </c>
      <c r="E217" s="36" t="e">
        <f>IF(#REF!=0,"",#REF!)</f>
        <v>#REF!</v>
      </c>
      <c r="F217" s="36" t="e">
        <f>IF(#REF!=0,"",#REF!)</f>
        <v>#REF!</v>
      </c>
      <c r="G217" s="103">
        <f>'27'!Q217</f>
        <v>0</v>
      </c>
      <c r="H217" s="160">
        <f>'27'!R217</f>
        <v>0</v>
      </c>
      <c r="I217" s="160">
        <f>'27'!S217</f>
        <v>0</v>
      </c>
      <c r="J217" s="160"/>
      <c r="K217" s="104">
        <f>'27'!T217</f>
        <v>0</v>
      </c>
      <c r="L217" s="36" t="e">
        <f>#REF!</f>
        <v>#REF!</v>
      </c>
      <c r="M217" s="103" t="e">
        <f>#REF!</f>
        <v>#REF!</v>
      </c>
      <c r="N217" s="160"/>
      <c r="O217" s="104" t="e">
        <f>#REF!</f>
        <v>#REF!</v>
      </c>
      <c r="P217" s="52" t="e">
        <f>IF(#REF!=0,"",#REF!)</f>
        <v>#REF!</v>
      </c>
      <c r="Q217" s="109" t="e">
        <f>IF(#REF!=0,"",#REF!)</f>
        <v>#REF!</v>
      </c>
      <c r="R217" s="36" t="e">
        <f>IF(#REF!=0,"",#REF!)</f>
        <v>#REF!</v>
      </c>
      <c r="S217" s="36" t="e">
        <f>IF(#REF!=0,"",#REF!)</f>
        <v>#REF!</v>
      </c>
      <c r="T217" s="268"/>
      <c r="U217" s="268"/>
      <c r="V217" s="268"/>
    </row>
    <row r="218" ht="15" customHeight="1" spans="2:22">
      <c r="B218" s="6" t="e">
        <f t="shared" si="4"/>
        <v>#REF!</v>
      </c>
      <c r="C218" s="83" t="e">
        <f>#REF!</f>
        <v>#REF!</v>
      </c>
      <c r="D218" s="110" t="e">
        <f>IF(#REF!=0,"",#REF!)</f>
        <v>#REF!</v>
      </c>
      <c r="E218" s="85" t="e">
        <f>IF(#REF!=0,"",#REF!)</f>
        <v>#REF!</v>
      </c>
      <c r="F218" s="85" t="e">
        <f>IF(#REF!=0,"",#REF!)</f>
        <v>#REF!</v>
      </c>
      <c r="G218" s="105">
        <f>'27'!Q218</f>
        <v>0</v>
      </c>
      <c r="H218" s="161">
        <f>'27'!R218</f>
        <v>0</v>
      </c>
      <c r="I218" s="161">
        <f>'27'!S218</f>
        <v>0</v>
      </c>
      <c r="J218" s="161"/>
      <c r="K218" s="106">
        <f>'27'!T218</f>
        <v>0</v>
      </c>
      <c r="L218" s="85" t="e">
        <f>#REF!</f>
        <v>#REF!</v>
      </c>
      <c r="M218" s="105" t="e">
        <f>#REF!</f>
        <v>#REF!</v>
      </c>
      <c r="N218" s="161"/>
      <c r="O218" s="106" t="e">
        <f>#REF!</f>
        <v>#REF!</v>
      </c>
      <c r="P218" s="107" t="e">
        <f>IF(#REF!=0,"",#REF!)</f>
        <v>#REF!</v>
      </c>
      <c r="Q218" s="111" t="e">
        <f>IF(#REF!=0,"",#REF!)</f>
        <v>#REF!</v>
      </c>
      <c r="R218" s="85" t="e">
        <f>IF(#REF!=0,"",#REF!)</f>
        <v>#REF!</v>
      </c>
      <c r="S218" s="85" t="e">
        <f>IF(#REF!=0,"",#REF!)</f>
        <v>#REF!</v>
      </c>
      <c r="T218" s="268"/>
      <c r="U218" s="268"/>
      <c r="V218" s="268"/>
    </row>
    <row r="219" ht="15" customHeight="1" spans="2:22">
      <c r="B219" s="6" t="e">
        <f t="shared" si="4"/>
        <v>#REF!</v>
      </c>
      <c r="C219" s="79" t="e">
        <f>#REF!</f>
        <v>#REF!</v>
      </c>
      <c r="D219" s="62" t="e">
        <f>IF(#REF!=0,"",#REF!)</f>
        <v>#REF!</v>
      </c>
      <c r="E219" s="81" t="e">
        <f>IF(#REF!=0,"",#REF!)</f>
        <v>#REF!</v>
      </c>
      <c r="F219" s="81" t="e">
        <f>IF(#REF!=0,"",#REF!)</f>
        <v>#REF!</v>
      </c>
      <c r="G219" s="100" t="e">
        <f>#REF!</f>
        <v>#REF!</v>
      </c>
      <c r="H219" s="159">
        <f>'27'!R219</f>
        <v>0</v>
      </c>
      <c r="I219" s="159">
        <f>'27'!S219</f>
        <v>0</v>
      </c>
      <c r="J219" s="159"/>
      <c r="K219" s="101">
        <f>'27'!T219</f>
        <v>0</v>
      </c>
      <c r="L219" s="81" t="e">
        <f>#REF!</f>
        <v>#REF!</v>
      </c>
      <c r="M219" s="100" t="e">
        <f>#REF!</f>
        <v>#REF!</v>
      </c>
      <c r="N219" s="159"/>
      <c r="O219" s="101" t="e">
        <f>#REF!</f>
        <v>#REF!</v>
      </c>
      <c r="P219" s="102" t="e">
        <f>IF(#REF!=0,"",#REF!)</f>
        <v>#REF!</v>
      </c>
      <c r="Q219" s="108" t="e">
        <f>IF(#REF!=0,"",#REF!)</f>
        <v>#REF!</v>
      </c>
      <c r="R219" s="81" t="e">
        <f>IF(#REF!=0,"",#REF!)</f>
        <v>#REF!</v>
      </c>
      <c r="S219" s="81" t="e">
        <f>IF(#REF!=0,"",#REF!)</f>
        <v>#REF!</v>
      </c>
      <c r="T219" s="268"/>
      <c r="U219" s="268"/>
      <c r="V219" s="268"/>
    </row>
    <row r="220" ht="15" customHeight="1" spans="2:22">
      <c r="B220" s="6" t="e">
        <f t="shared" si="4"/>
        <v>#REF!</v>
      </c>
      <c r="C220" s="31" t="e">
        <f>#REF!</f>
        <v>#REF!</v>
      </c>
      <c r="D220" s="32" t="e">
        <f>IF(#REF!=0,"",#REF!)</f>
        <v>#REF!</v>
      </c>
      <c r="E220" s="36" t="e">
        <f>IF(#REF!=0,"",#REF!)</f>
        <v>#REF!</v>
      </c>
      <c r="F220" s="36" t="e">
        <f>IF(#REF!=0,"",#REF!)</f>
        <v>#REF!</v>
      </c>
      <c r="G220" s="103">
        <f>'27'!Q220</f>
        <v>0</v>
      </c>
      <c r="H220" s="160">
        <f>'27'!R220</f>
        <v>0</v>
      </c>
      <c r="I220" s="160">
        <f>'27'!S220</f>
        <v>0</v>
      </c>
      <c r="J220" s="160"/>
      <c r="K220" s="104">
        <f>'27'!T220</f>
        <v>0</v>
      </c>
      <c r="L220" s="36" t="e">
        <f>#REF!</f>
        <v>#REF!</v>
      </c>
      <c r="M220" s="103" t="e">
        <f>#REF!</f>
        <v>#REF!</v>
      </c>
      <c r="N220" s="160"/>
      <c r="O220" s="104" t="e">
        <f>#REF!</f>
        <v>#REF!</v>
      </c>
      <c r="P220" s="52" t="e">
        <f>IF(#REF!=0,"",#REF!)</f>
        <v>#REF!</v>
      </c>
      <c r="Q220" s="109" t="e">
        <f>IF(#REF!=0,"",#REF!)</f>
        <v>#REF!</v>
      </c>
      <c r="R220" s="36" t="e">
        <f>IF(#REF!=0,"",#REF!)</f>
        <v>#REF!</v>
      </c>
      <c r="S220" s="36" t="e">
        <f>IF(#REF!=0,"",#REF!)</f>
        <v>#REF!</v>
      </c>
      <c r="T220" s="268"/>
      <c r="U220" s="268"/>
      <c r="V220" s="268"/>
    </row>
    <row r="221" ht="15" customHeight="1" spans="2:22">
      <c r="B221" s="6" t="e">
        <f t="shared" si="4"/>
        <v>#REF!</v>
      </c>
      <c r="C221" s="83" t="e">
        <f>#REF!</f>
        <v>#REF!</v>
      </c>
      <c r="D221" s="110" t="e">
        <f>IF(#REF!=0,"",#REF!)</f>
        <v>#REF!</v>
      </c>
      <c r="E221" s="85" t="e">
        <f>IF(#REF!=0,"",#REF!)</f>
        <v>#REF!</v>
      </c>
      <c r="F221" s="85" t="e">
        <f>IF(#REF!=0,"",#REF!)</f>
        <v>#REF!</v>
      </c>
      <c r="G221" s="105">
        <f>'27'!Q221</f>
        <v>0</v>
      </c>
      <c r="H221" s="161">
        <f>'27'!R221</f>
        <v>0</v>
      </c>
      <c r="I221" s="161">
        <f>'27'!S221</f>
        <v>0</v>
      </c>
      <c r="J221" s="161"/>
      <c r="K221" s="106">
        <f>'27'!T221</f>
        <v>0</v>
      </c>
      <c r="L221" s="85" t="e">
        <f>#REF!</f>
        <v>#REF!</v>
      </c>
      <c r="M221" s="105" t="e">
        <f>#REF!</f>
        <v>#REF!</v>
      </c>
      <c r="N221" s="161"/>
      <c r="O221" s="106" t="e">
        <f>#REF!</f>
        <v>#REF!</v>
      </c>
      <c r="P221" s="107" t="e">
        <f>IF(#REF!=0,"",#REF!)</f>
        <v>#REF!</v>
      </c>
      <c r="Q221" s="111" t="e">
        <f>IF(#REF!=0,"",#REF!)</f>
        <v>#REF!</v>
      </c>
      <c r="R221" s="85" t="e">
        <f>IF(#REF!=0,"",#REF!)</f>
        <v>#REF!</v>
      </c>
      <c r="S221" s="85" t="e">
        <f>IF(#REF!=0,"",#REF!)</f>
        <v>#REF!</v>
      </c>
      <c r="T221" s="268"/>
      <c r="U221" s="268"/>
      <c r="V221" s="268"/>
    </row>
    <row r="222" ht="15" customHeight="1" spans="2:22">
      <c r="B222" s="6" t="e">
        <f t="shared" si="4"/>
        <v>#REF!</v>
      </c>
      <c r="C222" s="79" t="e">
        <f>#REF!</f>
        <v>#REF!</v>
      </c>
      <c r="D222" s="62" t="e">
        <f>IF(#REF!=0,"",#REF!)</f>
        <v>#REF!</v>
      </c>
      <c r="E222" s="81" t="e">
        <f>IF(#REF!=0,"",#REF!)</f>
        <v>#REF!</v>
      </c>
      <c r="F222" s="81" t="e">
        <f>IF(#REF!=0,"",#REF!)</f>
        <v>#REF!</v>
      </c>
      <c r="G222" s="100" t="e">
        <f>#REF!</f>
        <v>#REF!</v>
      </c>
      <c r="H222" s="159">
        <f>'27'!R222</f>
        <v>0</v>
      </c>
      <c r="I222" s="159">
        <f>'27'!S222</f>
        <v>0</v>
      </c>
      <c r="J222" s="159"/>
      <c r="K222" s="101">
        <f>'27'!T222</f>
        <v>0</v>
      </c>
      <c r="L222" s="81" t="e">
        <f>#REF!</f>
        <v>#REF!</v>
      </c>
      <c r="M222" s="100" t="e">
        <f>#REF!</f>
        <v>#REF!</v>
      </c>
      <c r="N222" s="159"/>
      <c r="O222" s="101" t="e">
        <f>#REF!</f>
        <v>#REF!</v>
      </c>
      <c r="P222" s="102" t="e">
        <f>IF(#REF!=0,"",#REF!)</f>
        <v>#REF!</v>
      </c>
      <c r="Q222" s="108" t="e">
        <f>IF(#REF!=0,"",#REF!)</f>
        <v>#REF!</v>
      </c>
      <c r="R222" s="81" t="e">
        <f>IF(#REF!=0,"",#REF!)</f>
        <v>#REF!</v>
      </c>
      <c r="S222" s="81" t="e">
        <f>IF(#REF!=0,"",#REF!)</f>
        <v>#REF!</v>
      </c>
      <c r="T222" s="268"/>
      <c r="U222" s="268"/>
      <c r="V222" s="268"/>
    </row>
    <row r="223" ht="15" customHeight="1" spans="2:22">
      <c r="B223" s="6" t="e">
        <f t="shared" si="4"/>
        <v>#REF!</v>
      </c>
      <c r="C223" s="31" t="e">
        <f>#REF!</f>
        <v>#REF!</v>
      </c>
      <c r="D223" s="32" t="e">
        <f>IF(#REF!=0,"",#REF!)</f>
        <v>#REF!</v>
      </c>
      <c r="E223" s="36" t="e">
        <f>IF(#REF!=0,"",#REF!)</f>
        <v>#REF!</v>
      </c>
      <c r="F223" s="36" t="e">
        <f>IF(#REF!=0,"",#REF!)</f>
        <v>#REF!</v>
      </c>
      <c r="G223" s="103">
        <f>'27'!Q223</f>
        <v>0</v>
      </c>
      <c r="H223" s="160">
        <f>'27'!R223</f>
        <v>0</v>
      </c>
      <c r="I223" s="160">
        <f>'27'!S223</f>
        <v>0</v>
      </c>
      <c r="J223" s="160"/>
      <c r="K223" s="104">
        <f>'27'!T223</f>
        <v>0</v>
      </c>
      <c r="L223" s="36" t="e">
        <f>#REF!</f>
        <v>#REF!</v>
      </c>
      <c r="M223" s="103" t="e">
        <f>#REF!</f>
        <v>#REF!</v>
      </c>
      <c r="N223" s="160"/>
      <c r="O223" s="104" t="e">
        <f>#REF!</f>
        <v>#REF!</v>
      </c>
      <c r="P223" s="52" t="e">
        <f>IF(#REF!=0,"",#REF!)</f>
        <v>#REF!</v>
      </c>
      <c r="Q223" s="109" t="e">
        <f>IF(#REF!=0,"",#REF!)</f>
        <v>#REF!</v>
      </c>
      <c r="R223" s="36" t="e">
        <f>IF(#REF!=0,"",#REF!)</f>
        <v>#REF!</v>
      </c>
      <c r="S223" s="36" t="e">
        <f>IF(#REF!=0,"",#REF!)</f>
        <v>#REF!</v>
      </c>
      <c r="T223" s="268"/>
      <c r="U223" s="268"/>
      <c r="V223" s="268"/>
    </row>
    <row r="224" ht="15" customHeight="1" spans="2:22">
      <c r="B224" s="6" t="e">
        <f t="shared" si="4"/>
        <v>#REF!</v>
      </c>
      <c r="C224" s="83" t="e">
        <f>#REF!</f>
        <v>#REF!</v>
      </c>
      <c r="D224" s="110" t="e">
        <f>IF(#REF!=0,"",#REF!)</f>
        <v>#REF!</v>
      </c>
      <c r="E224" s="85" t="e">
        <f>IF(#REF!=0,"",#REF!)</f>
        <v>#REF!</v>
      </c>
      <c r="F224" s="85" t="e">
        <f>IF(#REF!=0,"",#REF!)</f>
        <v>#REF!</v>
      </c>
      <c r="G224" s="105">
        <f>'27'!Q224</f>
        <v>0</v>
      </c>
      <c r="H224" s="161">
        <f>'27'!R224</f>
        <v>0</v>
      </c>
      <c r="I224" s="161">
        <f>'27'!S224</f>
        <v>0</v>
      </c>
      <c r="J224" s="161"/>
      <c r="K224" s="106">
        <f>'27'!T224</f>
        <v>0</v>
      </c>
      <c r="L224" s="85" t="e">
        <f>#REF!</f>
        <v>#REF!</v>
      </c>
      <c r="M224" s="105" t="e">
        <f>#REF!</f>
        <v>#REF!</v>
      </c>
      <c r="N224" s="161"/>
      <c r="O224" s="106" t="e">
        <f>#REF!</f>
        <v>#REF!</v>
      </c>
      <c r="P224" s="107" t="e">
        <f>IF(#REF!=0,"",#REF!)</f>
        <v>#REF!</v>
      </c>
      <c r="Q224" s="111" t="e">
        <f>IF(#REF!=0,"",#REF!)</f>
        <v>#REF!</v>
      </c>
      <c r="R224" s="85" t="e">
        <f>IF(#REF!=0,"",#REF!)</f>
        <v>#REF!</v>
      </c>
      <c r="S224" s="85" t="e">
        <f>IF(#REF!=0,"",#REF!)</f>
        <v>#REF!</v>
      </c>
      <c r="T224" s="268"/>
      <c r="U224" s="268"/>
      <c r="V224" s="268"/>
    </row>
    <row r="225" ht="15" customHeight="1" spans="2:22">
      <c r="B225" s="6" t="e">
        <f t="shared" si="4"/>
        <v>#REF!</v>
      </c>
      <c r="C225" s="79" t="e">
        <f>#REF!</f>
        <v>#REF!</v>
      </c>
      <c r="D225" s="62" t="e">
        <f>IF(#REF!=0,"",#REF!)</f>
        <v>#REF!</v>
      </c>
      <c r="E225" s="81" t="e">
        <f>IF(#REF!=0,"",#REF!)</f>
        <v>#REF!</v>
      </c>
      <c r="F225" s="81" t="e">
        <f>IF(#REF!=0,"",#REF!)</f>
        <v>#REF!</v>
      </c>
      <c r="G225" s="100" t="e">
        <f>#REF!</f>
        <v>#REF!</v>
      </c>
      <c r="H225" s="159">
        <f>'27'!R225</f>
        <v>0</v>
      </c>
      <c r="I225" s="159">
        <f>'27'!S225</f>
        <v>0</v>
      </c>
      <c r="J225" s="159"/>
      <c r="K225" s="101">
        <f>'27'!T225</f>
        <v>0</v>
      </c>
      <c r="L225" s="81" t="e">
        <f>#REF!</f>
        <v>#REF!</v>
      </c>
      <c r="M225" s="100" t="e">
        <f>#REF!</f>
        <v>#REF!</v>
      </c>
      <c r="N225" s="159"/>
      <c r="O225" s="101" t="e">
        <f>#REF!</f>
        <v>#REF!</v>
      </c>
      <c r="P225" s="102" t="e">
        <f>IF(#REF!=0,"",#REF!)</f>
        <v>#REF!</v>
      </c>
      <c r="Q225" s="108" t="e">
        <f>IF(#REF!=0,"",#REF!)</f>
        <v>#REF!</v>
      </c>
      <c r="R225" s="81" t="e">
        <f>IF(#REF!=0,"",#REF!)</f>
        <v>#REF!</v>
      </c>
      <c r="S225" s="81" t="e">
        <f>IF(#REF!=0,"",#REF!)</f>
        <v>#REF!</v>
      </c>
      <c r="T225" s="268"/>
      <c r="U225" s="268"/>
      <c r="V225" s="268"/>
    </row>
    <row r="226" ht="15" customHeight="1" spans="2:22">
      <c r="B226" s="6" t="e">
        <f t="shared" si="4"/>
        <v>#REF!</v>
      </c>
      <c r="C226" s="31" t="e">
        <f>#REF!</f>
        <v>#REF!</v>
      </c>
      <c r="D226" s="32" t="e">
        <f>IF(#REF!=0,"",#REF!)</f>
        <v>#REF!</v>
      </c>
      <c r="E226" s="36" t="e">
        <f>IF(#REF!=0,"",#REF!)</f>
        <v>#REF!</v>
      </c>
      <c r="F226" s="36" t="e">
        <f>IF(#REF!=0,"",#REF!)</f>
        <v>#REF!</v>
      </c>
      <c r="G226" s="103">
        <f>'27'!Q226</f>
        <v>0</v>
      </c>
      <c r="H226" s="160">
        <f>'27'!R226</f>
        <v>0</v>
      </c>
      <c r="I226" s="160">
        <f>'27'!S226</f>
        <v>0</v>
      </c>
      <c r="J226" s="160"/>
      <c r="K226" s="104">
        <f>'27'!T226</f>
        <v>0</v>
      </c>
      <c r="L226" s="36" t="e">
        <f>#REF!</f>
        <v>#REF!</v>
      </c>
      <c r="M226" s="103" t="e">
        <f>#REF!</f>
        <v>#REF!</v>
      </c>
      <c r="N226" s="160"/>
      <c r="O226" s="104" t="e">
        <f>#REF!</f>
        <v>#REF!</v>
      </c>
      <c r="P226" s="52" t="e">
        <f>IF(#REF!=0,"",#REF!)</f>
        <v>#REF!</v>
      </c>
      <c r="Q226" s="109" t="e">
        <f>IF(#REF!=0,"",#REF!)</f>
        <v>#REF!</v>
      </c>
      <c r="R226" s="36" t="e">
        <f>IF(#REF!=0,"",#REF!)</f>
        <v>#REF!</v>
      </c>
      <c r="S226" s="36" t="e">
        <f>IF(#REF!=0,"",#REF!)</f>
        <v>#REF!</v>
      </c>
      <c r="T226" s="268"/>
      <c r="U226" s="268"/>
      <c r="V226" s="268"/>
    </row>
    <row r="227" ht="15" customHeight="1" spans="2:22">
      <c r="B227" s="6" t="e">
        <f t="shared" si="4"/>
        <v>#REF!</v>
      </c>
      <c r="C227" s="83" t="e">
        <f>#REF!</f>
        <v>#REF!</v>
      </c>
      <c r="D227" s="110" t="e">
        <f>IF(#REF!=0,"",#REF!)</f>
        <v>#REF!</v>
      </c>
      <c r="E227" s="85" t="e">
        <f>IF(#REF!=0,"",#REF!)</f>
        <v>#REF!</v>
      </c>
      <c r="F227" s="85" t="e">
        <f>IF(#REF!=0,"",#REF!)</f>
        <v>#REF!</v>
      </c>
      <c r="G227" s="105">
        <f>'27'!Q227</f>
        <v>0</v>
      </c>
      <c r="H227" s="161">
        <f>'27'!R227</f>
        <v>0</v>
      </c>
      <c r="I227" s="161">
        <f>'27'!S227</f>
        <v>0</v>
      </c>
      <c r="J227" s="161"/>
      <c r="K227" s="106">
        <f>'27'!T227</f>
        <v>0</v>
      </c>
      <c r="L227" s="85" t="e">
        <f>#REF!</f>
        <v>#REF!</v>
      </c>
      <c r="M227" s="105" t="e">
        <f>#REF!</f>
        <v>#REF!</v>
      </c>
      <c r="N227" s="161"/>
      <c r="O227" s="106" t="e">
        <f>#REF!</f>
        <v>#REF!</v>
      </c>
      <c r="P227" s="107" t="e">
        <f>IF(#REF!=0,"",#REF!)</f>
        <v>#REF!</v>
      </c>
      <c r="Q227" s="111" t="e">
        <f>IF(#REF!=0,"",#REF!)</f>
        <v>#REF!</v>
      </c>
      <c r="R227" s="85" t="e">
        <f>IF(#REF!=0,"",#REF!)</f>
        <v>#REF!</v>
      </c>
      <c r="S227" s="85" t="e">
        <f>IF(#REF!=0,"",#REF!)</f>
        <v>#REF!</v>
      </c>
      <c r="T227" s="268"/>
      <c r="U227" s="268"/>
      <c r="V227" s="268"/>
    </row>
    <row r="228" ht="15" customHeight="1" spans="2:22">
      <c r="B228" s="6" t="e">
        <f t="shared" si="4"/>
        <v>#REF!</v>
      </c>
      <c r="C228" s="79" t="e">
        <f>#REF!</f>
        <v>#REF!</v>
      </c>
      <c r="D228" s="62" t="e">
        <f>IF(#REF!=0,"",#REF!)</f>
        <v>#REF!</v>
      </c>
      <c r="E228" s="81" t="e">
        <f>IF(#REF!=0,"",#REF!)</f>
        <v>#REF!</v>
      </c>
      <c r="F228" s="81" t="e">
        <f>IF(#REF!=0,"",#REF!)</f>
        <v>#REF!</v>
      </c>
      <c r="G228" s="100" t="e">
        <f>#REF!</f>
        <v>#REF!</v>
      </c>
      <c r="H228" s="159">
        <f>'27'!R228</f>
        <v>0</v>
      </c>
      <c r="I228" s="159">
        <f>'27'!S228</f>
        <v>0</v>
      </c>
      <c r="J228" s="159"/>
      <c r="K228" s="101">
        <f>'27'!T228</f>
        <v>0</v>
      </c>
      <c r="L228" s="81" t="e">
        <f>#REF!</f>
        <v>#REF!</v>
      </c>
      <c r="M228" s="100" t="e">
        <f>#REF!</f>
        <v>#REF!</v>
      </c>
      <c r="N228" s="159"/>
      <c r="O228" s="101" t="e">
        <f>#REF!</f>
        <v>#REF!</v>
      </c>
      <c r="P228" s="102" t="e">
        <f>IF(#REF!=0,"",#REF!)</f>
        <v>#REF!</v>
      </c>
      <c r="Q228" s="108" t="e">
        <f>IF(#REF!=0,"",#REF!)</f>
        <v>#REF!</v>
      </c>
      <c r="R228" s="81" t="e">
        <f>IF(#REF!=0,"",#REF!)</f>
        <v>#REF!</v>
      </c>
      <c r="S228" s="81" t="e">
        <f>IF(#REF!=0,"",#REF!)</f>
        <v>#REF!</v>
      </c>
      <c r="T228" s="268"/>
      <c r="U228" s="268"/>
      <c r="V228" s="268"/>
    </row>
    <row r="229" ht="15" customHeight="1" spans="2:22">
      <c r="B229" s="6" t="e">
        <f t="shared" si="4"/>
        <v>#REF!</v>
      </c>
      <c r="C229" s="31" t="e">
        <f>#REF!</f>
        <v>#REF!</v>
      </c>
      <c r="D229" s="32" t="e">
        <f>IF(#REF!=0,"",#REF!)</f>
        <v>#REF!</v>
      </c>
      <c r="E229" s="36" t="e">
        <f>IF(#REF!=0,"",#REF!)</f>
        <v>#REF!</v>
      </c>
      <c r="F229" s="36" t="e">
        <f>IF(#REF!=0,"",#REF!)</f>
        <v>#REF!</v>
      </c>
      <c r="G229" s="103">
        <f>'27'!Q229</f>
        <v>0</v>
      </c>
      <c r="H229" s="160">
        <f>'27'!R229</f>
        <v>0</v>
      </c>
      <c r="I229" s="160">
        <f>'27'!S229</f>
        <v>0</v>
      </c>
      <c r="J229" s="160"/>
      <c r="K229" s="104">
        <f>'27'!T229</f>
        <v>0</v>
      </c>
      <c r="L229" s="36" t="e">
        <f>#REF!</f>
        <v>#REF!</v>
      </c>
      <c r="M229" s="103" t="e">
        <f>#REF!</f>
        <v>#REF!</v>
      </c>
      <c r="N229" s="160"/>
      <c r="O229" s="104" t="e">
        <f>#REF!</f>
        <v>#REF!</v>
      </c>
      <c r="P229" s="52" t="e">
        <f>IF(#REF!=0,"",#REF!)</f>
        <v>#REF!</v>
      </c>
      <c r="Q229" s="109" t="e">
        <f>IF(#REF!=0,"",#REF!)</f>
        <v>#REF!</v>
      </c>
      <c r="R229" s="36" t="e">
        <f>IF(#REF!=0,"",#REF!)</f>
        <v>#REF!</v>
      </c>
      <c r="S229" s="36" t="e">
        <f>IF(#REF!=0,"",#REF!)</f>
        <v>#REF!</v>
      </c>
      <c r="T229" s="268"/>
      <c r="U229" s="268"/>
      <c r="V229" s="268"/>
    </row>
    <row r="230" ht="15" customHeight="1" spans="2:22">
      <c r="B230" s="6" t="e">
        <f t="shared" si="4"/>
        <v>#REF!</v>
      </c>
      <c r="C230" s="83" t="e">
        <f>#REF!</f>
        <v>#REF!</v>
      </c>
      <c r="D230" s="110" t="e">
        <f>IF(#REF!=0,"",#REF!)</f>
        <v>#REF!</v>
      </c>
      <c r="E230" s="85" t="e">
        <f>IF(#REF!=0,"",#REF!)</f>
        <v>#REF!</v>
      </c>
      <c r="F230" s="85" t="e">
        <f>IF(#REF!=0,"",#REF!)</f>
        <v>#REF!</v>
      </c>
      <c r="G230" s="105">
        <f>'27'!Q230</f>
        <v>0</v>
      </c>
      <c r="H230" s="161">
        <f>'27'!R230</f>
        <v>0</v>
      </c>
      <c r="I230" s="161">
        <f>'27'!S230</f>
        <v>0</v>
      </c>
      <c r="J230" s="161"/>
      <c r="K230" s="106">
        <f>'27'!T230</f>
        <v>0</v>
      </c>
      <c r="L230" s="85" t="e">
        <f>#REF!</f>
        <v>#REF!</v>
      </c>
      <c r="M230" s="105" t="e">
        <f>#REF!</f>
        <v>#REF!</v>
      </c>
      <c r="N230" s="161"/>
      <c r="O230" s="106" t="e">
        <f>#REF!</f>
        <v>#REF!</v>
      </c>
      <c r="P230" s="107" t="e">
        <f>IF(#REF!=0,"",#REF!)</f>
        <v>#REF!</v>
      </c>
      <c r="Q230" s="111" t="e">
        <f>IF(#REF!=0,"",#REF!)</f>
        <v>#REF!</v>
      </c>
      <c r="R230" s="85" t="e">
        <f>IF(#REF!=0,"",#REF!)</f>
        <v>#REF!</v>
      </c>
      <c r="S230" s="85" t="e">
        <f>IF(#REF!=0,"",#REF!)</f>
        <v>#REF!</v>
      </c>
      <c r="T230" s="268"/>
      <c r="U230" s="268"/>
      <c r="V230" s="268"/>
    </row>
    <row r="231" ht="15" customHeight="1" spans="2:22">
      <c r="B231" s="6" t="e">
        <f t="shared" si="4"/>
        <v>#REF!</v>
      </c>
      <c r="C231" s="79" t="e">
        <f>#REF!</f>
        <v>#REF!</v>
      </c>
      <c r="D231" s="62" t="e">
        <f>IF(#REF!=0,"",#REF!)</f>
        <v>#REF!</v>
      </c>
      <c r="E231" s="81" t="e">
        <f>IF(#REF!=0,"",#REF!)</f>
        <v>#REF!</v>
      </c>
      <c r="F231" s="81" t="e">
        <f>IF(#REF!=0,"",#REF!)</f>
        <v>#REF!</v>
      </c>
      <c r="G231" s="100" t="e">
        <f>#REF!</f>
        <v>#REF!</v>
      </c>
      <c r="H231" s="159">
        <f>'27'!R231</f>
        <v>0</v>
      </c>
      <c r="I231" s="159">
        <f>'27'!S231</f>
        <v>0</v>
      </c>
      <c r="J231" s="159"/>
      <c r="K231" s="101">
        <f>'27'!T231</f>
        <v>0</v>
      </c>
      <c r="L231" s="81" t="e">
        <f>#REF!</f>
        <v>#REF!</v>
      </c>
      <c r="M231" s="100" t="e">
        <f>#REF!</f>
        <v>#REF!</v>
      </c>
      <c r="N231" s="159"/>
      <c r="O231" s="101" t="e">
        <f>#REF!</f>
        <v>#REF!</v>
      </c>
      <c r="P231" s="102" t="e">
        <f>IF(#REF!=0,"",#REF!)</f>
        <v>#REF!</v>
      </c>
      <c r="Q231" s="108" t="e">
        <f>IF(#REF!=0,"",#REF!)</f>
        <v>#REF!</v>
      </c>
      <c r="R231" s="81" t="e">
        <f>IF(#REF!=0,"",#REF!)</f>
        <v>#REF!</v>
      </c>
      <c r="S231" s="81" t="e">
        <f>IF(#REF!=0,"",#REF!)</f>
        <v>#REF!</v>
      </c>
      <c r="T231" s="268"/>
      <c r="U231" s="268"/>
      <c r="V231" s="268"/>
    </row>
    <row r="232" ht="15" customHeight="1" spans="2:22">
      <c r="B232" s="6" t="e">
        <f t="shared" si="4"/>
        <v>#REF!</v>
      </c>
      <c r="C232" s="31" t="e">
        <f>#REF!</f>
        <v>#REF!</v>
      </c>
      <c r="D232" s="32" t="e">
        <f>IF(#REF!=0,"",#REF!)</f>
        <v>#REF!</v>
      </c>
      <c r="E232" s="36" t="e">
        <f>IF(#REF!=0,"",#REF!)</f>
        <v>#REF!</v>
      </c>
      <c r="F232" s="36" t="e">
        <f>IF(#REF!=0,"",#REF!)</f>
        <v>#REF!</v>
      </c>
      <c r="G232" s="103">
        <f>'27'!Q232</f>
        <v>0</v>
      </c>
      <c r="H232" s="160">
        <f>'27'!R232</f>
        <v>0</v>
      </c>
      <c r="I232" s="160">
        <f>'27'!S232</f>
        <v>0</v>
      </c>
      <c r="J232" s="160"/>
      <c r="K232" s="104">
        <f>'27'!T232</f>
        <v>0</v>
      </c>
      <c r="L232" s="36" t="e">
        <f>#REF!</f>
        <v>#REF!</v>
      </c>
      <c r="M232" s="103" t="e">
        <f>#REF!</f>
        <v>#REF!</v>
      </c>
      <c r="N232" s="160"/>
      <c r="O232" s="104" t="e">
        <f>#REF!</f>
        <v>#REF!</v>
      </c>
      <c r="P232" s="52" t="e">
        <f>IF(#REF!=0,"",#REF!)</f>
        <v>#REF!</v>
      </c>
      <c r="Q232" s="109" t="e">
        <f>IF(#REF!=0,"",#REF!)</f>
        <v>#REF!</v>
      </c>
      <c r="R232" s="36" t="e">
        <f>IF(#REF!=0,"",#REF!)</f>
        <v>#REF!</v>
      </c>
      <c r="S232" s="36" t="e">
        <f>IF(#REF!=0,"",#REF!)</f>
        <v>#REF!</v>
      </c>
      <c r="T232" s="268"/>
      <c r="U232" s="268"/>
      <c r="V232" s="268"/>
    </row>
    <row r="233" ht="15" customHeight="1" spans="2:22">
      <c r="B233" s="6" t="e">
        <f t="shared" si="4"/>
        <v>#REF!</v>
      </c>
      <c r="C233" s="83" t="e">
        <f>#REF!</f>
        <v>#REF!</v>
      </c>
      <c r="D233" s="110" t="e">
        <f>IF(#REF!=0,"",#REF!)</f>
        <v>#REF!</v>
      </c>
      <c r="E233" s="85" t="e">
        <f>IF(#REF!=0,"",#REF!)</f>
        <v>#REF!</v>
      </c>
      <c r="F233" s="85" t="e">
        <f>IF(#REF!=0,"",#REF!)</f>
        <v>#REF!</v>
      </c>
      <c r="G233" s="105">
        <f>'27'!Q233</f>
        <v>0</v>
      </c>
      <c r="H233" s="161">
        <f>'27'!R233</f>
        <v>0</v>
      </c>
      <c r="I233" s="161">
        <f>'27'!S233</f>
        <v>0</v>
      </c>
      <c r="J233" s="161"/>
      <c r="K233" s="106">
        <f>'27'!T233</f>
        <v>0</v>
      </c>
      <c r="L233" s="85" t="e">
        <f>#REF!</f>
        <v>#REF!</v>
      </c>
      <c r="M233" s="105" t="e">
        <f>#REF!</f>
        <v>#REF!</v>
      </c>
      <c r="N233" s="161"/>
      <c r="O233" s="106" t="e">
        <f>#REF!</f>
        <v>#REF!</v>
      </c>
      <c r="P233" s="107" t="e">
        <f>IF(#REF!=0,"",#REF!)</f>
        <v>#REF!</v>
      </c>
      <c r="Q233" s="111" t="e">
        <f>IF(#REF!=0,"",#REF!)</f>
        <v>#REF!</v>
      </c>
      <c r="R233" s="85" t="e">
        <f>IF(#REF!=0,"",#REF!)</f>
        <v>#REF!</v>
      </c>
      <c r="S233" s="85" t="e">
        <f>IF(#REF!=0,"",#REF!)</f>
        <v>#REF!</v>
      </c>
      <c r="T233" s="268"/>
      <c r="U233" s="268"/>
      <c r="V233" s="268"/>
    </row>
    <row r="234" ht="15" customHeight="1" spans="2:22">
      <c r="B234" s="6" t="e">
        <f t="shared" si="4"/>
        <v>#REF!</v>
      </c>
      <c r="C234" s="79" t="e">
        <f>#REF!</f>
        <v>#REF!</v>
      </c>
      <c r="D234" s="62" t="e">
        <f>IF(#REF!=0,"",#REF!)</f>
        <v>#REF!</v>
      </c>
      <c r="E234" s="81" t="e">
        <f>IF(#REF!=0,"",#REF!)</f>
        <v>#REF!</v>
      </c>
      <c r="F234" s="81" t="e">
        <f>IF(#REF!=0,"",#REF!)</f>
        <v>#REF!</v>
      </c>
      <c r="G234" s="100" t="e">
        <f>#REF!</f>
        <v>#REF!</v>
      </c>
      <c r="H234" s="159">
        <f>'27'!R234</f>
        <v>0</v>
      </c>
      <c r="I234" s="159">
        <f>'27'!S234</f>
        <v>0</v>
      </c>
      <c r="J234" s="159"/>
      <c r="K234" s="101">
        <f>'27'!T234</f>
        <v>0</v>
      </c>
      <c r="L234" s="81" t="e">
        <f>#REF!</f>
        <v>#REF!</v>
      </c>
      <c r="M234" s="100" t="e">
        <f>#REF!</f>
        <v>#REF!</v>
      </c>
      <c r="N234" s="159"/>
      <c r="O234" s="101" t="e">
        <f>#REF!</f>
        <v>#REF!</v>
      </c>
      <c r="P234" s="102" t="e">
        <f>IF(#REF!=0,"",#REF!)</f>
        <v>#REF!</v>
      </c>
      <c r="Q234" s="108" t="e">
        <f>IF(#REF!=0,"",#REF!)</f>
        <v>#REF!</v>
      </c>
      <c r="R234" s="81" t="e">
        <f>IF(#REF!=0,"",#REF!)</f>
        <v>#REF!</v>
      </c>
      <c r="S234" s="81" t="e">
        <f>IF(#REF!=0,"",#REF!)</f>
        <v>#REF!</v>
      </c>
      <c r="T234" s="268"/>
      <c r="U234" s="268"/>
      <c r="V234" s="268"/>
    </row>
    <row r="235" ht="15" customHeight="1" spans="2:22">
      <c r="B235" s="6" t="e">
        <f t="shared" si="4"/>
        <v>#REF!</v>
      </c>
      <c r="C235" s="31" t="e">
        <f>#REF!</f>
        <v>#REF!</v>
      </c>
      <c r="D235" s="32" t="e">
        <f>IF(#REF!=0,"",#REF!)</f>
        <v>#REF!</v>
      </c>
      <c r="E235" s="36" t="e">
        <f>IF(#REF!=0,"",#REF!)</f>
        <v>#REF!</v>
      </c>
      <c r="F235" s="36" t="e">
        <f>IF(#REF!=0,"",#REF!)</f>
        <v>#REF!</v>
      </c>
      <c r="G235" s="103">
        <f>'27'!Q235</f>
        <v>0</v>
      </c>
      <c r="H235" s="160">
        <f>'27'!R235</f>
        <v>0</v>
      </c>
      <c r="I235" s="160">
        <f>'27'!S235</f>
        <v>0</v>
      </c>
      <c r="J235" s="160"/>
      <c r="K235" s="104">
        <f>'27'!T235</f>
        <v>0</v>
      </c>
      <c r="L235" s="36" t="e">
        <f>#REF!</f>
        <v>#REF!</v>
      </c>
      <c r="M235" s="103" t="e">
        <f>#REF!</f>
        <v>#REF!</v>
      </c>
      <c r="N235" s="160"/>
      <c r="O235" s="104" t="e">
        <f>#REF!</f>
        <v>#REF!</v>
      </c>
      <c r="P235" s="52" t="e">
        <f>IF(#REF!=0,"",#REF!)</f>
        <v>#REF!</v>
      </c>
      <c r="Q235" s="109" t="e">
        <f>IF(#REF!=0,"",#REF!)</f>
        <v>#REF!</v>
      </c>
      <c r="R235" s="36" t="e">
        <f>IF(#REF!=0,"",#REF!)</f>
        <v>#REF!</v>
      </c>
      <c r="S235" s="36" t="e">
        <f>IF(#REF!=0,"",#REF!)</f>
        <v>#REF!</v>
      </c>
      <c r="T235" s="268"/>
      <c r="U235" s="268"/>
      <c r="V235" s="268"/>
    </row>
    <row r="236" ht="15" customHeight="1" spans="2:22">
      <c r="B236" s="6" t="e">
        <f t="shared" si="4"/>
        <v>#REF!</v>
      </c>
      <c r="C236" s="83" t="e">
        <f>#REF!</f>
        <v>#REF!</v>
      </c>
      <c r="D236" s="110" t="e">
        <f>IF(#REF!=0,"",#REF!)</f>
        <v>#REF!</v>
      </c>
      <c r="E236" s="85" t="e">
        <f>IF(#REF!=0,"",#REF!)</f>
        <v>#REF!</v>
      </c>
      <c r="F236" s="85" t="e">
        <f>IF(#REF!=0,"",#REF!)</f>
        <v>#REF!</v>
      </c>
      <c r="G236" s="105">
        <f>'27'!Q236</f>
        <v>0</v>
      </c>
      <c r="H236" s="161">
        <f>'27'!R236</f>
        <v>0</v>
      </c>
      <c r="I236" s="161">
        <f>'27'!S236</f>
        <v>0</v>
      </c>
      <c r="J236" s="161"/>
      <c r="K236" s="106">
        <f>'27'!T236</f>
        <v>0</v>
      </c>
      <c r="L236" s="85" t="e">
        <f>#REF!</f>
        <v>#REF!</v>
      </c>
      <c r="M236" s="105" t="e">
        <f>#REF!</f>
        <v>#REF!</v>
      </c>
      <c r="N236" s="161"/>
      <c r="O236" s="106" t="e">
        <f>#REF!</f>
        <v>#REF!</v>
      </c>
      <c r="P236" s="107" t="e">
        <f>IF(#REF!=0,"",#REF!)</f>
        <v>#REF!</v>
      </c>
      <c r="Q236" s="111" t="e">
        <f>IF(#REF!=0,"",#REF!)</f>
        <v>#REF!</v>
      </c>
      <c r="R236" s="85" t="e">
        <f>IF(#REF!=0,"",#REF!)</f>
        <v>#REF!</v>
      </c>
      <c r="S236" s="85" t="e">
        <f>IF(#REF!=0,"",#REF!)</f>
        <v>#REF!</v>
      </c>
      <c r="T236" s="268"/>
      <c r="U236" s="268"/>
      <c r="V236" s="268"/>
    </row>
    <row r="237" ht="15" customHeight="1" spans="2:22">
      <c r="B237" s="6" t="e">
        <f t="shared" si="4"/>
        <v>#REF!</v>
      </c>
      <c r="C237" s="79" t="e">
        <f>#REF!</f>
        <v>#REF!</v>
      </c>
      <c r="D237" s="62" t="e">
        <f>IF(#REF!=0,"",#REF!)</f>
        <v>#REF!</v>
      </c>
      <c r="E237" s="81" t="e">
        <f>IF(#REF!=0,"",#REF!)</f>
        <v>#REF!</v>
      </c>
      <c r="F237" s="81" t="e">
        <f>IF(#REF!=0,"",#REF!)</f>
        <v>#REF!</v>
      </c>
      <c r="G237" s="100" t="e">
        <f>#REF!</f>
        <v>#REF!</v>
      </c>
      <c r="H237" s="159">
        <f>'27'!R237</f>
        <v>0</v>
      </c>
      <c r="I237" s="159">
        <f>'27'!S237</f>
        <v>0</v>
      </c>
      <c r="J237" s="159"/>
      <c r="K237" s="101">
        <f>'27'!T237</f>
        <v>0</v>
      </c>
      <c r="L237" s="81" t="e">
        <f>#REF!</f>
        <v>#REF!</v>
      </c>
      <c r="M237" s="100" t="e">
        <f>#REF!</f>
        <v>#REF!</v>
      </c>
      <c r="N237" s="159"/>
      <c r="O237" s="101" t="e">
        <f>#REF!</f>
        <v>#REF!</v>
      </c>
      <c r="P237" s="102" t="e">
        <f>IF(#REF!=0,"",#REF!)</f>
        <v>#REF!</v>
      </c>
      <c r="Q237" s="108" t="e">
        <f>IF(#REF!=0,"",#REF!)</f>
        <v>#REF!</v>
      </c>
      <c r="R237" s="81" t="e">
        <f>IF(#REF!=0,"",#REF!)</f>
        <v>#REF!</v>
      </c>
      <c r="S237" s="81" t="e">
        <f>IF(#REF!=0,"",#REF!)</f>
        <v>#REF!</v>
      </c>
      <c r="T237" s="268"/>
      <c r="U237" s="268"/>
      <c r="V237" s="268"/>
    </row>
    <row r="238" ht="15" customHeight="1" spans="2:22">
      <c r="B238" s="6" t="e">
        <f t="shared" si="4"/>
        <v>#REF!</v>
      </c>
      <c r="C238" s="31" t="e">
        <f>#REF!</f>
        <v>#REF!</v>
      </c>
      <c r="D238" s="32" t="e">
        <f>IF(#REF!=0,"",#REF!)</f>
        <v>#REF!</v>
      </c>
      <c r="E238" s="36" t="e">
        <f>IF(#REF!=0,"",#REF!)</f>
        <v>#REF!</v>
      </c>
      <c r="F238" s="36" t="e">
        <f>IF(#REF!=0,"",#REF!)</f>
        <v>#REF!</v>
      </c>
      <c r="G238" s="103">
        <f>'27'!Q238</f>
        <v>0</v>
      </c>
      <c r="H238" s="160">
        <f>'27'!R238</f>
        <v>0</v>
      </c>
      <c r="I238" s="160">
        <f>'27'!S238</f>
        <v>0</v>
      </c>
      <c r="J238" s="160"/>
      <c r="K238" s="104">
        <f>'27'!T238</f>
        <v>0</v>
      </c>
      <c r="L238" s="36" t="e">
        <f>#REF!</f>
        <v>#REF!</v>
      </c>
      <c r="M238" s="103" t="e">
        <f>#REF!</f>
        <v>#REF!</v>
      </c>
      <c r="N238" s="160"/>
      <c r="O238" s="104" t="e">
        <f>#REF!</f>
        <v>#REF!</v>
      </c>
      <c r="P238" s="52" t="e">
        <f>IF(#REF!=0,"",#REF!)</f>
        <v>#REF!</v>
      </c>
      <c r="Q238" s="109" t="e">
        <f>IF(#REF!=0,"",#REF!)</f>
        <v>#REF!</v>
      </c>
      <c r="R238" s="36" t="e">
        <f>IF(#REF!=0,"",#REF!)</f>
        <v>#REF!</v>
      </c>
      <c r="S238" s="36" t="e">
        <f>IF(#REF!=0,"",#REF!)</f>
        <v>#REF!</v>
      </c>
      <c r="T238" s="268"/>
      <c r="U238" s="268"/>
      <c r="V238" s="268"/>
    </row>
    <row r="239" ht="15" customHeight="1" spans="2:22">
      <c r="B239" s="6" t="e">
        <f t="shared" si="4"/>
        <v>#REF!</v>
      </c>
      <c r="C239" s="83" t="e">
        <f>#REF!</f>
        <v>#REF!</v>
      </c>
      <c r="D239" s="110" t="e">
        <f>IF(#REF!=0,"",#REF!)</f>
        <v>#REF!</v>
      </c>
      <c r="E239" s="85" t="e">
        <f>IF(#REF!=0,"",#REF!)</f>
        <v>#REF!</v>
      </c>
      <c r="F239" s="85" t="e">
        <f>IF(#REF!=0,"",#REF!)</f>
        <v>#REF!</v>
      </c>
      <c r="G239" s="105">
        <f>'27'!Q239</f>
        <v>0</v>
      </c>
      <c r="H239" s="161">
        <f>'27'!R239</f>
        <v>0</v>
      </c>
      <c r="I239" s="161">
        <f>'27'!S239</f>
        <v>0</v>
      </c>
      <c r="J239" s="161"/>
      <c r="K239" s="106">
        <f>'27'!T239</f>
        <v>0</v>
      </c>
      <c r="L239" s="85" t="e">
        <f>#REF!</f>
        <v>#REF!</v>
      </c>
      <c r="M239" s="105" t="e">
        <f>#REF!</f>
        <v>#REF!</v>
      </c>
      <c r="N239" s="161"/>
      <c r="O239" s="106" t="e">
        <f>#REF!</f>
        <v>#REF!</v>
      </c>
      <c r="P239" s="107" t="e">
        <f>IF(#REF!=0,"",#REF!)</f>
        <v>#REF!</v>
      </c>
      <c r="Q239" s="111" t="e">
        <f>IF(#REF!=0,"",#REF!)</f>
        <v>#REF!</v>
      </c>
      <c r="R239" s="85" t="e">
        <f>IF(#REF!=0,"",#REF!)</f>
        <v>#REF!</v>
      </c>
      <c r="S239" s="85" t="e">
        <f>IF(#REF!=0,"",#REF!)</f>
        <v>#REF!</v>
      </c>
      <c r="T239" s="268"/>
      <c r="U239" s="268"/>
      <c r="V239" s="268"/>
    </row>
    <row r="240" ht="15" customHeight="1" spans="2:22">
      <c r="B240" s="6" t="e">
        <f t="shared" si="4"/>
        <v>#REF!</v>
      </c>
      <c r="C240" s="79" t="e">
        <f>#REF!</f>
        <v>#REF!</v>
      </c>
      <c r="D240" s="62" t="e">
        <f>IF(#REF!=0,"",#REF!)</f>
        <v>#REF!</v>
      </c>
      <c r="E240" s="81" t="e">
        <f>IF(#REF!=0,"",#REF!)</f>
        <v>#REF!</v>
      </c>
      <c r="F240" s="81" t="e">
        <f>IF(#REF!=0,"",#REF!)</f>
        <v>#REF!</v>
      </c>
      <c r="G240" s="100" t="e">
        <f>#REF!</f>
        <v>#REF!</v>
      </c>
      <c r="H240" s="159">
        <f>'27'!R240</f>
        <v>0</v>
      </c>
      <c r="I240" s="159">
        <f>'27'!S240</f>
        <v>0</v>
      </c>
      <c r="J240" s="159"/>
      <c r="K240" s="101">
        <f>'27'!T240</f>
        <v>0</v>
      </c>
      <c r="L240" s="81" t="e">
        <f>#REF!</f>
        <v>#REF!</v>
      </c>
      <c r="M240" s="100" t="e">
        <f>#REF!</f>
        <v>#REF!</v>
      </c>
      <c r="N240" s="159"/>
      <c r="O240" s="101" t="e">
        <f>#REF!</f>
        <v>#REF!</v>
      </c>
      <c r="P240" s="102" t="e">
        <f>IF(#REF!=0,"",#REF!)</f>
        <v>#REF!</v>
      </c>
      <c r="Q240" s="108" t="e">
        <f>IF(#REF!=0,"",#REF!)</f>
        <v>#REF!</v>
      </c>
      <c r="R240" s="81" t="e">
        <f>IF(#REF!=0,"",#REF!)</f>
        <v>#REF!</v>
      </c>
      <c r="S240" s="81" t="e">
        <f>IF(#REF!=0,"",#REF!)</f>
        <v>#REF!</v>
      </c>
      <c r="T240" s="268"/>
      <c r="U240" s="268"/>
      <c r="V240" s="268"/>
    </row>
    <row r="241" ht="15" customHeight="1" spans="2:22">
      <c r="B241" s="6" t="e">
        <f t="shared" si="4"/>
        <v>#REF!</v>
      </c>
      <c r="C241" s="31" t="e">
        <f>#REF!</f>
        <v>#REF!</v>
      </c>
      <c r="D241" s="32" t="e">
        <f>IF(#REF!=0,"",#REF!)</f>
        <v>#REF!</v>
      </c>
      <c r="E241" s="36" t="e">
        <f>IF(#REF!=0,"",#REF!)</f>
        <v>#REF!</v>
      </c>
      <c r="F241" s="36" t="e">
        <f>IF(#REF!=0,"",#REF!)</f>
        <v>#REF!</v>
      </c>
      <c r="G241" s="103">
        <f>'27'!Q241</f>
        <v>0</v>
      </c>
      <c r="H241" s="160">
        <f>'27'!R241</f>
        <v>0</v>
      </c>
      <c r="I241" s="160">
        <f>'27'!S241</f>
        <v>0</v>
      </c>
      <c r="J241" s="160"/>
      <c r="K241" s="104">
        <f>'27'!T241</f>
        <v>0</v>
      </c>
      <c r="L241" s="36" t="e">
        <f>#REF!</f>
        <v>#REF!</v>
      </c>
      <c r="M241" s="103" t="e">
        <f>#REF!</f>
        <v>#REF!</v>
      </c>
      <c r="N241" s="160"/>
      <c r="O241" s="104" t="e">
        <f>#REF!</f>
        <v>#REF!</v>
      </c>
      <c r="P241" s="52" t="e">
        <f>IF(#REF!=0,"",#REF!)</f>
        <v>#REF!</v>
      </c>
      <c r="Q241" s="109" t="e">
        <f>IF(#REF!=0,"",#REF!)</f>
        <v>#REF!</v>
      </c>
      <c r="R241" s="36" t="e">
        <f>IF(#REF!=0,"",#REF!)</f>
        <v>#REF!</v>
      </c>
      <c r="S241" s="36" t="e">
        <f>IF(#REF!=0,"",#REF!)</f>
        <v>#REF!</v>
      </c>
      <c r="T241" s="268"/>
      <c r="U241" s="268"/>
      <c r="V241" s="268"/>
    </row>
    <row r="242" ht="15" customHeight="1" spans="2:22">
      <c r="B242" s="6" t="e">
        <f t="shared" si="4"/>
        <v>#REF!</v>
      </c>
      <c r="C242" s="83" t="e">
        <f>#REF!</f>
        <v>#REF!</v>
      </c>
      <c r="D242" s="110" t="e">
        <f>IF(#REF!=0,"",#REF!)</f>
        <v>#REF!</v>
      </c>
      <c r="E242" s="85" t="e">
        <f>IF(#REF!=0,"",#REF!)</f>
        <v>#REF!</v>
      </c>
      <c r="F242" s="85" t="e">
        <f>IF(#REF!=0,"",#REF!)</f>
        <v>#REF!</v>
      </c>
      <c r="G242" s="105">
        <f>'27'!Q242</f>
        <v>0</v>
      </c>
      <c r="H242" s="161">
        <f>'27'!R242</f>
        <v>0</v>
      </c>
      <c r="I242" s="161">
        <f>'27'!S242</f>
        <v>0</v>
      </c>
      <c r="J242" s="161"/>
      <c r="K242" s="106">
        <f>'27'!T242</f>
        <v>0</v>
      </c>
      <c r="L242" s="85" t="e">
        <f>#REF!</f>
        <v>#REF!</v>
      </c>
      <c r="M242" s="105" t="e">
        <f>#REF!</f>
        <v>#REF!</v>
      </c>
      <c r="N242" s="161"/>
      <c r="O242" s="106" t="e">
        <f>#REF!</f>
        <v>#REF!</v>
      </c>
      <c r="P242" s="107" t="e">
        <f>IF(#REF!=0,"",#REF!)</f>
        <v>#REF!</v>
      </c>
      <c r="Q242" s="111" t="e">
        <f>IF(#REF!=0,"",#REF!)</f>
        <v>#REF!</v>
      </c>
      <c r="R242" s="85" t="e">
        <f>IF(#REF!=0,"",#REF!)</f>
        <v>#REF!</v>
      </c>
      <c r="S242" s="85" t="e">
        <f>IF(#REF!=0,"",#REF!)</f>
        <v>#REF!</v>
      </c>
      <c r="T242" s="268"/>
      <c r="U242" s="268"/>
      <c r="V242" s="268"/>
    </row>
    <row r="243" ht="15" customHeight="1" spans="2:22">
      <c r="B243" s="6" t="e">
        <f t="shared" si="4"/>
        <v>#REF!</v>
      </c>
      <c r="C243" s="79" t="e">
        <f>#REF!</f>
        <v>#REF!</v>
      </c>
      <c r="D243" s="62" t="e">
        <f>IF(#REF!=0,"",#REF!)</f>
        <v>#REF!</v>
      </c>
      <c r="E243" s="81" t="e">
        <f>IF(#REF!=0,"",#REF!)</f>
        <v>#REF!</v>
      </c>
      <c r="F243" s="81" t="e">
        <f>IF(#REF!=0,"",#REF!)</f>
        <v>#REF!</v>
      </c>
      <c r="G243" s="100" t="e">
        <f>#REF!</f>
        <v>#REF!</v>
      </c>
      <c r="H243" s="159">
        <f>'27'!R243</f>
        <v>0</v>
      </c>
      <c r="I243" s="159">
        <f>'27'!S243</f>
        <v>0</v>
      </c>
      <c r="J243" s="159"/>
      <c r="K243" s="101">
        <f>'27'!T243</f>
        <v>0</v>
      </c>
      <c r="L243" s="81" t="e">
        <f>#REF!</f>
        <v>#REF!</v>
      </c>
      <c r="M243" s="100" t="e">
        <f>#REF!</f>
        <v>#REF!</v>
      </c>
      <c r="N243" s="159"/>
      <c r="O243" s="101" t="e">
        <f>#REF!</f>
        <v>#REF!</v>
      </c>
      <c r="P243" s="102" t="e">
        <f>IF(#REF!=0,"",#REF!)</f>
        <v>#REF!</v>
      </c>
      <c r="Q243" s="108" t="e">
        <f>IF(#REF!=0,"",#REF!)</f>
        <v>#REF!</v>
      </c>
      <c r="R243" s="81" t="e">
        <f>IF(#REF!=0,"",#REF!)</f>
        <v>#REF!</v>
      </c>
      <c r="S243" s="81" t="e">
        <f>IF(#REF!=0,"",#REF!)</f>
        <v>#REF!</v>
      </c>
      <c r="T243" s="268"/>
      <c r="U243" s="268"/>
      <c r="V243" s="268"/>
    </row>
    <row r="244" ht="15" customHeight="1" spans="2:22">
      <c r="B244" s="6" t="e">
        <f t="shared" si="4"/>
        <v>#REF!</v>
      </c>
      <c r="C244" s="31" t="e">
        <f>#REF!</f>
        <v>#REF!</v>
      </c>
      <c r="D244" s="32" t="e">
        <f>IF(#REF!=0,"",#REF!)</f>
        <v>#REF!</v>
      </c>
      <c r="E244" s="36" t="e">
        <f>IF(#REF!=0,"",#REF!)</f>
        <v>#REF!</v>
      </c>
      <c r="F244" s="36" t="e">
        <f>IF(#REF!=0,"",#REF!)</f>
        <v>#REF!</v>
      </c>
      <c r="G244" s="103">
        <f>'27'!Q244</f>
        <v>0</v>
      </c>
      <c r="H244" s="160">
        <f>'27'!R244</f>
        <v>0</v>
      </c>
      <c r="I244" s="160">
        <f>'27'!S244</f>
        <v>0</v>
      </c>
      <c r="J244" s="160"/>
      <c r="K244" s="104">
        <f>'27'!T244</f>
        <v>0</v>
      </c>
      <c r="L244" s="36" t="e">
        <f>#REF!</f>
        <v>#REF!</v>
      </c>
      <c r="M244" s="103" t="e">
        <f>#REF!</f>
        <v>#REF!</v>
      </c>
      <c r="N244" s="160"/>
      <c r="O244" s="104" t="e">
        <f>#REF!</f>
        <v>#REF!</v>
      </c>
      <c r="P244" s="52" t="e">
        <f>IF(#REF!=0,"",#REF!)</f>
        <v>#REF!</v>
      </c>
      <c r="Q244" s="109" t="e">
        <f>IF(#REF!=0,"",#REF!)</f>
        <v>#REF!</v>
      </c>
      <c r="R244" s="36" t="e">
        <f>IF(#REF!=0,"",#REF!)</f>
        <v>#REF!</v>
      </c>
      <c r="S244" s="36" t="e">
        <f>IF(#REF!=0,"",#REF!)</f>
        <v>#REF!</v>
      </c>
      <c r="T244" s="268"/>
      <c r="U244" s="268"/>
      <c r="V244" s="268"/>
    </row>
    <row r="245" ht="15" customHeight="1" spans="2:22">
      <c r="B245" s="6" t="e">
        <f t="shared" si="4"/>
        <v>#REF!</v>
      </c>
      <c r="C245" s="83" t="e">
        <f>#REF!</f>
        <v>#REF!</v>
      </c>
      <c r="D245" s="110" t="e">
        <f>IF(#REF!=0,"",#REF!)</f>
        <v>#REF!</v>
      </c>
      <c r="E245" s="85" t="e">
        <f>IF(#REF!=0,"",#REF!)</f>
        <v>#REF!</v>
      </c>
      <c r="F245" s="85" t="e">
        <f>IF(#REF!=0,"",#REF!)</f>
        <v>#REF!</v>
      </c>
      <c r="G245" s="105">
        <f>'27'!Q245</f>
        <v>0</v>
      </c>
      <c r="H245" s="161">
        <f>'27'!R245</f>
        <v>0</v>
      </c>
      <c r="I245" s="161">
        <f>'27'!S245</f>
        <v>0</v>
      </c>
      <c r="J245" s="161"/>
      <c r="K245" s="106">
        <f>'27'!T245</f>
        <v>0</v>
      </c>
      <c r="L245" s="85" t="e">
        <f>#REF!</f>
        <v>#REF!</v>
      </c>
      <c r="M245" s="105" t="e">
        <f>#REF!</f>
        <v>#REF!</v>
      </c>
      <c r="N245" s="161"/>
      <c r="O245" s="106" t="e">
        <f>#REF!</f>
        <v>#REF!</v>
      </c>
      <c r="P245" s="107" t="e">
        <f>IF(#REF!=0,"",#REF!)</f>
        <v>#REF!</v>
      </c>
      <c r="Q245" s="111" t="e">
        <f>IF(#REF!=0,"",#REF!)</f>
        <v>#REF!</v>
      </c>
      <c r="R245" s="85" t="e">
        <f>IF(#REF!=0,"",#REF!)</f>
        <v>#REF!</v>
      </c>
      <c r="S245" s="85" t="e">
        <f>IF(#REF!=0,"",#REF!)</f>
        <v>#REF!</v>
      </c>
      <c r="T245" s="268"/>
      <c r="U245" s="268"/>
      <c r="V245" s="268"/>
    </row>
    <row r="246" ht="15" customHeight="1" spans="2:22">
      <c r="B246" s="6" t="e">
        <f t="shared" si="4"/>
        <v>#REF!</v>
      </c>
      <c r="C246" s="79" t="e">
        <f>#REF!</f>
        <v>#REF!</v>
      </c>
      <c r="D246" s="62" t="e">
        <f>IF(#REF!=0,"",#REF!)</f>
        <v>#REF!</v>
      </c>
      <c r="E246" s="81" t="e">
        <f>IF(#REF!=0,"",#REF!)</f>
        <v>#REF!</v>
      </c>
      <c r="F246" s="81" t="e">
        <f>IF(#REF!=0,"",#REF!)</f>
        <v>#REF!</v>
      </c>
      <c r="G246" s="100" t="e">
        <f>#REF!</f>
        <v>#REF!</v>
      </c>
      <c r="H246" s="159">
        <f>'27'!R246</f>
        <v>0</v>
      </c>
      <c r="I246" s="159">
        <f>'27'!S246</f>
        <v>0</v>
      </c>
      <c r="J246" s="159"/>
      <c r="K246" s="101">
        <f>'27'!T246</f>
        <v>0</v>
      </c>
      <c r="L246" s="81" t="e">
        <f>#REF!</f>
        <v>#REF!</v>
      </c>
      <c r="M246" s="100" t="e">
        <f>#REF!</f>
        <v>#REF!</v>
      </c>
      <c r="N246" s="159"/>
      <c r="O246" s="101" t="e">
        <f>#REF!</f>
        <v>#REF!</v>
      </c>
      <c r="P246" s="102" t="e">
        <f>IF(#REF!=0,"",#REF!)</f>
        <v>#REF!</v>
      </c>
      <c r="Q246" s="108" t="e">
        <f>IF(#REF!=0,"",#REF!)</f>
        <v>#REF!</v>
      </c>
      <c r="R246" s="81" t="e">
        <f>IF(#REF!=0,"",#REF!)</f>
        <v>#REF!</v>
      </c>
      <c r="S246" s="81" t="e">
        <f>IF(#REF!=0,"",#REF!)</f>
        <v>#REF!</v>
      </c>
      <c r="T246" s="268"/>
      <c r="U246" s="268"/>
      <c r="V246" s="268"/>
    </row>
    <row r="247" ht="15" customHeight="1" spans="2:22">
      <c r="B247" s="6" t="e">
        <f t="shared" si="4"/>
        <v>#REF!</v>
      </c>
      <c r="C247" s="31" t="e">
        <f>#REF!</f>
        <v>#REF!</v>
      </c>
      <c r="D247" s="32" t="e">
        <f>IF(#REF!=0,"",#REF!)</f>
        <v>#REF!</v>
      </c>
      <c r="E247" s="36" t="e">
        <f>IF(#REF!=0,"",#REF!)</f>
        <v>#REF!</v>
      </c>
      <c r="F247" s="36" t="e">
        <f>IF(#REF!=0,"",#REF!)</f>
        <v>#REF!</v>
      </c>
      <c r="G247" s="103">
        <f>'27'!Q247</f>
        <v>0</v>
      </c>
      <c r="H247" s="160">
        <f>'27'!R247</f>
        <v>0</v>
      </c>
      <c r="I247" s="160">
        <f>'27'!S247</f>
        <v>0</v>
      </c>
      <c r="J247" s="160"/>
      <c r="K247" s="104">
        <f>'27'!T247</f>
        <v>0</v>
      </c>
      <c r="L247" s="36" t="e">
        <f>#REF!</f>
        <v>#REF!</v>
      </c>
      <c r="M247" s="103" t="e">
        <f>#REF!</f>
        <v>#REF!</v>
      </c>
      <c r="N247" s="160"/>
      <c r="O247" s="104" t="e">
        <f>#REF!</f>
        <v>#REF!</v>
      </c>
      <c r="P247" s="52" t="e">
        <f>IF(#REF!=0,"",#REF!)</f>
        <v>#REF!</v>
      </c>
      <c r="Q247" s="109" t="e">
        <f>IF(#REF!=0,"",#REF!)</f>
        <v>#REF!</v>
      </c>
      <c r="R247" s="36" t="e">
        <f>IF(#REF!=0,"",#REF!)</f>
        <v>#REF!</v>
      </c>
      <c r="S247" s="36" t="e">
        <f>IF(#REF!=0,"",#REF!)</f>
        <v>#REF!</v>
      </c>
      <c r="T247" s="268"/>
      <c r="U247" s="268"/>
      <c r="V247" s="268"/>
    </row>
    <row r="248" ht="15" customHeight="1" spans="2:22">
      <c r="B248" s="6" t="e">
        <f t="shared" si="4"/>
        <v>#REF!</v>
      </c>
      <c r="C248" s="83" t="e">
        <f>#REF!</f>
        <v>#REF!</v>
      </c>
      <c r="D248" s="110" t="e">
        <f>IF(#REF!=0,"",#REF!)</f>
        <v>#REF!</v>
      </c>
      <c r="E248" s="85" t="e">
        <f>IF(#REF!=0,"",#REF!)</f>
        <v>#REF!</v>
      </c>
      <c r="F248" s="85" t="e">
        <f>IF(#REF!=0,"",#REF!)</f>
        <v>#REF!</v>
      </c>
      <c r="G248" s="105">
        <f>'27'!Q248</f>
        <v>0</v>
      </c>
      <c r="H248" s="161">
        <f>'27'!R248</f>
        <v>0</v>
      </c>
      <c r="I248" s="161">
        <f>'27'!S248</f>
        <v>0</v>
      </c>
      <c r="J248" s="161"/>
      <c r="K248" s="106">
        <f>'27'!T248</f>
        <v>0</v>
      </c>
      <c r="L248" s="85" t="e">
        <f>#REF!</f>
        <v>#REF!</v>
      </c>
      <c r="M248" s="105" t="e">
        <f>#REF!</f>
        <v>#REF!</v>
      </c>
      <c r="N248" s="161"/>
      <c r="O248" s="106" t="e">
        <f>#REF!</f>
        <v>#REF!</v>
      </c>
      <c r="P248" s="107" t="e">
        <f>IF(#REF!=0,"",#REF!)</f>
        <v>#REF!</v>
      </c>
      <c r="Q248" s="111" t="e">
        <f>IF(#REF!=0,"",#REF!)</f>
        <v>#REF!</v>
      </c>
      <c r="R248" s="85" t="e">
        <f>IF(#REF!=0,"",#REF!)</f>
        <v>#REF!</v>
      </c>
      <c r="S248" s="85" t="e">
        <f>IF(#REF!=0,"",#REF!)</f>
        <v>#REF!</v>
      </c>
      <c r="T248" s="268"/>
      <c r="U248" s="268"/>
      <c r="V248" s="268"/>
    </row>
    <row r="249" ht="15" customHeight="1" spans="2:22">
      <c r="B249" s="6" t="e">
        <f t="shared" si="4"/>
        <v>#REF!</v>
      </c>
      <c r="C249" s="79" t="e">
        <f>#REF!</f>
        <v>#REF!</v>
      </c>
      <c r="D249" s="62" t="e">
        <f>IF(#REF!=0,"",#REF!)</f>
        <v>#REF!</v>
      </c>
      <c r="E249" s="81" t="e">
        <f>IF(#REF!=0,"",#REF!)</f>
        <v>#REF!</v>
      </c>
      <c r="F249" s="81" t="e">
        <f>IF(#REF!=0,"",#REF!)</f>
        <v>#REF!</v>
      </c>
      <c r="G249" s="100" t="e">
        <f>#REF!</f>
        <v>#REF!</v>
      </c>
      <c r="H249" s="159">
        <f>'27'!R249</f>
        <v>0</v>
      </c>
      <c r="I249" s="159">
        <f>'27'!S249</f>
        <v>0</v>
      </c>
      <c r="J249" s="159"/>
      <c r="K249" s="101">
        <f>'27'!T249</f>
        <v>0</v>
      </c>
      <c r="L249" s="81" t="e">
        <f>#REF!</f>
        <v>#REF!</v>
      </c>
      <c r="M249" s="100" t="e">
        <f>#REF!</f>
        <v>#REF!</v>
      </c>
      <c r="N249" s="159"/>
      <c r="O249" s="101" t="e">
        <f>#REF!</f>
        <v>#REF!</v>
      </c>
      <c r="P249" s="102" t="e">
        <f>IF(#REF!=0,"",#REF!)</f>
        <v>#REF!</v>
      </c>
      <c r="Q249" s="108" t="e">
        <f>IF(#REF!=0,"",#REF!)</f>
        <v>#REF!</v>
      </c>
      <c r="R249" s="81" t="e">
        <f>IF(#REF!=0,"",#REF!)</f>
        <v>#REF!</v>
      </c>
      <c r="S249" s="81" t="e">
        <f>IF(#REF!=0,"",#REF!)</f>
        <v>#REF!</v>
      </c>
      <c r="T249" s="268"/>
      <c r="U249" s="268"/>
      <c r="V249" s="268"/>
    </row>
    <row r="250" ht="15" customHeight="1" spans="2:22">
      <c r="B250" s="6" t="e">
        <f t="shared" si="4"/>
        <v>#REF!</v>
      </c>
      <c r="C250" s="31" t="e">
        <f>#REF!</f>
        <v>#REF!</v>
      </c>
      <c r="D250" s="32" t="e">
        <f>IF(#REF!=0,"",#REF!)</f>
        <v>#REF!</v>
      </c>
      <c r="E250" s="36" t="e">
        <f>IF(#REF!=0,"",#REF!)</f>
        <v>#REF!</v>
      </c>
      <c r="F250" s="36" t="e">
        <f>IF(#REF!=0,"",#REF!)</f>
        <v>#REF!</v>
      </c>
      <c r="G250" s="103">
        <f>'27'!Q250</f>
        <v>0</v>
      </c>
      <c r="H250" s="160">
        <f>'27'!R250</f>
        <v>0</v>
      </c>
      <c r="I250" s="160">
        <f>'27'!S250</f>
        <v>0</v>
      </c>
      <c r="J250" s="160"/>
      <c r="K250" s="104">
        <f>'27'!T250</f>
        <v>0</v>
      </c>
      <c r="L250" s="36" t="e">
        <f>#REF!</f>
        <v>#REF!</v>
      </c>
      <c r="M250" s="103" t="e">
        <f>#REF!</f>
        <v>#REF!</v>
      </c>
      <c r="N250" s="160"/>
      <c r="O250" s="104" t="e">
        <f>#REF!</f>
        <v>#REF!</v>
      </c>
      <c r="P250" s="52" t="e">
        <f>IF(#REF!=0,"",#REF!)</f>
        <v>#REF!</v>
      </c>
      <c r="Q250" s="109" t="e">
        <f>IF(#REF!=0,"",#REF!)</f>
        <v>#REF!</v>
      </c>
      <c r="R250" s="36" t="e">
        <f>IF(#REF!=0,"",#REF!)</f>
        <v>#REF!</v>
      </c>
      <c r="S250" s="36" t="e">
        <f>IF(#REF!=0,"",#REF!)</f>
        <v>#REF!</v>
      </c>
      <c r="T250" s="268"/>
      <c r="U250" s="268"/>
      <c r="V250" s="268"/>
    </row>
    <row r="251" ht="15" customHeight="1" spans="2:22">
      <c r="B251" s="6" t="e">
        <f t="shared" si="4"/>
        <v>#REF!</v>
      </c>
      <c r="C251" s="83" t="e">
        <f>#REF!</f>
        <v>#REF!</v>
      </c>
      <c r="D251" s="110" t="e">
        <f>IF(#REF!=0,"",#REF!)</f>
        <v>#REF!</v>
      </c>
      <c r="E251" s="85" t="e">
        <f>IF(#REF!=0,"",#REF!)</f>
        <v>#REF!</v>
      </c>
      <c r="F251" s="85" t="e">
        <f>IF(#REF!=0,"",#REF!)</f>
        <v>#REF!</v>
      </c>
      <c r="G251" s="105">
        <f>'27'!Q251</f>
        <v>0</v>
      </c>
      <c r="H251" s="161">
        <f>'27'!R251</f>
        <v>0</v>
      </c>
      <c r="I251" s="161">
        <f>'27'!S251</f>
        <v>0</v>
      </c>
      <c r="J251" s="161"/>
      <c r="K251" s="106">
        <f>'27'!T251</f>
        <v>0</v>
      </c>
      <c r="L251" s="85" t="e">
        <f>#REF!</f>
        <v>#REF!</v>
      </c>
      <c r="M251" s="105" t="e">
        <f>#REF!</f>
        <v>#REF!</v>
      </c>
      <c r="N251" s="161"/>
      <c r="O251" s="106" t="e">
        <f>#REF!</f>
        <v>#REF!</v>
      </c>
      <c r="P251" s="107" t="e">
        <f>IF(#REF!=0,"",#REF!)</f>
        <v>#REF!</v>
      </c>
      <c r="Q251" s="111" t="e">
        <f>IF(#REF!=0,"",#REF!)</f>
        <v>#REF!</v>
      </c>
      <c r="R251" s="85" t="e">
        <f>IF(#REF!=0,"",#REF!)</f>
        <v>#REF!</v>
      </c>
      <c r="S251" s="85" t="e">
        <f>IF(#REF!=0,"",#REF!)</f>
        <v>#REF!</v>
      </c>
      <c r="T251" s="268"/>
      <c r="U251" s="268"/>
      <c r="V251" s="268"/>
    </row>
    <row r="252" ht="15" customHeight="1" spans="2:22">
      <c r="B252" s="6" t="e">
        <f t="shared" si="4"/>
        <v>#REF!</v>
      </c>
      <c r="C252" s="79" t="e">
        <f>#REF!</f>
        <v>#REF!</v>
      </c>
      <c r="D252" s="62" t="e">
        <f>IF(#REF!=0,"",#REF!)</f>
        <v>#REF!</v>
      </c>
      <c r="E252" s="81" t="e">
        <f>IF(#REF!=0,"",#REF!)</f>
        <v>#REF!</v>
      </c>
      <c r="F252" s="81" t="e">
        <f>IF(#REF!=0,"",#REF!)</f>
        <v>#REF!</v>
      </c>
      <c r="G252" s="100" t="e">
        <f>#REF!</f>
        <v>#REF!</v>
      </c>
      <c r="H252" s="159">
        <f>'27'!R252</f>
        <v>0</v>
      </c>
      <c r="I252" s="159">
        <f>'27'!S252</f>
        <v>0</v>
      </c>
      <c r="J252" s="159"/>
      <c r="K252" s="101">
        <f>'27'!T252</f>
        <v>0</v>
      </c>
      <c r="L252" s="81" t="e">
        <f>#REF!</f>
        <v>#REF!</v>
      </c>
      <c r="M252" s="100" t="e">
        <f>#REF!</f>
        <v>#REF!</v>
      </c>
      <c r="N252" s="159"/>
      <c r="O252" s="101" t="e">
        <f>#REF!</f>
        <v>#REF!</v>
      </c>
      <c r="P252" s="102" t="e">
        <f>IF(#REF!=0,"",#REF!)</f>
        <v>#REF!</v>
      </c>
      <c r="Q252" s="108" t="e">
        <f>IF(#REF!=0,"",#REF!)</f>
        <v>#REF!</v>
      </c>
      <c r="R252" s="81" t="e">
        <f>IF(#REF!=0,"",#REF!)</f>
        <v>#REF!</v>
      </c>
      <c r="S252" s="81" t="e">
        <f>IF(#REF!=0,"",#REF!)</f>
        <v>#REF!</v>
      </c>
      <c r="T252" s="268"/>
      <c r="U252" s="268"/>
      <c r="V252" s="268"/>
    </row>
    <row r="253" ht="15" customHeight="1" spans="2:22">
      <c r="B253" s="6" t="e">
        <f t="shared" si="4"/>
        <v>#REF!</v>
      </c>
      <c r="C253" s="31" t="e">
        <f>#REF!</f>
        <v>#REF!</v>
      </c>
      <c r="D253" s="32" t="e">
        <f>IF(#REF!=0,"",#REF!)</f>
        <v>#REF!</v>
      </c>
      <c r="E253" s="36" t="e">
        <f>IF(#REF!=0,"",#REF!)</f>
        <v>#REF!</v>
      </c>
      <c r="F253" s="36" t="e">
        <f>IF(#REF!=0,"",#REF!)</f>
        <v>#REF!</v>
      </c>
      <c r="G253" s="103">
        <f>'27'!Q253</f>
        <v>0</v>
      </c>
      <c r="H253" s="160">
        <f>'27'!R253</f>
        <v>0</v>
      </c>
      <c r="I253" s="160">
        <f>'27'!S253</f>
        <v>0</v>
      </c>
      <c r="J253" s="160"/>
      <c r="K253" s="104">
        <f>'27'!T253</f>
        <v>0</v>
      </c>
      <c r="L253" s="36" t="e">
        <f>#REF!</f>
        <v>#REF!</v>
      </c>
      <c r="M253" s="103" t="e">
        <f>#REF!</f>
        <v>#REF!</v>
      </c>
      <c r="N253" s="160"/>
      <c r="O253" s="104" t="e">
        <f>#REF!</f>
        <v>#REF!</v>
      </c>
      <c r="P253" s="52" t="e">
        <f>IF(#REF!=0,"",#REF!)</f>
        <v>#REF!</v>
      </c>
      <c r="Q253" s="109" t="e">
        <f>IF(#REF!=0,"",#REF!)</f>
        <v>#REF!</v>
      </c>
      <c r="R253" s="36" t="e">
        <f>IF(#REF!=0,"",#REF!)</f>
        <v>#REF!</v>
      </c>
      <c r="S253" s="36" t="e">
        <f>IF(#REF!=0,"",#REF!)</f>
        <v>#REF!</v>
      </c>
      <c r="T253" s="268"/>
      <c r="U253" s="268"/>
      <c r="V253" s="268"/>
    </row>
    <row r="254" ht="15" customHeight="1" spans="2:22">
      <c r="B254" s="6" t="e">
        <f t="shared" si="4"/>
        <v>#REF!</v>
      </c>
      <c r="C254" s="83" t="e">
        <f>#REF!</f>
        <v>#REF!</v>
      </c>
      <c r="D254" s="110" t="e">
        <f>IF(#REF!=0,"",#REF!)</f>
        <v>#REF!</v>
      </c>
      <c r="E254" s="85" t="e">
        <f>IF(#REF!=0,"",#REF!)</f>
        <v>#REF!</v>
      </c>
      <c r="F254" s="85" t="e">
        <f>IF(#REF!=0,"",#REF!)</f>
        <v>#REF!</v>
      </c>
      <c r="G254" s="105">
        <f>'27'!Q254</f>
        <v>0</v>
      </c>
      <c r="H254" s="161">
        <f>'27'!R254</f>
        <v>0</v>
      </c>
      <c r="I254" s="161">
        <f>'27'!S254</f>
        <v>0</v>
      </c>
      <c r="J254" s="161"/>
      <c r="K254" s="106">
        <f>'27'!T254</f>
        <v>0</v>
      </c>
      <c r="L254" s="85" t="e">
        <f>#REF!</f>
        <v>#REF!</v>
      </c>
      <c r="M254" s="105" t="e">
        <f>#REF!</f>
        <v>#REF!</v>
      </c>
      <c r="N254" s="161"/>
      <c r="O254" s="106" t="e">
        <f>#REF!</f>
        <v>#REF!</v>
      </c>
      <c r="P254" s="107" t="e">
        <f>IF(#REF!=0,"",#REF!)</f>
        <v>#REF!</v>
      </c>
      <c r="Q254" s="111" t="e">
        <f>IF(#REF!=0,"",#REF!)</f>
        <v>#REF!</v>
      </c>
      <c r="R254" s="85" t="e">
        <f>IF(#REF!=0,"",#REF!)</f>
        <v>#REF!</v>
      </c>
      <c r="S254" s="85" t="e">
        <f>IF(#REF!=0,"",#REF!)</f>
        <v>#REF!</v>
      </c>
      <c r="T254" s="268"/>
      <c r="U254" s="268"/>
      <c r="V254" s="268"/>
    </row>
    <row r="255" ht="15" customHeight="1" spans="2:22">
      <c r="B255" s="6" t="e">
        <f t="shared" si="4"/>
        <v>#REF!</v>
      </c>
      <c r="C255" s="79" t="e">
        <f>#REF!</f>
        <v>#REF!</v>
      </c>
      <c r="D255" s="62" t="e">
        <f>IF(#REF!=0,"",#REF!)</f>
        <v>#REF!</v>
      </c>
      <c r="E255" s="81" t="e">
        <f>IF(#REF!=0,"",#REF!)</f>
        <v>#REF!</v>
      </c>
      <c r="F255" s="81" t="e">
        <f>IF(#REF!=0,"",#REF!)</f>
        <v>#REF!</v>
      </c>
      <c r="G255" s="100" t="e">
        <f>#REF!</f>
        <v>#REF!</v>
      </c>
      <c r="H255" s="159">
        <f>'27'!R255</f>
        <v>0</v>
      </c>
      <c r="I255" s="159">
        <f>'27'!S255</f>
        <v>0</v>
      </c>
      <c r="J255" s="159"/>
      <c r="K255" s="101">
        <f>'27'!T255</f>
        <v>0</v>
      </c>
      <c r="L255" s="81" t="e">
        <f>#REF!</f>
        <v>#REF!</v>
      </c>
      <c r="M255" s="100" t="e">
        <f>#REF!</f>
        <v>#REF!</v>
      </c>
      <c r="N255" s="159"/>
      <c r="O255" s="101" t="e">
        <f>#REF!</f>
        <v>#REF!</v>
      </c>
      <c r="P255" s="102" t="e">
        <f>IF(#REF!=0,"",#REF!)</f>
        <v>#REF!</v>
      </c>
      <c r="Q255" s="108" t="e">
        <f>IF(#REF!=0,"",#REF!)</f>
        <v>#REF!</v>
      </c>
      <c r="R255" s="81" t="e">
        <f>IF(#REF!=0,"",#REF!)</f>
        <v>#REF!</v>
      </c>
      <c r="S255" s="81" t="e">
        <f>IF(#REF!=0,"",#REF!)</f>
        <v>#REF!</v>
      </c>
      <c r="T255" s="268"/>
      <c r="U255" s="268"/>
      <c r="V255" s="268"/>
    </row>
    <row r="256" ht="15" customHeight="1" spans="2:22">
      <c r="B256" s="6" t="e">
        <f t="shared" si="4"/>
        <v>#REF!</v>
      </c>
      <c r="C256" s="31" t="e">
        <f>#REF!</f>
        <v>#REF!</v>
      </c>
      <c r="D256" s="32" t="e">
        <f>IF(#REF!=0,"",#REF!)</f>
        <v>#REF!</v>
      </c>
      <c r="E256" s="36" t="e">
        <f>IF(#REF!=0,"",#REF!)</f>
        <v>#REF!</v>
      </c>
      <c r="F256" s="36" t="e">
        <f>IF(#REF!=0,"",#REF!)</f>
        <v>#REF!</v>
      </c>
      <c r="G256" s="103">
        <f>'27'!Q256</f>
        <v>0</v>
      </c>
      <c r="H256" s="160">
        <f>'27'!R256</f>
        <v>0</v>
      </c>
      <c r="I256" s="160">
        <f>'27'!S256</f>
        <v>0</v>
      </c>
      <c r="J256" s="160"/>
      <c r="K256" s="104">
        <f>'27'!T256</f>
        <v>0</v>
      </c>
      <c r="L256" s="36" t="e">
        <f>#REF!</f>
        <v>#REF!</v>
      </c>
      <c r="M256" s="103" t="e">
        <f>#REF!</f>
        <v>#REF!</v>
      </c>
      <c r="N256" s="160"/>
      <c r="O256" s="104" t="e">
        <f>#REF!</f>
        <v>#REF!</v>
      </c>
      <c r="P256" s="52" t="e">
        <f>IF(#REF!=0,"",#REF!)</f>
        <v>#REF!</v>
      </c>
      <c r="Q256" s="109" t="e">
        <f>IF(#REF!=0,"",#REF!)</f>
        <v>#REF!</v>
      </c>
      <c r="R256" s="36" t="e">
        <f>IF(#REF!=0,"",#REF!)</f>
        <v>#REF!</v>
      </c>
      <c r="S256" s="36" t="e">
        <f>IF(#REF!=0,"",#REF!)</f>
        <v>#REF!</v>
      </c>
      <c r="T256" s="268"/>
      <c r="U256" s="268"/>
      <c r="V256" s="268"/>
    </row>
    <row r="257" ht="15" customHeight="1" spans="2:22">
      <c r="B257" s="6" t="e">
        <f t="shared" si="4"/>
        <v>#REF!</v>
      </c>
      <c r="C257" s="83" t="e">
        <f>#REF!</f>
        <v>#REF!</v>
      </c>
      <c r="D257" s="110" t="e">
        <f>IF(#REF!=0,"",#REF!)</f>
        <v>#REF!</v>
      </c>
      <c r="E257" s="85" t="e">
        <f>IF(#REF!=0,"",#REF!)</f>
        <v>#REF!</v>
      </c>
      <c r="F257" s="85" t="e">
        <f>IF(#REF!=0,"",#REF!)</f>
        <v>#REF!</v>
      </c>
      <c r="G257" s="105">
        <f>'27'!Q257</f>
        <v>0</v>
      </c>
      <c r="H257" s="161">
        <f>'27'!R257</f>
        <v>0</v>
      </c>
      <c r="I257" s="161">
        <f>'27'!S257</f>
        <v>0</v>
      </c>
      <c r="J257" s="161"/>
      <c r="K257" s="106">
        <f>'27'!T257</f>
        <v>0</v>
      </c>
      <c r="L257" s="85" t="e">
        <f>#REF!</f>
        <v>#REF!</v>
      </c>
      <c r="M257" s="105" t="e">
        <f>#REF!</f>
        <v>#REF!</v>
      </c>
      <c r="N257" s="161"/>
      <c r="O257" s="106" t="e">
        <f>#REF!</f>
        <v>#REF!</v>
      </c>
      <c r="P257" s="107" t="e">
        <f>IF(#REF!=0,"",#REF!)</f>
        <v>#REF!</v>
      </c>
      <c r="Q257" s="111" t="e">
        <f>IF(#REF!=0,"",#REF!)</f>
        <v>#REF!</v>
      </c>
      <c r="R257" s="85" t="e">
        <f>IF(#REF!=0,"",#REF!)</f>
        <v>#REF!</v>
      </c>
      <c r="S257" s="85" t="e">
        <f>IF(#REF!=0,"",#REF!)</f>
        <v>#REF!</v>
      </c>
      <c r="T257" s="268"/>
      <c r="U257" s="268"/>
      <c r="V257" s="268"/>
    </row>
    <row r="258" ht="15" customHeight="1" spans="2:22">
      <c r="B258" s="6" t="e">
        <f t="shared" si="4"/>
        <v>#REF!</v>
      </c>
      <c r="C258" s="79" t="e">
        <f>#REF!</f>
        <v>#REF!</v>
      </c>
      <c r="D258" s="62" t="e">
        <f>IF(#REF!=0,"",#REF!)</f>
        <v>#REF!</v>
      </c>
      <c r="E258" s="81" t="e">
        <f>IF(#REF!=0,"",#REF!)</f>
        <v>#REF!</v>
      </c>
      <c r="F258" s="81" t="e">
        <f>IF(#REF!=0,"",#REF!)</f>
        <v>#REF!</v>
      </c>
      <c r="G258" s="100" t="e">
        <f>#REF!</f>
        <v>#REF!</v>
      </c>
      <c r="H258" s="159">
        <f>'27'!R258</f>
        <v>0</v>
      </c>
      <c r="I258" s="159">
        <f>'27'!S258</f>
        <v>0</v>
      </c>
      <c r="J258" s="159"/>
      <c r="K258" s="101">
        <f>'27'!T258</f>
        <v>0</v>
      </c>
      <c r="L258" s="81" t="e">
        <f>#REF!</f>
        <v>#REF!</v>
      </c>
      <c r="M258" s="100" t="e">
        <f>#REF!</f>
        <v>#REF!</v>
      </c>
      <c r="N258" s="159"/>
      <c r="O258" s="101" t="e">
        <f>#REF!</f>
        <v>#REF!</v>
      </c>
      <c r="P258" s="102" t="e">
        <f>IF(#REF!=0,"",#REF!)</f>
        <v>#REF!</v>
      </c>
      <c r="Q258" s="108" t="e">
        <f>IF(#REF!=0,"",#REF!)</f>
        <v>#REF!</v>
      </c>
      <c r="R258" s="81" t="e">
        <f>IF(#REF!=0,"",#REF!)</f>
        <v>#REF!</v>
      </c>
      <c r="S258" s="81" t="e">
        <f>IF(#REF!=0,"",#REF!)</f>
        <v>#REF!</v>
      </c>
      <c r="T258" s="268"/>
      <c r="U258" s="268"/>
      <c r="V258" s="268"/>
    </row>
    <row r="259" ht="15" customHeight="1" spans="2:22">
      <c r="B259" s="6" t="e">
        <f t="shared" si="4"/>
        <v>#REF!</v>
      </c>
      <c r="C259" s="31" t="e">
        <f>#REF!</f>
        <v>#REF!</v>
      </c>
      <c r="D259" s="32" t="e">
        <f>IF(#REF!=0,"",#REF!)</f>
        <v>#REF!</v>
      </c>
      <c r="E259" s="36" t="e">
        <f>IF(#REF!=0,"",#REF!)</f>
        <v>#REF!</v>
      </c>
      <c r="F259" s="36" t="e">
        <f>IF(#REF!=0,"",#REF!)</f>
        <v>#REF!</v>
      </c>
      <c r="G259" s="103">
        <f>'27'!Q259</f>
        <v>0</v>
      </c>
      <c r="H259" s="160">
        <f>'27'!R259</f>
        <v>0</v>
      </c>
      <c r="I259" s="160">
        <f>'27'!S259</f>
        <v>0</v>
      </c>
      <c r="J259" s="160"/>
      <c r="K259" s="104">
        <f>'27'!T259</f>
        <v>0</v>
      </c>
      <c r="L259" s="36" t="e">
        <f>#REF!</f>
        <v>#REF!</v>
      </c>
      <c r="M259" s="103" t="e">
        <f>#REF!</f>
        <v>#REF!</v>
      </c>
      <c r="N259" s="160"/>
      <c r="O259" s="104" t="e">
        <f>#REF!</f>
        <v>#REF!</v>
      </c>
      <c r="P259" s="52" t="e">
        <f>IF(#REF!=0,"",#REF!)</f>
        <v>#REF!</v>
      </c>
      <c r="Q259" s="109" t="e">
        <f>IF(#REF!=0,"",#REF!)</f>
        <v>#REF!</v>
      </c>
      <c r="R259" s="36" t="e">
        <f>IF(#REF!=0,"",#REF!)</f>
        <v>#REF!</v>
      </c>
      <c r="S259" s="36" t="e">
        <f>IF(#REF!=0,"",#REF!)</f>
        <v>#REF!</v>
      </c>
      <c r="T259" s="268"/>
      <c r="U259" s="268"/>
      <c r="V259" s="268"/>
    </row>
    <row r="260" ht="15" customHeight="1" spans="2:22">
      <c r="B260" s="6" t="e">
        <f t="shared" ref="B260:B323" si="5">COUNTA(C260)-IF(C260=0,1)+B259</f>
        <v>#REF!</v>
      </c>
      <c r="C260" s="83" t="e">
        <f>#REF!</f>
        <v>#REF!</v>
      </c>
      <c r="D260" s="110" t="e">
        <f>IF(#REF!=0,"",#REF!)</f>
        <v>#REF!</v>
      </c>
      <c r="E260" s="85" t="e">
        <f>IF(#REF!=0,"",#REF!)</f>
        <v>#REF!</v>
      </c>
      <c r="F260" s="85" t="e">
        <f>IF(#REF!=0,"",#REF!)</f>
        <v>#REF!</v>
      </c>
      <c r="G260" s="105">
        <f>'27'!Q260</f>
        <v>0</v>
      </c>
      <c r="H260" s="161">
        <f>'27'!R260</f>
        <v>0</v>
      </c>
      <c r="I260" s="161">
        <f>'27'!S260</f>
        <v>0</v>
      </c>
      <c r="J260" s="161"/>
      <c r="K260" s="106">
        <f>'27'!T260</f>
        <v>0</v>
      </c>
      <c r="L260" s="85" t="e">
        <f>#REF!</f>
        <v>#REF!</v>
      </c>
      <c r="M260" s="105" t="e">
        <f>#REF!</f>
        <v>#REF!</v>
      </c>
      <c r="N260" s="161"/>
      <c r="O260" s="106" t="e">
        <f>#REF!</f>
        <v>#REF!</v>
      </c>
      <c r="P260" s="107" t="e">
        <f>IF(#REF!=0,"",#REF!)</f>
        <v>#REF!</v>
      </c>
      <c r="Q260" s="111" t="e">
        <f>IF(#REF!=0,"",#REF!)</f>
        <v>#REF!</v>
      </c>
      <c r="R260" s="85" t="e">
        <f>IF(#REF!=0,"",#REF!)</f>
        <v>#REF!</v>
      </c>
      <c r="S260" s="85" t="e">
        <f>IF(#REF!=0,"",#REF!)</f>
        <v>#REF!</v>
      </c>
      <c r="T260" s="268"/>
      <c r="U260" s="268"/>
      <c r="V260" s="268"/>
    </row>
    <row r="261" ht="15" customHeight="1" spans="2:22">
      <c r="B261" s="6" t="e">
        <f t="shared" si="5"/>
        <v>#REF!</v>
      </c>
      <c r="C261" s="79" t="e">
        <f>#REF!</f>
        <v>#REF!</v>
      </c>
      <c r="D261" s="62" t="e">
        <f>IF(#REF!=0,"",#REF!)</f>
        <v>#REF!</v>
      </c>
      <c r="E261" s="81" t="e">
        <f>IF(#REF!=0,"",#REF!)</f>
        <v>#REF!</v>
      </c>
      <c r="F261" s="81" t="e">
        <f>IF(#REF!=0,"",#REF!)</f>
        <v>#REF!</v>
      </c>
      <c r="G261" s="100" t="e">
        <f>#REF!</f>
        <v>#REF!</v>
      </c>
      <c r="H261" s="159">
        <f>'27'!R261</f>
        <v>0</v>
      </c>
      <c r="I261" s="159">
        <f>'27'!S261</f>
        <v>0</v>
      </c>
      <c r="J261" s="159"/>
      <c r="K261" s="101">
        <f>'27'!T261</f>
        <v>0</v>
      </c>
      <c r="L261" s="81" t="e">
        <f>#REF!</f>
        <v>#REF!</v>
      </c>
      <c r="M261" s="100" t="e">
        <f>#REF!</f>
        <v>#REF!</v>
      </c>
      <c r="N261" s="159"/>
      <c r="O261" s="101" t="e">
        <f>#REF!</f>
        <v>#REF!</v>
      </c>
      <c r="P261" s="102" t="e">
        <f>IF(#REF!=0,"",#REF!)</f>
        <v>#REF!</v>
      </c>
      <c r="Q261" s="108" t="e">
        <f>IF(#REF!=0,"",#REF!)</f>
        <v>#REF!</v>
      </c>
      <c r="R261" s="81" t="e">
        <f>IF(#REF!=0,"",#REF!)</f>
        <v>#REF!</v>
      </c>
      <c r="S261" s="81" t="e">
        <f>IF(#REF!=0,"",#REF!)</f>
        <v>#REF!</v>
      </c>
      <c r="T261" s="268"/>
      <c r="U261" s="268"/>
      <c r="V261" s="268"/>
    </row>
    <row r="262" ht="15" customHeight="1" spans="2:22">
      <c r="B262" s="6" t="e">
        <f t="shared" si="5"/>
        <v>#REF!</v>
      </c>
      <c r="C262" s="31" t="e">
        <f>#REF!</f>
        <v>#REF!</v>
      </c>
      <c r="D262" s="32" t="e">
        <f>IF(#REF!=0,"",#REF!)</f>
        <v>#REF!</v>
      </c>
      <c r="E262" s="36" t="e">
        <f>IF(#REF!=0,"",#REF!)</f>
        <v>#REF!</v>
      </c>
      <c r="F262" s="36" t="e">
        <f>IF(#REF!=0,"",#REF!)</f>
        <v>#REF!</v>
      </c>
      <c r="G262" s="103">
        <f>'27'!Q262</f>
        <v>0</v>
      </c>
      <c r="H262" s="160">
        <f>'27'!R262</f>
        <v>0</v>
      </c>
      <c r="I262" s="160">
        <f>'27'!S262</f>
        <v>0</v>
      </c>
      <c r="J262" s="160"/>
      <c r="K262" s="104">
        <f>'27'!T262</f>
        <v>0</v>
      </c>
      <c r="L262" s="36" t="e">
        <f>#REF!</f>
        <v>#REF!</v>
      </c>
      <c r="M262" s="103" t="e">
        <f>#REF!</f>
        <v>#REF!</v>
      </c>
      <c r="N262" s="160"/>
      <c r="O262" s="104" t="e">
        <f>#REF!</f>
        <v>#REF!</v>
      </c>
      <c r="P262" s="52" t="e">
        <f>IF(#REF!=0,"",#REF!)</f>
        <v>#REF!</v>
      </c>
      <c r="Q262" s="109" t="e">
        <f>IF(#REF!=0,"",#REF!)</f>
        <v>#REF!</v>
      </c>
      <c r="R262" s="36" t="e">
        <f>IF(#REF!=0,"",#REF!)</f>
        <v>#REF!</v>
      </c>
      <c r="S262" s="36" t="e">
        <f>IF(#REF!=0,"",#REF!)</f>
        <v>#REF!</v>
      </c>
      <c r="T262" s="268"/>
      <c r="U262" s="268"/>
      <c r="V262" s="268"/>
    </row>
    <row r="263" ht="15" customHeight="1" spans="2:22">
      <c r="B263" s="6" t="e">
        <f t="shared" si="5"/>
        <v>#REF!</v>
      </c>
      <c r="C263" s="83" t="e">
        <f>#REF!</f>
        <v>#REF!</v>
      </c>
      <c r="D263" s="110" t="e">
        <f>IF(#REF!=0,"",#REF!)</f>
        <v>#REF!</v>
      </c>
      <c r="E263" s="85" t="e">
        <f>IF(#REF!=0,"",#REF!)</f>
        <v>#REF!</v>
      </c>
      <c r="F263" s="85" t="e">
        <f>IF(#REF!=0,"",#REF!)</f>
        <v>#REF!</v>
      </c>
      <c r="G263" s="105">
        <f>'27'!Q263</f>
        <v>0</v>
      </c>
      <c r="H263" s="161">
        <f>'27'!R263</f>
        <v>0</v>
      </c>
      <c r="I263" s="161">
        <f>'27'!S263</f>
        <v>0</v>
      </c>
      <c r="J263" s="161"/>
      <c r="K263" s="106">
        <f>'27'!T263</f>
        <v>0</v>
      </c>
      <c r="L263" s="85" t="e">
        <f>#REF!</f>
        <v>#REF!</v>
      </c>
      <c r="M263" s="105" t="e">
        <f>#REF!</f>
        <v>#REF!</v>
      </c>
      <c r="N263" s="161"/>
      <c r="O263" s="106" t="e">
        <f>#REF!</f>
        <v>#REF!</v>
      </c>
      <c r="P263" s="107" t="e">
        <f>IF(#REF!=0,"",#REF!)</f>
        <v>#REF!</v>
      </c>
      <c r="Q263" s="111" t="e">
        <f>IF(#REF!=0,"",#REF!)</f>
        <v>#REF!</v>
      </c>
      <c r="R263" s="85" t="e">
        <f>IF(#REF!=0,"",#REF!)</f>
        <v>#REF!</v>
      </c>
      <c r="S263" s="85" t="e">
        <f>IF(#REF!=0,"",#REF!)</f>
        <v>#REF!</v>
      </c>
      <c r="T263" s="268"/>
      <c r="U263" s="268"/>
      <c r="V263" s="268"/>
    </row>
    <row r="264" ht="15" customHeight="1" spans="2:22">
      <c r="B264" s="6" t="e">
        <f t="shared" si="5"/>
        <v>#REF!</v>
      </c>
      <c r="C264" s="79" t="e">
        <f>#REF!</f>
        <v>#REF!</v>
      </c>
      <c r="D264" s="62" t="e">
        <f>IF(#REF!=0,"",#REF!)</f>
        <v>#REF!</v>
      </c>
      <c r="E264" s="81" t="e">
        <f>IF(#REF!=0,"",#REF!)</f>
        <v>#REF!</v>
      </c>
      <c r="F264" s="81" t="e">
        <f>IF(#REF!=0,"",#REF!)</f>
        <v>#REF!</v>
      </c>
      <c r="G264" s="100" t="e">
        <f>#REF!</f>
        <v>#REF!</v>
      </c>
      <c r="H264" s="159">
        <f>'27'!R264</f>
        <v>0</v>
      </c>
      <c r="I264" s="159">
        <f>'27'!S264</f>
        <v>0</v>
      </c>
      <c r="J264" s="159"/>
      <c r="K264" s="101">
        <f>'27'!T264</f>
        <v>0</v>
      </c>
      <c r="L264" s="81" t="e">
        <f>#REF!</f>
        <v>#REF!</v>
      </c>
      <c r="M264" s="100" t="e">
        <f>#REF!</f>
        <v>#REF!</v>
      </c>
      <c r="N264" s="159"/>
      <c r="O264" s="101" t="e">
        <f>#REF!</f>
        <v>#REF!</v>
      </c>
      <c r="P264" s="102" t="e">
        <f>IF(#REF!=0,"",#REF!)</f>
        <v>#REF!</v>
      </c>
      <c r="Q264" s="108" t="e">
        <f>IF(#REF!=0,"",#REF!)</f>
        <v>#REF!</v>
      </c>
      <c r="R264" s="81" t="e">
        <f>IF(#REF!=0,"",#REF!)</f>
        <v>#REF!</v>
      </c>
      <c r="S264" s="81" t="e">
        <f>IF(#REF!=0,"",#REF!)</f>
        <v>#REF!</v>
      </c>
      <c r="T264" s="268"/>
      <c r="U264" s="268"/>
      <c r="V264" s="268"/>
    </row>
    <row r="265" ht="15" customHeight="1" spans="2:22">
      <c r="B265" s="6" t="e">
        <f t="shared" si="5"/>
        <v>#REF!</v>
      </c>
      <c r="C265" s="31" t="e">
        <f>#REF!</f>
        <v>#REF!</v>
      </c>
      <c r="D265" s="32" t="e">
        <f>IF(#REF!=0,"",#REF!)</f>
        <v>#REF!</v>
      </c>
      <c r="E265" s="36" t="e">
        <f>IF(#REF!=0,"",#REF!)</f>
        <v>#REF!</v>
      </c>
      <c r="F265" s="36" t="e">
        <f>IF(#REF!=0,"",#REF!)</f>
        <v>#REF!</v>
      </c>
      <c r="G265" s="103">
        <f>'27'!Q265</f>
        <v>0</v>
      </c>
      <c r="H265" s="160">
        <f>'27'!R265</f>
        <v>0</v>
      </c>
      <c r="I265" s="160">
        <f>'27'!S265</f>
        <v>0</v>
      </c>
      <c r="J265" s="160"/>
      <c r="K265" s="104">
        <f>'27'!T265</f>
        <v>0</v>
      </c>
      <c r="L265" s="36" t="e">
        <f>#REF!</f>
        <v>#REF!</v>
      </c>
      <c r="M265" s="103" t="e">
        <f>#REF!</f>
        <v>#REF!</v>
      </c>
      <c r="N265" s="160"/>
      <c r="O265" s="104" t="e">
        <f>#REF!</f>
        <v>#REF!</v>
      </c>
      <c r="P265" s="52" t="e">
        <f>IF(#REF!=0,"",#REF!)</f>
        <v>#REF!</v>
      </c>
      <c r="Q265" s="109" t="e">
        <f>IF(#REF!=0,"",#REF!)</f>
        <v>#REF!</v>
      </c>
      <c r="R265" s="36" t="e">
        <f>IF(#REF!=0,"",#REF!)</f>
        <v>#REF!</v>
      </c>
      <c r="S265" s="36" t="e">
        <f>IF(#REF!=0,"",#REF!)</f>
        <v>#REF!</v>
      </c>
      <c r="T265" s="268"/>
      <c r="U265" s="268"/>
      <c r="V265" s="268"/>
    </row>
    <row r="266" ht="15" customHeight="1" spans="2:22">
      <c r="B266" s="6" t="e">
        <f t="shared" si="5"/>
        <v>#REF!</v>
      </c>
      <c r="C266" s="83" t="e">
        <f>#REF!</f>
        <v>#REF!</v>
      </c>
      <c r="D266" s="110" t="e">
        <f>IF(#REF!=0,"",#REF!)</f>
        <v>#REF!</v>
      </c>
      <c r="E266" s="85" t="e">
        <f>IF(#REF!=0,"",#REF!)</f>
        <v>#REF!</v>
      </c>
      <c r="F266" s="85" t="e">
        <f>IF(#REF!=0,"",#REF!)</f>
        <v>#REF!</v>
      </c>
      <c r="G266" s="105">
        <f>'27'!Q266</f>
        <v>0</v>
      </c>
      <c r="H266" s="161">
        <f>'27'!R266</f>
        <v>0</v>
      </c>
      <c r="I266" s="161">
        <f>'27'!S266</f>
        <v>0</v>
      </c>
      <c r="J266" s="161"/>
      <c r="K266" s="106">
        <f>'27'!T266</f>
        <v>0</v>
      </c>
      <c r="L266" s="85" t="e">
        <f>#REF!</f>
        <v>#REF!</v>
      </c>
      <c r="M266" s="105" t="e">
        <f>#REF!</f>
        <v>#REF!</v>
      </c>
      <c r="N266" s="161"/>
      <c r="O266" s="106" t="e">
        <f>#REF!</f>
        <v>#REF!</v>
      </c>
      <c r="P266" s="107" t="e">
        <f>IF(#REF!=0,"",#REF!)</f>
        <v>#REF!</v>
      </c>
      <c r="Q266" s="111" t="e">
        <f>IF(#REF!=0,"",#REF!)</f>
        <v>#REF!</v>
      </c>
      <c r="R266" s="85" t="e">
        <f>IF(#REF!=0,"",#REF!)</f>
        <v>#REF!</v>
      </c>
      <c r="S266" s="85" t="e">
        <f>IF(#REF!=0,"",#REF!)</f>
        <v>#REF!</v>
      </c>
      <c r="T266" s="268"/>
      <c r="U266" s="268"/>
      <c r="V266" s="268"/>
    </row>
    <row r="267" ht="15" customHeight="1" spans="2:22">
      <c r="B267" s="6" t="e">
        <f t="shared" si="5"/>
        <v>#REF!</v>
      </c>
      <c r="C267" s="79" t="e">
        <f>#REF!</f>
        <v>#REF!</v>
      </c>
      <c r="D267" s="62" t="e">
        <f>IF(#REF!=0,"",#REF!)</f>
        <v>#REF!</v>
      </c>
      <c r="E267" s="81" t="e">
        <f>IF(#REF!=0,"",#REF!)</f>
        <v>#REF!</v>
      </c>
      <c r="F267" s="81" t="e">
        <f>IF(#REF!=0,"",#REF!)</f>
        <v>#REF!</v>
      </c>
      <c r="G267" s="100" t="e">
        <f>#REF!</f>
        <v>#REF!</v>
      </c>
      <c r="H267" s="159">
        <f>'27'!R267</f>
        <v>0</v>
      </c>
      <c r="I267" s="159">
        <f>'27'!S267</f>
        <v>0</v>
      </c>
      <c r="J267" s="159"/>
      <c r="K267" s="101">
        <f>'27'!T267</f>
        <v>0</v>
      </c>
      <c r="L267" s="81" t="e">
        <f>#REF!</f>
        <v>#REF!</v>
      </c>
      <c r="M267" s="100" t="e">
        <f>#REF!</f>
        <v>#REF!</v>
      </c>
      <c r="N267" s="159"/>
      <c r="O267" s="101" t="e">
        <f>#REF!</f>
        <v>#REF!</v>
      </c>
      <c r="P267" s="102" t="e">
        <f>IF(#REF!=0,"",#REF!)</f>
        <v>#REF!</v>
      </c>
      <c r="Q267" s="108" t="e">
        <f>IF(#REF!=0,"",#REF!)</f>
        <v>#REF!</v>
      </c>
      <c r="R267" s="81" t="e">
        <f>IF(#REF!=0,"",#REF!)</f>
        <v>#REF!</v>
      </c>
      <c r="S267" s="81" t="e">
        <f>IF(#REF!=0,"",#REF!)</f>
        <v>#REF!</v>
      </c>
      <c r="T267" s="268"/>
      <c r="U267" s="268"/>
      <c r="V267" s="268"/>
    </row>
    <row r="268" ht="15" customHeight="1" spans="2:22">
      <c r="B268" s="6" t="e">
        <f t="shared" si="5"/>
        <v>#REF!</v>
      </c>
      <c r="C268" s="31" t="e">
        <f>#REF!</f>
        <v>#REF!</v>
      </c>
      <c r="D268" s="32" t="e">
        <f>IF(#REF!=0,"",#REF!)</f>
        <v>#REF!</v>
      </c>
      <c r="E268" s="36" t="e">
        <f>IF(#REF!=0,"",#REF!)</f>
        <v>#REF!</v>
      </c>
      <c r="F268" s="36" t="e">
        <f>IF(#REF!=0,"",#REF!)</f>
        <v>#REF!</v>
      </c>
      <c r="G268" s="103">
        <f>'27'!Q268</f>
        <v>0</v>
      </c>
      <c r="H268" s="160">
        <f>'27'!R268</f>
        <v>0</v>
      </c>
      <c r="I268" s="160">
        <f>'27'!S268</f>
        <v>0</v>
      </c>
      <c r="J268" s="160"/>
      <c r="K268" s="104">
        <f>'27'!T268</f>
        <v>0</v>
      </c>
      <c r="L268" s="36" t="e">
        <f>#REF!</f>
        <v>#REF!</v>
      </c>
      <c r="M268" s="103" t="e">
        <f>#REF!</f>
        <v>#REF!</v>
      </c>
      <c r="N268" s="160"/>
      <c r="O268" s="104" t="e">
        <f>#REF!</f>
        <v>#REF!</v>
      </c>
      <c r="P268" s="52" t="e">
        <f>IF(#REF!=0,"",#REF!)</f>
        <v>#REF!</v>
      </c>
      <c r="Q268" s="109" t="e">
        <f>IF(#REF!=0,"",#REF!)</f>
        <v>#REF!</v>
      </c>
      <c r="R268" s="36" t="e">
        <f>IF(#REF!=0,"",#REF!)</f>
        <v>#REF!</v>
      </c>
      <c r="S268" s="36" t="e">
        <f>IF(#REF!=0,"",#REF!)</f>
        <v>#REF!</v>
      </c>
      <c r="T268" s="268"/>
      <c r="U268" s="268"/>
      <c r="V268" s="268"/>
    </row>
    <row r="269" ht="15" customHeight="1" spans="2:22">
      <c r="B269" s="6" t="e">
        <f t="shared" si="5"/>
        <v>#REF!</v>
      </c>
      <c r="C269" s="83" t="e">
        <f>#REF!</f>
        <v>#REF!</v>
      </c>
      <c r="D269" s="110" t="e">
        <f>IF(#REF!=0,"",#REF!)</f>
        <v>#REF!</v>
      </c>
      <c r="E269" s="85" t="e">
        <f>IF(#REF!=0,"",#REF!)</f>
        <v>#REF!</v>
      </c>
      <c r="F269" s="85" t="e">
        <f>IF(#REF!=0,"",#REF!)</f>
        <v>#REF!</v>
      </c>
      <c r="G269" s="105">
        <f>'27'!Q269</f>
        <v>0</v>
      </c>
      <c r="H269" s="161">
        <f>'27'!R269</f>
        <v>0</v>
      </c>
      <c r="I269" s="161">
        <f>'27'!S269</f>
        <v>0</v>
      </c>
      <c r="J269" s="161"/>
      <c r="K269" s="106">
        <f>'27'!T269</f>
        <v>0</v>
      </c>
      <c r="L269" s="85" t="e">
        <f>#REF!</f>
        <v>#REF!</v>
      </c>
      <c r="M269" s="105" t="e">
        <f>#REF!</f>
        <v>#REF!</v>
      </c>
      <c r="N269" s="161"/>
      <c r="O269" s="106" t="e">
        <f>#REF!</f>
        <v>#REF!</v>
      </c>
      <c r="P269" s="107" t="e">
        <f>IF(#REF!=0,"",#REF!)</f>
        <v>#REF!</v>
      </c>
      <c r="Q269" s="111" t="e">
        <f>IF(#REF!=0,"",#REF!)</f>
        <v>#REF!</v>
      </c>
      <c r="R269" s="85" t="e">
        <f>IF(#REF!=0,"",#REF!)</f>
        <v>#REF!</v>
      </c>
      <c r="S269" s="85" t="e">
        <f>IF(#REF!=0,"",#REF!)</f>
        <v>#REF!</v>
      </c>
      <c r="T269" s="268"/>
      <c r="U269" s="268"/>
      <c r="V269" s="268"/>
    </row>
    <row r="270" ht="15" customHeight="1" spans="2:22">
      <c r="B270" s="6" t="e">
        <f t="shared" si="5"/>
        <v>#REF!</v>
      </c>
      <c r="C270" s="79" t="e">
        <f>#REF!</f>
        <v>#REF!</v>
      </c>
      <c r="D270" s="62" t="e">
        <f>IF(#REF!=0,"",#REF!)</f>
        <v>#REF!</v>
      </c>
      <c r="E270" s="81" t="e">
        <f>IF(#REF!=0,"",#REF!)</f>
        <v>#REF!</v>
      </c>
      <c r="F270" s="81" t="e">
        <f>IF(#REF!=0,"",#REF!)</f>
        <v>#REF!</v>
      </c>
      <c r="G270" s="100" t="e">
        <f>#REF!</f>
        <v>#REF!</v>
      </c>
      <c r="H270" s="159">
        <f>'27'!R270</f>
        <v>0</v>
      </c>
      <c r="I270" s="159">
        <f>'27'!S270</f>
        <v>0</v>
      </c>
      <c r="J270" s="159"/>
      <c r="K270" s="101">
        <f>'27'!T270</f>
        <v>0</v>
      </c>
      <c r="L270" s="81" t="e">
        <f>#REF!</f>
        <v>#REF!</v>
      </c>
      <c r="M270" s="100" t="e">
        <f>#REF!</f>
        <v>#REF!</v>
      </c>
      <c r="N270" s="159"/>
      <c r="O270" s="101" t="e">
        <f>#REF!</f>
        <v>#REF!</v>
      </c>
      <c r="P270" s="102" t="e">
        <f>IF(#REF!=0,"",#REF!)</f>
        <v>#REF!</v>
      </c>
      <c r="Q270" s="108" t="e">
        <f>IF(#REF!=0,"",#REF!)</f>
        <v>#REF!</v>
      </c>
      <c r="R270" s="81" t="e">
        <f>IF(#REF!=0,"",#REF!)</f>
        <v>#REF!</v>
      </c>
      <c r="S270" s="81" t="e">
        <f>IF(#REF!=0,"",#REF!)</f>
        <v>#REF!</v>
      </c>
      <c r="T270" s="268"/>
      <c r="U270" s="268"/>
      <c r="V270" s="268"/>
    </row>
    <row r="271" ht="15" customHeight="1" spans="2:22">
      <c r="B271" s="6" t="e">
        <f t="shared" si="5"/>
        <v>#REF!</v>
      </c>
      <c r="C271" s="31" t="e">
        <f>#REF!</f>
        <v>#REF!</v>
      </c>
      <c r="D271" s="32" t="e">
        <f>IF(#REF!=0,"",#REF!)</f>
        <v>#REF!</v>
      </c>
      <c r="E271" s="36" t="e">
        <f>IF(#REF!=0,"",#REF!)</f>
        <v>#REF!</v>
      </c>
      <c r="F271" s="36" t="e">
        <f>IF(#REF!=0,"",#REF!)</f>
        <v>#REF!</v>
      </c>
      <c r="G271" s="103">
        <f>'27'!Q271</f>
        <v>0</v>
      </c>
      <c r="H271" s="160">
        <f>'27'!R271</f>
        <v>0</v>
      </c>
      <c r="I271" s="160">
        <f>'27'!S271</f>
        <v>0</v>
      </c>
      <c r="J271" s="160"/>
      <c r="K271" s="104">
        <f>'27'!T271</f>
        <v>0</v>
      </c>
      <c r="L271" s="36" t="e">
        <f>#REF!</f>
        <v>#REF!</v>
      </c>
      <c r="M271" s="103" t="e">
        <f>#REF!</f>
        <v>#REF!</v>
      </c>
      <c r="N271" s="160"/>
      <c r="O271" s="104" t="e">
        <f>#REF!</f>
        <v>#REF!</v>
      </c>
      <c r="P271" s="52" t="e">
        <f>IF(#REF!=0,"",#REF!)</f>
        <v>#REF!</v>
      </c>
      <c r="Q271" s="109" t="e">
        <f>IF(#REF!=0,"",#REF!)</f>
        <v>#REF!</v>
      </c>
      <c r="R271" s="36" t="e">
        <f>IF(#REF!=0,"",#REF!)</f>
        <v>#REF!</v>
      </c>
      <c r="S271" s="36" t="e">
        <f>IF(#REF!=0,"",#REF!)</f>
        <v>#REF!</v>
      </c>
      <c r="T271" s="268"/>
      <c r="U271" s="268"/>
      <c r="V271" s="268"/>
    </row>
    <row r="272" ht="15" customHeight="1" spans="2:22">
      <c r="B272" s="6" t="e">
        <f t="shared" si="5"/>
        <v>#REF!</v>
      </c>
      <c r="C272" s="83" t="e">
        <f>#REF!</f>
        <v>#REF!</v>
      </c>
      <c r="D272" s="110" t="e">
        <f>IF(#REF!=0,"",#REF!)</f>
        <v>#REF!</v>
      </c>
      <c r="E272" s="85" t="e">
        <f>IF(#REF!=0,"",#REF!)</f>
        <v>#REF!</v>
      </c>
      <c r="F272" s="85" t="e">
        <f>IF(#REF!=0,"",#REF!)</f>
        <v>#REF!</v>
      </c>
      <c r="G272" s="105">
        <f>'27'!Q272</f>
        <v>0</v>
      </c>
      <c r="H272" s="161">
        <f>'27'!R272</f>
        <v>0</v>
      </c>
      <c r="I272" s="161">
        <f>'27'!S272</f>
        <v>0</v>
      </c>
      <c r="J272" s="161"/>
      <c r="K272" s="106">
        <f>'27'!T272</f>
        <v>0</v>
      </c>
      <c r="L272" s="85" t="e">
        <f>#REF!</f>
        <v>#REF!</v>
      </c>
      <c r="M272" s="105" t="e">
        <f>#REF!</f>
        <v>#REF!</v>
      </c>
      <c r="N272" s="161"/>
      <c r="O272" s="106" t="e">
        <f>#REF!</f>
        <v>#REF!</v>
      </c>
      <c r="P272" s="107" t="e">
        <f>IF(#REF!=0,"",#REF!)</f>
        <v>#REF!</v>
      </c>
      <c r="Q272" s="111" t="e">
        <f>IF(#REF!=0,"",#REF!)</f>
        <v>#REF!</v>
      </c>
      <c r="R272" s="85" t="e">
        <f>IF(#REF!=0,"",#REF!)</f>
        <v>#REF!</v>
      </c>
      <c r="S272" s="85" t="e">
        <f>IF(#REF!=0,"",#REF!)</f>
        <v>#REF!</v>
      </c>
      <c r="T272" s="268"/>
      <c r="U272" s="268"/>
      <c r="V272" s="268"/>
    </row>
    <row r="273" ht="15" customHeight="1" spans="2:22">
      <c r="B273" s="6" t="e">
        <f t="shared" si="5"/>
        <v>#REF!</v>
      </c>
      <c r="C273" s="79" t="e">
        <f>#REF!</f>
        <v>#REF!</v>
      </c>
      <c r="D273" s="62" t="e">
        <f>IF(#REF!=0,"",#REF!)</f>
        <v>#REF!</v>
      </c>
      <c r="E273" s="81" t="e">
        <f>IF(#REF!=0,"",#REF!)</f>
        <v>#REF!</v>
      </c>
      <c r="F273" s="81" t="e">
        <f>IF(#REF!=0,"",#REF!)</f>
        <v>#REF!</v>
      </c>
      <c r="G273" s="100" t="e">
        <f>#REF!</f>
        <v>#REF!</v>
      </c>
      <c r="H273" s="159">
        <f>'27'!R273</f>
        <v>0</v>
      </c>
      <c r="I273" s="159">
        <f>'27'!S273</f>
        <v>0</v>
      </c>
      <c r="J273" s="159"/>
      <c r="K273" s="101">
        <f>'27'!T273</f>
        <v>0</v>
      </c>
      <c r="L273" s="81" t="e">
        <f>#REF!</f>
        <v>#REF!</v>
      </c>
      <c r="M273" s="100" t="e">
        <f>#REF!</f>
        <v>#REF!</v>
      </c>
      <c r="N273" s="159"/>
      <c r="O273" s="101" t="e">
        <f>#REF!</f>
        <v>#REF!</v>
      </c>
      <c r="P273" s="102" t="e">
        <f>IF(#REF!=0,"",#REF!)</f>
        <v>#REF!</v>
      </c>
      <c r="Q273" s="108" t="e">
        <f>IF(#REF!=0,"",#REF!)</f>
        <v>#REF!</v>
      </c>
      <c r="R273" s="81" t="e">
        <f>IF(#REF!=0,"",#REF!)</f>
        <v>#REF!</v>
      </c>
      <c r="S273" s="81" t="e">
        <f>IF(#REF!=0,"",#REF!)</f>
        <v>#REF!</v>
      </c>
      <c r="T273" s="268"/>
      <c r="U273" s="268"/>
      <c r="V273" s="268"/>
    </row>
    <row r="274" ht="15" customHeight="1" spans="2:22">
      <c r="B274" s="6" t="e">
        <f t="shared" si="5"/>
        <v>#REF!</v>
      </c>
      <c r="C274" s="31" t="e">
        <f>#REF!</f>
        <v>#REF!</v>
      </c>
      <c r="D274" s="32" t="e">
        <f>IF(#REF!=0,"",#REF!)</f>
        <v>#REF!</v>
      </c>
      <c r="E274" s="36" t="e">
        <f>IF(#REF!=0,"",#REF!)</f>
        <v>#REF!</v>
      </c>
      <c r="F274" s="36" t="e">
        <f>IF(#REF!=0,"",#REF!)</f>
        <v>#REF!</v>
      </c>
      <c r="G274" s="103">
        <f>'27'!Q274</f>
        <v>0</v>
      </c>
      <c r="H274" s="160">
        <f>'27'!R274</f>
        <v>0</v>
      </c>
      <c r="I274" s="160">
        <f>'27'!S274</f>
        <v>0</v>
      </c>
      <c r="J274" s="160"/>
      <c r="K274" s="104">
        <f>'27'!T274</f>
        <v>0</v>
      </c>
      <c r="L274" s="36" t="e">
        <f>#REF!</f>
        <v>#REF!</v>
      </c>
      <c r="M274" s="103" t="e">
        <f>#REF!</f>
        <v>#REF!</v>
      </c>
      <c r="N274" s="160"/>
      <c r="O274" s="104" t="e">
        <f>#REF!</f>
        <v>#REF!</v>
      </c>
      <c r="P274" s="52" t="e">
        <f>IF(#REF!=0,"",#REF!)</f>
        <v>#REF!</v>
      </c>
      <c r="Q274" s="109" t="e">
        <f>IF(#REF!=0,"",#REF!)</f>
        <v>#REF!</v>
      </c>
      <c r="R274" s="36" t="e">
        <f>IF(#REF!=0,"",#REF!)</f>
        <v>#REF!</v>
      </c>
      <c r="S274" s="36" t="e">
        <f>IF(#REF!=0,"",#REF!)</f>
        <v>#REF!</v>
      </c>
      <c r="T274" s="268"/>
      <c r="U274" s="268"/>
      <c r="V274" s="268"/>
    </row>
    <row r="275" ht="15" customHeight="1" spans="2:22">
      <c r="B275" s="6" t="e">
        <f t="shared" si="5"/>
        <v>#REF!</v>
      </c>
      <c r="C275" s="83" t="e">
        <f>#REF!</f>
        <v>#REF!</v>
      </c>
      <c r="D275" s="110" t="e">
        <f>IF(#REF!=0,"",#REF!)</f>
        <v>#REF!</v>
      </c>
      <c r="E275" s="85" t="e">
        <f>IF(#REF!=0,"",#REF!)</f>
        <v>#REF!</v>
      </c>
      <c r="F275" s="85" t="e">
        <f>IF(#REF!=0,"",#REF!)</f>
        <v>#REF!</v>
      </c>
      <c r="G275" s="105">
        <f>'27'!Q275</f>
        <v>0</v>
      </c>
      <c r="H275" s="161">
        <f>'27'!R275</f>
        <v>0</v>
      </c>
      <c r="I275" s="161">
        <f>'27'!S275</f>
        <v>0</v>
      </c>
      <c r="J275" s="161"/>
      <c r="K275" s="106">
        <f>'27'!T275</f>
        <v>0</v>
      </c>
      <c r="L275" s="85" t="e">
        <f>#REF!</f>
        <v>#REF!</v>
      </c>
      <c r="M275" s="105" t="e">
        <f>#REF!</f>
        <v>#REF!</v>
      </c>
      <c r="N275" s="161"/>
      <c r="O275" s="106" t="e">
        <f>#REF!</f>
        <v>#REF!</v>
      </c>
      <c r="P275" s="107" t="e">
        <f>IF(#REF!=0,"",#REF!)</f>
        <v>#REF!</v>
      </c>
      <c r="Q275" s="111" t="e">
        <f>IF(#REF!=0,"",#REF!)</f>
        <v>#REF!</v>
      </c>
      <c r="R275" s="85" t="e">
        <f>IF(#REF!=0,"",#REF!)</f>
        <v>#REF!</v>
      </c>
      <c r="S275" s="85" t="e">
        <f>IF(#REF!=0,"",#REF!)</f>
        <v>#REF!</v>
      </c>
      <c r="T275" s="268"/>
      <c r="U275" s="268"/>
      <c r="V275" s="268"/>
    </row>
    <row r="276" ht="15" customHeight="1" spans="2:22">
      <c r="B276" s="6" t="e">
        <f t="shared" si="5"/>
        <v>#REF!</v>
      </c>
      <c r="C276" s="79" t="e">
        <f>#REF!</f>
        <v>#REF!</v>
      </c>
      <c r="D276" s="62" t="e">
        <f>IF(#REF!=0,"",#REF!)</f>
        <v>#REF!</v>
      </c>
      <c r="E276" s="81" t="e">
        <f>IF(#REF!=0,"",#REF!)</f>
        <v>#REF!</v>
      </c>
      <c r="F276" s="81" t="e">
        <f>IF(#REF!=0,"",#REF!)</f>
        <v>#REF!</v>
      </c>
      <c r="G276" s="100" t="e">
        <f>#REF!</f>
        <v>#REF!</v>
      </c>
      <c r="H276" s="159">
        <f>'27'!R276</f>
        <v>0</v>
      </c>
      <c r="I276" s="159">
        <f>'27'!S276</f>
        <v>0</v>
      </c>
      <c r="J276" s="159"/>
      <c r="K276" s="101">
        <f>'27'!T276</f>
        <v>0</v>
      </c>
      <c r="L276" s="81" t="e">
        <f>#REF!</f>
        <v>#REF!</v>
      </c>
      <c r="M276" s="100" t="e">
        <f>#REF!</f>
        <v>#REF!</v>
      </c>
      <c r="N276" s="159"/>
      <c r="O276" s="101" t="e">
        <f>#REF!</f>
        <v>#REF!</v>
      </c>
      <c r="P276" s="102" t="e">
        <f>IF(#REF!=0,"",#REF!)</f>
        <v>#REF!</v>
      </c>
      <c r="Q276" s="108" t="e">
        <f>IF(#REF!=0,"",#REF!)</f>
        <v>#REF!</v>
      </c>
      <c r="R276" s="81" t="e">
        <f>IF(#REF!=0,"",#REF!)</f>
        <v>#REF!</v>
      </c>
      <c r="S276" s="81" t="e">
        <f>IF(#REF!=0,"",#REF!)</f>
        <v>#REF!</v>
      </c>
      <c r="T276" s="268"/>
      <c r="U276" s="268"/>
      <c r="V276" s="268"/>
    </row>
    <row r="277" ht="15" customHeight="1" spans="2:22">
      <c r="B277" s="6" t="e">
        <f t="shared" si="5"/>
        <v>#REF!</v>
      </c>
      <c r="C277" s="31" t="e">
        <f>#REF!</f>
        <v>#REF!</v>
      </c>
      <c r="D277" s="32" t="e">
        <f>IF(#REF!=0,"",#REF!)</f>
        <v>#REF!</v>
      </c>
      <c r="E277" s="36" t="e">
        <f>IF(#REF!=0,"",#REF!)</f>
        <v>#REF!</v>
      </c>
      <c r="F277" s="36" t="e">
        <f>IF(#REF!=0,"",#REF!)</f>
        <v>#REF!</v>
      </c>
      <c r="G277" s="103">
        <f>'27'!Q277</f>
        <v>0</v>
      </c>
      <c r="H277" s="160">
        <f>'27'!R277</f>
        <v>0</v>
      </c>
      <c r="I277" s="160">
        <f>'27'!S277</f>
        <v>0</v>
      </c>
      <c r="J277" s="160"/>
      <c r="K277" s="104">
        <f>'27'!T277</f>
        <v>0</v>
      </c>
      <c r="L277" s="36" t="e">
        <f>#REF!</f>
        <v>#REF!</v>
      </c>
      <c r="M277" s="103" t="e">
        <f>#REF!</f>
        <v>#REF!</v>
      </c>
      <c r="N277" s="160"/>
      <c r="O277" s="104" t="e">
        <f>#REF!</f>
        <v>#REF!</v>
      </c>
      <c r="P277" s="52" t="e">
        <f>IF(#REF!=0,"",#REF!)</f>
        <v>#REF!</v>
      </c>
      <c r="Q277" s="109" t="e">
        <f>IF(#REF!=0,"",#REF!)</f>
        <v>#REF!</v>
      </c>
      <c r="R277" s="36" t="e">
        <f>IF(#REF!=0,"",#REF!)</f>
        <v>#REF!</v>
      </c>
      <c r="S277" s="36" t="e">
        <f>IF(#REF!=0,"",#REF!)</f>
        <v>#REF!</v>
      </c>
      <c r="T277" s="268"/>
      <c r="U277" s="268"/>
      <c r="V277" s="268"/>
    </row>
    <row r="278" ht="15" customHeight="1" spans="2:22">
      <c r="B278" s="6" t="e">
        <f t="shared" si="5"/>
        <v>#REF!</v>
      </c>
      <c r="C278" s="83" t="e">
        <f>#REF!</f>
        <v>#REF!</v>
      </c>
      <c r="D278" s="110" t="e">
        <f>IF(#REF!=0,"",#REF!)</f>
        <v>#REF!</v>
      </c>
      <c r="E278" s="85" t="e">
        <f>IF(#REF!=0,"",#REF!)</f>
        <v>#REF!</v>
      </c>
      <c r="F278" s="85" t="e">
        <f>IF(#REF!=0,"",#REF!)</f>
        <v>#REF!</v>
      </c>
      <c r="G278" s="105">
        <f>'27'!Q278</f>
        <v>0</v>
      </c>
      <c r="H278" s="161">
        <f>'27'!R278</f>
        <v>0</v>
      </c>
      <c r="I278" s="161">
        <f>'27'!S278</f>
        <v>0</v>
      </c>
      <c r="J278" s="161"/>
      <c r="K278" s="106">
        <f>'27'!T278</f>
        <v>0</v>
      </c>
      <c r="L278" s="85" t="e">
        <f>#REF!</f>
        <v>#REF!</v>
      </c>
      <c r="M278" s="105" t="e">
        <f>#REF!</f>
        <v>#REF!</v>
      </c>
      <c r="N278" s="161"/>
      <c r="O278" s="106" t="e">
        <f>#REF!</f>
        <v>#REF!</v>
      </c>
      <c r="P278" s="107" t="e">
        <f>IF(#REF!=0,"",#REF!)</f>
        <v>#REF!</v>
      </c>
      <c r="Q278" s="111" t="e">
        <f>IF(#REF!=0,"",#REF!)</f>
        <v>#REF!</v>
      </c>
      <c r="R278" s="85" t="e">
        <f>IF(#REF!=0,"",#REF!)</f>
        <v>#REF!</v>
      </c>
      <c r="S278" s="85" t="e">
        <f>IF(#REF!=0,"",#REF!)</f>
        <v>#REF!</v>
      </c>
      <c r="T278" s="268"/>
      <c r="U278" s="268"/>
      <c r="V278" s="268"/>
    </row>
    <row r="279" ht="15" customHeight="1" spans="2:22">
      <c r="B279" s="6" t="e">
        <f t="shared" si="5"/>
        <v>#REF!</v>
      </c>
      <c r="C279" s="79" t="e">
        <f>#REF!</f>
        <v>#REF!</v>
      </c>
      <c r="D279" s="62" t="e">
        <f>IF(#REF!=0,"",#REF!)</f>
        <v>#REF!</v>
      </c>
      <c r="E279" s="81" t="e">
        <f>IF(#REF!=0,"",#REF!)</f>
        <v>#REF!</v>
      </c>
      <c r="F279" s="81" t="e">
        <f>IF(#REF!=0,"",#REF!)</f>
        <v>#REF!</v>
      </c>
      <c r="G279" s="100" t="e">
        <f>#REF!</f>
        <v>#REF!</v>
      </c>
      <c r="H279" s="159">
        <f>'27'!R279</f>
        <v>0</v>
      </c>
      <c r="I279" s="159">
        <f>'27'!S279</f>
        <v>0</v>
      </c>
      <c r="J279" s="159"/>
      <c r="K279" s="101">
        <f>'27'!T279</f>
        <v>0</v>
      </c>
      <c r="L279" s="81" t="e">
        <f>#REF!</f>
        <v>#REF!</v>
      </c>
      <c r="M279" s="100" t="e">
        <f>#REF!</f>
        <v>#REF!</v>
      </c>
      <c r="N279" s="159"/>
      <c r="O279" s="101" t="e">
        <f>#REF!</f>
        <v>#REF!</v>
      </c>
      <c r="P279" s="102" t="e">
        <f>IF(#REF!=0,"",#REF!)</f>
        <v>#REF!</v>
      </c>
      <c r="Q279" s="108" t="e">
        <f>IF(#REF!=0,"",#REF!)</f>
        <v>#REF!</v>
      </c>
      <c r="R279" s="81" t="e">
        <f>IF(#REF!=0,"",#REF!)</f>
        <v>#REF!</v>
      </c>
      <c r="S279" s="81" t="e">
        <f>IF(#REF!=0,"",#REF!)</f>
        <v>#REF!</v>
      </c>
      <c r="T279" s="268"/>
      <c r="U279" s="268"/>
      <c r="V279" s="268"/>
    </row>
    <row r="280" ht="15" customHeight="1" spans="2:22">
      <c r="B280" s="6" t="e">
        <f t="shared" si="5"/>
        <v>#REF!</v>
      </c>
      <c r="C280" s="31" t="e">
        <f>#REF!</f>
        <v>#REF!</v>
      </c>
      <c r="D280" s="32" t="e">
        <f>IF(#REF!=0,"",#REF!)</f>
        <v>#REF!</v>
      </c>
      <c r="E280" s="36" t="e">
        <f>IF(#REF!=0,"",#REF!)</f>
        <v>#REF!</v>
      </c>
      <c r="F280" s="36" t="e">
        <f>IF(#REF!=0,"",#REF!)</f>
        <v>#REF!</v>
      </c>
      <c r="G280" s="103">
        <f>'27'!Q280</f>
        <v>0</v>
      </c>
      <c r="H280" s="160">
        <f>'27'!R280</f>
        <v>0</v>
      </c>
      <c r="I280" s="160">
        <f>'27'!S280</f>
        <v>0</v>
      </c>
      <c r="J280" s="160"/>
      <c r="K280" s="104">
        <f>'27'!T280</f>
        <v>0</v>
      </c>
      <c r="L280" s="36" t="e">
        <f>#REF!</f>
        <v>#REF!</v>
      </c>
      <c r="M280" s="103" t="e">
        <f>#REF!</f>
        <v>#REF!</v>
      </c>
      <c r="N280" s="160"/>
      <c r="O280" s="104" t="e">
        <f>#REF!</f>
        <v>#REF!</v>
      </c>
      <c r="P280" s="52" t="e">
        <f>IF(#REF!=0,"",#REF!)</f>
        <v>#REF!</v>
      </c>
      <c r="Q280" s="109" t="e">
        <f>IF(#REF!=0,"",#REF!)</f>
        <v>#REF!</v>
      </c>
      <c r="R280" s="36" t="e">
        <f>IF(#REF!=0,"",#REF!)</f>
        <v>#REF!</v>
      </c>
      <c r="S280" s="36" t="e">
        <f>IF(#REF!=0,"",#REF!)</f>
        <v>#REF!</v>
      </c>
      <c r="T280" s="268"/>
      <c r="U280" s="268"/>
      <c r="V280" s="268"/>
    </row>
    <row r="281" ht="15" customHeight="1" spans="2:22">
      <c r="B281" s="6" t="e">
        <f t="shared" si="5"/>
        <v>#REF!</v>
      </c>
      <c r="C281" s="83" t="e">
        <f>#REF!</f>
        <v>#REF!</v>
      </c>
      <c r="D281" s="110" t="e">
        <f>IF(#REF!=0,"",#REF!)</f>
        <v>#REF!</v>
      </c>
      <c r="E281" s="85" t="e">
        <f>IF(#REF!=0,"",#REF!)</f>
        <v>#REF!</v>
      </c>
      <c r="F281" s="85" t="e">
        <f>IF(#REF!=0,"",#REF!)</f>
        <v>#REF!</v>
      </c>
      <c r="G281" s="105">
        <f>'27'!Q281</f>
        <v>0</v>
      </c>
      <c r="H281" s="161">
        <f>'27'!R281</f>
        <v>0</v>
      </c>
      <c r="I281" s="161">
        <f>'27'!S281</f>
        <v>0</v>
      </c>
      <c r="J281" s="161"/>
      <c r="K281" s="106">
        <f>'27'!T281</f>
        <v>0</v>
      </c>
      <c r="L281" s="85" t="e">
        <f>#REF!</f>
        <v>#REF!</v>
      </c>
      <c r="M281" s="105" t="e">
        <f>#REF!</f>
        <v>#REF!</v>
      </c>
      <c r="N281" s="161"/>
      <c r="O281" s="106" t="e">
        <f>#REF!</f>
        <v>#REF!</v>
      </c>
      <c r="P281" s="107" t="e">
        <f>IF(#REF!=0,"",#REF!)</f>
        <v>#REF!</v>
      </c>
      <c r="Q281" s="111" t="e">
        <f>IF(#REF!=0,"",#REF!)</f>
        <v>#REF!</v>
      </c>
      <c r="R281" s="85" t="e">
        <f>IF(#REF!=0,"",#REF!)</f>
        <v>#REF!</v>
      </c>
      <c r="S281" s="85" t="e">
        <f>IF(#REF!=0,"",#REF!)</f>
        <v>#REF!</v>
      </c>
      <c r="T281" s="268"/>
      <c r="U281" s="268"/>
      <c r="V281" s="268"/>
    </row>
    <row r="282" ht="15" customHeight="1" spans="2:22">
      <c r="B282" s="6" t="e">
        <f t="shared" si="5"/>
        <v>#REF!</v>
      </c>
      <c r="C282" s="79" t="e">
        <f>#REF!</f>
        <v>#REF!</v>
      </c>
      <c r="D282" s="62" t="e">
        <f>IF(#REF!=0,"",#REF!)</f>
        <v>#REF!</v>
      </c>
      <c r="E282" s="81" t="e">
        <f>IF(#REF!=0,"",#REF!)</f>
        <v>#REF!</v>
      </c>
      <c r="F282" s="81" t="e">
        <f>IF(#REF!=0,"",#REF!)</f>
        <v>#REF!</v>
      </c>
      <c r="G282" s="100" t="e">
        <f>#REF!</f>
        <v>#REF!</v>
      </c>
      <c r="H282" s="159">
        <f>'27'!R282</f>
        <v>0</v>
      </c>
      <c r="I282" s="159">
        <f>'27'!S282</f>
        <v>0</v>
      </c>
      <c r="J282" s="159"/>
      <c r="K282" s="101">
        <f>'27'!T282</f>
        <v>0</v>
      </c>
      <c r="L282" s="81" t="e">
        <f>#REF!</f>
        <v>#REF!</v>
      </c>
      <c r="M282" s="100" t="e">
        <f>#REF!</f>
        <v>#REF!</v>
      </c>
      <c r="N282" s="159"/>
      <c r="O282" s="101" t="e">
        <f>#REF!</f>
        <v>#REF!</v>
      </c>
      <c r="P282" s="102" t="e">
        <f>IF(#REF!=0,"",#REF!)</f>
        <v>#REF!</v>
      </c>
      <c r="Q282" s="108" t="e">
        <f>IF(#REF!=0,"",#REF!)</f>
        <v>#REF!</v>
      </c>
      <c r="R282" s="81" t="e">
        <f>IF(#REF!=0,"",#REF!)</f>
        <v>#REF!</v>
      </c>
      <c r="S282" s="81" t="e">
        <f>IF(#REF!=0,"",#REF!)</f>
        <v>#REF!</v>
      </c>
      <c r="T282" s="268"/>
      <c r="U282" s="268"/>
      <c r="V282" s="268"/>
    </row>
    <row r="283" ht="15" customHeight="1" spans="2:22">
      <c r="B283" s="6" t="e">
        <f t="shared" si="5"/>
        <v>#REF!</v>
      </c>
      <c r="C283" s="31" t="e">
        <f>#REF!</f>
        <v>#REF!</v>
      </c>
      <c r="D283" s="32" t="e">
        <f>IF(#REF!=0,"",#REF!)</f>
        <v>#REF!</v>
      </c>
      <c r="E283" s="36" t="e">
        <f>IF(#REF!=0,"",#REF!)</f>
        <v>#REF!</v>
      </c>
      <c r="F283" s="36" t="e">
        <f>IF(#REF!=0,"",#REF!)</f>
        <v>#REF!</v>
      </c>
      <c r="G283" s="103">
        <f>'27'!Q283</f>
        <v>0</v>
      </c>
      <c r="H283" s="160">
        <f>'27'!R283</f>
        <v>0</v>
      </c>
      <c r="I283" s="160">
        <f>'27'!S283</f>
        <v>0</v>
      </c>
      <c r="J283" s="160"/>
      <c r="K283" s="104">
        <f>'27'!T283</f>
        <v>0</v>
      </c>
      <c r="L283" s="36" t="e">
        <f>#REF!</f>
        <v>#REF!</v>
      </c>
      <c r="M283" s="103" t="e">
        <f>#REF!</f>
        <v>#REF!</v>
      </c>
      <c r="N283" s="160"/>
      <c r="O283" s="104" t="e">
        <f>#REF!</f>
        <v>#REF!</v>
      </c>
      <c r="P283" s="52" t="e">
        <f>IF(#REF!=0,"",#REF!)</f>
        <v>#REF!</v>
      </c>
      <c r="Q283" s="109" t="e">
        <f>IF(#REF!=0,"",#REF!)</f>
        <v>#REF!</v>
      </c>
      <c r="R283" s="36" t="e">
        <f>IF(#REF!=0,"",#REF!)</f>
        <v>#REF!</v>
      </c>
      <c r="S283" s="36" t="e">
        <f>IF(#REF!=0,"",#REF!)</f>
        <v>#REF!</v>
      </c>
      <c r="T283" s="268"/>
      <c r="U283" s="268"/>
      <c r="V283" s="268"/>
    </row>
    <row r="284" ht="15" customHeight="1" spans="2:22">
      <c r="B284" s="6" t="e">
        <f t="shared" si="5"/>
        <v>#REF!</v>
      </c>
      <c r="C284" s="83" t="e">
        <f>#REF!</f>
        <v>#REF!</v>
      </c>
      <c r="D284" s="110" t="e">
        <f>IF(#REF!=0,"",#REF!)</f>
        <v>#REF!</v>
      </c>
      <c r="E284" s="85" t="e">
        <f>IF(#REF!=0,"",#REF!)</f>
        <v>#REF!</v>
      </c>
      <c r="F284" s="85" t="e">
        <f>IF(#REF!=0,"",#REF!)</f>
        <v>#REF!</v>
      </c>
      <c r="G284" s="105">
        <f>'27'!Q284</f>
        <v>0</v>
      </c>
      <c r="H284" s="161">
        <f>'27'!R284</f>
        <v>0</v>
      </c>
      <c r="I284" s="161">
        <f>'27'!S284</f>
        <v>0</v>
      </c>
      <c r="J284" s="161"/>
      <c r="K284" s="106">
        <f>'27'!T284</f>
        <v>0</v>
      </c>
      <c r="L284" s="85" t="e">
        <f>#REF!</f>
        <v>#REF!</v>
      </c>
      <c r="M284" s="105" t="e">
        <f>#REF!</f>
        <v>#REF!</v>
      </c>
      <c r="N284" s="161"/>
      <c r="O284" s="106" t="e">
        <f>#REF!</f>
        <v>#REF!</v>
      </c>
      <c r="P284" s="107" t="e">
        <f>IF(#REF!=0,"",#REF!)</f>
        <v>#REF!</v>
      </c>
      <c r="Q284" s="111" t="e">
        <f>IF(#REF!=0,"",#REF!)</f>
        <v>#REF!</v>
      </c>
      <c r="R284" s="85" t="e">
        <f>IF(#REF!=0,"",#REF!)</f>
        <v>#REF!</v>
      </c>
      <c r="S284" s="85" t="e">
        <f>IF(#REF!=0,"",#REF!)</f>
        <v>#REF!</v>
      </c>
      <c r="T284" s="268"/>
      <c r="U284" s="268"/>
      <c r="V284" s="268"/>
    </row>
    <row r="285" ht="15" customHeight="1" spans="2:22">
      <c r="B285" s="6" t="e">
        <f t="shared" si="5"/>
        <v>#REF!</v>
      </c>
      <c r="C285" s="79" t="e">
        <f>#REF!</f>
        <v>#REF!</v>
      </c>
      <c r="D285" s="62" t="e">
        <f>IF(#REF!=0,"",#REF!)</f>
        <v>#REF!</v>
      </c>
      <c r="E285" s="81" t="e">
        <f>IF(#REF!=0,"",#REF!)</f>
        <v>#REF!</v>
      </c>
      <c r="F285" s="81" t="e">
        <f>IF(#REF!=0,"",#REF!)</f>
        <v>#REF!</v>
      </c>
      <c r="G285" s="100" t="e">
        <f>#REF!</f>
        <v>#REF!</v>
      </c>
      <c r="H285" s="159">
        <f>'27'!R285</f>
        <v>0</v>
      </c>
      <c r="I285" s="159">
        <f>'27'!S285</f>
        <v>0</v>
      </c>
      <c r="J285" s="159"/>
      <c r="K285" s="101">
        <f>'27'!T285</f>
        <v>0</v>
      </c>
      <c r="L285" s="81" t="e">
        <f>#REF!</f>
        <v>#REF!</v>
      </c>
      <c r="M285" s="100" t="e">
        <f>#REF!</f>
        <v>#REF!</v>
      </c>
      <c r="N285" s="159"/>
      <c r="O285" s="101" t="e">
        <f>#REF!</f>
        <v>#REF!</v>
      </c>
      <c r="P285" s="102" t="e">
        <f>IF(#REF!=0,"",#REF!)</f>
        <v>#REF!</v>
      </c>
      <c r="Q285" s="108" t="e">
        <f>IF(#REF!=0,"",#REF!)</f>
        <v>#REF!</v>
      </c>
      <c r="R285" s="81" t="e">
        <f>IF(#REF!=0,"",#REF!)</f>
        <v>#REF!</v>
      </c>
      <c r="S285" s="81" t="e">
        <f>IF(#REF!=0,"",#REF!)</f>
        <v>#REF!</v>
      </c>
      <c r="T285" s="268"/>
      <c r="U285" s="268"/>
      <c r="V285" s="268"/>
    </row>
    <row r="286" ht="15" customHeight="1" spans="2:22">
      <c r="B286" s="6" t="e">
        <f t="shared" si="5"/>
        <v>#REF!</v>
      </c>
      <c r="C286" s="31" t="e">
        <f>#REF!</f>
        <v>#REF!</v>
      </c>
      <c r="D286" s="32" t="e">
        <f>IF(#REF!=0,"",#REF!)</f>
        <v>#REF!</v>
      </c>
      <c r="E286" s="36" t="e">
        <f>IF(#REF!=0,"",#REF!)</f>
        <v>#REF!</v>
      </c>
      <c r="F286" s="36" t="e">
        <f>IF(#REF!=0,"",#REF!)</f>
        <v>#REF!</v>
      </c>
      <c r="G286" s="103">
        <f>'27'!Q286</f>
        <v>0</v>
      </c>
      <c r="H286" s="160">
        <f>'27'!R286</f>
        <v>0</v>
      </c>
      <c r="I286" s="160">
        <f>'27'!S286</f>
        <v>0</v>
      </c>
      <c r="J286" s="160"/>
      <c r="K286" s="104">
        <f>'27'!T286</f>
        <v>0</v>
      </c>
      <c r="L286" s="36" t="e">
        <f>#REF!</f>
        <v>#REF!</v>
      </c>
      <c r="M286" s="103" t="e">
        <f>#REF!</f>
        <v>#REF!</v>
      </c>
      <c r="N286" s="160"/>
      <c r="O286" s="104" t="e">
        <f>#REF!</f>
        <v>#REF!</v>
      </c>
      <c r="P286" s="52" t="e">
        <f>IF(#REF!=0,"",#REF!)</f>
        <v>#REF!</v>
      </c>
      <c r="Q286" s="109" t="e">
        <f>IF(#REF!=0,"",#REF!)</f>
        <v>#REF!</v>
      </c>
      <c r="R286" s="36" t="e">
        <f>IF(#REF!=0,"",#REF!)</f>
        <v>#REF!</v>
      </c>
      <c r="S286" s="36" t="e">
        <f>IF(#REF!=0,"",#REF!)</f>
        <v>#REF!</v>
      </c>
      <c r="T286" s="268"/>
      <c r="U286" s="268"/>
      <c r="V286" s="268"/>
    </row>
    <row r="287" ht="15" customHeight="1" spans="2:22">
      <c r="B287" s="6" t="e">
        <f t="shared" si="5"/>
        <v>#REF!</v>
      </c>
      <c r="C287" s="83" t="e">
        <f>#REF!</f>
        <v>#REF!</v>
      </c>
      <c r="D287" s="110" t="e">
        <f>IF(#REF!=0,"",#REF!)</f>
        <v>#REF!</v>
      </c>
      <c r="E287" s="85" t="e">
        <f>IF(#REF!=0,"",#REF!)</f>
        <v>#REF!</v>
      </c>
      <c r="F287" s="85" t="e">
        <f>IF(#REF!=0,"",#REF!)</f>
        <v>#REF!</v>
      </c>
      <c r="G287" s="105">
        <f>'27'!Q287</f>
        <v>0</v>
      </c>
      <c r="H287" s="161">
        <f>'27'!R287</f>
        <v>0</v>
      </c>
      <c r="I287" s="161">
        <f>'27'!S287</f>
        <v>0</v>
      </c>
      <c r="J287" s="161"/>
      <c r="K287" s="106">
        <f>'27'!T287</f>
        <v>0</v>
      </c>
      <c r="L287" s="85" t="e">
        <f>#REF!</f>
        <v>#REF!</v>
      </c>
      <c r="M287" s="105" t="e">
        <f>#REF!</f>
        <v>#REF!</v>
      </c>
      <c r="N287" s="161"/>
      <c r="O287" s="106" t="e">
        <f>#REF!</f>
        <v>#REF!</v>
      </c>
      <c r="P287" s="107" t="e">
        <f>IF(#REF!=0,"",#REF!)</f>
        <v>#REF!</v>
      </c>
      <c r="Q287" s="111" t="e">
        <f>IF(#REF!=0,"",#REF!)</f>
        <v>#REF!</v>
      </c>
      <c r="R287" s="85" t="e">
        <f>IF(#REF!=0,"",#REF!)</f>
        <v>#REF!</v>
      </c>
      <c r="S287" s="85" t="e">
        <f>IF(#REF!=0,"",#REF!)</f>
        <v>#REF!</v>
      </c>
      <c r="T287" s="268"/>
      <c r="U287" s="268"/>
      <c r="V287" s="268"/>
    </row>
    <row r="288" ht="15" customHeight="1" spans="2:22">
      <c r="B288" s="6" t="e">
        <f t="shared" si="5"/>
        <v>#REF!</v>
      </c>
      <c r="C288" s="79" t="e">
        <f>#REF!</f>
        <v>#REF!</v>
      </c>
      <c r="D288" s="62" t="e">
        <f>IF(#REF!=0,"",#REF!)</f>
        <v>#REF!</v>
      </c>
      <c r="E288" s="81" t="e">
        <f>IF(#REF!=0,"",#REF!)</f>
        <v>#REF!</v>
      </c>
      <c r="F288" s="81" t="e">
        <f>IF(#REF!=0,"",#REF!)</f>
        <v>#REF!</v>
      </c>
      <c r="G288" s="100" t="e">
        <f>#REF!</f>
        <v>#REF!</v>
      </c>
      <c r="H288" s="159">
        <f>'27'!R288</f>
        <v>0</v>
      </c>
      <c r="I288" s="159">
        <f>'27'!S288</f>
        <v>0</v>
      </c>
      <c r="J288" s="159"/>
      <c r="K288" s="101">
        <f>'27'!T288</f>
        <v>0</v>
      </c>
      <c r="L288" s="81" t="e">
        <f>#REF!</f>
        <v>#REF!</v>
      </c>
      <c r="M288" s="100" t="e">
        <f>#REF!</f>
        <v>#REF!</v>
      </c>
      <c r="N288" s="159"/>
      <c r="O288" s="101" t="e">
        <f>#REF!</f>
        <v>#REF!</v>
      </c>
      <c r="P288" s="102" t="e">
        <f>IF(#REF!=0,"",#REF!)</f>
        <v>#REF!</v>
      </c>
      <c r="Q288" s="108" t="e">
        <f>IF(#REF!=0,"",#REF!)</f>
        <v>#REF!</v>
      </c>
      <c r="R288" s="81" t="e">
        <f>IF(#REF!=0,"",#REF!)</f>
        <v>#REF!</v>
      </c>
      <c r="S288" s="81" t="e">
        <f>IF(#REF!=0,"",#REF!)</f>
        <v>#REF!</v>
      </c>
      <c r="T288" s="268"/>
      <c r="U288" s="268"/>
      <c r="V288" s="268"/>
    </row>
    <row r="289" ht="15" customHeight="1" spans="2:22">
      <c r="B289" s="6" t="e">
        <f t="shared" si="5"/>
        <v>#REF!</v>
      </c>
      <c r="C289" s="31" t="e">
        <f>#REF!</f>
        <v>#REF!</v>
      </c>
      <c r="D289" s="32" t="e">
        <f>IF(#REF!=0,"",#REF!)</f>
        <v>#REF!</v>
      </c>
      <c r="E289" s="36" t="e">
        <f>IF(#REF!=0,"",#REF!)</f>
        <v>#REF!</v>
      </c>
      <c r="F289" s="36" t="e">
        <f>IF(#REF!=0,"",#REF!)</f>
        <v>#REF!</v>
      </c>
      <c r="G289" s="103">
        <f>'27'!Q289</f>
        <v>0</v>
      </c>
      <c r="H289" s="160">
        <f>'27'!R289</f>
        <v>0</v>
      </c>
      <c r="I289" s="160">
        <f>'27'!S289</f>
        <v>0</v>
      </c>
      <c r="J289" s="160"/>
      <c r="K289" s="104">
        <f>'27'!T289</f>
        <v>0</v>
      </c>
      <c r="L289" s="36" t="e">
        <f>#REF!</f>
        <v>#REF!</v>
      </c>
      <c r="M289" s="103" t="e">
        <f>#REF!</f>
        <v>#REF!</v>
      </c>
      <c r="N289" s="160"/>
      <c r="O289" s="104" t="e">
        <f>#REF!</f>
        <v>#REF!</v>
      </c>
      <c r="P289" s="52" t="e">
        <f>IF(#REF!=0,"",#REF!)</f>
        <v>#REF!</v>
      </c>
      <c r="Q289" s="109" t="e">
        <f>IF(#REF!=0,"",#REF!)</f>
        <v>#REF!</v>
      </c>
      <c r="R289" s="36" t="e">
        <f>IF(#REF!=0,"",#REF!)</f>
        <v>#REF!</v>
      </c>
      <c r="S289" s="36" t="e">
        <f>IF(#REF!=0,"",#REF!)</f>
        <v>#REF!</v>
      </c>
      <c r="T289" s="268"/>
      <c r="U289" s="268"/>
      <c r="V289" s="268"/>
    </row>
    <row r="290" ht="15" customHeight="1" spans="2:22">
      <c r="B290" s="6" t="e">
        <f t="shared" si="5"/>
        <v>#REF!</v>
      </c>
      <c r="C290" s="83" t="e">
        <f>#REF!</f>
        <v>#REF!</v>
      </c>
      <c r="D290" s="110" t="e">
        <f>IF(#REF!=0,"",#REF!)</f>
        <v>#REF!</v>
      </c>
      <c r="E290" s="85" t="e">
        <f>IF(#REF!=0,"",#REF!)</f>
        <v>#REF!</v>
      </c>
      <c r="F290" s="85" t="e">
        <f>IF(#REF!=0,"",#REF!)</f>
        <v>#REF!</v>
      </c>
      <c r="G290" s="105">
        <f>'27'!Q290</f>
        <v>0</v>
      </c>
      <c r="H290" s="161">
        <f>'27'!R290</f>
        <v>0</v>
      </c>
      <c r="I290" s="161">
        <f>'27'!S290</f>
        <v>0</v>
      </c>
      <c r="J290" s="161"/>
      <c r="K290" s="106">
        <f>'27'!T290</f>
        <v>0</v>
      </c>
      <c r="L290" s="85" t="e">
        <f>#REF!</f>
        <v>#REF!</v>
      </c>
      <c r="M290" s="105" t="e">
        <f>#REF!</f>
        <v>#REF!</v>
      </c>
      <c r="N290" s="161"/>
      <c r="O290" s="106" t="e">
        <f>#REF!</f>
        <v>#REF!</v>
      </c>
      <c r="P290" s="107" t="e">
        <f>IF(#REF!=0,"",#REF!)</f>
        <v>#REF!</v>
      </c>
      <c r="Q290" s="111" t="e">
        <f>IF(#REF!=0,"",#REF!)</f>
        <v>#REF!</v>
      </c>
      <c r="R290" s="85" t="e">
        <f>IF(#REF!=0,"",#REF!)</f>
        <v>#REF!</v>
      </c>
      <c r="S290" s="85" t="e">
        <f>IF(#REF!=0,"",#REF!)</f>
        <v>#REF!</v>
      </c>
      <c r="T290" s="268"/>
      <c r="U290" s="268"/>
      <c r="V290" s="268"/>
    </row>
    <row r="291" ht="15" customHeight="1" spans="2:22">
      <c r="B291" s="6" t="e">
        <f t="shared" si="5"/>
        <v>#REF!</v>
      </c>
      <c r="C291" s="79" t="e">
        <f>#REF!</f>
        <v>#REF!</v>
      </c>
      <c r="D291" s="62" t="e">
        <f>IF(#REF!=0,"",#REF!)</f>
        <v>#REF!</v>
      </c>
      <c r="E291" s="81" t="e">
        <f>IF(#REF!=0,"",#REF!)</f>
        <v>#REF!</v>
      </c>
      <c r="F291" s="81" t="e">
        <f>IF(#REF!=0,"",#REF!)</f>
        <v>#REF!</v>
      </c>
      <c r="G291" s="100" t="e">
        <f>#REF!</f>
        <v>#REF!</v>
      </c>
      <c r="H291" s="159">
        <f>'27'!R291</f>
        <v>0</v>
      </c>
      <c r="I291" s="159">
        <f>'27'!S291</f>
        <v>0</v>
      </c>
      <c r="J291" s="159"/>
      <c r="K291" s="101">
        <f>'27'!T291</f>
        <v>0</v>
      </c>
      <c r="L291" s="81" t="e">
        <f>#REF!</f>
        <v>#REF!</v>
      </c>
      <c r="M291" s="100" t="e">
        <f>#REF!</f>
        <v>#REF!</v>
      </c>
      <c r="N291" s="159"/>
      <c r="O291" s="101" t="e">
        <f>#REF!</f>
        <v>#REF!</v>
      </c>
      <c r="P291" s="102" t="e">
        <f>IF(#REF!=0,"",#REF!)</f>
        <v>#REF!</v>
      </c>
      <c r="Q291" s="108" t="e">
        <f>IF(#REF!=0,"",#REF!)</f>
        <v>#REF!</v>
      </c>
      <c r="R291" s="81" t="e">
        <f>IF(#REF!=0,"",#REF!)</f>
        <v>#REF!</v>
      </c>
      <c r="S291" s="81" t="e">
        <f>IF(#REF!=0,"",#REF!)</f>
        <v>#REF!</v>
      </c>
      <c r="T291" s="268" t="s">
        <v>6589</v>
      </c>
      <c r="U291" s="268"/>
      <c r="V291" s="268"/>
    </row>
    <row r="292" ht="15" customHeight="1" spans="2:22">
      <c r="B292" s="6" t="e">
        <f t="shared" si="5"/>
        <v>#REF!</v>
      </c>
      <c r="C292" s="31" t="e">
        <f>#REF!</f>
        <v>#REF!</v>
      </c>
      <c r="D292" s="32" t="e">
        <f>IF(#REF!=0,"",#REF!)</f>
        <v>#REF!</v>
      </c>
      <c r="E292" s="36" t="e">
        <f>IF(#REF!=0,"",#REF!)</f>
        <v>#REF!</v>
      </c>
      <c r="F292" s="36" t="e">
        <f>IF(#REF!=0,"",#REF!)</f>
        <v>#REF!</v>
      </c>
      <c r="G292" s="103">
        <f>'27'!Q292</f>
        <v>0</v>
      </c>
      <c r="H292" s="160">
        <f>'27'!R292</f>
        <v>0</v>
      </c>
      <c r="I292" s="160">
        <f>'27'!S292</f>
        <v>0</v>
      </c>
      <c r="J292" s="160"/>
      <c r="K292" s="104">
        <f>'27'!T292</f>
        <v>0</v>
      </c>
      <c r="L292" s="36" t="e">
        <f>#REF!</f>
        <v>#REF!</v>
      </c>
      <c r="M292" s="103" t="e">
        <f>#REF!</f>
        <v>#REF!</v>
      </c>
      <c r="N292" s="160"/>
      <c r="O292" s="104" t="e">
        <f>#REF!</f>
        <v>#REF!</v>
      </c>
      <c r="P292" s="52" t="e">
        <f>IF(#REF!=0,"",#REF!)</f>
        <v>#REF!</v>
      </c>
      <c r="Q292" s="109" t="e">
        <f>IF(#REF!=0,"",#REF!)</f>
        <v>#REF!</v>
      </c>
      <c r="R292" s="36" t="e">
        <f>IF(#REF!=0,"",#REF!)</f>
        <v>#REF!</v>
      </c>
      <c r="S292" s="36" t="e">
        <f>IF(#REF!=0,"",#REF!)</f>
        <v>#REF!</v>
      </c>
      <c r="T292" s="268"/>
      <c r="U292" s="268"/>
      <c r="V292" s="268"/>
    </row>
    <row r="293" ht="15" customHeight="1" spans="2:22">
      <c r="B293" s="6" t="e">
        <f t="shared" si="5"/>
        <v>#REF!</v>
      </c>
      <c r="C293" s="83" t="e">
        <f>#REF!</f>
        <v>#REF!</v>
      </c>
      <c r="D293" s="110" t="e">
        <f>IF(#REF!=0,"",#REF!)</f>
        <v>#REF!</v>
      </c>
      <c r="E293" s="85" t="e">
        <f>IF(#REF!=0,"",#REF!)</f>
        <v>#REF!</v>
      </c>
      <c r="F293" s="85" t="e">
        <f>IF(#REF!=0,"",#REF!)</f>
        <v>#REF!</v>
      </c>
      <c r="G293" s="105">
        <f>'27'!Q293</f>
        <v>0</v>
      </c>
      <c r="H293" s="161">
        <f>'27'!R293</f>
        <v>0</v>
      </c>
      <c r="I293" s="161">
        <f>'27'!S293</f>
        <v>0</v>
      </c>
      <c r="J293" s="161"/>
      <c r="K293" s="106">
        <f>'27'!T293</f>
        <v>0</v>
      </c>
      <c r="L293" s="85" t="e">
        <f>#REF!</f>
        <v>#REF!</v>
      </c>
      <c r="M293" s="105" t="e">
        <f>#REF!</f>
        <v>#REF!</v>
      </c>
      <c r="N293" s="161"/>
      <c r="O293" s="106" t="e">
        <f>#REF!</f>
        <v>#REF!</v>
      </c>
      <c r="P293" s="107" t="e">
        <f>IF(#REF!=0,"",#REF!)</f>
        <v>#REF!</v>
      </c>
      <c r="Q293" s="111" t="e">
        <f>IF(#REF!=0,"",#REF!)</f>
        <v>#REF!</v>
      </c>
      <c r="R293" s="85" t="e">
        <f>IF(#REF!=0,"",#REF!)</f>
        <v>#REF!</v>
      </c>
      <c r="S293" s="85" t="e">
        <f>IF(#REF!=0,"",#REF!)</f>
        <v>#REF!</v>
      </c>
      <c r="T293" s="268"/>
      <c r="U293" s="268"/>
      <c r="V293" s="268"/>
    </row>
    <row r="294" ht="15" customHeight="1" spans="2:22">
      <c r="B294" s="6" t="e">
        <f t="shared" si="5"/>
        <v>#REF!</v>
      </c>
      <c r="C294" s="79" t="e">
        <f>#REF!</f>
        <v>#REF!</v>
      </c>
      <c r="D294" s="62" t="e">
        <f>IF(#REF!=0,"",#REF!)</f>
        <v>#REF!</v>
      </c>
      <c r="E294" s="81" t="e">
        <f>IF(#REF!=0,"",#REF!)</f>
        <v>#REF!</v>
      </c>
      <c r="F294" s="81" t="e">
        <f>IF(#REF!=0,"",#REF!)</f>
        <v>#REF!</v>
      </c>
      <c r="G294" s="100" t="e">
        <f>#REF!</f>
        <v>#REF!</v>
      </c>
      <c r="H294" s="159">
        <f>'27'!R294</f>
        <v>0</v>
      </c>
      <c r="I294" s="159">
        <f>'27'!S294</f>
        <v>0</v>
      </c>
      <c r="J294" s="159"/>
      <c r="K294" s="101">
        <f>'27'!T294</f>
        <v>0</v>
      </c>
      <c r="L294" s="81" t="e">
        <f>#REF!</f>
        <v>#REF!</v>
      </c>
      <c r="M294" s="100" t="e">
        <f>#REF!</f>
        <v>#REF!</v>
      </c>
      <c r="N294" s="159"/>
      <c r="O294" s="101" t="e">
        <f>#REF!</f>
        <v>#REF!</v>
      </c>
      <c r="P294" s="102" t="e">
        <f>IF(#REF!=0,"",#REF!)</f>
        <v>#REF!</v>
      </c>
      <c r="Q294" s="108" t="e">
        <f>IF(#REF!=0,"",#REF!)</f>
        <v>#REF!</v>
      </c>
      <c r="R294" s="81" t="e">
        <f>IF(#REF!=0,"",#REF!)</f>
        <v>#REF!</v>
      </c>
      <c r="S294" s="81" t="e">
        <f>IF(#REF!=0,"",#REF!)</f>
        <v>#REF!</v>
      </c>
      <c r="T294" s="268"/>
      <c r="U294" s="268"/>
      <c r="V294" s="268"/>
    </row>
    <row r="295" ht="15" customHeight="1" spans="2:22">
      <c r="B295" s="6" t="e">
        <f t="shared" si="5"/>
        <v>#REF!</v>
      </c>
      <c r="C295" s="31" t="e">
        <f>#REF!</f>
        <v>#REF!</v>
      </c>
      <c r="D295" s="32" t="e">
        <f>IF(#REF!=0,"",#REF!)</f>
        <v>#REF!</v>
      </c>
      <c r="E295" s="36" t="e">
        <f>IF(#REF!=0,"",#REF!)</f>
        <v>#REF!</v>
      </c>
      <c r="F295" s="36" t="e">
        <f>IF(#REF!=0,"",#REF!)</f>
        <v>#REF!</v>
      </c>
      <c r="G295" s="103">
        <f>'27'!Q295</f>
        <v>0</v>
      </c>
      <c r="H295" s="160">
        <f>'27'!R295</f>
        <v>0</v>
      </c>
      <c r="I295" s="160">
        <f>'27'!S295</f>
        <v>0</v>
      </c>
      <c r="J295" s="160"/>
      <c r="K295" s="104">
        <f>'27'!T295</f>
        <v>0</v>
      </c>
      <c r="L295" s="36" t="e">
        <f>#REF!</f>
        <v>#REF!</v>
      </c>
      <c r="M295" s="103" t="e">
        <f>#REF!</f>
        <v>#REF!</v>
      </c>
      <c r="N295" s="160"/>
      <c r="O295" s="104" t="e">
        <f>#REF!</f>
        <v>#REF!</v>
      </c>
      <c r="P295" s="52" t="e">
        <f>IF(#REF!=0,"",#REF!)</f>
        <v>#REF!</v>
      </c>
      <c r="Q295" s="109" t="e">
        <f>IF(#REF!=0,"",#REF!)</f>
        <v>#REF!</v>
      </c>
      <c r="R295" s="36" t="e">
        <f>IF(#REF!=0,"",#REF!)</f>
        <v>#REF!</v>
      </c>
      <c r="S295" s="36" t="e">
        <f>IF(#REF!=0,"",#REF!)</f>
        <v>#REF!</v>
      </c>
      <c r="T295" s="268"/>
      <c r="U295" s="268"/>
      <c r="V295" s="268"/>
    </row>
    <row r="296" ht="15" customHeight="1" spans="2:22">
      <c r="B296" s="6" t="e">
        <f t="shared" si="5"/>
        <v>#REF!</v>
      </c>
      <c r="C296" s="83" t="e">
        <f>#REF!</f>
        <v>#REF!</v>
      </c>
      <c r="D296" s="110" t="e">
        <f>IF(#REF!=0,"",#REF!)</f>
        <v>#REF!</v>
      </c>
      <c r="E296" s="85" t="e">
        <f>IF(#REF!=0,"",#REF!)</f>
        <v>#REF!</v>
      </c>
      <c r="F296" s="85" t="e">
        <f>IF(#REF!=0,"",#REF!)</f>
        <v>#REF!</v>
      </c>
      <c r="G296" s="105">
        <f>'27'!Q296</f>
        <v>0</v>
      </c>
      <c r="H296" s="161">
        <f>'27'!R296</f>
        <v>0</v>
      </c>
      <c r="I296" s="161">
        <f>'27'!S296</f>
        <v>0</v>
      </c>
      <c r="J296" s="161"/>
      <c r="K296" s="106">
        <f>'27'!T296</f>
        <v>0</v>
      </c>
      <c r="L296" s="85" t="e">
        <f>#REF!</f>
        <v>#REF!</v>
      </c>
      <c r="M296" s="105" t="e">
        <f>#REF!</f>
        <v>#REF!</v>
      </c>
      <c r="N296" s="161"/>
      <c r="O296" s="106" t="e">
        <f>#REF!</f>
        <v>#REF!</v>
      </c>
      <c r="P296" s="107" t="e">
        <f>IF(#REF!=0,"",#REF!)</f>
        <v>#REF!</v>
      </c>
      <c r="Q296" s="111" t="e">
        <f>IF(#REF!=0,"",#REF!)</f>
        <v>#REF!</v>
      </c>
      <c r="R296" s="85" t="e">
        <f>IF(#REF!=0,"",#REF!)</f>
        <v>#REF!</v>
      </c>
      <c r="S296" s="85" t="e">
        <f>IF(#REF!=0,"",#REF!)</f>
        <v>#REF!</v>
      </c>
      <c r="T296" s="268"/>
      <c r="U296" s="268"/>
      <c r="V296" s="268"/>
    </row>
    <row r="297" ht="15" customHeight="1" spans="2:22">
      <c r="B297" s="6" t="e">
        <f t="shared" si="5"/>
        <v>#REF!</v>
      </c>
      <c r="C297" s="79" t="e">
        <f>#REF!</f>
        <v>#REF!</v>
      </c>
      <c r="D297" s="62" t="e">
        <f>IF(#REF!=0,"",#REF!)</f>
        <v>#REF!</v>
      </c>
      <c r="E297" s="81" t="e">
        <f>IF(#REF!=0,"",#REF!)</f>
        <v>#REF!</v>
      </c>
      <c r="F297" s="81" t="e">
        <f>IF(#REF!=0,"",#REF!)</f>
        <v>#REF!</v>
      </c>
      <c r="G297" s="100" t="e">
        <f>#REF!</f>
        <v>#REF!</v>
      </c>
      <c r="H297" s="159">
        <f>'27'!R297</f>
        <v>0</v>
      </c>
      <c r="I297" s="159">
        <f>'27'!S297</f>
        <v>0</v>
      </c>
      <c r="J297" s="159"/>
      <c r="K297" s="101">
        <f>'27'!T297</f>
        <v>0</v>
      </c>
      <c r="L297" s="81" t="e">
        <f>#REF!</f>
        <v>#REF!</v>
      </c>
      <c r="M297" s="100" t="e">
        <f>#REF!</f>
        <v>#REF!</v>
      </c>
      <c r="N297" s="159"/>
      <c r="O297" s="101" t="e">
        <f>#REF!</f>
        <v>#REF!</v>
      </c>
      <c r="P297" s="102" t="e">
        <f>IF(#REF!=0,"",#REF!)</f>
        <v>#REF!</v>
      </c>
      <c r="Q297" s="108" t="e">
        <f>IF(#REF!=0,"",#REF!)</f>
        <v>#REF!</v>
      </c>
      <c r="R297" s="81" t="e">
        <f>IF(#REF!=0,"",#REF!)</f>
        <v>#REF!</v>
      </c>
      <c r="S297" s="81" t="e">
        <f>IF(#REF!=0,"",#REF!)</f>
        <v>#REF!</v>
      </c>
      <c r="T297" s="268"/>
      <c r="U297" s="268"/>
      <c r="V297" s="268"/>
    </row>
    <row r="298" ht="15" customHeight="1" spans="2:22">
      <c r="B298" s="6" t="e">
        <f t="shared" si="5"/>
        <v>#REF!</v>
      </c>
      <c r="C298" s="31" t="e">
        <f>#REF!</f>
        <v>#REF!</v>
      </c>
      <c r="D298" s="32" t="e">
        <f>IF(#REF!=0,"",#REF!)</f>
        <v>#REF!</v>
      </c>
      <c r="E298" s="36" t="e">
        <f>IF(#REF!=0,"",#REF!)</f>
        <v>#REF!</v>
      </c>
      <c r="F298" s="36" t="e">
        <f>IF(#REF!=0,"",#REF!)</f>
        <v>#REF!</v>
      </c>
      <c r="G298" s="103">
        <f>'27'!Q298</f>
        <v>0</v>
      </c>
      <c r="H298" s="160">
        <f>'27'!R298</f>
        <v>0</v>
      </c>
      <c r="I298" s="160">
        <f>'27'!S298</f>
        <v>0</v>
      </c>
      <c r="J298" s="160"/>
      <c r="K298" s="104">
        <f>'27'!T298</f>
        <v>0</v>
      </c>
      <c r="L298" s="36" t="e">
        <f>#REF!</f>
        <v>#REF!</v>
      </c>
      <c r="M298" s="103" t="e">
        <f>#REF!</f>
        <v>#REF!</v>
      </c>
      <c r="N298" s="160"/>
      <c r="O298" s="104" t="e">
        <f>#REF!</f>
        <v>#REF!</v>
      </c>
      <c r="P298" s="52" t="e">
        <f>IF(#REF!=0,"",#REF!)</f>
        <v>#REF!</v>
      </c>
      <c r="Q298" s="109" t="e">
        <f>IF(#REF!=0,"",#REF!)</f>
        <v>#REF!</v>
      </c>
      <c r="R298" s="36" t="e">
        <f>IF(#REF!=0,"",#REF!)</f>
        <v>#REF!</v>
      </c>
      <c r="S298" s="36" t="e">
        <f>IF(#REF!=0,"",#REF!)</f>
        <v>#REF!</v>
      </c>
      <c r="T298" s="268"/>
      <c r="U298" s="268"/>
      <c r="V298" s="268"/>
    </row>
    <row r="299" ht="15" customHeight="1" spans="2:22">
      <c r="B299" s="6" t="e">
        <f t="shared" si="5"/>
        <v>#REF!</v>
      </c>
      <c r="C299" s="83" t="e">
        <f>#REF!</f>
        <v>#REF!</v>
      </c>
      <c r="D299" s="110" t="e">
        <f>IF(#REF!=0,"",#REF!)</f>
        <v>#REF!</v>
      </c>
      <c r="E299" s="85" t="e">
        <f>IF(#REF!=0,"",#REF!)</f>
        <v>#REF!</v>
      </c>
      <c r="F299" s="85" t="e">
        <f>IF(#REF!=0,"",#REF!)</f>
        <v>#REF!</v>
      </c>
      <c r="G299" s="105">
        <f>'27'!Q299</f>
        <v>0</v>
      </c>
      <c r="H299" s="161">
        <f>'27'!R299</f>
        <v>0</v>
      </c>
      <c r="I299" s="161">
        <f>'27'!S299</f>
        <v>0</v>
      </c>
      <c r="J299" s="161"/>
      <c r="K299" s="106">
        <f>'27'!T299</f>
        <v>0</v>
      </c>
      <c r="L299" s="85" t="e">
        <f>#REF!</f>
        <v>#REF!</v>
      </c>
      <c r="M299" s="105" t="e">
        <f>#REF!</f>
        <v>#REF!</v>
      </c>
      <c r="N299" s="161"/>
      <c r="O299" s="106" t="e">
        <f>#REF!</f>
        <v>#REF!</v>
      </c>
      <c r="P299" s="107" t="e">
        <f>IF(#REF!=0,"",#REF!)</f>
        <v>#REF!</v>
      </c>
      <c r="Q299" s="111" t="e">
        <f>IF(#REF!=0,"",#REF!)</f>
        <v>#REF!</v>
      </c>
      <c r="R299" s="85" t="e">
        <f>IF(#REF!=0,"",#REF!)</f>
        <v>#REF!</v>
      </c>
      <c r="S299" s="85" t="e">
        <f>IF(#REF!=0,"",#REF!)</f>
        <v>#REF!</v>
      </c>
      <c r="T299" s="268"/>
      <c r="U299" s="268"/>
      <c r="V299" s="268"/>
    </row>
    <row r="300" ht="15" customHeight="1" spans="2:22">
      <c r="B300" s="6" t="e">
        <f t="shared" si="5"/>
        <v>#REF!</v>
      </c>
      <c r="C300" s="79" t="e">
        <f>#REF!</f>
        <v>#REF!</v>
      </c>
      <c r="D300" s="62" t="e">
        <f>IF(#REF!=0,"",#REF!)</f>
        <v>#REF!</v>
      </c>
      <c r="E300" s="81" t="e">
        <f>IF(#REF!=0,"",#REF!)</f>
        <v>#REF!</v>
      </c>
      <c r="F300" s="81" t="e">
        <f>IF(#REF!=0,"",#REF!)</f>
        <v>#REF!</v>
      </c>
      <c r="G300" s="100" t="e">
        <f>#REF!</f>
        <v>#REF!</v>
      </c>
      <c r="H300" s="159">
        <f>'27'!R300</f>
        <v>0</v>
      </c>
      <c r="I300" s="159">
        <f>'27'!S300</f>
        <v>0</v>
      </c>
      <c r="J300" s="159"/>
      <c r="K300" s="101">
        <f>'27'!T300</f>
        <v>0</v>
      </c>
      <c r="L300" s="81" t="e">
        <f>#REF!</f>
        <v>#REF!</v>
      </c>
      <c r="M300" s="100" t="e">
        <f>#REF!</f>
        <v>#REF!</v>
      </c>
      <c r="N300" s="159"/>
      <c r="O300" s="101" t="e">
        <f>#REF!</f>
        <v>#REF!</v>
      </c>
      <c r="P300" s="102" t="e">
        <f>IF(#REF!=0,"",#REF!)</f>
        <v>#REF!</v>
      </c>
      <c r="Q300" s="108" t="e">
        <f>IF(#REF!=0,"",#REF!)</f>
        <v>#REF!</v>
      </c>
      <c r="R300" s="81" t="e">
        <f>IF(#REF!=0,"",#REF!)</f>
        <v>#REF!</v>
      </c>
      <c r="S300" s="81" t="e">
        <f>IF(#REF!=0,"",#REF!)</f>
        <v>#REF!</v>
      </c>
      <c r="T300" s="268"/>
      <c r="U300" s="268"/>
      <c r="V300" s="268"/>
    </row>
    <row r="301" ht="15" customHeight="1" spans="2:22">
      <c r="B301" s="6" t="e">
        <f t="shared" si="5"/>
        <v>#REF!</v>
      </c>
      <c r="C301" s="31" t="e">
        <f>#REF!</f>
        <v>#REF!</v>
      </c>
      <c r="D301" s="32" t="e">
        <f>IF(#REF!=0,"",#REF!)</f>
        <v>#REF!</v>
      </c>
      <c r="E301" s="36" t="e">
        <f>IF(#REF!=0,"",#REF!)</f>
        <v>#REF!</v>
      </c>
      <c r="F301" s="36" t="e">
        <f>IF(#REF!=0,"",#REF!)</f>
        <v>#REF!</v>
      </c>
      <c r="G301" s="103">
        <f>'27'!Q301</f>
        <v>0</v>
      </c>
      <c r="H301" s="160">
        <f>'27'!R301</f>
        <v>0</v>
      </c>
      <c r="I301" s="160">
        <f>'27'!S301</f>
        <v>0</v>
      </c>
      <c r="J301" s="160"/>
      <c r="K301" s="104">
        <f>'27'!T301</f>
        <v>0</v>
      </c>
      <c r="L301" s="36" t="e">
        <f>#REF!</f>
        <v>#REF!</v>
      </c>
      <c r="M301" s="103" t="e">
        <f>#REF!</f>
        <v>#REF!</v>
      </c>
      <c r="N301" s="160"/>
      <c r="O301" s="104" t="e">
        <f>#REF!</f>
        <v>#REF!</v>
      </c>
      <c r="P301" s="52" t="e">
        <f>IF(#REF!=0,"",#REF!)</f>
        <v>#REF!</v>
      </c>
      <c r="Q301" s="109" t="e">
        <f>IF(#REF!=0,"",#REF!)</f>
        <v>#REF!</v>
      </c>
      <c r="R301" s="36" t="e">
        <f>IF(#REF!=0,"",#REF!)</f>
        <v>#REF!</v>
      </c>
      <c r="S301" s="36" t="e">
        <f>IF(#REF!=0,"",#REF!)</f>
        <v>#REF!</v>
      </c>
      <c r="T301" s="268"/>
      <c r="U301" s="268"/>
      <c r="V301" s="268"/>
    </row>
    <row r="302" ht="15" customHeight="1" spans="2:22">
      <c r="B302" s="6" t="e">
        <f t="shared" si="5"/>
        <v>#REF!</v>
      </c>
      <c r="C302" s="83" t="e">
        <f>#REF!</f>
        <v>#REF!</v>
      </c>
      <c r="D302" s="110" t="e">
        <f>IF(#REF!=0,"",#REF!)</f>
        <v>#REF!</v>
      </c>
      <c r="E302" s="85" t="e">
        <f>IF(#REF!=0,"",#REF!)</f>
        <v>#REF!</v>
      </c>
      <c r="F302" s="85" t="e">
        <f>IF(#REF!=0,"",#REF!)</f>
        <v>#REF!</v>
      </c>
      <c r="G302" s="105">
        <f>'27'!Q302</f>
        <v>0</v>
      </c>
      <c r="H302" s="161">
        <f>'27'!R302</f>
        <v>0</v>
      </c>
      <c r="I302" s="161">
        <f>'27'!S302</f>
        <v>0</v>
      </c>
      <c r="J302" s="161"/>
      <c r="K302" s="106">
        <f>'27'!T302</f>
        <v>0</v>
      </c>
      <c r="L302" s="85" t="e">
        <f>#REF!</f>
        <v>#REF!</v>
      </c>
      <c r="M302" s="105" t="e">
        <f>#REF!</f>
        <v>#REF!</v>
      </c>
      <c r="N302" s="161"/>
      <c r="O302" s="106" t="e">
        <f>#REF!</f>
        <v>#REF!</v>
      </c>
      <c r="P302" s="107" t="e">
        <f>IF(#REF!=0,"",#REF!)</f>
        <v>#REF!</v>
      </c>
      <c r="Q302" s="111" t="e">
        <f>IF(#REF!=0,"",#REF!)</f>
        <v>#REF!</v>
      </c>
      <c r="R302" s="85" t="e">
        <f>IF(#REF!=0,"",#REF!)</f>
        <v>#REF!</v>
      </c>
      <c r="S302" s="85" t="e">
        <f>IF(#REF!=0,"",#REF!)</f>
        <v>#REF!</v>
      </c>
      <c r="T302" s="268"/>
      <c r="U302" s="268"/>
      <c r="V302" s="268"/>
    </row>
    <row r="303" ht="15" customHeight="1" spans="2:22">
      <c r="B303" s="6" t="e">
        <f t="shared" si="5"/>
        <v>#REF!</v>
      </c>
      <c r="C303" s="79" t="e">
        <f>#REF!</f>
        <v>#REF!</v>
      </c>
      <c r="D303" s="62" t="e">
        <f>IF(#REF!=0,"",#REF!)</f>
        <v>#REF!</v>
      </c>
      <c r="E303" s="81" t="e">
        <f>IF(#REF!=0,"",#REF!)</f>
        <v>#REF!</v>
      </c>
      <c r="F303" s="81" t="e">
        <f>IF(#REF!=0,"",#REF!)</f>
        <v>#REF!</v>
      </c>
      <c r="G303" s="100" t="e">
        <f>#REF!</f>
        <v>#REF!</v>
      </c>
      <c r="H303" s="159">
        <f>'27'!R303</f>
        <v>0</v>
      </c>
      <c r="I303" s="159">
        <f>'27'!S303</f>
        <v>0</v>
      </c>
      <c r="J303" s="159"/>
      <c r="K303" s="101">
        <f>'27'!T303</f>
        <v>0</v>
      </c>
      <c r="L303" s="81" t="e">
        <f>#REF!</f>
        <v>#REF!</v>
      </c>
      <c r="M303" s="100" t="e">
        <f>#REF!</f>
        <v>#REF!</v>
      </c>
      <c r="N303" s="159"/>
      <c r="O303" s="101" t="e">
        <f>#REF!</f>
        <v>#REF!</v>
      </c>
      <c r="P303" s="102" t="e">
        <f>IF(#REF!=0,"",#REF!)</f>
        <v>#REF!</v>
      </c>
      <c r="Q303" s="108" t="e">
        <f>IF(#REF!=0,"",#REF!)</f>
        <v>#REF!</v>
      </c>
      <c r="R303" s="81" t="e">
        <f>IF(#REF!=0,"",#REF!)</f>
        <v>#REF!</v>
      </c>
      <c r="S303" s="81" t="e">
        <f>IF(#REF!=0,"",#REF!)</f>
        <v>#REF!</v>
      </c>
      <c r="T303" s="268"/>
      <c r="U303" s="268"/>
      <c r="V303" s="268"/>
    </row>
    <row r="304" ht="15" customHeight="1" spans="2:22">
      <c r="B304" s="6" t="e">
        <f t="shared" si="5"/>
        <v>#REF!</v>
      </c>
      <c r="C304" s="31" t="e">
        <f>#REF!</f>
        <v>#REF!</v>
      </c>
      <c r="D304" s="32" t="e">
        <f>IF(#REF!=0,"",#REF!)</f>
        <v>#REF!</v>
      </c>
      <c r="E304" s="36" t="e">
        <f>IF(#REF!=0,"",#REF!)</f>
        <v>#REF!</v>
      </c>
      <c r="F304" s="36" t="e">
        <f>IF(#REF!=0,"",#REF!)</f>
        <v>#REF!</v>
      </c>
      <c r="G304" s="103">
        <f>'27'!Q304</f>
        <v>0</v>
      </c>
      <c r="H304" s="160">
        <f>'27'!R304</f>
        <v>0</v>
      </c>
      <c r="I304" s="160">
        <f>'27'!S304</f>
        <v>0</v>
      </c>
      <c r="J304" s="160"/>
      <c r="K304" s="104">
        <f>'27'!T304</f>
        <v>0</v>
      </c>
      <c r="L304" s="36" t="e">
        <f>#REF!</f>
        <v>#REF!</v>
      </c>
      <c r="M304" s="103" t="e">
        <f>#REF!</f>
        <v>#REF!</v>
      </c>
      <c r="N304" s="160"/>
      <c r="O304" s="104" t="e">
        <f>#REF!</f>
        <v>#REF!</v>
      </c>
      <c r="P304" s="52" t="e">
        <f>IF(#REF!=0,"",#REF!)</f>
        <v>#REF!</v>
      </c>
      <c r="Q304" s="109" t="e">
        <f>IF(#REF!=0,"",#REF!)</f>
        <v>#REF!</v>
      </c>
      <c r="R304" s="36" t="e">
        <f>IF(#REF!=0,"",#REF!)</f>
        <v>#REF!</v>
      </c>
      <c r="S304" s="36" t="e">
        <f>IF(#REF!=0,"",#REF!)</f>
        <v>#REF!</v>
      </c>
      <c r="T304" s="268"/>
      <c r="U304" s="268"/>
      <c r="V304" s="268"/>
    </row>
    <row r="305" ht="15" customHeight="1" spans="2:22">
      <c r="B305" s="6" t="e">
        <f t="shared" si="5"/>
        <v>#REF!</v>
      </c>
      <c r="C305" s="83" t="e">
        <f>#REF!</f>
        <v>#REF!</v>
      </c>
      <c r="D305" s="110" t="e">
        <f>IF(#REF!=0,"",#REF!)</f>
        <v>#REF!</v>
      </c>
      <c r="E305" s="85" t="e">
        <f>IF(#REF!=0,"",#REF!)</f>
        <v>#REF!</v>
      </c>
      <c r="F305" s="85" t="e">
        <f>IF(#REF!=0,"",#REF!)</f>
        <v>#REF!</v>
      </c>
      <c r="G305" s="105">
        <f>'27'!Q305</f>
        <v>0</v>
      </c>
      <c r="H305" s="161">
        <f>'27'!R305</f>
        <v>0</v>
      </c>
      <c r="I305" s="161">
        <f>'27'!S305</f>
        <v>0</v>
      </c>
      <c r="J305" s="161"/>
      <c r="K305" s="106">
        <f>'27'!T305</f>
        <v>0</v>
      </c>
      <c r="L305" s="85" t="e">
        <f>#REF!</f>
        <v>#REF!</v>
      </c>
      <c r="M305" s="105" t="e">
        <f>#REF!</f>
        <v>#REF!</v>
      </c>
      <c r="N305" s="161"/>
      <c r="O305" s="106" t="e">
        <f>#REF!</f>
        <v>#REF!</v>
      </c>
      <c r="P305" s="107" t="e">
        <f>IF(#REF!=0,"",#REF!)</f>
        <v>#REF!</v>
      </c>
      <c r="Q305" s="111" t="e">
        <f>IF(#REF!=0,"",#REF!)</f>
        <v>#REF!</v>
      </c>
      <c r="R305" s="85" t="e">
        <f>IF(#REF!=0,"",#REF!)</f>
        <v>#REF!</v>
      </c>
      <c r="S305" s="85" t="e">
        <f>IF(#REF!=0,"",#REF!)</f>
        <v>#REF!</v>
      </c>
      <c r="T305" s="268"/>
      <c r="U305" s="268"/>
      <c r="V305" s="268"/>
    </row>
    <row r="306" ht="15" customHeight="1" spans="2:22">
      <c r="B306" s="6" t="e">
        <f t="shared" si="5"/>
        <v>#REF!</v>
      </c>
      <c r="C306" s="79" t="e">
        <f>#REF!</f>
        <v>#REF!</v>
      </c>
      <c r="D306" s="62" t="e">
        <f>IF(#REF!=0,"",#REF!)</f>
        <v>#REF!</v>
      </c>
      <c r="E306" s="81" t="e">
        <f>IF(#REF!=0,"",#REF!)</f>
        <v>#REF!</v>
      </c>
      <c r="F306" s="81" t="e">
        <f>IF(#REF!=0,"",#REF!)</f>
        <v>#REF!</v>
      </c>
      <c r="G306" s="100" t="e">
        <f>#REF!</f>
        <v>#REF!</v>
      </c>
      <c r="H306" s="159">
        <f>'27'!R306</f>
        <v>0</v>
      </c>
      <c r="I306" s="159">
        <f>'27'!S306</f>
        <v>0</v>
      </c>
      <c r="J306" s="159"/>
      <c r="K306" s="101">
        <f>'27'!T306</f>
        <v>0</v>
      </c>
      <c r="L306" s="81" t="e">
        <f>#REF!</f>
        <v>#REF!</v>
      </c>
      <c r="M306" s="100" t="e">
        <f>#REF!</f>
        <v>#REF!</v>
      </c>
      <c r="N306" s="159"/>
      <c r="O306" s="101" t="e">
        <f>#REF!</f>
        <v>#REF!</v>
      </c>
      <c r="P306" s="102" t="e">
        <f>IF(#REF!=0,"",#REF!)</f>
        <v>#REF!</v>
      </c>
      <c r="Q306" s="108" t="e">
        <f>IF(#REF!=0,"",#REF!)</f>
        <v>#REF!</v>
      </c>
      <c r="R306" s="81" t="e">
        <f>IF(#REF!=0,"",#REF!)</f>
        <v>#REF!</v>
      </c>
      <c r="S306" s="81" t="e">
        <f>IF(#REF!=0,"",#REF!)</f>
        <v>#REF!</v>
      </c>
      <c r="T306" s="268"/>
      <c r="U306" s="268"/>
      <c r="V306" s="268"/>
    </row>
    <row r="307" ht="15" customHeight="1" spans="2:22">
      <c r="B307" s="6" t="e">
        <f t="shared" si="5"/>
        <v>#REF!</v>
      </c>
      <c r="C307" s="31" t="e">
        <f>#REF!</f>
        <v>#REF!</v>
      </c>
      <c r="D307" s="32" t="e">
        <f>IF(#REF!=0,"",#REF!)</f>
        <v>#REF!</v>
      </c>
      <c r="E307" s="36" t="e">
        <f>IF(#REF!=0,"",#REF!)</f>
        <v>#REF!</v>
      </c>
      <c r="F307" s="36" t="e">
        <f>IF(#REF!=0,"",#REF!)</f>
        <v>#REF!</v>
      </c>
      <c r="G307" s="103">
        <f>'27'!Q307</f>
        <v>0</v>
      </c>
      <c r="H307" s="160">
        <f>'27'!R307</f>
        <v>0</v>
      </c>
      <c r="I307" s="160">
        <f>'27'!S307</f>
        <v>0</v>
      </c>
      <c r="J307" s="160"/>
      <c r="K307" s="104">
        <f>'27'!T307</f>
        <v>0</v>
      </c>
      <c r="L307" s="36" t="e">
        <f>#REF!</f>
        <v>#REF!</v>
      </c>
      <c r="M307" s="103" t="e">
        <f>#REF!</f>
        <v>#REF!</v>
      </c>
      <c r="N307" s="160"/>
      <c r="O307" s="104" t="e">
        <f>#REF!</f>
        <v>#REF!</v>
      </c>
      <c r="P307" s="52" t="e">
        <f>IF(#REF!=0,"",#REF!)</f>
        <v>#REF!</v>
      </c>
      <c r="Q307" s="109" t="e">
        <f>IF(#REF!=0,"",#REF!)</f>
        <v>#REF!</v>
      </c>
      <c r="R307" s="36" t="e">
        <f>IF(#REF!=0,"",#REF!)</f>
        <v>#REF!</v>
      </c>
      <c r="S307" s="36" t="e">
        <f>IF(#REF!=0,"",#REF!)</f>
        <v>#REF!</v>
      </c>
      <c r="T307" s="268"/>
      <c r="U307" s="268"/>
      <c r="V307" s="268"/>
    </row>
    <row r="308" ht="15" customHeight="1" spans="2:22">
      <c r="B308" s="6" t="e">
        <f t="shared" si="5"/>
        <v>#REF!</v>
      </c>
      <c r="C308" s="83" t="e">
        <f>#REF!</f>
        <v>#REF!</v>
      </c>
      <c r="D308" s="110" t="e">
        <f>IF(#REF!=0,"",#REF!)</f>
        <v>#REF!</v>
      </c>
      <c r="E308" s="85" t="e">
        <f>IF(#REF!=0,"",#REF!)</f>
        <v>#REF!</v>
      </c>
      <c r="F308" s="85" t="e">
        <f>IF(#REF!=0,"",#REF!)</f>
        <v>#REF!</v>
      </c>
      <c r="G308" s="105">
        <f>'27'!Q308</f>
        <v>0</v>
      </c>
      <c r="H308" s="161">
        <f>'27'!R308</f>
        <v>0</v>
      </c>
      <c r="I308" s="161">
        <f>'27'!S308</f>
        <v>0</v>
      </c>
      <c r="J308" s="161"/>
      <c r="K308" s="106">
        <f>'27'!T308</f>
        <v>0</v>
      </c>
      <c r="L308" s="85" t="e">
        <f>#REF!</f>
        <v>#REF!</v>
      </c>
      <c r="M308" s="105" t="e">
        <f>#REF!</f>
        <v>#REF!</v>
      </c>
      <c r="N308" s="161"/>
      <c r="O308" s="106" t="e">
        <f>#REF!</f>
        <v>#REF!</v>
      </c>
      <c r="P308" s="107" t="e">
        <f>IF(#REF!=0,"",#REF!)</f>
        <v>#REF!</v>
      </c>
      <c r="Q308" s="111" t="e">
        <f>IF(#REF!=0,"",#REF!)</f>
        <v>#REF!</v>
      </c>
      <c r="R308" s="85" t="e">
        <f>IF(#REF!=0,"",#REF!)</f>
        <v>#REF!</v>
      </c>
      <c r="S308" s="85" t="e">
        <f>IF(#REF!=0,"",#REF!)</f>
        <v>#REF!</v>
      </c>
      <c r="T308" s="268"/>
      <c r="U308" s="268"/>
      <c r="V308" s="268"/>
    </row>
    <row r="309" ht="15" customHeight="1" spans="2:22">
      <c r="B309" s="6" t="e">
        <f t="shared" si="5"/>
        <v>#REF!</v>
      </c>
      <c r="C309" s="79" t="e">
        <f>#REF!</f>
        <v>#REF!</v>
      </c>
      <c r="D309" s="62" t="e">
        <f>IF(#REF!=0,"",#REF!)</f>
        <v>#REF!</v>
      </c>
      <c r="E309" s="81" t="e">
        <f>IF(#REF!=0,"",#REF!)</f>
        <v>#REF!</v>
      </c>
      <c r="F309" s="81" t="e">
        <f>IF(#REF!=0,"",#REF!)</f>
        <v>#REF!</v>
      </c>
      <c r="G309" s="100" t="e">
        <f>#REF!</f>
        <v>#REF!</v>
      </c>
      <c r="H309" s="159">
        <f>'27'!R309</f>
        <v>0</v>
      </c>
      <c r="I309" s="159">
        <f>'27'!S309</f>
        <v>0</v>
      </c>
      <c r="J309" s="159"/>
      <c r="K309" s="101">
        <f>'27'!T309</f>
        <v>0</v>
      </c>
      <c r="L309" s="81" t="e">
        <f>#REF!</f>
        <v>#REF!</v>
      </c>
      <c r="M309" s="100" t="e">
        <f>#REF!</f>
        <v>#REF!</v>
      </c>
      <c r="N309" s="159"/>
      <c r="O309" s="101" t="e">
        <f>#REF!</f>
        <v>#REF!</v>
      </c>
      <c r="P309" s="102" t="e">
        <f>IF(#REF!=0,"",#REF!)</f>
        <v>#REF!</v>
      </c>
      <c r="Q309" s="108" t="e">
        <f>IF(#REF!=0,"",#REF!)</f>
        <v>#REF!</v>
      </c>
      <c r="R309" s="81" t="e">
        <f>IF(#REF!=0,"",#REF!)</f>
        <v>#REF!</v>
      </c>
      <c r="S309" s="81" t="e">
        <f>IF(#REF!=0,"",#REF!)</f>
        <v>#REF!</v>
      </c>
      <c r="T309" s="268"/>
      <c r="U309" s="268"/>
      <c r="V309" s="268"/>
    </row>
    <row r="310" ht="15" customHeight="1" spans="2:22">
      <c r="B310" s="6" t="e">
        <f t="shared" si="5"/>
        <v>#REF!</v>
      </c>
      <c r="C310" s="31" t="e">
        <f>#REF!</f>
        <v>#REF!</v>
      </c>
      <c r="D310" s="32" t="e">
        <f>IF(#REF!=0,"",#REF!)</f>
        <v>#REF!</v>
      </c>
      <c r="E310" s="36" t="e">
        <f>IF(#REF!=0,"",#REF!)</f>
        <v>#REF!</v>
      </c>
      <c r="F310" s="36" t="e">
        <f>IF(#REF!=0,"",#REF!)</f>
        <v>#REF!</v>
      </c>
      <c r="G310" s="103">
        <f>'27'!Q310</f>
        <v>0</v>
      </c>
      <c r="H310" s="160">
        <f>'27'!R310</f>
        <v>0</v>
      </c>
      <c r="I310" s="160">
        <f>'27'!S310</f>
        <v>0</v>
      </c>
      <c r="J310" s="160"/>
      <c r="K310" s="104">
        <f>'27'!T310</f>
        <v>0</v>
      </c>
      <c r="L310" s="36" t="e">
        <f>#REF!</f>
        <v>#REF!</v>
      </c>
      <c r="M310" s="103" t="e">
        <f>#REF!</f>
        <v>#REF!</v>
      </c>
      <c r="N310" s="160"/>
      <c r="O310" s="104" t="e">
        <f>#REF!</f>
        <v>#REF!</v>
      </c>
      <c r="P310" s="52" t="e">
        <f>IF(#REF!=0,"",#REF!)</f>
        <v>#REF!</v>
      </c>
      <c r="Q310" s="109" t="e">
        <f>IF(#REF!=0,"",#REF!)</f>
        <v>#REF!</v>
      </c>
      <c r="R310" s="36" t="e">
        <f>IF(#REF!=0,"",#REF!)</f>
        <v>#REF!</v>
      </c>
      <c r="S310" s="36" t="e">
        <f>IF(#REF!=0,"",#REF!)</f>
        <v>#REF!</v>
      </c>
      <c r="T310" s="268"/>
      <c r="U310" s="268"/>
      <c r="V310" s="268"/>
    </row>
    <row r="311" ht="15" customHeight="1" spans="2:22">
      <c r="B311" s="6" t="e">
        <f t="shared" si="5"/>
        <v>#REF!</v>
      </c>
      <c r="C311" s="83" t="e">
        <f>#REF!</f>
        <v>#REF!</v>
      </c>
      <c r="D311" s="110" t="e">
        <f>IF(#REF!=0,"",#REF!)</f>
        <v>#REF!</v>
      </c>
      <c r="E311" s="85" t="e">
        <f>IF(#REF!=0,"",#REF!)</f>
        <v>#REF!</v>
      </c>
      <c r="F311" s="85" t="e">
        <f>IF(#REF!=0,"",#REF!)</f>
        <v>#REF!</v>
      </c>
      <c r="G311" s="105">
        <f>'27'!Q311</f>
        <v>0</v>
      </c>
      <c r="H311" s="161">
        <f>'27'!R311</f>
        <v>0</v>
      </c>
      <c r="I311" s="161">
        <f>'27'!S311</f>
        <v>0</v>
      </c>
      <c r="J311" s="161"/>
      <c r="K311" s="106">
        <f>'27'!T311</f>
        <v>0</v>
      </c>
      <c r="L311" s="85" t="e">
        <f>#REF!</f>
        <v>#REF!</v>
      </c>
      <c r="M311" s="105" t="e">
        <f>#REF!</f>
        <v>#REF!</v>
      </c>
      <c r="N311" s="161"/>
      <c r="O311" s="106" t="e">
        <f>#REF!</f>
        <v>#REF!</v>
      </c>
      <c r="P311" s="107" t="e">
        <f>IF(#REF!=0,"",#REF!)</f>
        <v>#REF!</v>
      </c>
      <c r="Q311" s="111" t="e">
        <f>IF(#REF!=0,"",#REF!)</f>
        <v>#REF!</v>
      </c>
      <c r="R311" s="85" t="e">
        <f>IF(#REF!=0,"",#REF!)</f>
        <v>#REF!</v>
      </c>
      <c r="S311" s="85" t="e">
        <f>IF(#REF!=0,"",#REF!)</f>
        <v>#REF!</v>
      </c>
      <c r="T311" s="268"/>
      <c r="U311" s="268"/>
      <c r="V311" s="268"/>
    </row>
    <row r="312" ht="15" customHeight="1" spans="2:22">
      <c r="B312" s="6" t="e">
        <f t="shared" si="5"/>
        <v>#REF!</v>
      </c>
      <c r="C312" s="79" t="e">
        <f>#REF!</f>
        <v>#REF!</v>
      </c>
      <c r="D312" s="62" t="e">
        <f>IF(#REF!=0,"",#REF!)</f>
        <v>#REF!</v>
      </c>
      <c r="E312" s="81" t="e">
        <f>IF(#REF!=0,"",#REF!)</f>
        <v>#REF!</v>
      </c>
      <c r="F312" s="81" t="e">
        <f>IF(#REF!=0,"",#REF!)</f>
        <v>#REF!</v>
      </c>
      <c r="G312" s="100" t="e">
        <f>#REF!</f>
        <v>#REF!</v>
      </c>
      <c r="H312" s="159">
        <f>'27'!R312</f>
        <v>0</v>
      </c>
      <c r="I312" s="159">
        <f>'27'!S312</f>
        <v>0</v>
      </c>
      <c r="J312" s="159"/>
      <c r="K312" s="101">
        <f>'27'!T312</f>
        <v>0</v>
      </c>
      <c r="L312" s="81" t="e">
        <f>#REF!</f>
        <v>#REF!</v>
      </c>
      <c r="M312" s="100" t="e">
        <f>#REF!</f>
        <v>#REF!</v>
      </c>
      <c r="N312" s="159"/>
      <c r="O312" s="101" t="e">
        <f>#REF!</f>
        <v>#REF!</v>
      </c>
      <c r="P312" s="102" t="e">
        <f>IF(#REF!=0,"",#REF!)</f>
        <v>#REF!</v>
      </c>
      <c r="Q312" s="108" t="e">
        <f>IF(#REF!=0,"",#REF!)</f>
        <v>#REF!</v>
      </c>
      <c r="R312" s="81" t="e">
        <f>IF(#REF!=0,"",#REF!)</f>
        <v>#REF!</v>
      </c>
      <c r="S312" s="81" t="e">
        <f>IF(#REF!=0,"",#REF!)</f>
        <v>#REF!</v>
      </c>
      <c r="T312" s="268"/>
      <c r="U312" s="268"/>
      <c r="V312" s="268"/>
    </row>
    <row r="313" ht="15" customHeight="1" spans="2:22">
      <c r="B313" s="6" t="e">
        <f t="shared" si="5"/>
        <v>#REF!</v>
      </c>
      <c r="C313" s="31" t="e">
        <f>#REF!</f>
        <v>#REF!</v>
      </c>
      <c r="D313" s="32" t="e">
        <f>IF(#REF!=0,"",#REF!)</f>
        <v>#REF!</v>
      </c>
      <c r="E313" s="36" t="e">
        <f>IF(#REF!=0,"",#REF!)</f>
        <v>#REF!</v>
      </c>
      <c r="F313" s="36" t="e">
        <f>IF(#REF!=0,"",#REF!)</f>
        <v>#REF!</v>
      </c>
      <c r="G313" s="103">
        <f>'27'!Q313</f>
        <v>0</v>
      </c>
      <c r="H313" s="160">
        <f>'27'!R313</f>
        <v>0</v>
      </c>
      <c r="I313" s="160">
        <f>'27'!S313</f>
        <v>0</v>
      </c>
      <c r="J313" s="160"/>
      <c r="K313" s="104">
        <f>'27'!T313</f>
        <v>0</v>
      </c>
      <c r="L313" s="36" t="e">
        <f>#REF!</f>
        <v>#REF!</v>
      </c>
      <c r="M313" s="103" t="e">
        <f>#REF!</f>
        <v>#REF!</v>
      </c>
      <c r="N313" s="160"/>
      <c r="O313" s="104" t="e">
        <f>#REF!</f>
        <v>#REF!</v>
      </c>
      <c r="P313" s="52" t="e">
        <f>IF(#REF!=0,"",#REF!)</f>
        <v>#REF!</v>
      </c>
      <c r="Q313" s="109" t="e">
        <f>IF(#REF!=0,"",#REF!)</f>
        <v>#REF!</v>
      </c>
      <c r="R313" s="36" t="e">
        <f>IF(#REF!=0,"",#REF!)</f>
        <v>#REF!</v>
      </c>
      <c r="S313" s="36" t="e">
        <f>IF(#REF!=0,"",#REF!)</f>
        <v>#REF!</v>
      </c>
      <c r="T313" s="268"/>
      <c r="U313" s="268"/>
      <c r="V313" s="268"/>
    </row>
    <row r="314" ht="15" customHeight="1" spans="2:22">
      <c r="B314" s="6" t="e">
        <f t="shared" si="5"/>
        <v>#REF!</v>
      </c>
      <c r="C314" s="83" t="e">
        <f>#REF!</f>
        <v>#REF!</v>
      </c>
      <c r="D314" s="110" t="e">
        <f>IF(#REF!=0,"",#REF!)</f>
        <v>#REF!</v>
      </c>
      <c r="E314" s="85" t="e">
        <f>IF(#REF!=0,"",#REF!)</f>
        <v>#REF!</v>
      </c>
      <c r="F314" s="85" t="e">
        <f>IF(#REF!=0,"",#REF!)</f>
        <v>#REF!</v>
      </c>
      <c r="G314" s="105">
        <f>'27'!Q314</f>
        <v>0</v>
      </c>
      <c r="H314" s="161">
        <f>'27'!R314</f>
        <v>0</v>
      </c>
      <c r="I314" s="161">
        <f>'27'!S314</f>
        <v>0</v>
      </c>
      <c r="J314" s="161"/>
      <c r="K314" s="106">
        <f>'27'!T314</f>
        <v>0</v>
      </c>
      <c r="L314" s="85" t="e">
        <f>#REF!</f>
        <v>#REF!</v>
      </c>
      <c r="M314" s="105" t="e">
        <f>#REF!</f>
        <v>#REF!</v>
      </c>
      <c r="N314" s="161"/>
      <c r="O314" s="106" t="e">
        <f>#REF!</f>
        <v>#REF!</v>
      </c>
      <c r="P314" s="107" t="e">
        <f>IF(#REF!=0,"",#REF!)</f>
        <v>#REF!</v>
      </c>
      <c r="Q314" s="111" t="e">
        <f>IF(#REF!=0,"",#REF!)</f>
        <v>#REF!</v>
      </c>
      <c r="R314" s="85" t="e">
        <f>IF(#REF!=0,"",#REF!)</f>
        <v>#REF!</v>
      </c>
      <c r="S314" s="85" t="e">
        <f>IF(#REF!=0,"",#REF!)</f>
        <v>#REF!</v>
      </c>
      <c r="T314" s="268"/>
      <c r="U314" s="268"/>
      <c r="V314" s="268"/>
    </row>
    <row r="315" ht="15" customHeight="1" spans="2:22">
      <c r="B315" s="6" t="e">
        <f t="shared" si="5"/>
        <v>#REF!</v>
      </c>
      <c r="C315" s="79" t="e">
        <f>#REF!</f>
        <v>#REF!</v>
      </c>
      <c r="D315" s="62" t="e">
        <f>IF(#REF!=0,"",#REF!)</f>
        <v>#REF!</v>
      </c>
      <c r="E315" s="81" t="e">
        <f>IF(#REF!=0,"",#REF!)</f>
        <v>#REF!</v>
      </c>
      <c r="F315" s="81" t="e">
        <f>IF(#REF!=0,"",#REF!)</f>
        <v>#REF!</v>
      </c>
      <c r="G315" s="100" t="e">
        <f>#REF!</f>
        <v>#REF!</v>
      </c>
      <c r="H315" s="159">
        <f>'27'!R315</f>
        <v>0</v>
      </c>
      <c r="I315" s="159">
        <f>'27'!S315</f>
        <v>0</v>
      </c>
      <c r="J315" s="159"/>
      <c r="K315" s="101">
        <f>'27'!T315</f>
        <v>0</v>
      </c>
      <c r="L315" s="81" t="e">
        <f>#REF!</f>
        <v>#REF!</v>
      </c>
      <c r="M315" s="100" t="e">
        <f>#REF!</f>
        <v>#REF!</v>
      </c>
      <c r="N315" s="159"/>
      <c r="O315" s="101" t="e">
        <f>#REF!</f>
        <v>#REF!</v>
      </c>
      <c r="P315" s="102" t="e">
        <f>IF(#REF!=0,"",#REF!)</f>
        <v>#REF!</v>
      </c>
      <c r="Q315" s="108" t="e">
        <f>IF(#REF!=0,"",#REF!)</f>
        <v>#REF!</v>
      </c>
      <c r="R315" s="81" t="e">
        <f>IF(#REF!=0,"",#REF!)</f>
        <v>#REF!</v>
      </c>
      <c r="S315" s="81" t="e">
        <f>IF(#REF!=0,"",#REF!)</f>
        <v>#REF!</v>
      </c>
      <c r="T315" s="268"/>
      <c r="U315" s="268"/>
      <c r="V315" s="268"/>
    </row>
    <row r="316" ht="15" customHeight="1" spans="2:22">
      <c r="B316" s="6" t="e">
        <f t="shared" si="5"/>
        <v>#REF!</v>
      </c>
      <c r="C316" s="31" t="e">
        <f>#REF!</f>
        <v>#REF!</v>
      </c>
      <c r="D316" s="32" t="e">
        <f>IF(#REF!=0,"",#REF!)</f>
        <v>#REF!</v>
      </c>
      <c r="E316" s="36" t="e">
        <f>IF(#REF!=0,"",#REF!)</f>
        <v>#REF!</v>
      </c>
      <c r="F316" s="36" t="e">
        <f>IF(#REF!=0,"",#REF!)</f>
        <v>#REF!</v>
      </c>
      <c r="G316" s="103">
        <f>'27'!Q316</f>
        <v>0</v>
      </c>
      <c r="H316" s="160">
        <f>'27'!R316</f>
        <v>0</v>
      </c>
      <c r="I316" s="160">
        <f>'27'!S316</f>
        <v>0</v>
      </c>
      <c r="J316" s="160"/>
      <c r="K316" s="104">
        <f>'27'!T316</f>
        <v>0</v>
      </c>
      <c r="L316" s="36" t="e">
        <f>#REF!</f>
        <v>#REF!</v>
      </c>
      <c r="M316" s="103" t="e">
        <f>#REF!</f>
        <v>#REF!</v>
      </c>
      <c r="N316" s="160"/>
      <c r="O316" s="104" t="e">
        <f>#REF!</f>
        <v>#REF!</v>
      </c>
      <c r="P316" s="52" t="e">
        <f>IF(#REF!=0,"",#REF!)</f>
        <v>#REF!</v>
      </c>
      <c r="Q316" s="109" t="e">
        <f>IF(#REF!=0,"",#REF!)</f>
        <v>#REF!</v>
      </c>
      <c r="R316" s="36" t="e">
        <f>IF(#REF!=0,"",#REF!)</f>
        <v>#REF!</v>
      </c>
      <c r="S316" s="36" t="e">
        <f>IF(#REF!=0,"",#REF!)</f>
        <v>#REF!</v>
      </c>
      <c r="T316" s="268"/>
      <c r="U316" s="268"/>
      <c r="V316" s="268"/>
    </row>
    <row r="317" ht="15" customHeight="1" spans="2:22">
      <c r="B317" s="6" t="e">
        <f t="shared" si="5"/>
        <v>#REF!</v>
      </c>
      <c r="C317" s="83" t="e">
        <f>#REF!</f>
        <v>#REF!</v>
      </c>
      <c r="D317" s="110" t="e">
        <f>IF(#REF!=0,"",#REF!)</f>
        <v>#REF!</v>
      </c>
      <c r="E317" s="85" t="e">
        <f>IF(#REF!=0,"",#REF!)</f>
        <v>#REF!</v>
      </c>
      <c r="F317" s="85" t="e">
        <f>IF(#REF!=0,"",#REF!)</f>
        <v>#REF!</v>
      </c>
      <c r="G317" s="105">
        <f>'27'!Q317</f>
        <v>0</v>
      </c>
      <c r="H317" s="161">
        <f>'27'!R317</f>
        <v>0</v>
      </c>
      <c r="I317" s="161">
        <f>'27'!S317</f>
        <v>0</v>
      </c>
      <c r="J317" s="161"/>
      <c r="K317" s="106">
        <f>'27'!T317</f>
        <v>0</v>
      </c>
      <c r="L317" s="85" t="e">
        <f>#REF!</f>
        <v>#REF!</v>
      </c>
      <c r="M317" s="105" t="e">
        <f>#REF!</f>
        <v>#REF!</v>
      </c>
      <c r="N317" s="161"/>
      <c r="O317" s="106" t="e">
        <f>#REF!</f>
        <v>#REF!</v>
      </c>
      <c r="P317" s="107" t="e">
        <f>IF(#REF!=0,"",#REF!)</f>
        <v>#REF!</v>
      </c>
      <c r="Q317" s="111" t="e">
        <f>IF(#REF!=0,"",#REF!)</f>
        <v>#REF!</v>
      </c>
      <c r="R317" s="85" t="e">
        <f>IF(#REF!=0,"",#REF!)</f>
        <v>#REF!</v>
      </c>
      <c r="S317" s="85" t="e">
        <f>IF(#REF!=0,"",#REF!)</f>
        <v>#REF!</v>
      </c>
      <c r="T317" s="268"/>
      <c r="U317" s="268"/>
      <c r="V317" s="268"/>
    </row>
    <row r="318" ht="15" customHeight="1" spans="2:22">
      <c r="B318" s="6" t="e">
        <f t="shared" si="5"/>
        <v>#REF!</v>
      </c>
      <c r="C318" s="79" t="e">
        <f>#REF!</f>
        <v>#REF!</v>
      </c>
      <c r="D318" s="62" t="e">
        <f>IF(#REF!=0,"",#REF!)</f>
        <v>#REF!</v>
      </c>
      <c r="E318" s="81" t="e">
        <f>IF(#REF!=0,"",#REF!)</f>
        <v>#REF!</v>
      </c>
      <c r="F318" s="81" t="e">
        <f>IF(#REF!=0,"",#REF!)</f>
        <v>#REF!</v>
      </c>
      <c r="G318" s="100" t="e">
        <f>#REF!</f>
        <v>#REF!</v>
      </c>
      <c r="H318" s="159">
        <f>'27'!R318</f>
        <v>0</v>
      </c>
      <c r="I318" s="159">
        <f>'27'!S318</f>
        <v>0</v>
      </c>
      <c r="J318" s="159"/>
      <c r="K318" s="101">
        <f>'27'!T318</f>
        <v>0</v>
      </c>
      <c r="L318" s="81" t="e">
        <f>#REF!</f>
        <v>#REF!</v>
      </c>
      <c r="M318" s="100" t="e">
        <f>#REF!</f>
        <v>#REF!</v>
      </c>
      <c r="N318" s="159"/>
      <c r="O318" s="101" t="e">
        <f>#REF!</f>
        <v>#REF!</v>
      </c>
      <c r="P318" s="102" t="e">
        <f>IF(#REF!=0,"",#REF!)</f>
        <v>#REF!</v>
      </c>
      <c r="Q318" s="108" t="e">
        <f>IF(#REF!=0,"",#REF!)</f>
        <v>#REF!</v>
      </c>
      <c r="R318" s="81" t="e">
        <f>IF(#REF!=0,"",#REF!)</f>
        <v>#REF!</v>
      </c>
      <c r="S318" s="81" t="e">
        <f>IF(#REF!=0,"",#REF!)</f>
        <v>#REF!</v>
      </c>
      <c r="T318" s="268"/>
      <c r="U318" s="268"/>
      <c r="V318" s="268"/>
    </row>
    <row r="319" ht="15" customHeight="1" spans="2:22">
      <c r="B319" s="6" t="e">
        <f t="shared" si="5"/>
        <v>#REF!</v>
      </c>
      <c r="C319" s="31" t="e">
        <f>#REF!</f>
        <v>#REF!</v>
      </c>
      <c r="D319" s="32" t="e">
        <f>IF(#REF!=0,"",#REF!)</f>
        <v>#REF!</v>
      </c>
      <c r="E319" s="36" t="e">
        <f>IF(#REF!=0,"",#REF!)</f>
        <v>#REF!</v>
      </c>
      <c r="F319" s="36" t="e">
        <f>IF(#REF!=0,"",#REF!)</f>
        <v>#REF!</v>
      </c>
      <c r="G319" s="103">
        <f>'27'!Q319</f>
        <v>0</v>
      </c>
      <c r="H319" s="160">
        <f>'27'!R319</f>
        <v>0</v>
      </c>
      <c r="I319" s="160">
        <f>'27'!S319</f>
        <v>0</v>
      </c>
      <c r="J319" s="160"/>
      <c r="K319" s="104">
        <f>'27'!T319</f>
        <v>0</v>
      </c>
      <c r="L319" s="36" t="e">
        <f>#REF!</f>
        <v>#REF!</v>
      </c>
      <c r="M319" s="103" t="e">
        <f>#REF!</f>
        <v>#REF!</v>
      </c>
      <c r="N319" s="160"/>
      <c r="O319" s="104" t="e">
        <f>#REF!</f>
        <v>#REF!</v>
      </c>
      <c r="P319" s="52" t="e">
        <f>IF(#REF!=0,"",#REF!)</f>
        <v>#REF!</v>
      </c>
      <c r="Q319" s="109" t="e">
        <f>IF(#REF!=0,"",#REF!)</f>
        <v>#REF!</v>
      </c>
      <c r="R319" s="36" t="e">
        <f>IF(#REF!=0,"",#REF!)</f>
        <v>#REF!</v>
      </c>
      <c r="S319" s="36" t="e">
        <f>IF(#REF!=0,"",#REF!)</f>
        <v>#REF!</v>
      </c>
      <c r="T319" s="268"/>
      <c r="U319" s="268"/>
      <c r="V319" s="268"/>
    </row>
    <row r="320" ht="15" customHeight="1" spans="2:22">
      <c r="B320" s="6" t="e">
        <f t="shared" si="5"/>
        <v>#REF!</v>
      </c>
      <c r="C320" s="83" t="e">
        <f>#REF!</f>
        <v>#REF!</v>
      </c>
      <c r="D320" s="110" t="e">
        <f>IF(#REF!=0,"",#REF!)</f>
        <v>#REF!</v>
      </c>
      <c r="E320" s="85" t="e">
        <f>IF(#REF!=0,"",#REF!)</f>
        <v>#REF!</v>
      </c>
      <c r="F320" s="85" t="e">
        <f>IF(#REF!=0,"",#REF!)</f>
        <v>#REF!</v>
      </c>
      <c r="G320" s="105">
        <f>'27'!Q320</f>
        <v>0</v>
      </c>
      <c r="H320" s="161">
        <f>'27'!R320</f>
        <v>0</v>
      </c>
      <c r="I320" s="161">
        <f>'27'!S320</f>
        <v>0</v>
      </c>
      <c r="J320" s="161"/>
      <c r="K320" s="106">
        <f>'27'!T320</f>
        <v>0</v>
      </c>
      <c r="L320" s="85" t="e">
        <f>#REF!</f>
        <v>#REF!</v>
      </c>
      <c r="M320" s="105" t="e">
        <f>#REF!</f>
        <v>#REF!</v>
      </c>
      <c r="N320" s="161"/>
      <c r="O320" s="106" t="e">
        <f>#REF!</f>
        <v>#REF!</v>
      </c>
      <c r="P320" s="107" t="e">
        <f>IF(#REF!=0,"",#REF!)</f>
        <v>#REF!</v>
      </c>
      <c r="Q320" s="111" t="e">
        <f>IF(#REF!=0,"",#REF!)</f>
        <v>#REF!</v>
      </c>
      <c r="R320" s="85" t="e">
        <f>IF(#REF!=0,"",#REF!)</f>
        <v>#REF!</v>
      </c>
      <c r="S320" s="85" t="e">
        <f>IF(#REF!=0,"",#REF!)</f>
        <v>#REF!</v>
      </c>
      <c r="T320" s="268"/>
      <c r="U320" s="268"/>
      <c r="V320" s="268"/>
    </row>
    <row r="321" ht="15" customHeight="1" spans="2:22">
      <c r="B321" s="6" t="e">
        <f t="shared" si="5"/>
        <v>#REF!</v>
      </c>
      <c r="C321" s="79" t="e">
        <f>#REF!</f>
        <v>#REF!</v>
      </c>
      <c r="D321" s="62" t="e">
        <f>IF(#REF!=0,"",#REF!)</f>
        <v>#REF!</v>
      </c>
      <c r="E321" s="81" t="e">
        <f>IF(#REF!=0,"",#REF!)</f>
        <v>#REF!</v>
      </c>
      <c r="F321" s="81" t="e">
        <f>IF(#REF!=0,"",#REF!)</f>
        <v>#REF!</v>
      </c>
      <c r="G321" s="100" t="e">
        <f>#REF!</f>
        <v>#REF!</v>
      </c>
      <c r="H321" s="159">
        <f>'27'!R321</f>
        <v>0</v>
      </c>
      <c r="I321" s="159">
        <f>'27'!S321</f>
        <v>0</v>
      </c>
      <c r="J321" s="159"/>
      <c r="K321" s="101">
        <f>'27'!T321</f>
        <v>0</v>
      </c>
      <c r="L321" s="81" t="e">
        <f>#REF!</f>
        <v>#REF!</v>
      </c>
      <c r="M321" s="100" t="e">
        <f>#REF!</f>
        <v>#REF!</v>
      </c>
      <c r="N321" s="159"/>
      <c r="O321" s="101" t="e">
        <f>#REF!</f>
        <v>#REF!</v>
      </c>
      <c r="P321" s="102" t="e">
        <f>IF(#REF!=0,"",#REF!)</f>
        <v>#REF!</v>
      </c>
      <c r="Q321" s="108" t="e">
        <f>IF(#REF!=0,"",#REF!)</f>
        <v>#REF!</v>
      </c>
      <c r="R321" s="81" t="e">
        <f>IF(#REF!=0,"",#REF!)</f>
        <v>#REF!</v>
      </c>
      <c r="S321" s="81" t="e">
        <f>IF(#REF!=0,"",#REF!)</f>
        <v>#REF!</v>
      </c>
      <c r="T321" s="268"/>
      <c r="U321" s="268"/>
      <c r="V321" s="268"/>
    </row>
    <row r="322" ht="15" customHeight="1" spans="2:22">
      <c r="B322" s="6" t="e">
        <f t="shared" si="5"/>
        <v>#REF!</v>
      </c>
      <c r="C322" s="31" t="e">
        <f>#REF!</f>
        <v>#REF!</v>
      </c>
      <c r="D322" s="32" t="e">
        <f>IF(#REF!=0,"",#REF!)</f>
        <v>#REF!</v>
      </c>
      <c r="E322" s="36" t="e">
        <f>IF(#REF!=0,"",#REF!)</f>
        <v>#REF!</v>
      </c>
      <c r="F322" s="36" t="e">
        <f>IF(#REF!=0,"",#REF!)</f>
        <v>#REF!</v>
      </c>
      <c r="G322" s="103">
        <f>'27'!Q322</f>
        <v>0</v>
      </c>
      <c r="H322" s="160">
        <f>'27'!R322</f>
        <v>0</v>
      </c>
      <c r="I322" s="160">
        <f>'27'!S322</f>
        <v>0</v>
      </c>
      <c r="J322" s="160"/>
      <c r="K322" s="104">
        <f>'27'!T322</f>
        <v>0</v>
      </c>
      <c r="L322" s="36" t="e">
        <f>#REF!</f>
        <v>#REF!</v>
      </c>
      <c r="M322" s="103" t="e">
        <f>#REF!</f>
        <v>#REF!</v>
      </c>
      <c r="N322" s="160"/>
      <c r="O322" s="104" t="e">
        <f>#REF!</f>
        <v>#REF!</v>
      </c>
      <c r="P322" s="52" t="e">
        <f>IF(#REF!=0,"",#REF!)</f>
        <v>#REF!</v>
      </c>
      <c r="Q322" s="109" t="e">
        <f>IF(#REF!=0,"",#REF!)</f>
        <v>#REF!</v>
      </c>
      <c r="R322" s="36" t="e">
        <f>IF(#REF!=0,"",#REF!)</f>
        <v>#REF!</v>
      </c>
      <c r="S322" s="36" t="e">
        <f>IF(#REF!=0,"",#REF!)</f>
        <v>#REF!</v>
      </c>
      <c r="T322" s="268"/>
      <c r="U322" s="268"/>
      <c r="V322" s="268"/>
    </row>
    <row r="323" ht="15" customHeight="1" spans="2:22">
      <c r="B323" s="6" t="e">
        <f t="shared" si="5"/>
        <v>#REF!</v>
      </c>
      <c r="C323" s="83" t="e">
        <f>#REF!</f>
        <v>#REF!</v>
      </c>
      <c r="D323" s="110" t="e">
        <f>IF(#REF!=0,"",#REF!)</f>
        <v>#REF!</v>
      </c>
      <c r="E323" s="85" t="e">
        <f>IF(#REF!=0,"",#REF!)</f>
        <v>#REF!</v>
      </c>
      <c r="F323" s="85" t="e">
        <f>IF(#REF!=0,"",#REF!)</f>
        <v>#REF!</v>
      </c>
      <c r="G323" s="105">
        <f>'27'!Q323</f>
        <v>0</v>
      </c>
      <c r="H323" s="161">
        <f>'27'!R323</f>
        <v>0</v>
      </c>
      <c r="I323" s="161">
        <f>'27'!S323</f>
        <v>0</v>
      </c>
      <c r="J323" s="161"/>
      <c r="K323" s="106">
        <f>'27'!T323</f>
        <v>0</v>
      </c>
      <c r="L323" s="85" t="e">
        <f>#REF!</f>
        <v>#REF!</v>
      </c>
      <c r="M323" s="105" t="e">
        <f>#REF!</f>
        <v>#REF!</v>
      </c>
      <c r="N323" s="161"/>
      <c r="O323" s="106" t="e">
        <f>#REF!</f>
        <v>#REF!</v>
      </c>
      <c r="P323" s="107" t="e">
        <f>IF(#REF!=0,"",#REF!)</f>
        <v>#REF!</v>
      </c>
      <c r="Q323" s="111" t="e">
        <f>IF(#REF!=0,"",#REF!)</f>
        <v>#REF!</v>
      </c>
      <c r="R323" s="85" t="e">
        <f>IF(#REF!=0,"",#REF!)</f>
        <v>#REF!</v>
      </c>
      <c r="S323" s="85" t="e">
        <f>IF(#REF!=0,"",#REF!)</f>
        <v>#REF!</v>
      </c>
      <c r="T323" s="268"/>
      <c r="U323" s="268"/>
      <c r="V323" s="268"/>
    </row>
    <row r="324" ht="15" customHeight="1" spans="2:22">
      <c r="B324" s="6" t="e">
        <f t="shared" ref="B324:B386" si="6">COUNTA(C324)-IF(C324=0,1)+B323</f>
        <v>#REF!</v>
      </c>
      <c r="C324" s="79" t="e">
        <f>#REF!</f>
        <v>#REF!</v>
      </c>
      <c r="D324" s="62" t="e">
        <f>IF(#REF!=0,"",#REF!)</f>
        <v>#REF!</v>
      </c>
      <c r="E324" s="81" t="e">
        <f>IF(#REF!=0,"",#REF!)</f>
        <v>#REF!</v>
      </c>
      <c r="F324" s="81" t="e">
        <f>IF(#REF!=0,"",#REF!)</f>
        <v>#REF!</v>
      </c>
      <c r="G324" s="100" t="e">
        <f>#REF!</f>
        <v>#REF!</v>
      </c>
      <c r="H324" s="159">
        <f>'27'!R324</f>
        <v>0</v>
      </c>
      <c r="I324" s="159">
        <f>'27'!S324</f>
        <v>0</v>
      </c>
      <c r="J324" s="159"/>
      <c r="K324" s="101">
        <f>'27'!T324</f>
        <v>0</v>
      </c>
      <c r="L324" s="81" t="e">
        <f>#REF!</f>
        <v>#REF!</v>
      </c>
      <c r="M324" s="100" t="e">
        <f>#REF!</f>
        <v>#REF!</v>
      </c>
      <c r="N324" s="159"/>
      <c r="O324" s="101" t="e">
        <f>#REF!</f>
        <v>#REF!</v>
      </c>
      <c r="P324" s="102" t="e">
        <f>IF(#REF!=0,"",#REF!)</f>
        <v>#REF!</v>
      </c>
      <c r="Q324" s="108" t="e">
        <f>IF(#REF!=0,"",#REF!)</f>
        <v>#REF!</v>
      </c>
      <c r="R324" s="81" t="e">
        <f>IF(#REF!=0,"",#REF!)</f>
        <v>#REF!</v>
      </c>
      <c r="S324" s="81" t="e">
        <f>IF(#REF!=0,"",#REF!)</f>
        <v>#REF!</v>
      </c>
      <c r="T324" s="268"/>
      <c r="U324" s="268"/>
      <c r="V324" s="268"/>
    </row>
    <row r="325" ht="15" customHeight="1" spans="2:22">
      <c r="B325" s="6" t="e">
        <f t="shared" si="6"/>
        <v>#REF!</v>
      </c>
      <c r="C325" s="31" t="e">
        <f>#REF!</f>
        <v>#REF!</v>
      </c>
      <c r="D325" s="32" t="e">
        <f>IF(#REF!=0,"",#REF!)</f>
        <v>#REF!</v>
      </c>
      <c r="E325" s="36" t="e">
        <f>IF(#REF!=0,"",#REF!)</f>
        <v>#REF!</v>
      </c>
      <c r="F325" s="36" t="e">
        <f>IF(#REF!=0,"",#REF!)</f>
        <v>#REF!</v>
      </c>
      <c r="G325" s="103">
        <f>'27'!Q325</f>
        <v>0</v>
      </c>
      <c r="H325" s="160">
        <f>'27'!R325</f>
        <v>0</v>
      </c>
      <c r="I325" s="160">
        <f>'27'!S325</f>
        <v>0</v>
      </c>
      <c r="J325" s="160"/>
      <c r="K325" s="104">
        <f>'27'!T325</f>
        <v>0</v>
      </c>
      <c r="L325" s="36" t="e">
        <f>#REF!</f>
        <v>#REF!</v>
      </c>
      <c r="M325" s="103" t="e">
        <f>#REF!</f>
        <v>#REF!</v>
      </c>
      <c r="N325" s="160"/>
      <c r="O325" s="104" t="e">
        <f>#REF!</f>
        <v>#REF!</v>
      </c>
      <c r="P325" s="52" t="e">
        <f>IF(#REF!=0,"",#REF!)</f>
        <v>#REF!</v>
      </c>
      <c r="Q325" s="109" t="e">
        <f>IF(#REF!=0,"",#REF!)</f>
        <v>#REF!</v>
      </c>
      <c r="R325" s="36" t="e">
        <f>IF(#REF!=0,"",#REF!)</f>
        <v>#REF!</v>
      </c>
      <c r="S325" s="36" t="e">
        <f>IF(#REF!=0,"",#REF!)</f>
        <v>#REF!</v>
      </c>
      <c r="T325" s="268"/>
      <c r="U325" s="268"/>
      <c r="V325" s="268"/>
    </row>
    <row r="326" ht="15" customHeight="1" spans="2:22">
      <c r="B326" s="6" t="e">
        <f t="shared" si="6"/>
        <v>#REF!</v>
      </c>
      <c r="C326" s="83" t="e">
        <f>#REF!</f>
        <v>#REF!</v>
      </c>
      <c r="D326" s="110" t="e">
        <f>IF(#REF!=0,"",#REF!)</f>
        <v>#REF!</v>
      </c>
      <c r="E326" s="85" t="e">
        <f>IF(#REF!=0,"",#REF!)</f>
        <v>#REF!</v>
      </c>
      <c r="F326" s="85" t="e">
        <f>IF(#REF!=0,"",#REF!)</f>
        <v>#REF!</v>
      </c>
      <c r="G326" s="105">
        <f>'27'!Q326</f>
        <v>0</v>
      </c>
      <c r="H326" s="161">
        <f>'27'!R326</f>
        <v>0</v>
      </c>
      <c r="I326" s="161">
        <f>'27'!S326</f>
        <v>0</v>
      </c>
      <c r="J326" s="161"/>
      <c r="K326" s="106">
        <f>'27'!T326</f>
        <v>0</v>
      </c>
      <c r="L326" s="85" t="e">
        <f>#REF!</f>
        <v>#REF!</v>
      </c>
      <c r="M326" s="105" t="e">
        <f>#REF!</f>
        <v>#REF!</v>
      </c>
      <c r="N326" s="161"/>
      <c r="O326" s="106" t="e">
        <f>#REF!</f>
        <v>#REF!</v>
      </c>
      <c r="P326" s="107" t="e">
        <f>IF(#REF!=0,"",#REF!)</f>
        <v>#REF!</v>
      </c>
      <c r="Q326" s="111" t="e">
        <f>IF(#REF!=0,"",#REF!)</f>
        <v>#REF!</v>
      </c>
      <c r="R326" s="85" t="e">
        <f>IF(#REF!=0,"",#REF!)</f>
        <v>#REF!</v>
      </c>
      <c r="S326" s="85" t="e">
        <f>IF(#REF!=0,"",#REF!)</f>
        <v>#REF!</v>
      </c>
      <c r="T326" s="268"/>
      <c r="U326" s="268"/>
      <c r="V326" s="268"/>
    </row>
    <row r="327" ht="15" customHeight="1" spans="2:22">
      <c r="B327" s="6" t="e">
        <f t="shared" si="6"/>
        <v>#REF!</v>
      </c>
      <c r="C327" s="79" t="e">
        <f>#REF!</f>
        <v>#REF!</v>
      </c>
      <c r="D327" s="62" t="e">
        <f>IF(#REF!=0,"",#REF!)</f>
        <v>#REF!</v>
      </c>
      <c r="E327" s="81" t="e">
        <f>IF(#REF!=0,"",#REF!)</f>
        <v>#REF!</v>
      </c>
      <c r="F327" s="81" t="e">
        <f>IF(#REF!=0,"",#REF!)</f>
        <v>#REF!</v>
      </c>
      <c r="G327" s="100" t="e">
        <f>#REF!</f>
        <v>#REF!</v>
      </c>
      <c r="H327" s="159">
        <f>'27'!R327</f>
        <v>0</v>
      </c>
      <c r="I327" s="159">
        <f>'27'!S327</f>
        <v>0</v>
      </c>
      <c r="J327" s="159"/>
      <c r="K327" s="101">
        <f>'27'!T327</f>
        <v>0</v>
      </c>
      <c r="L327" s="81" t="e">
        <f>#REF!</f>
        <v>#REF!</v>
      </c>
      <c r="M327" s="100" t="e">
        <f>#REF!</f>
        <v>#REF!</v>
      </c>
      <c r="N327" s="159"/>
      <c r="O327" s="101" t="e">
        <f>#REF!</f>
        <v>#REF!</v>
      </c>
      <c r="P327" s="102" t="e">
        <f>IF(#REF!=0,"",#REF!)</f>
        <v>#REF!</v>
      </c>
      <c r="Q327" s="108" t="e">
        <f>IF(#REF!=0,"",#REF!)</f>
        <v>#REF!</v>
      </c>
      <c r="R327" s="81" t="e">
        <f>IF(#REF!=0,"",#REF!)</f>
        <v>#REF!</v>
      </c>
      <c r="S327" s="81" t="e">
        <f>IF(#REF!=0,"",#REF!)</f>
        <v>#REF!</v>
      </c>
      <c r="T327" s="268"/>
      <c r="U327" s="268"/>
      <c r="V327" s="268"/>
    </row>
    <row r="328" ht="15" customHeight="1" spans="2:22">
      <c r="B328" s="6" t="e">
        <f t="shared" si="6"/>
        <v>#REF!</v>
      </c>
      <c r="C328" s="31" t="e">
        <f>#REF!</f>
        <v>#REF!</v>
      </c>
      <c r="D328" s="32" t="e">
        <f>IF(#REF!=0,"",#REF!)</f>
        <v>#REF!</v>
      </c>
      <c r="E328" s="36" t="e">
        <f>IF(#REF!=0,"",#REF!)</f>
        <v>#REF!</v>
      </c>
      <c r="F328" s="36" t="e">
        <f>IF(#REF!=0,"",#REF!)</f>
        <v>#REF!</v>
      </c>
      <c r="G328" s="103">
        <f>'27'!Q328</f>
        <v>0</v>
      </c>
      <c r="H328" s="160">
        <f>'27'!R328</f>
        <v>0</v>
      </c>
      <c r="I328" s="160">
        <f>'27'!S328</f>
        <v>0</v>
      </c>
      <c r="J328" s="160"/>
      <c r="K328" s="104">
        <f>'27'!T328</f>
        <v>0</v>
      </c>
      <c r="L328" s="36" t="e">
        <f>#REF!</f>
        <v>#REF!</v>
      </c>
      <c r="M328" s="103" t="e">
        <f>#REF!</f>
        <v>#REF!</v>
      </c>
      <c r="N328" s="160"/>
      <c r="O328" s="104" t="e">
        <f>#REF!</f>
        <v>#REF!</v>
      </c>
      <c r="P328" s="52" t="e">
        <f>IF(#REF!=0,"",#REF!)</f>
        <v>#REF!</v>
      </c>
      <c r="Q328" s="109" t="e">
        <f>IF(#REF!=0,"",#REF!)</f>
        <v>#REF!</v>
      </c>
      <c r="R328" s="36" t="e">
        <f>IF(#REF!=0,"",#REF!)</f>
        <v>#REF!</v>
      </c>
      <c r="S328" s="36" t="e">
        <f>IF(#REF!=0,"",#REF!)</f>
        <v>#REF!</v>
      </c>
      <c r="T328" s="268"/>
      <c r="U328" s="268"/>
      <c r="V328" s="268"/>
    </row>
    <row r="329" ht="15" customHeight="1" spans="2:22">
      <c r="B329" s="6" t="e">
        <f t="shared" si="6"/>
        <v>#REF!</v>
      </c>
      <c r="C329" s="83" t="e">
        <f>#REF!</f>
        <v>#REF!</v>
      </c>
      <c r="D329" s="110" t="e">
        <f>IF(#REF!=0,"",#REF!)</f>
        <v>#REF!</v>
      </c>
      <c r="E329" s="85" t="e">
        <f>IF(#REF!=0,"",#REF!)</f>
        <v>#REF!</v>
      </c>
      <c r="F329" s="85" t="e">
        <f>IF(#REF!=0,"",#REF!)</f>
        <v>#REF!</v>
      </c>
      <c r="G329" s="105">
        <f>'27'!Q329</f>
        <v>0</v>
      </c>
      <c r="H329" s="161">
        <f>'27'!R329</f>
        <v>0</v>
      </c>
      <c r="I329" s="161">
        <f>'27'!S329</f>
        <v>0</v>
      </c>
      <c r="J329" s="161"/>
      <c r="K329" s="106">
        <f>'27'!T329</f>
        <v>0</v>
      </c>
      <c r="L329" s="85" t="e">
        <f>#REF!</f>
        <v>#REF!</v>
      </c>
      <c r="M329" s="105" t="e">
        <f>#REF!</f>
        <v>#REF!</v>
      </c>
      <c r="N329" s="161"/>
      <c r="O329" s="106" t="e">
        <f>#REF!</f>
        <v>#REF!</v>
      </c>
      <c r="P329" s="107" t="e">
        <f>IF(#REF!=0,"",#REF!)</f>
        <v>#REF!</v>
      </c>
      <c r="Q329" s="111" t="e">
        <f>IF(#REF!=0,"",#REF!)</f>
        <v>#REF!</v>
      </c>
      <c r="R329" s="85" t="e">
        <f>IF(#REF!=0,"",#REF!)</f>
        <v>#REF!</v>
      </c>
      <c r="S329" s="85" t="e">
        <f>IF(#REF!=0,"",#REF!)</f>
        <v>#REF!</v>
      </c>
      <c r="T329" s="268"/>
      <c r="U329" s="268"/>
      <c r="V329" s="268"/>
    </row>
    <row r="330" ht="15" customHeight="1" spans="2:22">
      <c r="B330" s="6" t="e">
        <f t="shared" si="6"/>
        <v>#REF!</v>
      </c>
      <c r="C330" s="79" t="e">
        <f>#REF!</f>
        <v>#REF!</v>
      </c>
      <c r="D330" s="62" t="e">
        <f>IF(#REF!=0,"",#REF!)</f>
        <v>#REF!</v>
      </c>
      <c r="E330" s="81" t="e">
        <f>IF(#REF!=0,"",#REF!)</f>
        <v>#REF!</v>
      </c>
      <c r="F330" s="81" t="e">
        <f>IF(#REF!=0,"",#REF!)</f>
        <v>#REF!</v>
      </c>
      <c r="G330" s="100" t="e">
        <f>#REF!</f>
        <v>#REF!</v>
      </c>
      <c r="H330" s="159">
        <f>'27'!R330</f>
        <v>0</v>
      </c>
      <c r="I330" s="159">
        <f>'27'!S330</f>
        <v>0</v>
      </c>
      <c r="J330" s="159"/>
      <c r="K330" s="101">
        <f>'27'!T330</f>
        <v>0</v>
      </c>
      <c r="L330" s="81" t="e">
        <f>#REF!</f>
        <v>#REF!</v>
      </c>
      <c r="M330" s="100" t="e">
        <f>#REF!</f>
        <v>#REF!</v>
      </c>
      <c r="N330" s="159"/>
      <c r="O330" s="101" t="e">
        <f>#REF!</f>
        <v>#REF!</v>
      </c>
      <c r="P330" s="102" t="e">
        <f>IF(#REF!=0,"",#REF!)</f>
        <v>#REF!</v>
      </c>
      <c r="Q330" s="108" t="e">
        <f>IF(#REF!=0,"",#REF!)</f>
        <v>#REF!</v>
      </c>
      <c r="R330" s="81" t="e">
        <f>IF(#REF!=0,"",#REF!)</f>
        <v>#REF!</v>
      </c>
      <c r="S330" s="81" t="e">
        <f>IF(#REF!=0,"",#REF!)</f>
        <v>#REF!</v>
      </c>
      <c r="T330" s="268"/>
      <c r="U330" s="268"/>
      <c r="V330" s="268"/>
    </row>
    <row r="331" ht="15" customHeight="1" spans="2:22">
      <c r="B331" s="6" t="e">
        <f t="shared" si="6"/>
        <v>#REF!</v>
      </c>
      <c r="C331" s="31" t="e">
        <f>#REF!</f>
        <v>#REF!</v>
      </c>
      <c r="D331" s="32" t="e">
        <f>IF(#REF!=0,"",#REF!)</f>
        <v>#REF!</v>
      </c>
      <c r="E331" s="36" t="e">
        <f>IF(#REF!=0,"",#REF!)</f>
        <v>#REF!</v>
      </c>
      <c r="F331" s="36" t="e">
        <f>IF(#REF!=0,"",#REF!)</f>
        <v>#REF!</v>
      </c>
      <c r="G331" s="103">
        <f>'27'!Q331</f>
        <v>0</v>
      </c>
      <c r="H331" s="160">
        <f>'27'!R331</f>
        <v>0</v>
      </c>
      <c r="I331" s="160">
        <f>'27'!S331</f>
        <v>0</v>
      </c>
      <c r="J331" s="160"/>
      <c r="K331" s="104">
        <f>'27'!T331</f>
        <v>0</v>
      </c>
      <c r="L331" s="36" t="e">
        <f>#REF!</f>
        <v>#REF!</v>
      </c>
      <c r="M331" s="103" t="e">
        <f>#REF!</f>
        <v>#REF!</v>
      </c>
      <c r="N331" s="160"/>
      <c r="O331" s="104" t="e">
        <f>#REF!</f>
        <v>#REF!</v>
      </c>
      <c r="P331" s="52" t="e">
        <f>IF(#REF!=0,"",#REF!)</f>
        <v>#REF!</v>
      </c>
      <c r="Q331" s="109" t="e">
        <f>IF(#REF!=0,"",#REF!)</f>
        <v>#REF!</v>
      </c>
      <c r="R331" s="36" t="e">
        <f>IF(#REF!=0,"",#REF!)</f>
        <v>#REF!</v>
      </c>
      <c r="S331" s="36" t="e">
        <f>IF(#REF!=0,"",#REF!)</f>
        <v>#REF!</v>
      </c>
      <c r="T331" s="268"/>
      <c r="U331" s="268"/>
      <c r="V331" s="268"/>
    </row>
    <row r="332" ht="15" customHeight="1" spans="2:22">
      <c r="B332" s="6" t="e">
        <f t="shared" si="6"/>
        <v>#REF!</v>
      </c>
      <c r="C332" s="83" t="e">
        <f>#REF!</f>
        <v>#REF!</v>
      </c>
      <c r="D332" s="110" t="e">
        <f>IF(#REF!=0,"",#REF!)</f>
        <v>#REF!</v>
      </c>
      <c r="E332" s="85" t="e">
        <f>IF(#REF!=0,"",#REF!)</f>
        <v>#REF!</v>
      </c>
      <c r="F332" s="85" t="e">
        <f>IF(#REF!=0,"",#REF!)</f>
        <v>#REF!</v>
      </c>
      <c r="G332" s="105">
        <f>'27'!Q332</f>
        <v>0</v>
      </c>
      <c r="H332" s="161">
        <f>'27'!R332</f>
        <v>0</v>
      </c>
      <c r="I332" s="161">
        <f>'27'!S332</f>
        <v>0</v>
      </c>
      <c r="J332" s="161"/>
      <c r="K332" s="106">
        <f>'27'!T332</f>
        <v>0</v>
      </c>
      <c r="L332" s="85" t="e">
        <f>#REF!</f>
        <v>#REF!</v>
      </c>
      <c r="M332" s="105" t="e">
        <f>#REF!</f>
        <v>#REF!</v>
      </c>
      <c r="N332" s="161"/>
      <c r="O332" s="106" t="e">
        <f>#REF!</f>
        <v>#REF!</v>
      </c>
      <c r="P332" s="107" t="e">
        <f>IF(#REF!=0,"",#REF!)</f>
        <v>#REF!</v>
      </c>
      <c r="Q332" s="111" t="e">
        <f>IF(#REF!=0,"",#REF!)</f>
        <v>#REF!</v>
      </c>
      <c r="R332" s="85" t="e">
        <f>IF(#REF!=0,"",#REF!)</f>
        <v>#REF!</v>
      </c>
      <c r="S332" s="85" t="e">
        <f>IF(#REF!=0,"",#REF!)</f>
        <v>#REF!</v>
      </c>
      <c r="T332" s="268"/>
      <c r="U332" s="268"/>
      <c r="V332" s="268"/>
    </row>
    <row r="333" ht="15" customHeight="1" spans="2:22">
      <c r="B333" s="6" t="e">
        <f t="shared" si="6"/>
        <v>#REF!</v>
      </c>
      <c r="C333" s="79" t="e">
        <f>#REF!</f>
        <v>#REF!</v>
      </c>
      <c r="D333" s="62" t="e">
        <f>IF(#REF!=0,"",#REF!)</f>
        <v>#REF!</v>
      </c>
      <c r="E333" s="81" t="e">
        <f>IF(#REF!=0,"",#REF!)</f>
        <v>#REF!</v>
      </c>
      <c r="F333" s="81" t="e">
        <f>IF(#REF!=0,"",#REF!)</f>
        <v>#REF!</v>
      </c>
      <c r="G333" s="100" t="e">
        <f>#REF!</f>
        <v>#REF!</v>
      </c>
      <c r="H333" s="159">
        <f>'27'!R333</f>
        <v>0</v>
      </c>
      <c r="I333" s="159">
        <f>'27'!S333</f>
        <v>0</v>
      </c>
      <c r="J333" s="159"/>
      <c r="K333" s="101">
        <f>'27'!T333</f>
        <v>0</v>
      </c>
      <c r="L333" s="81" t="e">
        <f>#REF!</f>
        <v>#REF!</v>
      </c>
      <c r="M333" s="100" t="e">
        <f>#REF!</f>
        <v>#REF!</v>
      </c>
      <c r="N333" s="159"/>
      <c r="O333" s="101" t="e">
        <f>#REF!</f>
        <v>#REF!</v>
      </c>
      <c r="P333" s="102" t="e">
        <f>IF(#REF!=0,"",#REF!)</f>
        <v>#REF!</v>
      </c>
      <c r="Q333" s="108" t="e">
        <f>IF(#REF!=0,"",#REF!)</f>
        <v>#REF!</v>
      </c>
      <c r="R333" s="81" t="e">
        <f>IF(#REF!=0,"",#REF!)</f>
        <v>#REF!</v>
      </c>
      <c r="S333" s="81" t="e">
        <f>IF(#REF!=0,"",#REF!)</f>
        <v>#REF!</v>
      </c>
      <c r="T333" s="268"/>
      <c r="U333" s="268"/>
      <c r="V333" s="268"/>
    </row>
    <row r="334" ht="15" customHeight="1" spans="2:22">
      <c r="B334" s="6" t="e">
        <f t="shared" si="6"/>
        <v>#REF!</v>
      </c>
      <c r="C334" s="31" t="e">
        <f>#REF!</f>
        <v>#REF!</v>
      </c>
      <c r="D334" s="32" t="e">
        <f>IF(#REF!=0,"",#REF!)</f>
        <v>#REF!</v>
      </c>
      <c r="E334" s="36" t="e">
        <f>IF(#REF!=0,"",#REF!)</f>
        <v>#REF!</v>
      </c>
      <c r="F334" s="36" t="e">
        <f>IF(#REF!=0,"",#REF!)</f>
        <v>#REF!</v>
      </c>
      <c r="G334" s="103">
        <f>'27'!Q334</f>
        <v>0</v>
      </c>
      <c r="H334" s="160">
        <f>'27'!R334</f>
        <v>0</v>
      </c>
      <c r="I334" s="160">
        <f>'27'!S334</f>
        <v>0</v>
      </c>
      <c r="J334" s="160"/>
      <c r="K334" s="104">
        <f>'27'!T334</f>
        <v>0</v>
      </c>
      <c r="L334" s="36" t="e">
        <f>#REF!</f>
        <v>#REF!</v>
      </c>
      <c r="M334" s="103" t="e">
        <f>#REF!</f>
        <v>#REF!</v>
      </c>
      <c r="N334" s="160"/>
      <c r="O334" s="104" t="e">
        <f>#REF!</f>
        <v>#REF!</v>
      </c>
      <c r="P334" s="52" t="e">
        <f>IF(#REF!=0,"",#REF!)</f>
        <v>#REF!</v>
      </c>
      <c r="Q334" s="109" t="e">
        <f>IF(#REF!=0,"",#REF!)</f>
        <v>#REF!</v>
      </c>
      <c r="R334" s="36" t="e">
        <f>IF(#REF!=0,"",#REF!)</f>
        <v>#REF!</v>
      </c>
      <c r="S334" s="36" t="e">
        <f>IF(#REF!=0,"",#REF!)</f>
        <v>#REF!</v>
      </c>
      <c r="T334" s="268"/>
      <c r="U334" s="268"/>
      <c r="V334" s="268"/>
    </row>
    <row r="335" ht="15" customHeight="1" spans="2:22">
      <c r="B335" s="6" t="e">
        <f t="shared" si="6"/>
        <v>#REF!</v>
      </c>
      <c r="C335" s="83" t="e">
        <f>#REF!</f>
        <v>#REF!</v>
      </c>
      <c r="D335" s="110" t="e">
        <f>IF(#REF!=0,"",#REF!)</f>
        <v>#REF!</v>
      </c>
      <c r="E335" s="85" t="e">
        <f>IF(#REF!=0,"",#REF!)</f>
        <v>#REF!</v>
      </c>
      <c r="F335" s="85" t="e">
        <f>IF(#REF!=0,"",#REF!)</f>
        <v>#REF!</v>
      </c>
      <c r="G335" s="105">
        <f>'27'!Q335</f>
        <v>0</v>
      </c>
      <c r="H335" s="161">
        <f>'27'!R335</f>
        <v>0</v>
      </c>
      <c r="I335" s="161">
        <f>'27'!S335</f>
        <v>0</v>
      </c>
      <c r="J335" s="161"/>
      <c r="K335" s="106">
        <f>'27'!T335</f>
        <v>0</v>
      </c>
      <c r="L335" s="85" t="e">
        <f>#REF!</f>
        <v>#REF!</v>
      </c>
      <c r="M335" s="105" t="e">
        <f>#REF!</f>
        <v>#REF!</v>
      </c>
      <c r="N335" s="161"/>
      <c r="O335" s="106" t="e">
        <f>#REF!</f>
        <v>#REF!</v>
      </c>
      <c r="P335" s="107" t="e">
        <f>IF(#REF!=0,"",#REF!)</f>
        <v>#REF!</v>
      </c>
      <c r="Q335" s="111" t="e">
        <f>IF(#REF!=0,"",#REF!)</f>
        <v>#REF!</v>
      </c>
      <c r="R335" s="85" t="e">
        <f>IF(#REF!=0,"",#REF!)</f>
        <v>#REF!</v>
      </c>
      <c r="S335" s="85" t="e">
        <f>IF(#REF!=0,"",#REF!)</f>
        <v>#REF!</v>
      </c>
      <c r="T335" s="268"/>
      <c r="U335" s="268"/>
      <c r="V335" s="268"/>
    </row>
    <row r="336" ht="15" customHeight="1" spans="2:22">
      <c r="B336" s="6" t="e">
        <f t="shared" si="6"/>
        <v>#REF!</v>
      </c>
      <c r="C336" s="79" t="e">
        <f>#REF!</f>
        <v>#REF!</v>
      </c>
      <c r="D336" s="62" t="e">
        <f>IF(#REF!=0,"",#REF!)</f>
        <v>#REF!</v>
      </c>
      <c r="E336" s="81" t="e">
        <f>IF(#REF!=0,"",#REF!)</f>
        <v>#REF!</v>
      </c>
      <c r="F336" s="81" t="e">
        <f>IF(#REF!=0,"",#REF!)</f>
        <v>#REF!</v>
      </c>
      <c r="G336" s="100" t="e">
        <f>#REF!</f>
        <v>#REF!</v>
      </c>
      <c r="H336" s="159">
        <f>'27'!R336</f>
        <v>0</v>
      </c>
      <c r="I336" s="159">
        <f>'27'!S336</f>
        <v>0</v>
      </c>
      <c r="J336" s="159"/>
      <c r="K336" s="101">
        <f>'27'!T336</f>
        <v>0</v>
      </c>
      <c r="L336" s="81" t="e">
        <f>#REF!</f>
        <v>#REF!</v>
      </c>
      <c r="M336" s="100" t="e">
        <f>#REF!</f>
        <v>#REF!</v>
      </c>
      <c r="N336" s="159"/>
      <c r="O336" s="101" t="e">
        <f>#REF!</f>
        <v>#REF!</v>
      </c>
      <c r="P336" s="102" t="e">
        <f>IF(#REF!=0,"",#REF!)</f>
        <v>#REF!</v>
      </c>
      <c r="Q336" s="108" t="e">
        <f>IF(#REF!=0,"",#REF!)</f>
        <v>#REF!</v>
      </c>
      <c r="R336" s="81" t="e">
        <f>IF(#REF!=0,"",#REF!)</f>
        <v>#REF!</v>
      </c>
      <c r="S336" s="81" t="e">
        <f>IF(#REF!=0,"",#REF!)</f>
        <v>#REF!</v>
      </c>
      <c r="T336" s="268"/>
      <c r="U336" s="268"/>
      <c r="V336" s="268"/>
    </row>
    <row r="337" ht="15" customHeight="1" spans="2:22">
      <c r="B337" s="6" t="e">
        <f t="shared" si="6"/>
        <v>#REF!</v>
      </c>
      <c r="C337" s="31" t="e">
        <f>#REF!</f>
        <v>#REF!</v>
      </c>
      <c r="D337" s="32" t="e">
        <f>IF(#REF!=0,"",#REF!)</f>
        <v>#REF!</v>
      </c>
      <c r="E337" s="36" t="e">
        <f>IF(#REF!=0,"",#REF!)</f>
        <v>#REF!</v>
      </c>
      <c r="F337" s="36" t="e">
        <f>IF(#REF!=0,"",#REF!)</f>
        <v>#REF!</v>
      </c>
      <c r="G337" s="103">
        <f>'27'!Q337</f>
        <v>0</v>
      </c>
      <c r="H337" s="160">
        <f>'27'!R337</f>
        <v>0</v>
      </c>
      <c r="I337" s="160">
        <f>'27'!S337</f>
        <v>0</v>
      </c>
      <c r="J337" s="160"/>
      <c r="K337" s="104">
        <f>'27'!T337</f>
        <v>0</v>
      </c>
      <c r="L337" s="36" t="e">
        <f>#REF!</f>
        <v>#REF!</v>
      </c>
      <c r="M337" s="103" t="e">
        <f>#REF!</f>
        <v>#REF!</v>
      </c>
      <c r="N337" s="160"/>
      <c r="O337" s="104" t="e">
        <f>#REF!</f>
        <v>#REF!</v>
      </c>
      <c r="P337" s="52" t="e">
        <f>IF(#REF!=0,"",#REF!)</f>
        <v>#REF!</v>
      </c>
      <c r="Q337" s="109" t="e">
        <f>IF(#REF!=0,"",#REF!)</f>
        <v>#REF!</v>
      </c>
      <c r="R337" s="36" t="e">
        <f>IF(#REF!=0,"",#REF!)</f>
        <v>#REF!</v>
      </c>
      <c r="S337" s="36" t="e">
        <f>IF(#REF!=0,"",#REF!)</f>
        <v>#REF!</v>
      </c>
      <c r="T337" s="268"/>
      <c r="U337" s="268"/>
      <c r="V337" s="268"/>
    </row>
    <row r="338" ht="15" customHeight="1" spans="2:22">
      <c r="B338" s="6" t="e">
        <f t="shared" si="6"/>
        <v>#REF!</v>
      </c>
      <c r="C338" s="83" t="e">
        <f>#REF!</f>
        <v>#REF!</v>
      </c>
      <c r="D338" s="110" t="e">
        <f>IF(#REF!=0,"",#REF!)</f>
        <v>#REF!</v>
      </c>
      <c r="E338" s="85" t="e">
        <f>IF(#REF!=0,"",#REF!)</f>
        <v>#REF!</v>
      </c>
      <c r="F338" s="85" t="e">
        <f>IF(#REF!=0,"",#REF!)</f>
        <v>#REF!</v>
      </c>
      <c r="G338" s="105">
        <f>'27'!Q338</f>
        <v>0</v>
      </c>
      <c r="H338" s="161">
        <f>'27'!R338</f>
        <v>0</v>
      </c>
      <c r="I338" s="161">
        <f>'27'!S338</f>
        <v>0</v>
      </c>
      <c r="J338" s="161"/>
      <c r="K338" s="106">
        <f>'27'!T338</f>
        <v>0</v>
      </c>
      <c r="L338" s="85" t="e">
        <f>#REF!</f>
        <v>#REF!</v>
      </c>
      <c r="M338" s="105" t="e">
        <f>#REF!</f>
        <v>#REF!</v>
      </c>
      <c r="N338" s="161"/>
      <c r="O338" s="106" t="e">
        <f>#REF!</f>
        <v>#REF!</v>
      </c>
      <c r="P338" s="107" t="e">
        <f>IF(#REF!=0,"",#REF!)</f>
        <v>#REF!</v>
      </c>
      <c r="Q338" s="111" t="e">
        <f>IF(#REF!=0,"",#REF!)</f>
        <v>#REF!</v>
      </c>
      <c r="R338" s="85" t="e">
        <f>IF(#REF!=0,"",#REF!)</f>
        <v>#REF!</v>
      </c>
      <c r="S338" s="85" t="e">
        <f>IF(#REF!=0,"",#REF!)</f>
        <v>#REF!</v>
      </c>
      <c r="T338" s="268"/>
      <c r="U338" s="268"/>
      <c r="V338" s="268"/>
    </row>
    <row r="339" ht="15" customHeight="1" spans="2:22">
      <c r="B339" s="6" t="e">
        <f t="shared" si="6"/>
        <v>#REF!</v>
      </c>
      <c r="C339" s="79" t="e">
        <f>#REF!</f>
        <v>#REF!</v>
      </c>
      <c r="D339" s="62" t="e">
        <f>IF(#REF!=0,"",#REF!)</f>
        <v>#REF!</v>
      </c>
      <c r="E339" s="81" t="e">
        <f>IF(#REF!=0,"",#REF!)</f>
        <v>#REF!</v>
      </c>
      <c r="F339" s="81" t="e">
        <f>IF(#REF!=0,"",#REF!)</f>
        <v>#REF!</v>
      </c>
      <c r="G339" s="100" t="e">
        <f>#REF!</f>
        <v>#REF!</v>
      </c>
      <c r="H339" s="159">
        <f>'27'!R339</f>
        <v>0</v>
      </c>
      <c r="I339" s="159">
        <f>'27'!S339</f>
        <v>0</v>
      </c>
      <c r="J339" s="159"/>
      <c r="K339" s="101">
        <f>'27'!T339</f>
        <v>0</v>
      </c>
      <c r="L339" s="81" t="e">
        <f>#REF!</f>
        <v>#REF!</v>
      </c>
      <c r="M339" s="100" t="e">
        <f>#REF!</f>
        <v>#REF!</v>
      </c>
      <c r="N339" s="159"/>
      <c r="O339" s="101" t="e">
        <f>#REF!</f>
        <v>#REF!</v>
      </c>
      <c r="P339" s="102" t="e">
        <f>IF(#REF!=0,"",#REF!)</f>
        <v>#REF!</v>
      </c>
      <c r="Q339" s="108" t="e">
        <f>IF(#REF!=0,"",#REF!)</f>
        <v>#REF!</v>
      </c>
      <c r="R339" s="81" t="e">
        <f>IF(#REF!=0,"",#REF!)</f>
        <v>#REF!</v>
      </c>
      <c r="S339" s="81" t="e">
        <f>IF(#REF!=0,"",#REF!)</f>
        <v>#REF!</v>
      </c>
      <c r="T339" s="268"/>
      <c r="U339" s="268"/>
      <c r="V339" s="268"/>
    </row>
    <row r="340" ht="15" customHeight="1" spans="2:22">
      <c r="B340" s="6" t="e">
        <f t="shared" si="6"/>
        <v>#REF!</v>
      </c>
      <c r="C340" s="31" t="e">
        <f>#REF!</f>
        <v>#REF!</v>
      </c>
      <c r="D340" s="32" t="e">
        <f>IF(#REF!=0,"",#REF!)</f>
        <v>#REF!</v>
      </c>
      <c r="E340" s="36" t="e">
        <f>IF(#REF!=0,"",#REF!)</f>
        <v>#REF!</v>
      </c>
      <c r="F340" s="36" t="e">
        <f>IF(#REF!=0,"",#REF!)</f>
        <v>#REF!</v>
      </c>
      <c r="G340" s="103">
        <f>'27'!Q340</f>
        <v>0</v>
      </c>
      <c r="H340" s="160">
        <f>'27'!R340</f>
        <v>0</v>
      </c>
      <c r="I340" s="160">
        <f>'27'!S340</f>
        <v>0</v>
      </c>
      <c r="J340" s="160"/>
      <c r="K340" s="104">
        <f>'27'!T340</f>
        <v>0</v>
      </c>
      <c r="L340" s="36" t="e">
        <f>#REF!</f>
        <v>#REF!</v>
      </c>
      <c r="M340" s="103" t="e">
        <f>#REF!</f>
        <v>#REF!</v>
      </c>
      <c r="N340" s="160"/>
      <c r="O340" s="104" t="e">
        <f>#REF!</f>
        <v>#REF!</v>
      </c>
      <c r="P340" s="52" t="e">
        <f>IF(#REF!=0,"",#REF!)</f>
        <v>#REF!</v>
      </c>
      <c r="Q340" s="109" t="e">
        <f>IF(#REF!=0,"",#REF!)</f>
        <v>#REF!</v>
      </c>
      <c r="R340" s="36" t="e">
        <f>IF(#REF!=0,"",#REF!)</f>
        <v>#REF!</v>
      </c>
      <c r="S340" s="36" t="e">
        <f>IF(#REF!=0,"",#REF!)</f>
        <v>#REF!</v>
      </c>
      <c r="T340" s="268"/>
      <c r="U340" s="268"/>
      <c r="V340" s="268"/>
    </row>
    <row r="341" ht="15" customHeight="1" spans="2:22">
      <c r="B341" s="6" t="e">
        <f t="shared" si="6"/>
        <v>#REF!</v>
      </c>
      <c r="C341" s="83" t="e">
        <f>#REF!</f>
        <v>#REF!</v>
      </c>
      <c r="D341" s="110" t="e">
        <f>IF(#REF!=0,"",#REF!)</f>
        <v>#REF!</v>
      </c>
      <c r="E341" s="85" t="e">
        <f>IF(#REF!=0,"",#REF!)</f>
        <v>#REF!</v>
      </c>
      <c r="F341" s="85" t="e">
        <f>IF(#REF!=0,"",#REF!)</f>
        <v>#REF!</v>
      </c>
      <c r="G341" s="105">
        <f>'27'!Q341</f>
        <v>0</v>
      </c>
      <c r="H341" s="161">
        <f>'27'!R341</f>
        <v>0</v>
      </c>
      <c r="I341" s="161">
        <f>'27'!S341</f>
        <v>0</v>
      </c>
      <c r="J341" s="161"/>
      <c r="K341" s="106">
        <f>'27'!T341</f>
        <v>0</v>
      </c>
      <c r="L341" s="85" t="e">
        <f>#REF!</f>
        <v>#REF!</v>
      </c>
      <c r="M341" s="105" t="e">
        <f>#REF!</f>
        <v>#REF!</v>
      </c>
      <c r="N341" s="161"/>
      <c r="O341" s="106" t="e">
        <f>#REF!</f>
        <v>#REF!</v>
      </c>
      <c r="P341" s="107" t="e">
        <f>IF(#REF!=0,"",#REF!)</f>
        <v>#REF!</v>
      </c>
      <c r="Q341" s="111" t="e">
        <f>IF(#REF!=0,"",#REF!)</f>
        <v>#REF!</v>
      </c>
      <c r="R341" s="85" t="e">
        <f>IF(#REF!=0,"",#REF!)</f>
        <v>#REF!</v>
      </c>
      <c r="S341" s="85" t="e">
        <f>IF(#REF!=0,"",#REF!)</f>
        <v>#REF!</v>
      </c>
      <c r="T341" s="268"/>
      <c r="U341" s="268"/>
      <c r="V341" s="268"/>
    </row>
    <row r="342" ht="15" customHeight="1" spans="2:22">
      <c r="B342" s="6" t="e">
        <f t="shared" si="6"/>
        <v>#REF!</v>
      </c>
      <c r="C342" s="79" t="e">
        <f>#REF!</f>
        <v>#REF!</v>
      </c>
      <c r="D342" s="62" t="e">
        <f>IF(#REF!=0,"",#REF!)</f>
        <v>#REF!</v>
      </c>
      <c r="E342" s="81" t="e">
        <f>IF(#REF!=0,"",#REF!)</f>
        <v>#REF!</v>
      </c>
      <c r="F342" s="81" t="e">
        <f>IF(#REF!=0,"",#REF!)</f>
        <v>#REF!</v>
      </c>
      <c r="G342" s="100" t="e">
        <f>#REF!</f>
        <v>#REF!</v>
      </c>
      <c r="H342" s="159">
        <f>'27'!R342</f>
        <v>0</v>
      </c>
      <c r="I342" s="159">
        <f>'27'!S342</f>
        <v>0</v>
      </c>
      <c r="J342" s="159"/>
      <c r="K342" s="101">
        <f>'27'!T342</f>
        <v>0</v>
      </c>
      <c r="L342" s="81" t="e">
        <f>#REF!</f>
        <v>#REF!</v>
      </c>
      <c r="M342" s="100" t="e">
        <f>#REF!</f>
        <v>#REF!</v>
      </c>
      <c r="N342" s="159"/>
      <c r="O342" s="101" t="e">
        <f>#REF!</f>
        <v>#REF!</v>
      </c>
      <c r="P342" s="102" t="e">
        <f>IF(#REF!=0,"",#REF!)</f>
        <v>#REF!</v>
      </c>
      <c r="Q342" s="108" t="e">
        <f>IF(#REF!=0,"",#REF!)</f>
        <v>#REF!</v>
      </c>
      <c r="R342" s="81" t="e">
        <f>IF(#REF!=0,"",#REF!)</f>
        <v>#REF!</v>
      </c>
      <c r="S342" s="81" t="e">
        <f>IF(#REF!=0,"",#REF!)</f>
        <v>#REF!</v>
      </c>
      <c r="T342" s="268"/>
      <c r="U342" s="268"/>
      <c r="V342" s="268"/>
    </row>
    <row r="343" ht="15" customHeight="1" spans="2:22">
      <c r="B343" s="6" t="e">
        <f t="shared" si="6"/>
        <v>#REF!</v>
      </c>
      <c r="C343" s="31" t="e">
        <f>#REF!</f>
        <v>#REF!</v>
      </c>
      <c r="D343" s="32" t="e">
        <f>IF(#REF!=0,"",#REF!)</f>
        <v>#REF!</v>
      </c>
      <c r="E343" s="36" t="e">
        <f>IF(#REF!=0,"",#REF!)</f>
        <v>#REF!</v>
      </c>
      <c r="F343" s="36" t="e">
        <f>IF(#REF!=0,"",#REF!)</f>
        <v>#REF!</v>
      </c>
      <c r="G343" s="103">
        <f>'27'!Q343</f>
        <v>0</v>
      </c>
      <c r="H343" s="160">
        <f>'27'!R343</f>
        <v>0</v>
      </c>
      <c r="I343" s="160">
        <f>'27'!S343</f>
        <v>0</v>
      </c>
      <c r="J343" s="160"/>
      <c r="K343" s="104">
        <f>'27'!T343</f>
        <v>0</v>
      </c>
      <c r="L343" s="36" t="e">
        <f>#REF!</f>
        <v>#REF!</v>
      </c>
      <c r="M343" s="103" t="e">
        <f>#REF!</f>
        <v>#REF!</v>
      </c>
      <c r="N343" s="160"/>
      <c r="O343" s="104" t="e">
        <f>#REF!</f>
        <v>#REF!</v>
      </c>
      <c r="P343" s="52" t="e">
        <f>IF(#REF!=0,"",#REF!)</f>
        <v>#REF!</v>
      </c>
      <c r="Q343" s="109" t="e">
        <f>IF(#REF!=0,"",#REF!)</f>
        <v>#REF!</v>
      </c>
      <c r="R343" s="36" t="e">
        <f>IF(#REF!=0,"",#REF!)</f>
        <v>#REF!</v>
      </c>
      <c r="S343" s="36" t="e">
        <f>IF(#REF!=0,"",#REF!)</f>
        <v>#REF!</v>
      </c>
      <c r="T343" s="268"/>
      <c r="U343" s="268"/>
      <c r="V343" s="268"/>
    </row>
    <row r="344" ht="15" customHeight="1" spans="2:22">
      <c r="B344" s="6" t="e">
        <f t="shared" si="6"/>
        <v>#REF!</v>
      </c>
      <c r="C344" s="83" t="e">
        <f>#REF!</f>
        <v>#REF!</v>
      </c>
      <c r="D344" s="110" t="e">
        <f>IF(#REF!=0,"",#REF!)</f>
        <v>#REF!</v>
      </c>
      <c r="E344" s="85" t="e">
        <f>IF(#REF!=0,"",#REF!)</f>
        <v>#REF!</v>
      </c>
      <c r="F344" s="85" t="e">
        <f>IF(#REF!=0,"",#REF!)</f>
        <v>#REF!</v>
      </c>
      <c r="G344" s="105">
        <f>'27'!Q344</f>
        <v>0</v>
      </c>
      <c r="H344" s="161">
        <f>'27'!R344</f>
        <v>0</v>
      </c>
      <c r="I344" s="161">
        <f>'27'!S344</f>
        <v>0</v>
      </c>
      <c r="J344" s="161"/>
      <c r="K344" s="106">
        <f>'27'!T344</f>
        <v>0</v>
      </c>
      <c r="L344" s="85" t="e">
        <f>#REF!</f>
        <v>#REF!</v>
      </c>
      <c r="M344" s="105" t="e">
        <f>#REF!</f>
        <v>#REF!</v>
      </c>
      <c r="N344" s="161"/>
      <c r="O344" s="106" t="e">
        <f>#REF!</f>
        <v>#REF!</v>
      </c>
      <c r="P344" s="107" t="e">
        <f>IF(#REF!=0,"",#REF!)</f>
        <v>#REF!</v>
      </c>
      <c r="Q344" s="111" t="e">
        <f>IF(#REF!=0,"",#REF!)</f>
        <v>#REF!</v>
      </c>
      <c r="R344" s="85" t="e">
        <f>IF(#REF!=0,"",#REF!)</f>
        <v>#REF!</v>
      </c>
      <c r="S344" s="85" t="e">
        <f>IF(#REF!=0,"",#REF!)</f>
        <v>#REF!</v>
      </c>
      <c r="T344" s="268"/>
      <c r="U344" s="268"/>
      <c r="V344" s="268"/>
    </row>
    <row r="345" ht="15" customHeight="1" spans="2:22">
      <c r="B345" s="6" t="e">
        <f t="shared" si="6"/>
        <v>#REF!</v>
      </c>
      <c r="C345" s="79" t="e">
        <f>#REF!</f>
        <v>#REF!</v>
      </c>
      <c r="D345" s="62" t="e">
        <f>IF(#REF!=0,"",#REF!)</f>
        <v>#REF!</v>
      </c>
      <c r="E345" s="81" t="e">
        <f>IF(#REF!=0,"",#REF!)</f>
        <v>#REF!</v>
      </c>
      <c r="F345" s="81" t="e">
        <f>IF(#REF!=0,"",#REF!)</f>
        <v>#REF!</v>
      </c>
      <c r="G345" s="100" t="e">
        <f>#REF!</f>
        <v>#REF!</v>
      </c>
      <c r="H345" s="159">
        <f>'27'!R345</f>
        <v>0</v>
      </c>
      <c r="I345" s="159">
        <f>'27'!S345</f>
        <v>0</v>
      </c>
      <c r="J345" s="159"/>
      <c r="K345" s="101">
        <f>'27'!T345</f>
        <v>0</v>
      </c>
      <c r="L345" s="81" t="e">
        <f>#REF!</f>
        <v>#REF!</v>
      </c>
      <c r="M345" s="100" t="e">
        <f>#REF!</f>
        <v>#REF!</v>
      </c>
      <c r="N345" s="159"/>
      <c r="O345" s="101" t="e">
        <f>#REF!</f>
        <v>#REF!</v>
      </c>
      <c r="P345" s="102" t="e">
        <f>IF(#REF!=0,"",#REF!)</f>
        <v>#REF!</v>
      </c>
      <c r="Q345" s="108" t="e">
        <f>IF(#REF!=0,"",#REF!)</f>
        <v>#REF!</v>
      </c>
      <c r="R345" s="81" t="e">
        <f>IF(#REF!=0,"",#REF!)</f>
        <v>#REF!</v>
      </c>
      <c r="S345" s="81" t="e">
        <f>IF(#REF!=0,"",#REF!)</f>
        <v>#REF!</v>
      </c>
      <c r="T345" s="268"/>
      <c r="U345" s="268"/>
      <c r="V345" s="268"/>
    </row>
    <row r="346" ht="15" customHeight="1" spans="2:22">
      <c r="B346" s="6" t="e">
        <f t="shared" si="6"/>
        <v>#REF!</v>
      </c>
      <c r="C346" s="31" t="e">
        <f>#REF!</f>
        <v>#REF!</v>
      </c>
      <c r="D346" s="32" t="e">
        <f>IF(#REF!=0,"",#REF!)</f>
        <v>#REF!</v>
      </c>
      <c r="E346" s="36" t="e">
        <f>IF(#REF!=0,"",#REF!)</f>
        <v>#REF!</v>
      </c>
      <c r="F346" s="36" t="e">
        <f>IF(#REF!=0,"",#REF!)</f>
        <v>#REF!</v>
      </c>
      <c r="G346" s="103">
        <f>'27'!Q346</f>
        <v>0</v>
      </c>
      <c r="H346" s="160">
        <f>'27'!R346</f>
        <v>0</v>
      </c>
      <c r="I346" s="160">
        <f>'27'!S346</f>
        <v>0</v>
      </c>
      <c r="J346" s="160"/>
      <c r="K346" s="104">
        <f>'27'!T346</f>
        <v>0</v>
      </c>
      <c r="L346" s="36" t="e">
        <f>#REF!</f>
        <v>#REF!</v>
      </c>
      <c r="M346" s="103" t="e">
        <f>#REF!</f>
        <v>#REF!</v>
      </c>
      <c r="N346" s="160"/>
      <c r="O346" s="104" t="e">
        <f>#REF!</f>
        <v>#REF!</v>
      </c>
      <c r="P346" s="52" t="e">
        <f>IF(#REF!=0,"",#REF!)</f>
        <v>#REF!</v>
      </c>
      <c r="Q346" s="109" t="e">
        <f>IF(#REF!=0,"",#REF!)</f>
        <v>#REF!</v>
      </c>
      <c r="R346" s="36" t="e">
        <f>IF(#REF!=0,"",#REF!)</f>
        <v>#REF!</v>
      </c>
      <c r="S346" s="36" t="e">
        <f>IF(#REF!=0,"",#REF!)</f>
        <v>#REF!</v>
      </c>
      <c r="T346" s="268"/>
      <c r="U346" s="268"/>
      <c r="V346" s="268"/>
    </row>
    <row r="347" ht="15" customHeight="1" spans="2:22">
      <c r="B347" s="6" t="e">
        <f t="shared" si="6"/>
        <v>#REF!</v>
      </c>
      <c r="C347" s="83" t="e">
        <f>#REF!</f>
        <v>#REF!</v>
      </c>
      <c r="D347" s="110" t="e">
        <f>IF(#REF!=0,"",#REF!)</f>
        <v>#REF!</v>
      </c>
      <c r="E347" s="85" t="e">
        <f>IF(#REF!=0,"",#REF!)</f>
        <v>#REF!</v>
      </c>
      <c r="F347" s="85" t="e">
        <f>IF(#REF!=0,"",#REF!)</f>
        <v>#REF!</v>
      </c>
      <c r="G347" s="105">
        <f>'27'!Q347</f>
        <v>0</v>
      </c>
      <c r="H347" s="161">
        <f>'27'!R347</f>
        <v>0</v>
      </c>
      <c r="I347" s="161">
        <f>'27'!S347</f>
        <v>0</v>
      </c>
      <c r="J347" s="161"/>
      <c r="K347" s="106">
        <f>'27'!T347</f>
        <v>0</v>
      </c>
      <c r="L347" s="85" t="e">
        <f>#REF!</f>
        <v>#REF!</v>
      </c>
      <c r="M347" s="105" t="e">
        <f>#REF!</f>
        <v>#REF!</v>
      </c>
      <c r="N347" s="161"/>
      <c r="O347" s="106" t="e">
        <f>#REF!</f>
        <v>#REF!</v>
      </c>
      <c r="P347" s="107" t="e">
        <f>IF(#REF!=0,"",#REF!)</f>
        <v>#REF!</v>
      </c>
      <c r="Q347" s="111" t="e">
        <f>IF(#REF!=0,"",#REF!)</f>
        <v>#REF!</v>
      </c>
      <c r="R347" s="85" t="e">
        <f>IF(#REF!=0,"",#REF!)</f>
        <v>#REF!</v>
      </c>
      <c r="S347" s="85" t="e">
        <f>IF(#REF!=0,"",#REF!)</f>
        <v>#REF!</v>
      </c>
      <c r="T347" s="268" t="s">
        <v>6590</v>
      </c>
      <c r="U347" s="268"/>
      <c r="V347" s="268"/>
    </row>
    <row r="348" ht="15" customHeight="1" spans="2:22">
      <c r="B348" s="6" t="e">
        <f t="shared" si="6"/>
        <v>#REF!</v>
      </c>
      <c r="C348" s="79" t="e">
        <f>#REF!</f>
        <v>#REF!</v>
      </c>
      <c r="D348" s="62" t="e">
        <f>IF(#REF!=0,"",#REF!)</f>
        <v>#REF!</v>
      </c>
      <c r="E348" s="81" t="e">
        <f>IF(#REF!=0,"",#REF!)</f>
        <v>#REF!</v>
      </c>
      <c r="F348" s="81" t="e">
        <f>IF(#REF!=0,"",#REF!)</f>
        <v>#REF!</v>
      </c>
      <c r="G348" s="100" t="e">
        <f>#REF!</f>
        <v>#REF!</v>
      </c>
      <c r="H348" s="159">
        <f>'27'!R348</f>
        <v>0</v>
      </c>
      <c r="I348" s="159">
        <f>'27'!S348</f>
        <v>0</v>
      </c>
      <c r="J348" s="159"/>
      <c r="K348" s="101">
        <f>'27'!T348</f>
        <v>0</v>
      </c>
      <c r="L348" s="81" t="e">
        <f>#REF!</f>
        <v>#REF!</v>
      </c>
      <c r="M348" s="100" t="e">
        <f>#REF!</f>
        <v>#REF!</v>
      </c>
      <c r="N348" s="159"/>
      <c r="O348" s="101" t="e">
        <f>#REF!</f>
        <v>#REF!</v>
      </c>
      <c r="P348" s="102" t="e">
        <f>IF(#REF!=0,"",#REF!)</f>
        <v>#REF!</v>
      </c>
      <c r="Q348" s="108" t="e">
        <f>IF(#REF!=0,"",#REF!)</f>
        <v>#REF!</v>
      </c>
      <c r="R348" s="81" t="e">
        <f>IF(#REF!=0,"",#REF!)</f>
        <v>#REF!</v>
      </c>
      <c r="S348" s="81" t="e">
        <f>IF(#REF!=0,"",#REF!)</f>
        <v>#REF!</v>
      </c>
      <c r="T348" s="268"/>
      <c r="U348" s="268"/>
      <c r="V348" s="268"/>
    </row>
    <row r="349" ht="15" customHeight="1" spans="2:22">
      <c r="B349" s="6" t="e">
        <f t="shared" si="6"/>
        <v>#REF!</v>
      </c>
      <c r="C349" s="31" t="e">
        <f>#REF!</f>
        <v>#REF!</v>
      </c>
      <c r="D349" s="32" t="e">
        <f>IF(#REF!=0,"",#REF!)</f>
        <v>#REF!</v>
      </c>
      <c r="E349" s="36" t="e">
        <f>IF(#REF!=0,"",#REF!)</f>
        <v>#REF!</v>
      </c>
      <c r="F349" s="36" t="e">
        <f>IF(#REF!=0,"",#REF!)</f>
        <v>#REF!</v>
      </c>
      <c r="G349" s="103">
        <f>'27'!Q349</f>
        <v>0</v>
      </c>
      <c r="H349" s="160">
        <f>'27'!R349</f>
        <v>0</v>
      </c>
      <c r="I349" s="160">
        <f>'27'!S349</f>
        <v>0</v>
      </c>
      <c r="J349" s="160"/>
      <c r="K349" s="104">
        <f>'27'!T349</f>
        <v>0</v>
      </c>
      <c r="L349" s="36" t="e">
        <f>#REF!</f>
        <v>#REF!</v>
      </c>
      <c r="M349" s="103" t="e">
        <f>#REF!</f>
        <v>#REF!</v>
      </c>
      <c r="N349" s="160"/>
      <c r="O349" s="104" t="e">
        <f>#REF!</f>
        <v>#REF!</v>
      </c>
      <c r="P349" s="52" t="e">
        <f>IF(#REF!=0,"",#REF!)</f>
        <v>#REF!</v>
      </c>
      <c r="Q349" s="109" t="e">
        <f>IF(#REF!=0,"",#REF!)</f>
        <v>#REF!</v>
      </c>
      <c r="R349" s="36" t="e">
        <f>IF(#REF!=0,"",#REF!)</f>
        <v>#REF!</v>
      </c>
      <c r="S349" s="36" t="e">
        <f>IF(#REF!=0,"",#REF!)</f>
        <v>#REF!</v>
      </c>
      <c r="T349" s="268"/>
      <c r="U349" s="268"/>
      <c r="V349" s="268"/>
    </row>
    <row r="350" ht="15" customHeight="1" spans="2:22">
      <c r="B350" s="6" t="e">
        <f t="shared" si="6"/>
        <v>#REF!</v>
      </c>
      <c r="C350" s="83" t="e">
        <f>#REF!</f>
        <v>#REF!</v>
      </c>
      <c r="D350" s="110" t="e">
        <f>IF(#REF!=0,"",#REF!)</f>
        <v>#REF!</v>
      </c>
      <c r="E350" s="85" t="e">
        <f>IF(#REF!=0,"",#REF!)</f>
        <v>#REF!</v>
      </c>
      <c r="F350" s="85" t="e">
        <f>IF(#REF!=0,"",#REF!)</f>
        <v>#REF!</v>
      </c>
      <c r="G350" s="105">
        <f>'27'!Q350</f>
        <v>0</v>
      </c>
      <c r="H350" s="161">
        <f>'27'!R350</f>
        <v>0</v>
      </c>
      <c r="I350" s="161">
        <f>'27'!S350</f>
        <v>0</v>
      </c>
      <c r="J350" s="161"/>
      <c r="K350" s="106">
        <f>'27'!T350</f>
        <v>0</v>
      </c>
      <c r="L350" s="85" t="e">
        <f>#REF!</f>
        <v>#REF!</v>
      </c>
      <c r="M350" s="105" t="e">
        <f>#REF!</f>
        <v>#REF!</v>
      </c>
      <c r="N350" s="161"/>
      <c r="O350" s="106" t="e">
        <f>#REF!</f>
        <v>#REF!</v>
      </c>
      <c r="P350" s="107" t="e">
        <f>IF(#REF!=0,"",#REF!)</f>
        <v>#REF!</v>
      </c>
      <c r="Q350" s="111" t="e">
        <f>IF(#REF!=0,"",#REF!)</f>
        <v>#REF!</v>
      </c>
      <c r="R350" s="85" t="e">
        <f>IF(#REF!=0,"",#REF!)</f>
        <v>#REF!</v>
      </c>
      <c r="S350" s="85" t="e">
        <f>IF(#REF!=0,"",#REF!)</f>
        <v>#REF!</v>
      </c>
      <c r="T350" s="268"/>
      <c r="U350" s="268"/>
      <c r="V350" s="268"/>
    </row>
    <row r="351" ht="15" customHeight="1" spans="2:22">
      <c r="B351" s="6" t="e">
        <f t="shared" si="6"/>
        <v>#REF!</v>
      </c>
      <c r="C351" s="79" t="e">
        <f>#REF!</f>
        <v>#REF!</v>
      </c>
      <c r="D351" s="62" t="e">
        <f>IF(#REF!=0,"",#REF!)</f>
        <v>#REF!</v>
      </c>
      <c r="E351" s="81" t="e">
        <f>IF(#REF!=0,"",#REF!)</f>
        <v>#REF!</v>
      </c>
      <c r="F351" s="81" t="e">
        <f>IF(#REF!=0,"",#REF!)</f>
        <v>#REF!</v>
      </c>
      <c r="G351" s="100" t="e">
        <f>#REF!</f>
        <v>#REF!</v>
      </c>
      <c r="H351" s="159">
        <f>'27'!R351</f>
        <v>0</v>
      </c>
      <c r="I351" s="159">
        <f>'27'!S351</f>
        <v>0</v>
      </c>
      <c r="J351" s="159"/>
      <c r="K351" s="101">
        <f>'27'!T351</f>
        <v>0</v>
      </c>
      <c r="L351" s="81" t="e">
        <f>#REF!</f>
        <v>#REF!</v>
      </c>
      <c r="M351" s="100" t="e">
        <f>#REF!</f>
        <v>#REF!</v>
      </c>
      <c r="N351" s="159"/>
      <c r="O351" s="101" t="e">
        <f>#REF!</f>
        <v>#REF!</v>
      </c>
      <c r="P351" s="102" t="e">
        <f>IF(#REF!=0,"",#REF!)</f>
        <v>#REF!</v>
      </c>
      <c r="Q351" s="108" t="e">
        <f>IF(#REF!=0,"",#REF!)</f>
        <v>#REF!</v>
      </c>
      <c r="R351" s="81" t="e">
        <f>IF(#REF!=0,"",#REF!)</f>
        <v>#REF!</v>
      </c>
      <c r="S351" s="81" t="e">
        <f>IF(#REF!=0,"",#REF!)</f>
        <v>#REF!</v>
      </c>
      <c r="T351" s="268"/>
      <c r="U351" s="268"/>
      <c r="V351" s="268"/>
    </row>
    <row r="352" ht="15" customHeight="1" spans="2:22">
      <c r="B352" s="6" t="e">
        <f t="shared" si="6"/>
        <v>#REF!</v>
      </c>
      <c r="C352" s="31" t="e">
        <f>#REF!</f>
        <v>#REF!</v>
      </c>
      <c r="D352" s="32" t="e">
        <f>IF(#REF!=0,"",#REF!)</f>
        <v>#REF!</v>
      </c>
      <c r="E352" s="36" t="e">
        <f>IF(#REF!=0,"",#REF!)</f>
        <v>#REF!</v>
      </c>
      <c r="F352" s="36" t="e">
        <f>IF(#REF!=0,"",#REF!)</f>
        <v>#REF!</v>
      </c>
      <c r="G352" s="103">
        <f>'27'!Q352</f>
        <v>0</v>
      </c>
      <c r="H352" s="160">
        <f>'27'!R352</f>
        <v>0</v>
      </c>
      <c r="I352" s="160">
        <f>'27'!S352</f>
        <v>0</v>
      </c>
      <c r="J352" s="160"/>
      <c r="K352" s="104">
        <f>'27'!T352</f>
        <v>0</v>
      </c>
      <c r="L352" s="36" t="e">
        <f>#REF!</f>
        <v>#REF!</v>
      </c>
      <c r="M352" s="103" t="e">
        <f>#REF!</f>
        <v>#REF!</v>
      </c>
      <c r="N352" s="160"/>
      <c r="O352" s="104" t="e">
        <f>#REF!</f>
        <v>#REF!</v>
      </c>
      <c r="P352" s="52" t="e">
        <f>IF(#REF!=0,"",#REF!)</f>
        <v>#REF!</v>
      </c>
      <c r="Q352" s="109" t="e">
        <f>IF(#REF!=0,"",#REF!)</f>
        <v>#REF!</v>
      </c>
      <c r="R352" s="36" t="e">
        <f>IF(#REF!=0,"",#REF!)</f>
        <v>#REF!</v>
      </c>
      <c r="S352" s="36" t="e">
        <f>IF(#REF!=0,"",#REF!)</f>
        <v>#REF!</v>
      </c>
      <c r="T352" s="268"/>
      <c r="U352" s="268"/>
      <c r="V352" s="268"/>
    </row>
    <row r="353" ht="15" customHeight="1" spans="2:22">
      <c r="B353" s="6" t="e">
        <f t="shared" si="6"/>
        <v>#REF!</v>
      </c>
      <c r="C353" s="83" t="e">
        <f>#REF!</f>
        <v>#REF!</v>
      </c>
      <c r="D353" s="110" t="e">
        <f>IF(#REF!=0,"",#REF!)</f>
        <v>#REF!</v>
      </c>
      <c r="E353" s="85" t="e">
        <f>IF(#REF!=0,"",#REF!)</f>
        <v>#REF!</v>
      </c>
      <c r="F353" s="85" t="e">
        <f>IF(#REF!=0,"",#REF!)</f>
        <v>#REF!</v>
      </c>
      <c r="G353" s="105">
        <f>'27'!Q353</f>
        <v>0</v>
      </c>
      <c r="H353" s="161">
        <f>'27'!R353</f>
        <v>0</v>
      </c>
      <c r="I353" s="161">
        <f>'27'!S353</f>
        <v>0</v>
      </c>
      <c r="J353" s="161"/>
      <c r="K353" s="106">
        <f>'27'!T353</f>
        <v>0</v>
      </c>
      <c r="L353" s="85" t="e">
        <f>#REF!</f>
        <v>#REF!</v>
      </c>
      <c r="M353" s="105" t="e">
        <f>#REF!</f>
        <v>#REF!</v>
      </c>
      <c r="N353" s="161"/>
      <c r="O353" s="106" t="e">
        <f>#REF!</f>
        <v>#REF!</v>
      </c>
      <c r="P353" s="107" t="e">
        <f>IF(#REF!=0,"",#REF!)</f>
        <v>#REF!</v>
      </c>
      <c r="Q353" s="111" t="e">
        <f>IF(#REF!=0,"",#REF!)</f>
        <v>#REF!</v>
      </c>
      <c r="R353" s="85" t="e">
        <f>IF(#REF!=0,"",#REF!)</f>
        <v>#REF!</v>
      </c>
      <c r="S353" s="85" t="e">
        <f>IF(#REF!=0,"",#REF!)</f>
        <v>#REF!</v>
      </c>
      <c r="T353" s="268"/>
      <c r="U353" s="268"/>
      <c r="V353" s="268"/>
    </row>
    <row r="354" ht="15" customHeight="1" spans="2:22">
      <c r="B354" s="6" t="e">
        <f t="shared" si="6"/>
        <v>#REF!</v>
      </c>
      <c r="C354" s="79" t="e">
        <f>#REF!</f>
        <v>#REF!</v>
      </c>
      <c r="D354" s="62" t="e">
        <f>IF(#REF!=0,"",#REF!)</f>
        <v>#REF!</v>
      </c>
      <c r="E354" s="81" t="e">
        <f>IF(#REF!=0,"",#REF!)</f>
        <v>#REF!</v>
      </c>
      <c r="F354" s="81" t="e">
        <f>IF(#REF!=0,"",#REF!)</f>
        <v>#REF!</v>
      </c>
      <c r="G354" s="100" t="e">
        <f>#REF!</f>
        <v>#REF!</v>
      </c>
      <c r="H354" s="159">
        <f>'27'!R354</f>
        <v>0</v>
      </c>
      <c r="I354" s="159">
        <f>'27'!S354</f>
        <v>0</v>
      </c>
      <c r="J354" s="159"/>
      <c r="K354" s="101">
        <f>'27'!T354</f>
        <v>0</v>
      </c>
      <c r="L354" s="81" t="e">
        <f>#REF!</f>
        <v>#REF!</v>
      </c>
      <c r="M354" s="100" t="e">
        <f>#REF!</f>
        <v>#REF!</v>
      </c>
      <c r="N354" s="159"/>
      <c r="O354" s="101" t="e">
        <f>#REF!</f>
        <v>#REF!</v>
      </c>
      <c r="P354" s="102" t="e">
        <f>IF(#REF!=0,"",#REF!)</f>
        <v>#REF!</v>
      </c>
      <c r="Q354" s="108" t="e">
        <f>IF(#REF!=0,"",#REF!)</f>
        <v>#REF!</v>
      </c>
      <c r="R354" s="81" t="e">
        <f>IF(#REF!=0,"",#REF!)</f>
        <v>#REF!</v>
      </c>
      <c r="S354" s="81" t="e">
        <f>IF(#REF!=0,"",#REF!)</f>
        <v>#REF!</v>
      </c>
      <c r="T354" s="268"/>
      <c r="U354" s="268"/>
      <c r="V354" s="268"/>
    </row>
    <row r="355" ht="15" customHeight="1" spans="2:22">
      <c r="B355" s="6" t="e">
        <f t="shared" si="6"/>
        <v>#REF!</v>
      </c>
      <c r="C355" s="31" t="e">
        <f>#REF!</f>
        <v>#REF!</v>
      </c>
      <c r="D355" s="32" t="e">
        <f>IF(#REF!=0,"",#REF!)</f>
        <v>#REF!</v>
      </c>
      <c r="E355" s="36" t="e">
        <f>IF(#REF!=0,"",#REF!)</f>
        <v>#REF!</v>
      </c>
      <c r="F355" s="36" t="e">
        <f>IF(#REF!=0,"",#REF!)</f>
        <v>#REF!</v>
      </c>
      <c r="G355" s="103">
        <f>'27'!Q355</f>
        <v>0</v>
      </c>
      <c r="H355" s="160">
        <f>'27'!R355</f>
        <v>0</v>
      </c>
      <c r="I355" s="160">
        <f>'27'!S355</f>
        <v>0</v>
      </c>
      <c r="J355" s="160"/>
      <c r="K355" s="104">
        <f>'27'!T355</f>
        <v>0</v>
      </c>
      <c r="L355" s="36" t="e">
        <f>#REF!</f>
        <v>#REF!</v>
      </c>
      <c r="M355" s="103" t="e">
        <f>#REF!</f>
        <v>#REF!</v>
      </c>
      <c r="N355" s="160"/>
      <c r="O355" s="104" t="e">
        <f>#REF!</f>
        <v>#REF!</v>
      </c>
      <c r="P355" s="52" t="e">
        <f>IF(#REF!=0,"",#REF!)</f>
        <v>#REF!</v>
      </c>
      <c r="Q355" s="109" t="e">
        <f>IF(#REF!=0,"",#REF!)</f>
        <v>#REF!</v>
      </c>
      <c r="R355" s="36" t="e">
        <f>IF(#REF!=0,"",#REF!)</f>
        <v>#REF!</v>
      </c>
      <c r="S355" s="36" t="e">
        <f>IF(#REF!=0,"",#REF!)</f>
        <v>#REF!</v>
      </c>
      <c r="T355" s="268"/>
      <c r="U355" s="268"/>
      <c r="V355" s="268"/>
    </row>
    <row r="356" ht="15" customHeight="1" spans="2:22">
      <c r="B356" s="6" t="e">
        <f t="shared" si="6"/>
        <v>#REF!</v>
      </c>
      <c r="C356" s="83" t="e">
        <f>#REF!</f>
        <v>#REF!</v>
      </c>
      <c r="D356" s="110" t="e">
        <f>IF(#REF!=0,"",#REF!)</f>
        <v>#REF!</v>
      </c>
      <c r="E356" s="85" t="e">
        <f>IF(#REF!=0,"",#REF!)</f>
        <v>#REF!</v>
      </c>
      <c r="F356" s="85" t="e">
        <f>IF(#REF!=0,"",#REF!)</f>
        <v>#REF!</v>
      </c>
      <c r="G356" s="105">
        <f>'27'!Q356</f>
        <v>0</v>
      </c>
      <c r="H356" s="161">
        <f>'27'!R356</f>
        <v>0</v>
      </c>
      <c r="I356" s="161">
        <f>'27'!S356</f>
        <v>0</v>
      </c>
      <c r="J356" s="161"/>
      <c r="K356" s="106">
        <f>'27'!T356</f>
        <v>0</v>
      </c>
      <c r="L356" s="85" t="e">
        <f>#REF!</f>
        <v>#REF!</v>
      </c>
      <c r="M356" s="105" t="e">
        <f>#REF!</f>
        <v>#REF!</v>
      </c>
      <c r="N356" s="161"/>
      <c r="O356" s="106" t="e">
        <f>#REF!</f>
        <v>#REF!</v>
      </c>
      <c r="P356" s="107" t="e">
        <f>IF(#REF!=0,"",#REF!)</f>
        <v>#REF!</v>
      </c>
      <c r="Q356" s="111" t="e">
        <f>IF(#REF!=0,"",#REF!)</f>
        <v>#REF!</v>
      </c>
      <c r="R356" s="85" t="e">
        <f>IF(#REF!=0,"",#REF!)</f>
        <v>#REF!</v>
      </c>
      <c r="S356" s="85" t="e">
        <f>IF(#REF!=0,"",#REF!)</f>
        <v>#REF!</v>
      </c>
      <c r="T356" s="268"/>
      <c r="U356" s="268"/>
      <c r="V356" s="268"/>
    </row>
    <row r="357" ht="15" customHeight="1" spans="2:22">
      <c r="B357" s="6" t="e">
        <f t="shared" si="6"/>
        <v>#REF!</v>
      </c>
      <c r="C357" s="79" t="e">
        <f>#REF!</f>
        <v>#REF!</v>
      </c>
      <c r="D357" s="62" t="e">
        <f>IF(#REF!=0,"",#REF!)</f>
        <v>#REF!</v>
      </c>
      <c r="E357" s="81" t="e">
        <f>IF(#REF!=0,"",#REF!)</f>
        <v>#REF!</v>
      </c>
      <c r="F357" s="81" t="e">
        <f>IF(#REF!=0,"",#REF!)</f>
        <v>#REF!</v>
      </c>
      <c r="G357" s="100" t="e">
        <f>#REF!</f>
        <v>#REF!</v>
      </c>
      <c r="H357" s="159">
        <f>'27'!R357</f>
        <v>0</v>
      </c>
      <c r="I357" s="159">
        <f>'27'!S357</f>
        <v>0</v>
      </c>
      <c r="J357" s="159"/>
      <c r="K357" s="101">
        <f>'27'!T357</f>
        <v>0</v>
      </c>
      <c r="L357" s="81" t="e">
        <f>#REF!</f>
        <v>#REF!</v>
      </c>
      <c r="M357" s="100" t="e">
        <f>#REF!</f>
        <v>#REF!</v>
      </c>
      <c r="N357" s="159"/>
      <c r="O357" s="101" t="e">
        <f>#REF!</f>
        <v>#REF!</v>
      </c>
      <c r="P357" s="102" t="e">
        <f>IF(#REF!=0,"",#REF!)</f>
        <v>#REF!</v>
      </c>
      <c r="Q357" s="108" t="e">
        <f>IF(#REF!=0,"",#REF!)</f>
        <v>#REF!</v>
      </c>
      <c r="R357" s="81" t="e">
        <f>IF(#REF!=0,"",#REF!)</f>
        <v>#REF!</v>
      </c>
      <c r="S357" s="81" t="e">
        <f>IF(#REF!=0,"",#REF!)</f>
        <v>#REF!</v>
      </c>
      <c r="T357" s="268"/>
      <c r="U357" s="268"/>
      <c r="V357" s="268"/>
    </row>
    <row r="358" ht="15" customHeight="1" spans="2:22">
      <c r="B358" s="6" t="e">
        <f t="shared" si="6"/>
        <v>#REF!</v>
      </c>
      <c r="C358" s="31" t="e">
        <f>#REF!</f>
        <v>#REF!</v>
      </c>
      <c r="D358" s="32" t="e">
        <f>IF(#REF!=0,"",#REF!)</f>
        <v>#REF!</v>
      </c>
      <c r="E358" s="36" t="e">
        <f>IF(#REF!=0,"",#REF!)</f>
        <v>#REF!</v>
      </c>
      <c r="F358" s="36" t="e">
        <f>IF(#REF!=0,"",#REF!)</f>
        <v>#REF!</v>
      </c>
      <c r="G358" s="103">
        <f>'27'!Q358</f>
        <v>0</v>
      </c>
      <c r="H358" s="160">
        <f>'27'!R358</f>
        <v>0</v>
      </c>
      <c r="I358" s="160">
        <f>'27'!S358</f>
        <v>0</v>
      </c>
      <c r="J358" s="160"/>
      <c r="K358" s="104">
        <f>'27'!T358</f>
        <v>0</v>
      </c>
      <c r="L358" s="36" t="e">
        <f>#REF!</f>
        <v>#REF!</v>
      </c>
      <c r="M358" s="103" t="e">
        <f>#REF!</f>
        <v>#REF!</v>
      </c>
      <c r="N358" s="160"/>
      <c r="O358" s="104" t="e">
        <f>#REF!</f>
        <v>#REF!</v>
      </c>
      <c r="P358" s="52" t="e">
        <f>IF(#REF!=0,"",#REF!)</f>
        <v>#REF!</v>
      </c>
      <c r="Q358" s="109" t="e">
        <f>IF(#REF!=0,"",#REF!)</f>
        <v>#REF!</v>
      </c>
      <c r="R358" s="36" t="e">
        <f>IF(#REF!=0,"",#REF!)</f>
        <v>#REF!</v>
      </c>
      <c r="S358" s="36" t="e">
        <f>IF(#REF!=0,"",#REF!)</f>
        <v>#REF!</v>
      </c>
      <c r="T358" s="268"/>
      <c r="U358" s="268"/>
      <c r="V358" s="268"/>
    </row>
    <row r="359" ht="15" customHeight="1" spans="2:22">
      <c r="B359" s="6" t="e">
        <f t="shared" si="6"/>
        <v>#REF!</v>
      </c>
      <c r="C359" s="83" t="e">
        <f>#REF!</f>
        <v>#REF!</v>
      </c>
      <c r="D359" s="110" t="e">
        <f>IF(#REF!=0,"",#REF!)</f>
        <v>#REF!</v>
      </c>
      <c r="E359" s="85" t="e">
        <f>IF(#REF!=0,"",#REF!)</f>
        <v>#REF!</v>
      </c>
      <c r="F359" s="85" t="e">
        <f>IF(#REF!=0,"",#REF!)</f>
        <v>#REF!</v>
      </c>
      <c r="G359" s="105">
        <f>'27'!Q359</f>
        <v>0</v>
      </c>
      <c r="H359" s="161">
        <f>'27'!R359</f>
        <v>0</v>
      </c>
      <c r="I359" s="161">
        <f>'27'!S359</f>
        <v>0</v>
      </c>
      <c r="J359" s="161"/>
      <c r="K359" s="106">
        <f>'27'!T359</f>
        <v>0</v>
      </c>
      <c r="L359" s="85" t="e">
        <f>#REF!</f>
        <v>#REF!</v>
      </c>
      <c r="M359" s="105" t="e">
        <f>#REF!</f>
        <v>#REF!</v>
      </c>
      <c r="N359" s="161"/>
      <c r="O359" s="106" t="e">
        <f>#REF!</f>
        <v>#REF!</v>
      </c>
      <c r="P359" s="107" t="e">
        <f>IF(#REF!=0,"",#REF!)</f>
        <v>#REF!</v>
      </c>
      <c r="Q359" s="111" t="e">
        <f>IF(#REF!=0,"",#REF!)</f>
        <v>#REF!</v>
      </c>
      <c r="R359" s="85" t="e">
        <f>IF(#REF!=0,"",#REF!)</f>
        <v>#REF!</v>
      </c>
      <c r="S359" s="85" t="e">
        <f>IF(#REF!=0,"",#REF!)</f>
        <v>#REF!</v>
      </c>
      <c r="T359" s="268"/>
      <c r="U359" s="268"/>
      <c r="V359" s="268"/>
    </row>
    <row r="360" ht="15" customHeight="1" spans="2:22">
      <c r="B360" s="6" t="e">
        <f t="shared" si="6"/>
        <v>#REF!</v>
      </c>
      <c r="C360" s="79" t="e">
        <f>#REF!</f>
        <v>#REF!</v>
      </c>
      <c r="D360" s="62" t="e">
        <f>IF(#REF!=0,"",#REF!)</f>
        <v>#REF!</v>
      </c>
      <c r="E360" s="81" t="e">
        <f>IF(#REF!=0,"",#REF!)</f>
        <v>#REF!</v>
      </c>
      <c r="F360" s="81" t="e">
        <f>IF(#REF!=0,"",#REF!)</f>
        <v>#REF!</v>
      </c>
      <c r="G360" s="100" t="e">
        <f>#REF!</f>
        <v>#REF!</v>
      </c>
      <c r="H360" s="159">
        <f>'27'!R360</f>
        <v>0</v>
      </c>
      <c r="I360" s="159">
        <f>'27'!S360</f>
        <v>0</v>
      </c>
      <c r="J360" s="159"/>
      <c r="K360" s="101">
        <f>'27'!T360</f>
        <v>0</v>
      </c>
      <c r="L360" s="81" t="e">
        <f>#REF!</f>
        <v>#REF!</v>
      </c>
      <c r="M360" s="100" t="e">
        <f>#REF!</f>
        <v>#REF!</v>
      </c>
      <c r="N360" s="159"/>
      <c r="O360" s="101" t="e">
        <f>#REF!</f>
        <v>#REF!</v>
      </c>
      <c r="P360" s="102" t="e">
        <f>IF(#REF!=0,"",#REF!)</f>
        <v>#REF!</v>
      </c>
      <c r="Q360" s="108" t="e">
        <f>IF(#REF!=0,"",#REF!)</f>
        <v>#REF!</v>
      </c>
      <c r="R360" s="81" t="e">
        <f>IF(#REF!=0,"",#REF!)</f>
        <v>#REF!</v>
      </c>
      <c r="S360" s="81" t="e">
        <f>IF(#REF!=0,"",#REF!)</f>
        <v>#REF!</v>
      </c>
      <c r="T360" s="268"/>
      <c r="U360" s="268"/>
      <c r="V360" s="268"/>
    </row>
    <row r="361" ht="15" customHeight="1" spans="2:22">
      <c r="B361" s="6" t="e">
        <f t="shared" si="6"/>
        <v>#REF!</v>
      </c>
      <c r="C361" s="31" t="e">
        <f>#REF!</f>
        <v>#REF!</v>
      </c>
      <c r="D361" s="32" t="e">
        <f>IF(#REF!=0,"",#REF!)</f>
        <v>#REF!</v>
      </c>
      <c r="E361" s="36" t="e">
        <f>IF(#REF!=0,"",#REF!)</f>
        <v>#REF!</v>
      </c>
      <c r="F361" s="36" t="e">
        <f>IF(#REF!=0,"",#REF!)</f>
        <v>#REF!</v>
      </c>
      <c r="G361" s="103">
        <f>'27'!Q361</f>
        <v>0</v>
      </c>
      <c r="H361" s="160">
        <f>'27'!R361</f>
        <v>0</v>
      </c>
      <c r="I361" s="160">
        <f>'27'!S361</f>
        <v>0</v>
      </c>
      <c r="J361" s="160"/>
      <c r="K361" s="104">
        <f>'27'!T361</f>
        <v>0</v>
      </c>
      <c r="L361" s="36" t="e">
        <f>#REF!</f>
        <v>#REF!</v>
      </c>
      <c r="M361" s="103" t="e">
        <f>#REF!</f>
        <v>#REF!</v>
      </c>
      <c r="N361" s="160"/>
      <c r="O361" s="104" t="e">
        <f>#REF!</f>
        <v>#REF!</v>
      </c>
      <c r="P361" s="52" t="e">
        <f>IF(#REF!=0,"",#REF!)</f>
        <v>#REF!</v>
      </c>
      <c r="Q361" s="109" t="e">
        <f>IF(#REF!=0,"",#REF!)</f>
        <v>#REF!</v>
      </c>
      <c r="R361" s="36" t="e">
        <f>IF(#REF!=0,"",#REF!)</f>
        <v>#REF!</v>
      </c>
      <c r="S361" s="36" t="e">
        <f>IF(#REF!=0,"",#REF!)</f>
        <v>#REF!</v>
      </c>
      <c r="T361" s="268"/>
      <c r="U361" s="268"/>
      <c r="V361" s="268"/>
    </row>
    <row r="362" ht="15" customHeight="1" spans="2:22">
      <c r="B362" s="6" t="e">
        <f t="shared" si="6"/>
        <v>#REF!</v>
      </c>
      <c r="C362" s="83" t="e">
        <f>#REF!</f>
        <v>#REF!</v>
      </c>
      <c r="D362" s="110" t="e">
        <f>IF(#REF!=0,"",#REF!)</f>
        <v>#REF!</v>
      </c>
      <c r="E362" s="85" t="e">
        <f>IF(#REF!=0,"",#REF!)</f>
        <v>#REF!</v>
      </c>
      <c r="F362" s="85" t="e">
        <f>IF(#REF!=0,"",#REF!)</f>
        <v>#REF!</v>
      </c>
      <c r="G362" s="105">
        <f>'27'!Q362</f>
        <v>0</v>
      </c>
      <c r="H362" s="161">
        <f>'27'!R362</f>
        <v>0</v>
      </c>
      <c r="I362" s="161">
        <f>'27'!S362</f>
        <v>0</v>
      </c>
      <c r="J362" s="161"/>
      <c r="K362" s="106">
        <f>'27'!T362</f>
        <v>0</v>
      </c>
      <c r="L362" s="85" t="e">
        <f>#REF!</f>
        <v>#REF!</v>
      </c>
      <c r="M362" s="105" t="e">
        <f>#REF!</f>
        <v>#REF!</v>
      </c>
      <c r="N362" s="161"/>
      <c r="O362" s="106" t="e">
        <f>#REF!</f>
        <v>#REF!</v>
      </c>
      <c r="P362" s="107" t="e">
        <f>IF(#REF!=0,"",#REF!)</f>
        <v>#REF!</v>
      </c>
      <c r="Q362" s="111" t="e">
        <f>IF(#REF!=0,"",#REF!)</f>
        <v>#REF!</v>
      </c>
      <c r="R362" s="85" t="e">
        <f>IF(#REF!=0,"",#REF!)</f>
        <v>#REF!</v>
      </c>
      <c r="S362" s="85" t="e">
        <f>IF(#REF!=0,"",#REF!)</f>
        <v>#REF!</v>
      </c>
      <c r="T362" s="268"/>
      <c r="U362" s="268"/>
      <c r="V362" s="268"/>
    </row>
    <row r="363" ht="15" customHeight="1" spans="2:22">
      <c r="B363" s="6" t="e">
        <f t="shared" si="6"/>
        <v>#REF!</v>
      </c>
      <c r="C363" s="79" t="e">
        <f>#REF!</f>
        <v>#REF!</v>
      </c>
      <c r="D363" s="62" t="e">
        <f>IF(#REF!=0,"",#REF!)</f>
        <v>#REF!</v>
      </c>
      <c r="E363" s="81" t="e">
        <f>IF(#REF!=0,"",#REF!)</f>
        <v>#REF!</v>
      </c>
      <c r="F363" s="81" t="e">
        <f>IF(#REF!=0,"",#REF!)</f>
        <v>#REF!</v>
      </c>
      <c r="G363" s="100" t="e">
        <f>#REF!</f>
        <v>#REF!</v>
      </c>
      <c r="H363" s="159">
        <f>'27'!R363</f>
        <v>0</v>
      </c>
      <c r="I363" s="159">
        <f>'27'!S363</f>
        <v>0</v>
      </c>
      <c r="J363" s="159"/>
      <c r="K363" s="101">
        <f>'27'!T363</f>
        <v>0</v>
      </c>
      <c r="L363" s="81" t="e">
        <f>#REF!</f>
        <v>#REF!</v>
      </c>
      <c r="M363" s="100" t="e">
        <f>#REF!</f>
        <v>#REF!</v>
      </c>
      <c r="N363" s="159"/>
      <c r="O363" s="101" t="e">
        <f>#REF!</f>
        <v>#REF!</v>
      </c>
      <c r="P363" s="102" t="e">
        <f>IF(#REF!=0,"",#REF!)</f>
        <v>#REF!</v>
      </c>
      <c r="Q363" s="108" t="e">
        <f>IF(#REF!=0,"",#REF!)</f>
        <v>#REF!</v>
      </c>
      <c r="R363" s="81" t="e">
        <f>IF(#REF!=0,"",#REF!)</f>
        <v>#REF!</v>
      </c>
      <c r="S363" s="81" t="e">
        <f>IF(#REF!=0,"",#REF!)</f>
        <v>#REF!</v>
      </c>
      <c r="T363" s="268"/>
      <c r="U363" s="268"/>
      <c r="V363" s="268"/>
    </row>
    <row r="364" ht="15" customHeight="1" spans="2:22">
      <c r="B364" s="6" t="e">
        <f t="shared" si="6"/>
        <v>#REF!</v>
      </c>
      <c r="C364" s="31" t="e">
        <f>#REF!</f>
        <v>#REF!</v>
      </c>
      <c r="D364" s="32" t="e">
        <f>IF(#REF!=0,"",#REF!)</f>
        <v>#REF!</v>
      </c>
      <c r="E364" s="36" t="e">
        <f>IF(#REF!=0,"",#REF!)</f>
        <v>#REF!</v>
      </c>
      <c r="F364" s="36" t="e">
        <f>IF(#REF!=0,"",#REF!)</f>
        <v>#REF!</v>
      </c>
      <c r="G364" s="103">
        <f>'27'!Q364</f>
        <v>0</v>
      </c>
      <c r="H364" s="160">
        <f>'27'!R364</f>
        <v>0</v>
      </c>
      <c r="I364" s="160">
        <f>'27'!S364</f>
        <v>0</v>
      </c>
      <c r="J364" s="160"/>
      <c r="K364" s="104">
        <f>'27'!T364</f>
        <v>0</v>
      </c>
      <c r="L364" s="36" t="e">
        <f>#REF!</f>
        <v>#REF!</v>
      </c>
      <c r="M364" s="103" t="e">
        <f>#REF!</f>
        <v>#REF!</v>
      </c>
      <c r="N364" s="160"/>
      <c r="O364" s="104" t="e">
        <f>#REF!</f>
        <v>#REF!</v>
      </c>
      <c r="P364" s="52" t="e">
        <f>IF(#REF!=0,"",#REF!)</f>
        <v>#REF!</v>
      </c>
      <c r="Q364" s="109" t="e">
        <f>IF(#REF!=0,"",#REF!)</f>
        <v>#REF!</v>
      </c>
      <c r="R364" s="36" t="e">
        <f>IF(#REF!=0,"",#REF!)</f>
        <v>#REF!</v>
      </c>
      <c r="S364" s="36" t="e">
        <f>IF(#REF!=0,"",#REF!)</f>
        <v>#REF!</v>
      </c>
      <c r="T364" s="268"/>
      <c r="U364" s="268"/>
      <c r="V364" s="268"/>
    </row>
    <row r="365" ht="15" customHeight="1" spans="2:22">
      <c r="B365" s="6" t="e">
        <f t="shared" si="6"/>
        <v>#REF!</v>
      </c>
      <c r="C365" s="83" t="e">
        <f>#REF!</f>
        <v>#REF!</v>
      </c>
      <c r="D365" s="110" t="e">
        <f>IF(#REF!=0,"",#REF!)</f>
        <v>#REF!</v>
      </c>
      <c r="E365" s="85" t="e">
        <f>IF(#REF!=0,"",#REF!)</f>
        <v>#REF!</v>
      </c>
      <c r="F365" s="85" t="e">
        <f>IF(#REF!=0,"",#REF!)</f>
        <v>#REF!</v>
      </c>
      <c r="G365" s="105">
        <f>'27'!Q365</f>
        <v>0</v>
      </c>
      <c r="H365" s="161">
        <f>'27'!R365</f>
        <v>0</v>
      </c>
      <c r="I365" s="161">
        <f>'27'!S365</f>
        <v>0</v>
      </c>
      <c r="J365" s="161"/>
      <c r="K365" s="106">
        <f>'27'!T365</f>
        <v>0</v>
      </c>
      <c r="L365" s="85" t="e">
        <f>#REF!</f>
        <v>#REF!</v>
      </c>
      <c r="M365" s="105" t="e">
        <f>#REF!</f>
        <v>#REF!</v>
      </c>
      <c r="N365" s="161"/>
      <c r="O365" s="106" t="e">
        <f>#REF!</f>
        <v>#REF!</v>
      </c>
      <c r="P365" s="107" t="e">
        <f>IF(#REF!=0,"",#REF!)</f>
        <v>#REF!</v>
      </c>
      <c r="Q365" s="111" t="e">
        <f>IF(#REF!=0,"",#REF!)</f>
        <v>#REF!</v>
      </c>
      <c r="R365" s="85" t="e">
        <f>IF(#REF!=0,"",#REF!)</f>
        <v>#REF!</v>
      </c>
      <c r="S365" s="85" t="e">
        <f>IF(#REF!=0,"",#REF!)</f>
        <v>#REF!</v>
      </c>
      <c r="T365" s="268"/>
      <c r="U365" s="268"/>
      <c r="V365" s="268"/>
    </row>
    <row r="366" ht="15" customHeight="1" spans="2:22">
      <c r="B366" s="6" t="e">
        <f t="shared" si="6"/>
        <v>#REF!</v>
      </c>
      <c r="C366" s="79" t="e">
        <f>#REF!</f>
        <v>#REF!</v>
      </c>
      <c r="D366" s="110" t="e">
        <f>IF(#REF!=0,"",#REF!)</f>
        <v>#REF!</v>
      </c>
      <c r="E366" s="81" t="e">
        <f>IF(#REF!=0,"",#REF!)</f>
        <v>#REF!</v>
      </c>
      <c r="F366" s="81" t="e">
        <f>IF(#REF!=0,"",#REF!)</f>
        <v>#REF!</v>
      </c>
      <c r="G366" s="100" t="e">
        <f>#REF!</f>
        <v>#REF!</v>
      </c>
      <c r="H366" s="159">
        <f>'27'!R366</f>
        <v>0</v>
      </c>
      <c r="I366" s="159">
        <f>'27'!S366</f>
        <v>0</v>
      </c>
      <c r="J366" s="159"/>
      <c r="K366" s="101">
        <f>'27'!T366</f>
        <v>0</v>
      </c>
      <c r="L366" s="81" t="e">
        <f>#REF!</f>
        <v>#REF!</v>
      </c>
      <c r="M366" s="100" t="e">
        <f>#REF!</f>
        <v>#REF!</v>
      </c>
      <c r="N366" s="159"/>
      <c r="O366" s="101" t="e">
        <f>#REF!</f>
        <v>#REF!</v>
      </c>
      <c r="P366" s="102" t="e">
        <f>IF(#REF!=0,"",#REF!)</f>
        <v>#REF!</v>
      </c>
      <c r="Q366" s="108" t="e">
        <f>IF(#REF!=0,"",#REF!)</f>
        <v>#REF!</v>
      </c>
      <c r="R366" s="81" t="e">
        <f>IF(#REF!=0,"",#REF!)</f>
        <v>#REF!</v>
      </c>
      <c r="S366" s="81" t="e">
        <f>IF(#REF!=0,"",#REF!)</f>
        <v>#REF!</v>
      </c>
      <c r="T366" s="268"/>
      <c r="U366" s="268"/>
      <c r="V366" s="268"/>
    </row>
    <row r="367" ht="15" customHeight="1" spans="2:22">
      <c r="B367" s="6" t="e">
        <f t="shared" si="6"/>
        <v>#REF!</v>
      </c>
      <c r="C367" s="31" t="e">
        <f>#REF!</f>
        <v>#REF!</v>
      </c>
      <c r="D367" s="32" t="e">
        <f>IF(#REF!=0,"",#REF!)</f>
        <v>#REF!</v>
      </c>
      <c r="E367" s="36" t="e">
        <f>IF(#REF!=0,"",#REF!)</f>
        <v>#REF!</v>
      </c>
      <c r="F367" s="36" t="e">
        <f>IF(#REF!=0,"",#REF!)</f>
        <v>#REF!</v>
      </c>
      <c r="G367" s="103">
        <f>'27'!Q367</f>
        <v>0</v>
      </c>
      <c r="H367" s="160">
        <f>'27'!R367</f>
        <v>0</v>
      </c>
      <c r="I367" s="160">
        <f>'27'!S367</f>
        <v>0</v>
      </c>
      <c r="J367" s="160"/>
      <c r="K367" s="104">
        <f>'27'!T367</f>
        <v>0</v>
      </c>
      <c r="L367" s="36" t="e">
        <f>#REF!</f>
        <v>#REF!</v>
      </c>
      <c r="M367" s="103" t="e">
        <f>#REF!</f>
        <v>#REF!</v>
      </c>
      <c r="N367" s="160"/>
      <c r="O367" s="104" t="e">
        <f>#REF!</f>
        <v>#REF!</v>
      </c>
      <c r="P367" s="52" t="e">
        <f>IF(#REF!=0,"",#REF!)</f>
        <v>#REF!</v>
      </c>
      <c r="Q367" s="109" t="e">
        <f>IF(#REF!=0,"",#REF!)</f>
        <v>#REF!</v>
      </c>
      <c r="R367" s="36" t="e">
        <f>IF(#REF!=0,"",#REF!)</f>
        <v>#REF!</v>
      </c>
      <c r="S367" s="36" t="e">
        <f>IF(#REF!=0,"",#REF!)</f>
        <v>#REF!</v>
      </c>
      <c r="T367" s="268"/>
      <c r="U367" s="268"/>
      <c r="V367" s="268"/>
    </row>
    <row r="368" ht="15" customHeight="1" spans="2:22">
      <c r="B368" s="6" t="e">
        <f t="shared" si="6"/>
        <v>#REF!</v>
      </c>
      <c r="C368" s="83" t="e">
        <f>#REF!</f>
        <v>#REF!</v>
      </c>
      <c r="D368" s="110" t="e">
        <f>IF(#REF!=0,"",#REF!)</f>
        <v>#REF!</v>
      </c>
      <c r="E368" s="85" t="e">
        <f>IF(#REF!=0,"",#REF!)</f>
        <v>#REF!</v>
      </c>
      <c r="F368" s="85" t="e">
        <f>IF(#REF!=0,"",#REF!)</f>
        <v>#REF!</v>
      </c>
      <c r="G368" s="105">
        <f>'27'!Q368</f>
        <v>0</v>
      </c>
      <c r="H368" s="161">
        <f>'27'!R368</f>
        <v>0</v>
      </c>
      <c r="I368" s="161">
        <f>'27'!S368</f>
        <v>0</v>
      </c>
      <c r="J368" s="161"/>
      <c r="K368" s="106">
        <f>'27'!T368</f>
        <v>0</v>
      </c>
      <c r="L368" s="85" t="e">
        <f>#REF!</f>
        <v>#REF!</v>
      </c>
      <c r="M368" s="105" t="e">
        <f>#REF!</f>
        <v>#REF!</v>
      </c>
      <c r="N368" s="161"/>
      <c r="O368" s="106" t="e">
        <f>#REF!</f>
        <v>#REF!</v>
      </c>
      <c r="P368" s="107" t="e">
        <f>IF(#REF!=0,"",#REF!)</f>
        <v>#REF!</v>
      </c>
      <c r="Q368" s="111" t="e">
        <f>IF(#REF!=0,"",#REF!)</f>
        <v>#REF!</v>
      </c>
      <c r="R368" s="85" t="e">
        <f>IF(#REF!=0,"",#REF!)</f>
        <v>#REF!</v>
      </c>
      <c r="S368" s="85" t="e">
        <f>IF(#REF!=0,"",#REF!)</f>
        <v>#REF!</v>
      </c>
      <c r="T368" s="268"/>
      <c r="U368" s="268"/>
      <c r="V368" s="268"/>
    </row>
    <row r="369" ht="15" customHeight="1" spans="2:22">
      <c r="B369" s="6" t="e">
        <f t="shared" si="6"/>
        <v>#REF!</v>
      </c>
      <c r="C369" s="79" t="e">
        <f>#REF!</f>
        <v>#REF!</v>
      </c>
      <c r="D369" s="62" t="e">
        <f>IF(#REF!=0,"",#REF!)</f>
        <v>#REF!</v>
      </c>
      <c r="E369" s="81" t="e">
        <f>IF(#REF!=0,"",#REF!)</f>
        <v>#REF!</v>
      </c>
      <c r="F369" s="81" t="e">
        <f>IF(#REF!=0,"",#REF!)</f>
        <v>#REF!</v>
      </c>
      <c r="G369" s="100" t="e">
        <f>#REF!</f>
        <v>#REF!</v>
      </c>
      <c r="H369" s="159">
        <f>'27'!R369</f>
        <v>0</v>
      </c>
      <c r="I369" s="159">
        <f>'27'!S369</f>
        <v>0</v>
      </c>
      <c r="J369" s="159"/>
      <c r="K369" s="101">
        <f>'27'!T369</f>
        <v>0</v>
      </c>
      <c r="L369" s="81" t="e">
        <f>#REF!</f>
        <v>#REF!</v>
      </c>
      <c r="M369" s="100" t="e">
        <f>#REF!</f>
        <v>#REF!</v>
      </c>
      <c r="N369" s="159"/>
      <c r="O369" s="101" t="e">
        <f>#REF!</f>
        <v>#REF!</v>
      </c>
      <c r="P369" s="102" t="e">
        <f>IF(#REF!=0,"",#REF!)</f>
        <v>#REF!</v>
      </c>
      <c r="Q369" s="108" t="e">
        <f>IF(#REF!=0,"",#REF!)</f>
        <v>#REF!</v>
      </c>
      <c r="R369" s="81" t="e">
        <f>IF(#REF!=0,"",#REF!)</f>
        <v>#REF!</v>
      </c>
      <c r="S369" s="81" t="e">
        <f>IF(#REF!=0,"",#REF!)</f>
        <v>#REF!</v>
      </c>
      <c r="T369" s="268"/>
      <c r="U369" s="268"/>
      <c r="V369" s="268"/>
    </row>
    <row r="370" ht="15" customHeight="1" spans="2:22">
      <c r="B370" s="6" t="e">
        <f t="shared" si="6"/>
        <v>#REF!</v>
      </c>
      <c r="C370" s="31" t="e">
        <f>#REF!</f>
        <v>#REF!</v>
      </c>
      <c r="D370" s="32" t="e">
        <f>IF(#REF!=0,"",#REF!)</f>
        <v>#REF!</v>
      </c>
      <c r="E370" s="36" t="e">
        <f>IF(#REF!=0,"",#REF!)</f>
        <v>#REF!</v>
      </c>
      <c r="F370" s="36" t="e">
        <f>IF(#REF!=0,"",#REF!)</f>
        <v>#REF!</v>
      </c>
      <c r="G370" s="103">
        <f>'27'!Q370</f>
        <v>0</v>
      </c>
      <c r="H370" s="160">
        <f>'27'!R370</f>
        <v>0</v>
      </c>
      <c r="I370" s="160">
        <f>'27'!S370</f>
        <v>0</v>
      </c>
      <c r="J370" s="160"/>
      <c r="K370" s="104">
        <f>'27'!T370</f>
        <v>0</v>
      </c>
      <c r="L370" s="36" t="e">
        <f>#REF!</f>
        <v>#REF!</v>
      </c>
      <c r="M370" s="103" t="e">
        <f>#REF!</f>
        <v>#REF!</v>
      </c>
      <c r="N370" s="160"/>
      <c r="O370" s="104" t="e">
        <f>#REF!</f>
        <v>#REF!</v>
      </c>
      <c r="P370" s="52" t="e">
        <f>IF(#REF!=0,"",#REF!)</f>
        <v>#REF!</v>
      </c>
      <c r="Q370" s="109" t="e">
        <f>IF(#REF!=0,"",#REF!)</f>
        <v>#REF!</v>
      </c>
      <c r="R370" s="36" t="e">
        <f>IF(#REF!=0,"",#REF!)</f>
        <v>#REF!</v>
      </c>
      <c r="S370" s="36" t="e">
        <f>IF(#REF!=0,"",#REF!)</f>
        <v>#REF!</v>
      </c>
      <c r="T370" s="268"/>
      <c r="U370" s="268"/>
      <c r="V370" s="268"/>
    </row>
    <row r="371" ht="15" customHeight="1" spans="2:22">
      <c r="B371" s="6" t="e">
        <f t="shared" si="6"/>
        <v>#REF!</v>
      </c>
      <c r="C371" s="83" t="e">
        <f>#REF!</f>
        <v>#REF!</v>
      </c>
      <c r="D371" s="110" t="e">
        <f>IF(#REF!=0,"",#REF!)</f>
        <v>#REF!</v>
      </c>
      <c r="E371" s="85" t="e">
        <f>IF(#REF!=0,"",#REF!)</f>
        <v>#REF!</v>
      </c>
      <c r="F371" s="85" t="e">
        <f>IF(#REF!=0,"",#REF!)</f>
        <v>#REF!</v>
      </c>
      <c r="G371" s="105">
        <f>'27'!Q371</f>
        <v>0</v>
      </c>
      <c r="H371" s="161">
        <f>'27'!R371</f>
        <v>0</v>
      </c>
      <c r="I371" s="161">
        <f>'27'!S371</f>
        <v>0</v>
      </c>
      <c r="J371" s="161"/>
      <c r="K371" s="106">
        <f>'27'!T371</f>
        <v>0</v>
      </c>
      <c r="L371" s="85" t="e">
        <f>#REF!</f>
        <v>#REF!</v>
      </c>
      <c r="M371" s="105" t="e">
        <f>#REF!</f>
        <v>#REF!</v>
      </c>
      <c r="N371" s="161"/>
      <c r="O371" s="106" t="e">
        <f>#REF!</f>
        <v>#REF!</v>
      </c>
      <c r="P371" s="107" t="e">
        <f>IF(#REF!=0,"",#REF!)</f>
        <v>#REF!</v>
      </c>
      <c r="Q371" s="111" t="e">
        <f>IF(#REF!=0,"",#REF!)</f>
        <v>#REF!</v>
      </c>
      <c r="R371" s="85" t="e">
        <f>IF(#REF!=0,"",#REF!)</f>
        <v>#REF!</v>
      </c>
      <c r="S371" s="85" t="e">
        <f>IF(#REF!=0,"",#REF!)</f>
        <v>#REF!</v>
      </c>
      <c r="T371" s="268"/>
      <c r="U371" s="268"/>
      <c r="V371" s="268"/>
    </row>
    <row r="372" ht="15" customHeight="1" spans="2:22">
      <c r="B372" s="6" t="e">
        <f t="shared" si="6"/>
        <v>#REF!</v>
      </c>
      <c r="C372" s="79" t="e">
        <f>#REF!</f>
        <v>#REF!</v>
      </c>
      <c r="D372" s="62" t="e">
        <f>IF(#REF!=0,"",#REF!)</f>
        <v>#REF!</v>
      </c>
      <c r="E372" s="81" t="e">
        <f>IF(#REF!=0,"",#REF!)</f>
        <v>#REF!</v>
      </c>
      <c r="F372" s="81" t="e">
        <f>IF(#REF!=0,"",#REF!)</f>
        <v>#REF!</v>
      </c>
      <c r="G372" s="100" t="e">
        <f>#REF!</f>
        <v>#REF!</v>
      </c>
      <c r="H372" s="159">
        <f>'27'!R372</f>
        <v>0</v>
      </c>
      <c r="I372" s="159">
        <f>'27'!S372</f>
        <v>0</v>
      </c>
      <c r="J372" s="159"/>
      <c r="K372" s="101">
        <f>'27'!T372</f>
        <v>0</v>
      </c>
      <c r="L372" s="81" t="e">
        <f>#REF!</f>
        <v>#REF!</v>
      </c>
      <c r="M372" s="100" t="e">
        <f>#REF!</f>
        <v>#REF!</v>
      </c>
      <c r="N372" s="159"/>
      <c r="O372" s="101" t="e">
        <f>#REF!</f>
        <v>#REF!</v>
      </c>
      <c r="P372" s="102" t="e">
        <f>IF(#REF!=0,"",#REF!)</f>
        <v>#REF!</v>
      </c>
      <c r="Q372" s="108" t="e">
        <f>IF(#REF!=0,"",#REF!)</f>
        <v>#REF!</v>
      </c>
      <c r="R372" s="81" t="e">
        <f>IF(#REF!=0,"",#REF!)</f>
        <v>#REF!</v>
      </c>
      <c r="S372" s="81" t="e">
        <f>IF(#REF!=0,"",#REF!)</f>
        <v>#REF!</v>
      </c>
      <c r="T372" s="268"/>
      <c r="U372" s="268"/>
      <c r="V372" s="268"/>
    </row>
    <row r="373" ht="15" customHeight="1" spans="2:22">
      <c r="B373" s="6" t="e">
        <f t="shared" si="6"/>
        <v>#REF!</v>
      </c>
      <c r="C373" s="31" t="e">
        <f>#REF!</f>
        <v>#REF!</v>
      </c>
      <c r="D373" s="32" t="e">
        <f>IF(#REF!=0,"",#REF!)</f>
        <v>#REF!</v>
      </c>
      <c r="E373" s="36" t="e">
        <f>IF(#REF!=0,"",#REF!)</f>
        <v>#REF!</v>
      </c>
      <c r="F373" s="36" t="e">
        <f>IF(#REF!=0,"",#REF!)</f>
        <v>#REF!</v>
      </c>
      <c r="G373" s="103">
        <f>'27'!Q373</f>
        <v>0</v>
      </c>
      <c r="H373" s="160">
        <f>'27'!R373</f>
        <v>0</v>
      </c>
      <c r="I373" s="160">
        <f>'27'!S373</f>
        <v>0</v>
      </c>
      <c r="J373" s="160"/>
      <c r="K373" s="104">
        <f>'27'!T373</f>
        <v>0</v>
      </c>
      <c r="L373" s="36" t="e">
        <f>#REF!</f>
        <v>#REF!</v>
      </c>
      <c r="M373" s="103" t="e">
        <f>#REF!</f>
        <v>#REF!</v>
      </c>
      <c r="N373" s="160"/>
      <c r="O373" s="104" t="e">
        <f>#REF!</f>
        <v>#REF!</v>
      </c>
      <c r="P373" s="52" t="e">
        <f>IF(#REF!=0,"",#REF!)</f>
        <v>#REF!</v>
      </c>
      <c r="Q373" s="109" t="e">
        <f>IF(#REF!=0,"",#REF!)</f>
        <v>#REF!</v>
      </c>
      <c r="R373" s="36" t="e">
        <f>IF(#REF!=0,"",#REF!)</f>
        <v>#REF!</v>
      </c>
      <c r="S373" s="36" t="e">
        <f>IF(#REF!=0,"",#REF!)</f>
        <v>#REF!</v>
      </c>
      <c r="T373" s="268"/>
      <c r="U373" s="268"/>
      <c r="V373" s="268"/>
    </row>
    <row r="374" ht="15" customHeight="1" spans="2:22">
      <c r="B374" s="6" t="e">
        <f t="shared" si="6"/>
        <v>#REF!</v>
      </c>
      <c r="C374" s="83" t="e">
        <f>#REF!</f>
        <v>#REF!</v>
      </c>
      <c r="D374" s="110" t="e">
        <f>IF(#REF!=0,"",#REF!)</f>
        <v>#REF!</v>
      </c>
      <c r="E374" s="85" t="e">
        <f>IF(#REF!=0,"",#REF!)</f>
        <v>#REF!</v>
      </c>
      <c r="F374" s="85" t="e">
        <f>IF(#REF!=0,"",#REF!)</f>
        <v>#REF!</v>
      </c>
      <c r="G374" s="105">
        <f>'27'!Q374</f>
        <v>0</v>
      </c>
      <c r="H374" s="161">
        <f>'27'!R374</f>
        <v>0</v>
      </c>
      <c r="I374" s="161">
        <f>'27'!S374</f>
        <v>0</v>
      </c>
      <c r="J374" s="161"/>
      <c r="K374" s="106">
        <f>'27'!T374</f>
        <v>0</v>
      </c>
      <c r="L374" s="85" t="e">
        <f>#REF!</f>
        <v>#REF!</v>
      </c>
      <c r="M374" s="105" t="e">
        <f>#REF!</f>
        <v>#REF!</v>
      </c>
      <c r="N374" s="161"/>
      <c r="O374" s="106" t="e">
        <f>#REF!</f>
        <v>#REF!</v>
      </c>
      <c r="P374" s="107" t="e">
        <f>IF(#REF!=0,"",#REF!)</f>
        <v>#REF!</v>
      </c>
      <c r="Q374" s="111" t="e">
        <f>IF(#REF!=0,"",#REF!)</f>
        <v>#REF!</v>
      </c>
      <c r="R374" s="85" t="e">
        <f>IF(#REF!=0,"",#REF!)</f>
        <v>#REF!</v>
      </c>
      <c r="S374" s="85" t="e">
        <f>IF(#REF!=0,"",#REF!)</f>
        <v>#REF!</v>
      </c>
      <c r="T374" s="268"/>
      <c r="U374" s="268"/>
      <c r="V374" s="268"/>
    </row>
    <row r="375" ht="15" customHeight="1" spans="2:22">
      <c r="B375" s="6" t="e">
        <f t="shared" si="6"/>
        <v>#REF!</v>
      </c>
      <c r="C375" s="79" t="e">
        <f>#REF!</f>
        <v>#REF!</v>
      </c>
      <c r="D375" s="62" t="e">
        <f>IF(#REF!=0,"",#REF!)</f>
        <v>#REF!</v>
      </c>
      <c r="E375" s="81" t="e">
        <f>IF(#REF!=0,"",#REF!)</f>
        <v>#REF!</v>
      </c>
      <c r="F375" s="81" t="e">
        <f>IF(#REF!=0,"",#REF!)</f>
        <v>#REF!</v>
      </c>
      <c r="G375" s="100" t="e">
        <f>#REF!</f>
        <v>#REF!</v>
      </c>
      <c r="H375" s="159">
        <f>'27'!R375</f>
        <v>0</v>
      </c>
      <c r="I375" s="159">
        <f>'27'!S375</f>
        <v>0</v>
      </c>
      <c r="J375" s="159"/>
      <c r="K375" s="101">
        <f>'27'!T375</f>
        <v>0</v>
      </c>
      <c r="L375" s="81" t="e">
        <f>#REF!</f>
        <v>#REF!</v>
      </c>
      <c r="M375" s="100" t="e">
        <f>#REF!</f>
        <v>#REF!</v>
      </c>
      <c r="N375" s="159"/>
      <c r="O375" s="101" t="e">
        <f>#REF!</f>
        <v>#REF!</v>
      </c>
      <c r="P375" s="102" t="e">
        <f>IF(#REF!=0,"",#REF!)</f>
        <v>#REF!</v>
      </c>
      <c r="Q375" s="108" t="e">
        <f>IF(#REF!=0,"",#REF!)</f>
        <v>#REF!</v>
      </c>
      <c r="R375" s="81" t="e">
        <f>IF(#REF!=0,"",#REF!)</f>
        <v>#REF!</v>
      </c>
      <c r="S375" s="81" t="e">
        <f>IF(#REF!=0,"",#REF!)</f>
        <v>#REF!</v>
      </c>
      <c r="T375" s="268"/>
      <c r="U375" s="268"/>
      <c r="V375" s="268"/>
    </row>
    <row r="376" ht="15" customHeight="1" spans="2:22">
      <c r="B376" s="6" t="e">
        <f t="shared" si="6"/>
        <v>#REF!</v>
      </c>
      <c r="C376" s="31" t="e">
        <f>#REF!</f>
        <v>#REF!</v>
      </c>
      <c r="D376" s="32" t="e">
        <f>IF(#REF!=0,"",#REF!)</f>
        <v>#REF!</v>
      </c>
      <c r="E376" s="36" t="e">
        <f>IF(#REF!=0,"",#REF!)</f>
        <v>#REF!</v>
      </c>
      <c r="F376" s="36" t="e">
        <f>IF(#REF!=0,"",#REF!)</f>
        <v>#REF!</v>
      </c>
      <c r="G376" s="103">
        <f>'27'!Q376</f>
        <v>0</v>
      </c>
      <c r="H376" s="160">
        <f>'27'!R376</f>
        <v>0</v>
      </c>
      <c r="I376" s="160">
        <f>'27'!S376</f>
        <v>0</v>
      </c>
      <c r="J376" s="160"/>
      <c r="K376" s="104">
        <f>'27'!T376</f>
        <v>0</v>
      </c>
      <c r="L376" s="36" t="e">
        <f>#REF!</f>
        <v>#REF!</v>
      </c>
      <c r="M376" s="103" t="e">
        <f>#REF!</f>
        <v>#REF!</v>
      </c>
      <c r="N376" s="160"/>
      <c r="O376" s="104" t="e">
        <f>#REF!</f>
        <v>#REF!</v>
      </c>
      <c r="P376" s="52" t="e">
        <f>IF(#REF!=0,"",#REF!)</f>
        <v>#REF!</v>
      </c>
      <c r="Q376" s="109" t="e">
        <f>IF(#REF!=0,"",#REF!)</f>
        <v>#REF!</v>
      </c>
      <c r="R376" s="36" t="e">
        <f>IF(#REF!=0,"",#REF!)</f>
        <v>#REF!</v>
      </c>
      <c r="S376" s="36" t="e">
        <f>IF(#REF!=0,"",#REF!)</f>
        <v>#REF!</v>
      </c>
      <c r="T376" s="268"/>
      <c r="U376" s="268"/>
      <c r="V376" s="268"/>
    </row>
    <row r="377" ht="15" customHeight="1" spans="2:22">
      <c r="B377" s="6" t="e">
        <f t="shared" si="6"/>
        <v>#REF!</v>
      </c>
      <c r="C377" s="83" t="e">
        <f>#REF!</f>
        <v>#REF!</v>
      </c>
      <c r="D377" s="110" t="e">
        <f>IF(#REF!=0,"",#REF!)</f>
        <v>#REF!</v>
      </c>
      <c r="E377" s="85" t="e">
        <f>IF(#REF!=0,"",#REF!)</f>
        <v>#REF!</v>
      </c>
      <c r="F377" s="85" t="e">
        <f>IF(#REF!=0,"",#REF!)</f>
        <v>#REF!</v>
      </c>
      <c r="G377" s="105">
        <f>'27'!Q377</f>
        <v>0</v>
      </c>
      <c r="H377" s="161">
        <f>'27'!R377</f>
        <v>0</v>
      </c>
      <c r="I377" s="161">
        <f>'27'!S377</f>
        <v>0</v>
      </c>
      <c r="J377" s="161"/>
      <c r="K377" s="106">
        <f>'27'!T377</f>
        <v>0</v>
      </c>
      <c r="L377" s="85" t="e">
        <f>#REF!</f>
        <v>#REF!</v>
      </c>
      <c r="M377" s="105" t="e">
        <f>#REF!</f>
        <v>#REF!</v>
      </c>
      <c r="N377" s="161"/>
      <c r="O377" s="106" t="e">
        <f>#REF!</f>
        <v>#REF!</v>
      </c>
      <c r="P377" s="107" t="e">
        <f>IF(#REF!=0,"",#REF!)</f>
        <v>#REF!</v>
      </c>
      <c r="Q377" s="111" t="e">
        <f>IF(#REF!=0,"",#REF!)</f>
        <v>#REF!</v>
      </c>
      <c r="R377" s="85" t="e">
        <f>IF(#REF!=0,"",#REF!)</f>
        <v>#REF!</v>
      </c>
      <c r="S377" s="85" t="e">
        <f>IF(#REF!=0,"",#REF!)</f>
        <v>#REF!</v>
      </c>
      <c r="T377" s="268"/>
      <c r="U377" s="268"/>
      <c r="V377" s="268"/>
    </row>
    <row r="378" ht="15" customHeight="1" spans="2:22">
      <c r="B378" s="6" t="e">
        <f t="shared" si="6"/>
        <v>#REF!</v>
      </c>
      <c r="C378" s="79" t="e">
        <f>#REF!</f>
        <v>#REF!</v>
      </c>
      <c r="D378" s="62" t="e">
        <f>IF(#REF!=0,"",#REF!)</f>
        <v>#REF!</v>
      </c>
      <c r="E378" s="81" t="e">
        <f>IF(#REF!=0,"",#REF!)</f>
        <v>#REF!</v>
      </c>
      <c r="F378" s="81" t="e">
        <f>IF(#REF!=0,"",#REF!)</f>
        <v>#REF!</v>
      </c>
      <c r="G378" s="100" t="e">
        <f>#REF!</f>
        <v>#REF!</v>
      </c>
      <c r="H378" s="159">
        <f>'27'!R378</f>
        <v>0</v>
      </c>
      <c r="I378" s="159">
        <f>'27'!S378</f>
        <v>0</v>
      </c>
      <c r="J378" s="159"/>
      <c r="K378" s="101">
        <f>'27'!T378</f>
        <v>0</v>
      </c>
      <c r="L378" s="81" t="e">
        <f>#REF!</f>
        <v>#REF!</v>
      </c>
      <c r="M378" s="100" t="e">
        <f>#REF!</f>
        <v>#REF!</v>
      </c>
      <c r="N378" s="159"/>
      <c r="O378" s="101" t="e">
        <f>#REF!</f>
        <v>#REF!</v>
      </c>
      <c r="P378" s="102" t="e">
        <f>IF(#REF!=0,"",#REF!)</f>
        <v>#REF!</v>
      </c>
      <c r="Q378" s="108" t="e">
        <f>IF(#REF!=0,"",#REF!)</f>
        <v>#REF!</v>
      </c>
      <c r="R378" s="81" t="e">
        <f>IF(#REF!=0,"",#REF!)</f>
        <v>#REF!</v>
      </c>
      <c r="S378" s="81" t="e">
        <f>IF(#REF!=0,"",#REF!)</f>
        <v>#REF!</v>
      </c>
      <c r="T378" s="268"/>
      <c r="U378" s="268"/>
      <c r="V378" s="268"/>
    </row>
    <row r="379" ht="15" customHeight="1" spans="2:22">
      <c r="B379" s="6" t="e">
        <f t="shared" si="6"/>
        <v>#REF!</v>
      </c>
      <c r="C379" s="31" t="e">
        <f>#REF!</f>
        <v>#REF!</v>
      </c>
      <c r="D379" s="32" t="e">
        <f>IF(#REF!=0,"",#REF!)</f>
        <v>#REF!</v>
      </c>
      <c r="E379" s="36" t="e">
        <f>IF(#REF!=0,"",#REF!)</f>
        <v>#REF!</v>
      </c>
      <c r="F379" s="36" t="e">
        <f>IF(#REF!=0,"",#REF!)</f>
        <v>#REF!</v>
      </c>
      <c r="G379" s="103">
        <f>'27'!Q379</f>
        <v>0</v>
      </c>
      <c r="H379" s="160">
        <f>'27'!R379</f>
        <v>0</v>
      </c>
      <c r="I379" s="160">
        <f>'27'!S379</f>
        <v>0</v>
      </c>
      <c r="J379" s="160"/>
      <c r="K379" s="104">
        <f>'27'!T379</f>
        <v>0</v>
      </c>
      <c r="L379" s="36" t="e">
        <f>#REF!</f>
        <v>#REF!</v>
      </c>
      <c r="M379" s="103" t="e">
        <f>#REF!</f>
        <v>#REF!</v>
      </c>
      <c r="N379" s="160"/>
      <c r="O379" s="104" t="e">
        <f>#REF!</f>
        <v>#REF!</v>
      </c>
      <c r="P379" s="52" t="e">
        <f>IF(#REF!=0,"",#REF!)</f>
        <v>#REF!</v>
      </c>
      <c r="Q379" s="109" t="e">
        <f>IF(#REF!=0,"",#REF!)</f>
        <v>#REF!</v>
      </c>
      <c r="R379" s="36" t="e">
        <f>IF(#REF!=0,"",#REF!)</f>
        <v>#REF!</v>
      </c>
      <c r="S379" s="36" t="e">
        <f>IF(#REF!=0,"",#REF!)</f>
        <v>#REF!</v>
      </c>
      <c r="T379" s="268"/>
      <c r="U379" s="268"/>
      <c r="V379" s="268"/>
    </row>
    <row r="380" ht="15" customHeight="1" spans="2:22">
      <c r="B380" s="6" t="e">
        <f t="shared" si="6"/>
        <v>#REF!</v>
      </c>
      <c r="C380" s="83" t="e">
        <f>#REF!</f>
        <v>#REF!</v>
      </c>
      <c r="D380" s="110" t="e">
        <f>IF(#REF!=0,"",#REF!)</f>
        <v>#REF!</v>
      </c>
      <c r="E380" s="85" t="e">
        <f>IF(#REF!=0,"",#REF!)</f>
        <v>#REF!</v>
      </c>
      <c r="F380" s="85" t="e">
        <f>IF(#REF!=0,"",#REF!)</f>
        <v>#REF!</v>
      </c>
      <c r="G380" s="105">
        <f>'27'!Q380</f>
        <v>0</v>
      </c>
      <c r="H380" s="161">
        <f>'27'!R380</f>
        <v>0</v>
      </c>
      <c r="I380" s="161">
        <f>'27'!S380</f>
        <v>0</v>
      </c>
      <c r="J380" s="161"/>
      <c r="K380" s="106">
        <f>'27'!T380</f>
        <v>0</v>
      </c>
      <c r="L380" s="85" t="e">
        <f>#REF!</f>
        <v>#REF!</v>
      </c>
      <c r="M380" s="105" t="e">
        <f>#REF!</f>
        <v>#REF!</v>
      </c>
      <c r="N380" s="161"/>
      <c r="O380" s="106" t="e">
        <f>#REF!</f>
        <v>#REF!</v>
      </c>
      <c r="P380" s="107" t="e">
        <f>IF(#REF!=0,"",#REF!)</f>
        <v>#REF!</v>
      </c>
      <c r="Q380" s="111" t="e">
        <f>IF(#REF!=0,"",#REF!)</f>
        <v>#REF!</v>
      </c>
      <c r="R380" s="85" t="e">
        <f>IF(#REF!=0,"",#REF!)</f>
        <v>#REF!</v>
      </c>
      <c r="S380" s="85" t="e">
        <f>IF(#REF!=0,"",#REF!)</f>
        <v>#REF!</v>
      </c>
      <c r="T380" s="268"/>
      <c r="U380" s="268"/>
      <c r="V380" s="268"/>
    </row>
    <row r="381" ht="15" customHeight="1" spans="2:22">
      <c r="B381" s="6" t="e">
        <f t="shared" si="6"/>
        <v>#REF!</v>
      </c>
      <c r="C381" s="79" t="e">
        <f>#REF!</f>
        <v>#REF!</v>
      </c>
      <c r="D381" s="62" t="e">
        <f>IF(#REF!=0,"",#REF!)</f>
        <v>#REF!</v>
      </c>
      <c r="E381" s="81" t="e">
        <f>IF(#REF!=0,"",#REF!)</f>
        <v>#REF!</v>
      </c>
      <c r="F381" s="81" t="e">
        <f>IF(#REF!=0,"",#REF!)</f>
        <v>#REF!</v>
      </c>
      <c r="G381" s="100" t="e">
        <f>#REF!</f>
        <v>#REF!</v>
      </c>
      <c r="H381" s="159">
        <f>'27'!R381</f>
        <v>0</v>
      </c>
      <c r="I381" s="159">
        <f>'27'!S381</f>
        <v>0</v>
      </c>
      <c r="J381" s="159"/>
      <c r="K381" s="101">
        <f>'27'!T381</f>
        <v>0</v>
      </c>
      <c r="L381" s="81" t="e">
        <f>#REF!</f>
        <v>#REF!</v>
      </c>
      <c r="M381" s="100" t="e">
        <f>#REF!</f>
        <v>#REF!</v>
      </c>
      <c r="N381" s="159"/>
      <c r="O381" s="101" t="e">
        <f>#REF!</f>
        <v>#REF!</v>
      </c>
      <c r="P381" s="102" t="e">
        <f>IF(#REF!=0,"",#REF!)</f>
        <v>#REF!</v>
      </c>
      <c r="Q381" s="108" t="e">
        <f>IF(#REF!=0,"",#REF!)</f>
        <v>#REF!</v>
      </c>
      <c r="R381" s="81" t="e">
        <f>IF(#REF!=0,"",#REF!)</f>
        <v>#REF!</v>
      </c>
      <c r="S381" s="81" t="e">
        <f>IF(#REF!=0,"",#REF!)</f>
        <v>#REF!</v>
      </c>
      <c r="T381" s="268"/>
      <c r="U381" s="268"/>
      <c r="V381" s="268"/>
    </row>
    <row r="382" ht="15" customHeight="1" spans="2:22">
      <c r="B382" s="6" t="e">
        <f t="shared" si="6"/>
        <v>#REF!</v>
      </c>
      <c r="C382" s="31" t="e">
        <f>#REF!</f>
        <v>#REF!</v>
      </c>
      <c r="D382" s="32" t="e">
        <f>IF(#REF!=0,"",#REF!)</f>
        <v>#REF!</v>
      </c>
      <c r="E382" s="36" t="e">
        <f>IF(#REF!=0,"",#REF!)</f>
        <v>#REF!</v>
      </c>
      <c r="F382" s="36" t="e">
        <f>IF(#REF!=0,"",#REF!)</f>
        <v>#REF!</v>
      </c>
      <c r="G382" s="103">
        <f>'27'!Q382</f>
        <v>0</v>
      </c>
      <c r="H382" s="160">
        <f>'27'!R382</f>
        <v>0</v>
      </c>
      <c r="I382" s="160">
        <f>'27'!S382</f>
        <v>0</v>
      </c>
      <c r="J382" s="160"/>
      <c r="K382" s="104">
        <f>'27'!T382</f>
        <v>0</v>
      </c>
      <c r="L382" s="36" t="e">
        <f>#REF!</f>
        <v>#REF!</v>
      </c>
      <c r="M382" s="103" t="e">
        <f>#REF!</f>
        <v>#REF!</v>
      </c>
      <c r="N382" s="160"/>
      <c r="O382" s="104" t="e">
        <f>#REF!</f>
        <v>#REF!</v>
      </c>
      <c r="P382" s="52" t="e">
        <f>IF(#REF!=0,"",#REF!)</f>
        <v>#REF!</v>
      </c>
      <c r="Q382" s="109" t="e">
        <f>IF(#REF!=0,"",#REF!)</f>
        <v>#REF!</v>
      </c>
      <c r="R382" s="36" t="e">
        <f>IF(#REF!=0,"",#REF!)</f>
        <v>#REF!</v>
      </c>
      <c r="S382" s="36" t="e">
        <f>IF(#REF!=0,"",#REF!)</f>
        <v>#REF!</v>
      </c>
      <c r="T382" s="268"/>
      <c r="U382" s="268"/>
      <c r="V382" s="268"/>
    </row>
    <row r="383" ht="15" customHeight="1" spans="2:22">
      <c r="B383" s="6" t="e">
        <f t="shared" si="6"/>
        <v>#REF!</v>
      </c>
      <c r="C383" s="83" t="e">
        <f>#REF!</f>
        <v>#REF!</v>
      </c>
      <c r="D383" s="110" t="e">
        <f>IF(#REF!=0,"",#REF!)</f>
        <v>#REF!</v>
      </c>
      <c r="E383" s="85" t="e">
        <f>IF(#REF!=0,"",#REF!)</f>
        <v>#REF!</v>
      </c>
      <c r="F383" s="85" t="e">
        <f>IF(#REF!=0,"",#REF!)</f>
        <v>#REF!</v>
      </c>
      <c r="G383" s="105">
        <f>'27'!Q383</f>
        <v>0</v>
      </c>
      <c r="H383" s="161">
        <f>'27'!R383</f>
        <v>0</v>
      </c>
      <c r="I383" s="161">
        <f>'27'!S383</f>
        <v>0</v>
      </c>
      <c r="J383" s="161"/>
      <c r="K383" s="106">
        <f>'27'!T383</f>
        <v>0</v>
      </c>
      <c r="L383" s="85" t="e">
        <f>#REF!</f>
        <v>#REF!</v>
      </c>
      <c r="M383" s="105" t="e">
        <f>#REF!</f>
        <v>#REF!</v>
      </c>
      <c r="N383" s="161"/>
      <c r="O383" s="106" t="e">
        <f>#REF!</f>
        <v>#REF!</v>
      </c>
      <c r="P383" s="107" t="e">
        <f>IF(#REF!=0,"",#REF!)</f>
        <v>#REF!</v>
      </c>
      <c r="Q383" s="111" t="e">
        <f>IF(#REF!=0,"",#REF!)</f>
        <v>#REF!</v>
      </c>
      <c r="R383" s="85" t="e">
        <f>IF(#REF!=0,"",#REF!)</f>
        <v>#REF!</v>
      </c>
      <c r="S383" s="85" t="e">
        <f>IF(#REF!=0,"",#REF!)</f>
        <v>#REF!</v>
      </c>
      <c r="T383" s="268"/>
      <c r="U383" s="268"/>
      <c r="V383" s="268"/>
    </row>
    <row r="384" ht="15" customHeight="1" spans="2:22">
      <c r="B384" s="6" t="e">
        <f t="shared" si="6"/>
        <v>#REF!</v>
      </c>
      <c r="C384" s="79" t="e">
        <f>#REF!</f>
        <v>#REF!</v>
      </c>
      <c r="D384" s="62" t="e">
        <f>IF(#REF!=0,"",#REF!)</f>
        <v>#REF!</v>
      </c>
      <c r="E384" s="81" t="e">
        <f>IF(#REF!=0,"",#REF!)</f>
        <v>#REF!</v>
      </c>
      <c r="F384" s="81" t="e">
        <f>IF(#REF!=0,"",#REF!)</f>
        <v>#REF!</v>
      </c>
      <c r="G384" s="100" t="e">
        <f>#REF!</f>
        <v>#REF!</v>
      </c>
      <c r="H384" s="159">
        <f>'27'!R384</f>
        <v>0</v>
      </c>
      <c r="I384" s="159">
        <f>'27'!S384</f>
        <v>0</v>
      </c>
      <c r="J384" s="159"/>
      <c r="K384" s="101">
        <f>'27'!T384</f>
        <v>0</v>
      </c>
      <c r="L384" s="81" t="e">
        <f>#REF!</f>
        <v>#REF!</v>
      </c>
      <c r="M384" s="100" t="e">
        <f>#REF!</f>
        <v>#REF!</v>
      </c>
      <c r="N384" s="159"/>
      <c r="O384" s="101" t="e">
        <f>#REF!</f>
        <v>#REF!</v>
      </c>
      <c r="P384" s="102" t="e">
        <f>IF(#REF!=0,"",#REF!)</f>
        <v>#REF!</v>
      </c>
      <c r="Q384" s="108" t="e">
        <f>IF(#REF!=0,"",#REF!)</f>
        <v>#REF!</v>
      </c>
      <c r="R384" s="81" t="e">
        <f>IF(#REF!=0,"",#REF!)</f>
        <v>#REF!</v>
      </c>
      <c r="S384" s="81" t="e">
        <f>IF(#REF!=0,"",#REF!)</f>
        <v>#REF!</v>
      </c>
      <c r="T384" s="268"/>
      <c r="U384" s="268"/>
      <c r="V384" s="268"/>
    </row>
    <row r="385" ht="15" customHeight="1" spans="2:22">
      <c r="B385" s="6" t="e">
        <f t="shared" si="6"/>
        <v>#REF!</v>
      </c>
      <c r="C385" s="31" t="e">
        <f>#REF!</f>
        <v>#REF!</v>
      </c>
      <c r="D385" s="32" t="e">
        <f>IF(#REF!=0,"",#REF!)</f>
        <v>#REF!</v>
      </c>
      <c r="E385" s="36" t="e">
        <f>IF(#REF!=0,"",#REF!)</f>
        <v>#REF!</v>
      </c>
      <c r="F385" s="36" t="e">
        <f>IF(#REF!=0,"",#REF!)</f>
        <v>#REF!</v>
      </c>
      <c r="G385" s="103">
        <f>'27'!Q385</f>
        <v>0</v>
      </c>
      <c r="H385" s="160">
        <f>'27'!R385</f>
        <v>0</v>
      </c>
      <c r="I385" s="160">
        <f>'27'!S385</f>
        <v>0</v>
      </c>
      <c r="J385" s="160"/>
      <c r="K385" s="104">
        <f>'27'!T385</f>
        <v>0</v>
      </c>
      <c r="L385" s="36" t="e">
        <f>#REF!</f>
        <v>#REF!</v>
      </c>
      <c r="M385" s="103" t="e">
        <f>#REF!</f>
        <v>#REF!</v>
      </c>
      <c r="N385" s="160"/>
      <c r="O385" s="104" t="e">
        <f>#REF!</f>
        <v>#REF!</v>
      </c>
      <c r="P385" s="52" t="e">
        <f>IF(#REF!=0,"",#REF!)</f>
        <v>#REF!</v>
      </c>
      <c r="Q385" s="109" t="e">
        <f>IF(#REF!=0,"",#REF!)</f>
        <v>#REF!</v>
      </c>
      <c r="R385" s="36" t="e">
        <f>IF(#REF!=0,"",#REF!)</f>
        <v>#REF!</v>
      </c>
      <c r="S385" s="36" t="e">
        <f>IF(#REF!=0,"",#REF!)</f>
        <v>#REF!</v>
      </c>
      <c r="T385" s="268"/>
      <c r="U385" s="268"/>
      <c r="V385" s="268"/>
    </row>
    <row r="386" ht="15" customHeight="1" spans="2:22">
      <c r="B386" s="6" t="e">
        <f t="shared" si="6"/>
        <v>#REF!</v>
      </c>
      <c r="C386" s="83" t="e">
        <f>#REF!</f>
        <v>#REF!</v>
      </c>
      <c r="D386" s="110" t="e">
        <f>IF(#REF!=0,"",#REF!)</f>
        <v>#REF!</v>
      </c>
      <c r="E386" s="85" t="e">
        <f>IF(#REF!=0,"",#REF!)</f>
        <v>#REF!</v>
      </c>
      <c r="F386" s="85" t="e">
        <f>IF(#REF!=0,"",#REF!)</f>
        <v>#REF!</v>
      </c>
      <c r="G386" s="105">
        <f>'27'!Q386</f>
        <v>0</v>
      </c>
      <c r="H386" s="161">
        <f>'27'!R386</f>
        <v>0</v>
      </c>
      <c r="I386" s="161">
        <f>'27'!S386</f>
        <v>0</v>
      </c>
      <c r="J386" s="161"/>
      <c r="K386" s="106">
        <f>'27'!T386</f>
        <v>0</v>
      </c>
      <c r="L386" s="85" t="e">
        <f>#REF!</f>
        <v>#REF!</v>
      </c>
      <c r="M386" s="105" t="e">
        <f>#REF!</f>
        <v>#REF!</v>
      </c>
      <c r="N386" s="161"/>
      <c r="O386" s="106" t="e">
        <f>#REF!</f>
        <v>#REF!</v>
      </c>
      <c r="P386" s="107" t="e">
        <f>IF(#REF!=0,"",#REF!)</f>
        <v>#REF!</v>
      </c>
      <c r="Q386" s="111" t="e">
        <f>IF(#REF!=0,"",#REF!)</f>
        <v>#REF!</v>
      </c>
      <c r="R386" s="85" t="e">
        <f>IF(#REF!=0,"",#REF!)</f>
        <v>#REF!</v>
      </c>
      <c r="S386" s="85" t="e">
        <f>IF(#REF!=0,"",#REF!)</f>
        <v>#REF!</v>
      </c>
      <c r="T386" s="268"/>
      <c r="U386" s="268"/>
      <c r="V386" s="268"/>
    </row>
    <row r="387" ht="15" customHeight="1" spans="2:22">
      <c r="B387" s="6" t="e">
        <f t="shared" ref="B387:B450" si="7">COUNTA(C387)-IF(C387=0,1)+B386</f>
        <v>#REF!</v>
      </c>
      <c r="C387" s="79" t="e">
        <f>#REF!</f>
        <v>#REF!</v>
      </c>
      <c r="D387" s="62" t="e">
        <f>IF(#REF!=0,"",#REF!)</f>
        <v>#REF!</v>
      </c>
      <c r="E387" s="81" t="e">
        <f>IF(#REF!=0,"",#REF!)</f>
        <v>#REF!</v>
      </c>
      <c r="F387" s="81" t="e">
        <f>IF(#REF!=0,"",#REF!)</f>
        <v>#REF!</v>
      </c>
      <c r="G387" s="100" t="e">
        <f>#REF!</f>
        <v>#REF!</v>
      </c>
      <c r="H387" s="159">
        <f>'27'!R387</f>
        <v>0</v>
      </c>
      <c r="I387" s="159">
        <f>'27'!S387</f>
        <v>0</v>
      </c>
      <c r="J387" s="159"/>
      <c r="K387" s="101">
        <f>'27'!T387</f>
        <v>0</v>
      </c>
      <c r="L387" s="81" t="e">
        <f>#REF!</f>
        <v>#REF!</v>
      </c>
      <c r="M387" s="100" t="e">
        <f>#REF!</f>
        <v>#REF!</v>
      </c>
      <c r="N387" s="159"/>
      <c r="O387" s="101" t="e">
        <f>#REF!</f>
        <v>#REF!</v>
      </c>
      <c r="P387" s="102" t="e">
        <f>IF(#REF!=0,"",#REF!)</f>
        <v>#REF!</v>
      </c>
      <c r="Q387" s="108" t="e">
        <f>IF(#REF!=0,"",#REF!)</f>
        <v>#REF!</v>
      </c>
      <c r="R387" s="81" t="e">
        <f>IF(#REF!=0,"",#REF!)</f>
        <v>#REF!</v>
      </c>
      <c r="S387" s="81" t="e">
        <f>IF(#REF!=0,"",#REF!)</f>
        <v>#REF!</v>
      </c>
      <c r="T387" s="268"/>
      <c r="U387" s="268"/>
      <c r="V387" s="268"/>
    </row>
    <row r="388" ht="15" customHeight="1" spans="2:22">
      <c r="B388" s="6" t="e">
        <f t="shared" si="7"/>
        <v>#REF!</v>
      </c>
      <c r="C388" s="31" t="e">
        <f>#REF!</f>
        <v>#REF!</v>
      </c>
      <c r="D388" s="32" t="e">
        <f>IF(#REF!=0,"",#REF!)</f>
        <v>#REF!</v>
      </c>
      <c r="E388" s="36" t="e">
        <f>IF(#REF!=0,"",#REF!)</f>
        <v>#REF!</v>
      </c>
      <c r="F388" s="36" t="e">
        <f>IF(#REF!=0,"",#REF!)</f>
        <v>#REF!</v>
      </c>
      <c r="G388" s="103">
        <f>'27'!Q388</f>
        <v>0</v>
      </c>
      <c r="H388" s="160">
        <f>'27'!R388</f>
        <v>0</v>
      </c>
      <c r="I388" s="160">
        <f>'27'!S388</f>
        <v>0</v>
      </c>
      <c r="J388" s="160"/>
      <c r="K388" s="104">
        <f>'27'!T388</f>
        <v>0</v>
      </c>
      <c r="L388" s="36" t="e">
        <f>#REF!</f>
        <v>#REF!</v>
      </c>
      <c r="M388" s="103" t="e">
        <f>#REF!</f>
        <v>#REF!</v>
      </c>
      <c r="N388" s="160"/>
      <c r="O388" s="104" t="e">
        <f>#REF!</f>
        <v>#REF!</v>
      </c>
      <c r="P388" s="52" t="e">
        <f>IF(#REF!=0,"",#REF!)</f>
        <v>#REF!</v>
      </c>
      <c r="Q388" s="109" t="e">
        <f>IF(#REF!=0,"",#REF!)</f>
        <v>#REF!</v>
      </c>
      <c r="R388" s="36" t="e">
        <f>IF(#REF!=0,"",#REF!)</f>
        <v>#REF!</v>
      </c>
      <c r="S388" s="36" t="e">
        <f>IF(#REF!=0,"",#REF!)</f>
        <v>#REF!</v>
      </c>
      <c r="T388" s="268"/>
      <c r="U388" s="268"/>
      <c r="V388" s="268"/>
    </row>
    <row r="389" ht="15" customHeight="1" spans="2:22">
      <c r="B389" s="6" t="e">
        <f t="shared" si="7"/>
        <v>#REF!</v>
      </c>
      <c r="C389" s="83" t="e">
        <f>#REF!</f>
        <v>#REF!</v>
      </c>
      <c r="D389" s="110" t="e">
        <f>IF(#REF!=0,"",#REF!)</f>
        <v>#REF!</v>
      </c>
      <c r="E389" s="85" t="e">
        <f>IF(#REF!=0,"",#REF!)</f>
        <v>#REF!</v>
      </c>
      <c r="F389" s="85" t="e">
        <f>IF(#REF!=0,"",#REF!)</f>
        <v>#REF!</v>
      </c>
      <c r="G389" s="105">
        <f>'27'!Q389</f>
        <v>0</v>
      </c>
      <c r="H389" s="161">
        <f>'27'!R389</f>
        <v>0</v>
      </c>
      <c r="I389" s="161">
        <f>'27'!S389</f>
        <v>0</v>
      </c>
      <c r="J389" s="161"/>
      <c r="K389" s="106">
        <f>'27'!T389</f>
        <v>0</v>
      </c>
      <c r="L389" s="85" t="e">
        <f>#REF!</f>
        <v>#REF!</v>
      </c>
      <c r="M389" s="105" t="e">
        <f>#REF!</f>
        <v>#REF!</v>
      </c>
      <c r="N389" s="161"/>
      <c r="O389" s="106" t="e">
        <f>#REF!</f>
        <v>#REF!</v>
      </c>
      <c r="P389" s="107" t="e">
        <f>IF(#REF!=0,"",#REF!)</f>
        <v>#REF!</v>
      </c>
      <c r="Q389" s="111" t="e">
        <f>IF(#REF!=0,"",#REF!)</f>
        <v>#REF!</v>
      </c>
      <c r="R389" s="85" t="e">
        <f>IF(#REF!=0,"",#REF!)</f>
        <v>#REF!</v>
      </c>
      <c r="S389" s="85" t="e">
        <f>IF(#REF!=0,"",#REF!)</f>
        <v>#REF!</v>
      </c>
      <c r="T389" s="268"/>
      <c r="U389" s="268"/>
      <c r="V389" s="268"/>
    </row>
    <row r="390" ht="15" customHeight="1" spans="2:22">
      <c r="B390" s="6" t="e">
        <f t="shared" si="7"/>
        <v>#REF!</v>
      </c>
      <c r="C390" s="79" t="e">
        <f>#REF!</f>
        <v>#REF!</v>
      </c>
      <c r="D390" s="62" t="e">
        <f>IF(#REF!=0,"",#REF!)</f>
        <v>#REF!</v>
      </c>
      <c r="E390" s="81" t="e">
        <f>IF(#REF!=0,"",#REF!)</f>
        <v>#REF!</v>
      </c>
      <c r="F390" s="81" t="e">
        <f>IF(#REF!=0,"",#REF!)</f>
        <v>#REF!</v>
      </c>
      <c r="G390" s="100" t="e">
        <f>#REF!</f>
        <v>#REF!</v>
      </c>
      <c r="H390" s="159">
        <f>'27'!R390</f>
        <v>0</v>
      </c>
      <c r="I390" s="159">
        <f>'27'!S390</f>
        <v>0</v>
      </c>
      <c r="J390" s="159"/>
      <c r="K390" s="101">
        <f>'27'!T390</f>
        <v>0</v>
      </c>
      <c r="L390" s="81" t="e">
        <f>#REF!</f>
        <v>#REF!</v>
      </c>
      <c r="M390" s="100" t="e">
        <f>#REF!</f>
        <v>#REF!</v>
      </c>
      <c r="N390" s="159"/>
      <c r="O390" s="101" t="e">
        <f>#REF!</f>
        <v>#REF!</v>
      </c>
      <c r="P390" s="102" t="e">
        <f>IF(#REF!=0,"",#REF!)</f>
        <v>#REF!</v>
      </c>
      <c r="Q390" s="108" t="e">
        <f>IF(#REF!=0,"",#REF!)</f>
        <v>#REF!</v>
      </c>
      <c r="R390" s="81" t="e">
        <f>IF(#REF!=0,"",#REF!)</f>
        <v>#REF!</v>
      </c>
      <c r="S390" s="81" t="e">
        <f>IF(#REF!=0,"",#REF!)</f>
        <v>#REF!</v>
      </c>
      <c r="T390" s="268"/>
      <c r="U390" s="268"/>
      <c r="V390" s="268"/>
    </row>
    <row r="391" ht="15" customHeight="1" spans="2:22">
      <c r="B391" s="6" t="e">
        <f t="shared" si="7"/>
        <v>#REF!</v>
      </c>
      <c r="C391" s="31" t="e">
        <f>#REF!</f>
        <v>#REF!</v>
      </c>
      <c r="D391" s="32" t="e">
        <f>IF(#REF!=0,"",#REF!)</f>
        <v>#REF!</v>
      </c>
      <c r="E391" s="36" t="e">
        <f>IF(#REF!=0,"",#REF!)</f>
        <v>#REF!</v>
      </c>
      <c r="F391" s="36" t="e">
        <f>IF(#REF!=0,"",#REF!)</f>
        <v>#REF!</v>
      </c>
      <c r="G391" s="103">
        <f>'27'!Q391</f>
        <v>0</v>
      </c>
      <c r="H391" s="160">
        <f>'27'!R391</f>
        <v>0</v>
      </c>
      <c r="I391" s="160">
        <f>'27'!S391</f>
        <v>0</v>
      </c>
      <c r="J391" s="160"/>
      <c r="K391" s="104">
        <f>'27'!T391</f>
        <v>0</v>
      </c>
      <c r="L391" s="36" t="e">
        <f>#REF!</f>
        <v>#REF!</v>
      </c>
      <c r="M391" s="103" t="e">
        <f>#REF!</f>
        <v>#REF!</v>
      </c>
      <c r="N391" s="160"/>
      <c r="O391" s="104" t="e">
        <f>#REF!</f>
        <v>#REF!</v>
      </c>
      <c r="P391" s="52" t="e">
        <f>IF(#REF!=0,"",#REF!)</f>
        <v>#REF!</v>
      </c>
      <c r="Q391" s="109" t="e">
        <f>IF(#REF!=0,"",#REF!)</f>
        <v>#REF!</v>
      </c>
      <c r="R391" s="36" t="e">
        <f>IF(#REF!=0,"",#REF!)</f>
        <v>#REF!</v>
      </c>
      <c r="S391" s="36" t="e">
        <f>IF(#REF!=0,"",#REF!)</f>
        <v>#REF!</v>
      </c>
      <c r="T391" s="268"/>
      <c r="U391" s="268"/>
      <c r="V391" s="268"/>
    </row>
    <row r="392" ht="15" customHeight="1" spans="2:22">
      <c r="B392" s="6" t="e">
        <f t="shared" si="7"/>
        <v>#REF!</v>
      </c>
      <c r="C392" s="83" t="e">
        <f>#REF!</f>
        <v>#REF!</v>
      </c>
      <c r="D392" s="110" t="e">
        <f>IF(#REF!=0,"",#REF!)</f>
        <v>#REF!</v>
      </c>
      <c r="E392" s="85" t="e">
        <f>IF(#REF!=0,"",#REF!)</f>
        <v>#REF!</v>
      </c>
      <c r="F392" s="85" t="e">
        <f>IF(#REF!=0,"",#REF!)</f>
        <v>#REF!</v>
      </c>
      <c r="G392" s="105">
        <f>'27'!Q392</f>
        <v>0</v>
      </c>
      <c r="H392" s="161">
        <f>'27'!R392</f>
        <v>0</v>
      </c>
      <c r="I392" s="161">
        <f>'27'!S392</f>
        <v>0</v>
      </c>
      <c r="J392" s="161"/>
      <c r="K392" s="106">
        <f>'27'!T392</f>
        <v>0</v>
      </c>
      <c r="L392" s="85" t="e">
        <f>#REF!</f>
        <v>#REF!</v>
      </c>
      <c r="M392" s="105" t="e">
        <f>#REF!</f>
        <v>#REF!</v>
      </c>
      <c r="N392" s="161"/>
      <c r="O392" s="106" t="e">
        <f>#REF!</f>
        <v>#REF!</v>
      </c>
      <c r="P392" s="107" t="e">
        <f>IF(#REF!=0,"",#REF!)</f>
        <v>#REF!</v>
      </c>
      <c r="Q392" s="111" t="e">
        <f>IF(#REF!=0,"",#REF!)</f>
        <v>#REF!</v>
      </c>
      <c r="R392" s="85" t="e">
        <f>IF(#REF!=0,"",#REF!)</f>
        <v>#REF!</v>
      </c>
      <c r="S392" s="85" t="e">
        <f>IF(#REF!=0,"",#REF!)</f>
        <v>#REF!</v>
      </c>
      <c r="T392" s="268"/>
      <c r="U392" s="268"/>
      <c r="V392" s="268"/>
    </row>
    <row r="393" ht="15" customHeight="1" spans="2:22">
      <c r="B393" s="6" t="e">
        <f t="shared" si="7"/>
        <v>#REF!</v>
      </c>
      <c r="C393" s="79" t="e">
        <f>#REF!</f>
        <v>#REF!</v>
      </c>
      <c r="D393" s="62" t="e">
        <f>IF(#REF!=0,"",#REF!)</f>
        <v>#REF!</v>
      </c>
      <c r="E393" s="81" t="e">
        <f>IF(#REF!=0,"",#REF!)</f>
        <v>#REF!</v>
      </c>
      <c r="F393" s="81" t="e">
        <f>IF(#REF!=0,"",#REF!)</f>
        <v>#REF!</v>
      </c>
      <c r="G393" s="100" t="e">
        <f>#REF!</f>
        <v>#REF!</v>
      </c>
      <c r="H393" s="159">
        <f>'27'!R393</f>
        <v>0</v>
      </c>
      <c r="I393" s="159">
        <f>'27'!S393</f>
        <v>0</v>
      </c>
      <c r="J393" s="159"/>
      <c r="K393" s="101">
        <f>'27'!T393</f>
        <v>0</v>
      </c>
      <c r="L393" s="81" t="e">
        <f>#REF!</f>
        <v>#REF!</v>
      </c>
      <c r="M393" s="100" t="e">
        <f>#REF!</f>
        <v>#REF!</v>
      </c>
      <c r="N393" s="159"/>
      <c r="O393" s="101" t="e">
        <f>#REF!</f>
        <v>#REF!</v>
      </c>
      <c r="P393" s="102" t="e">
        <f>IF(#REF!=0,"",#REF!)</f>
        <v>#REF!</v>
      </c>
      <c r="Q393" s="108" t="e">
        <f>IF(#REF!=0,"",#REF!)</f>
        <v>#REF!</v>
      </c>
      <c r="R393" s="81" t="e">
        <f>IF(#REF!=0,"",#REF!)</f>
        <v>#REF!</v>
      </c>
      <c r="S393" s="81" t="e">
        <f>IF(#REF!=0,"",#REF!)</f>
        <v>#REF!</v>
      </c>
      <c r="T393" s="268"/>
      <c r="U393" s="268"/>
      <c r="V393" s="268"/>
    </row>
    <row r="394" ht="15" customHeight="1" spans="2:22">
      <c r="B394" s="6" t="e">
        <f t="shared" si="7"/>
        <v>#REF!</v>
      </c>
      <c r="C394" s="31" t="e">
        <f>#REF!</f>
        <v>#REF!</v>
      </c>
      <c r="D394" s="32" t="e">
        <f>IF(#REF!=0,"",#REF!)</f>
        <v>#REF!</v>
      </c>
      <c r="E394" s="36" t="e">
        <f>IF(#REF!=0,"",#REF!)</f>
        <v>#REF!</v>
      </c>
      <c r="F394" s="36" t="e">
        <f>IF(#REF!=0,"",#REF!)</f>
        <v>#REF!</v>
      </c>
      <c r="G394" s="103">
        <f>'27'!Q394</f>
        <v>0</v>
      </c>
      <c r="H394" s="160">
        <f>'27'!R394</f>
        <v>0</v>
      </c>
      <c r="I394" s="160">
        <f>'27'!S394</f>
        <v>0</v>
      </c>
      <c r="J394" s="160"/>
      <c r="K394" s="104">
        <f>'27'!T394</f>
        <v>0</v>
      </c>
      <c r="L394" s="36" t="e">
        <f>#REF!</f>
        <v>#REF!</v>
      </c>
      <c r="M394" s="103" t="e">
        <f>#REF!</f>
        <v>#REF!</v>
      </c>
      <c r="N394" s="160"/>
      <c r="O394" s="104" t="e">
        <f>#REF!</f>
        <v>#REF!</v>
      </c>
      <c r="P394" s="52" t="e">
        <f>IF(#REF!=0,"",#REF!)</f>
        <v>#REF!</v>
      </c>
      <c r="Q394" s="109" t="e">
        <f>IF(#REF!=0,"",#REF!)</f>
        <v>#REF!</v>
      </c>
      <c r="R394" s="36" t="e">
        <f>IF(#REF!=0,"",#REF!)</f>
        <v>#REF!</v>
      </c>
      <c r="S394" s="36" t="e">
        <f>IF(#REF!=0,"",#REF!)</f>
        <v>#REF!</v>
      </c>
      <c r="T394" s="268"/>
      <c r="U394" s="268"/>
      <c r="V394" s="268"/>
    </row>
    <row r="395" ht="15" customHeight="1" spans="2:22">
      <c r="B395" s="6" t="e">
        <f t="shared" si="7"/>
        <v>#REF!</v>
      </c>
      <c r="C395" s="83" t="e">
        <f>#REF!</f>
        <v>#REF!</v>
      </c>
      <c r="D395" s="110" t="e">
        <f>IF(#REF!=0,"",#REF!)</f>
        <v>#REF!</v>
      </c>
      <c r="E395" s="85" t="e">
        <f>IF(#REF!=0,"",#REF!)</f>
        <v>#REF!</v>
      </c>
      <c r="F395" s="85" t="e">
        <f>IF(#REF!=0,"",#REF!)</f>
        <v>#REF!</v>
      </c>
      <c r="G395" s="105">
        <f>'27'!Q395</f>
        <v>0</v>
      </c>
      <c r="H395" s="161">
        <f>'27'!R395</f>
        <v>0</v>
      </c>
      <c r="I395" s="161">
        <f>'27'!S395</f>
        <v>0</v>
      </c>
      <c r="J395" s="161"/>
      <c r="K395" s="106">
        <f>'27'!T395</f>
        <v>0</v>
      </c>
      <c r="L395" s="85" t="e">
        <f>#REF!</f>
        <v>#REF!</v>
      </c>
      <c r="M395" s="105" t="e">
        <f>#REF!</f>
        <v>#REF!</v>
      </c>
      <c r="N395" s="161"/>
      <c r="O395" s="106" t="e">
        <f>#REF!</f>
        <v>#REF!</v>
      </c>
      <c r="P395" s="107" t="e">
        <f>IF(#REF!=0,"",#REF!)</f>
        <v>#REF!</v>
      </c>
      <c r="Q395" s="111" t="e">
        <f>IF(#REF!=0,"",#REF!)</f>
        <v>#REF!</v>
      </c>
      <c r="R395" s="85" t="e">
        <f>IF(#REF!=0,"",#REF!)</f>
        <v>#REF!</v>
      </c>
      <c r="S395" s="85" t="e">
        <f>IF(#REF!=0,"",#REF!)</f>
        <v>#REF!</v>
      </c>
      <c r="T395" s="268"/>
      <c r="U395" s="268"/>
      <c r="V395" s="268"/>
    </row>
    <row r="396" ht="15" customHeight="1" spans="2:22">
      <c r="B396" s="6" t="e">
        <f t="shared" si="7"/>
        <v>#REF!</v>
      </c>
      <c r="C396" s="79" t="e">
        <f>#REF!</f>
        <v>#REF!</v>
      </c>
      <c r="D396" s="62" t="e">
        <f>IF(#REF!=0,"",#REF!)</f>
        <v>#REF!</v>
      </c>
      <c r="E396" s="81" t="e">
        <f>IF(#REF!=0,"",#REF!)</f>
        <v>#REF!</v>
      </c>
      <c r="F396" s="81" t="e">
        <f>IF(#REF!=0,"",#REF!)</f>
        <v>#REF!</v>
      </c>
      <c r="G396" s="100" t="e">
        <f>#REF!</f>
        <v>#REF!</v>
      </c>
      <c r="H396" s="159">
        <f>'27'!R396</f>
        <v>0</v>
      </c>
      <c r="I396" s="159">
        <f>'27'!S396</f>
        <v>0</v>
      </c>
      <c r="J396" s="159"/>
      <c r="K396" s="101">
        <f>'27'!T396</f>
        <v>0</v>
      </c>
      <c r="L396" s="81" t="e">
        <f>#REF!</f>
        <v>#REF!</v>
      </c>
      <c r="M396" s="100" t="e">
        <f>#REF!</f>
        <v>#REF!</v>
      </c>
      <c r="N396" s="159"/>
      <c r="O396" s="101" t="e">
        <f>#REF!</f>
        <v>#REF!</v>
      </c>
      <c r="P396" s="102" t="e">
        <f>IF(#REF!=0,"",#REF!)</f>
        <v>#REF!</v>
      </c>
      <c r="Q396" s="108" t="e">
        <f>IF(#REF!=0,"",#REF!)</f>
        <v>#REF!</v>
      </c>
      <c r="R396" s="81" t="e">
        <f>IF(#REF!=0,"",#REF!)</f>
        <v>#REF!</v>
      </c>
      <c r="S396" s="81" t="e">
        <f>IF(#REF!=0,"",#REF!)</f>
        <v>#REF!</v>
      </c>
      <c r="T396" s="268"/>
      <c r="U396" s="268"/>
      <c r="V396" s="268"/>
    </row>
    <row r="397" ht="15" customHeight="1" spans="2:22">
      <c r="B397" s="6" t="e">
        <f t="shared" si="7"/>
        <v>#REF!</v>
      </c>
      <c r="C397" s="31" t="e">
        <f>#REF!</f>
        <v>#REF!</v>
      </c>
      <c r="D397" s="32" t="e">
        <f>IF(#REF!=0,"",#REF!)</f>
        <v>#REF!</v>
      </c>
      <c r="E397" s="36" t="e">
        <f>IF(#REF!=0,"",#REF!)</f>
        <v>#REF!</v>
      </c>
      <c r="F397" s="36" t="e">
        <f>IF(#REF!=0,"",#REF!)</f>
        <v>#REF!</v>
      </c>
      <c r="G397" s="103">
        <f>'27'!Q397</f>
        <v>0</v>
      </c>
      <c r="H397" s="160">
        <f>'27'!R397</f>
        <v>0</v>
      </c>
      <c r="I397" s="160">
        <f>'27'!S397</f>
        <v>0</v>
      </c>
      <c r="J397" s="160"/>
      <c r="K397" s="104">
        <f>'27'!T397</f>
        <v>0</v>
      </c>
      <c r="L397" s="36" t="e">
        <f>#REF!</f>
        <v>#REF!</v>
      </c>
      <c r="M397" s="103" t="e">
        <f>#REF!</f>
        <v>#REF!</v>
      </c>
      <c r="N397" s="160"/>
      <c r="O397" s="104" t="e">
        <f>#REF!</f>
        <v>#REF!</v>
      </c>
      <c r="P397" s="52" t="e">
        <f>IF(#REF!=0,"",#REF!)</f>
        <v>#REF!</v>
      </c>
      <c r="Q397" s="109" t="e">
        <f>IF(#REF!=0,"",#REF!)</f>
        <v>#REF!</v>
      </c>
      <c r="R397" s="36" t="e">
        <f>IF(#REF!=0,"",#REF!)</f>
        <v>#REF!</v>
      </c>
      <c r="S397" s="36" t="e">
        <f>IF(#REF!=0,"",#REF!)</f>
        <v>#REF!</v>
      </c>
      <c r="T397" s="268"/>
      <c r="U397" s="268"/>
      <c r="V397" s="268"/>
    </row>
    <row r="398" ht="15" customHeight="1" spans="2:22">
      <c r="B398" s="6" t="e">
        <f t="shared" si="7"/>
        <v>#REF!</v>
      </c>
      <c r="C398" s="83" t="e">
        <f>#REF!</f>
        <v>#REF!</v>
      </c>
      <c r="D398" s="110" t="e">
        <f>IF(#REF!=0,"",#REF!)</f>
        <v>#REF!</v>
      </c>
      <c r="E398" s="85" t="e">
        <f>IF(#REF!=0,"",#REF!)</f>
        <v>#REF!</v>
      </c>
      <c r="F398" s="85" t="e">
        <f>IF(#REF!=0,"",#REF!)</f>
        <v>#REF!</v>
      </c>
      <c r="G398" s="105">
        <f>'27'!Q398</f>
        <v>0</v>
      </c>
      <c r="H398" s="161">
        <f>'27'!R398</f>
        <v>0</v>
      </c>
      <c r="I398" s="161">
        <f>'27'!S398</f>
        <v>0</v>
      </c>
      <c r="J398" s="161"/>
      <c r="K398" s="106">
        <f>'27'!T398</f>
        <v>0</v>
      </c>
      <c r="L398" s="85" t="e">
        <f>#REF!</f>
        <v>#REF!</v>
      </c>
      <c r="M398" s="105" t="e">
        <f>#REF!</f>
        <v>#REF!</v>
      </c>
      <c r="N398" s="161"/>
      <c r="O398" s="106" t="e">
        <f>#REF!</f>
        <v>#REF!</v>
      </c>
      <c r="P398" s="107" t="e">
        <f>IF(#REF!=0,"",#REF!)</f>
        <v>#REF!</v>
      </c>
      <c r="Q398" s="111" t="e">
        <f>IF(#REF!=0,"",#REF!)</f>
        <v>#REF!</v>
      </c>
      <c r="R398" s="85" t="e">
        <f>IF(#REF!=0,"",#REF!)</f>
        <v>#REF!</v>
      </c>
      <c r="S398" s="85" t="e">
        <f>IF(#REF!=0,"",#REF!)</f>
        <v>#REF!</v>
      </c>
      <c r="T398" s="268"/>
      <c r="U398" s="268"/>
      <c r="V398" s="268"/>
    </row>
    <row r="399" ht="15" customHeight="1" spans="2:22">
      <c r="B399" s="6" t="e">
        <f t="shared" si="7"/>
        <v>#REF!</v>
      </c>
      <c r="C399" s="79" t="e">
        <f>#REF!</f>
        <v>#REF!</v>
      </c>
      <c r="D399" s="62" t="e">
        <f>IF(#REF!=0,"",#REF!)</f>
        <v>#REF!</v>
      </c>
      <c r="E399" s="81" t="e">
        <f>IF(#REF!=0,"",#REF!)</f>
        <v>#REF!</v>
      </c>
      <c r="F399" s="81" t="e">
        <f>IF(#REF!=0,"",#REF!)</f>
        <v>#REF!</v>
      </c>
      <c r="G399" s="100" t="e">
        <f>#REF!</f>
        <v>#REF!</v>
      </c>
      <c r="H399" s="159">
        <f>'27'!R399</f>
        <v>0</v>
      </c>
      <c r="I399" s="159">
        <f>'27'!S399</f>
        <v>0</v>
      </c>
      <c r="J399" s="159"/>
      <c r="K399" s="101">
        <f>'27'!T399</f>
        <v>0</v>
      </c>
      <c r="L399" s="81" t="e">
        <f>#REF!</f>
        <v>#REF!</v>
      </c>
      <c r="M399" s="100" t="e">
        <f>#REF!</f>
        <v>#REF!</v>
      </c>
      <c r="N399" s="159"/>
      <c r="O399" s="101" t="e">
        <f>#REF!</f>
        <v>#REF!</v>
      </c>
      <c r="P399" s="102" t="e">
        <f>IF(#REF!=0,"",#REF!)</f>
        <v>#REF!</v>
      </c>
      <c r="Q399" s="108" t="e">
        <f>IF(#REF!=0,"",#REF!)</f>
        <v>#REF!</v>
      </c>
      <c r="R399" s="81" t="e">
        <f>IF(#REF!=0,"",#REF!)</f>
        <v>#REF!</v>
      </c>
      <c r="S399" s="81" t="e">
        <f>IF(#REF!=0,"",#REF!)</f>
        <v>#REF!</v>
      </c>
      <c r="T399" s="268"/>
      <c r="U399" s="268"/>
      <c r="V399" s="268"/>
    </row>
    <row r="400" ht="15" customHeight="1" spans="2:22">
      <c r="B400" s="6" t="e">
        <f t="shared" si="7"/>
        <v>#REF!</v>
      </c>
      <c r="C400" s="31" t="e">
        <f>#REF!</f>
        <v>#REF!</v>
      </c>
      <c r="D400" s="32" t="e">
        <f>IF(#REF!=0,"",#REF!)</f>
        <v>#REF!</v>
      </c>
      <c r="E400" s="36" t="e">
        <f>IF(#REF!=0,"",#REF!)</f>
        <v>#REF!</v>
      </c>
      <c r="F400" s="36" t="e">
        <f>IF(#REF!=0,"",#REF!)</f>
        <v>#REF!</v>
      </c>
      <c r="G400" s="103">
        <f>'27'!Q400</f>
        <v>0</v>
      </c>
      <c r="H400" s="160">
        <f>'27'!R400</f>
        <v>0</v>
      </c>
      <c r="I400" s="160">
        <f>'27'!S400</f>
        <v>0</v>
      </c>
      <c r="J400" s="160"/>
      <c r="K400" s="104">
        <f>'27'!T400</f>
        <v>0</v>
      </c>
      <c r="L400" s="36" t="e">
        <f>#REF!</f>
        <v>#REF!</v>
      </c>
      <c r="M400" s="103" t="e">
        <f>#REF!</f>
        <v>#REF!</v>
      </c>
      <c r="N400" s="160"/>
      <c r="O400" s="104" t="e">
        <f>#REF!</f>
        <v>#REF!</v>
      </c>
      <c r="P400" s="52" t="e">
        <f>IF(#REF!=0,"",#REF!)</f>
        <v>#REF!</v>
      </c>
      <c r="Q400" s="109" t="e">
        <f>IF(#REF!=0,"",#REF!)</f>
        <v>#REF!</v>
      </c>
      <c r="R400" s="36" t="e">
        <f>IF(#REF!=0,"",#REF!)</f>
        <v>#REF!</v>
      </c>
      <c r="S400" s="36" t="e">
        <f>IF(#REF!=0,"",#REF!)</f>
        <v>#REF!</v>
      </c>
      <c r="T400" s="268"/>
      <c r="U400" s="268"/>
      <c r="V400" s="268"/>
    </row>
    <row r="401" ht="15" customHeight="1" spans="2:22">
      <c r="B401" s="6" t="e">
        <f t="shared" si="7"/>
        <v>#REF!</v>
      </c>
      <c r="C401" s="83" t="e">
        <f>#REF!</f>
        <v>#REF!</v>
      </c>
      <c r="D401" s="110" t="e">
        <f>IF(#REF!=0,"",#REF!)</f>
        <v>#REF!</v>
      </c>
      <c r="E401" s="85" t="e">
        <f>IF(#REF!=0,"",#REF!)</f>
        <v>#REF!</v>
      </c>
      <c r="F401" s="85" t="e">
        <f>IF(#REF!=0,"",#REF!)</f>
        <v>#REF!</v>
      </c>
      <c r="G401" s="105">
        <f>'27'!Q401</f>
        <v>0</v>
      </c>
      <c r="H401" s="161">
        <f>'27'!R401</f>
        <v>0</v>
      </c>
      <c r="I401" s="161">
        <f>'27'!S401</f>
        <v>0</v>
      </c>
      <c r="J401" s="161"/>
      <c r="K401" s="106">
        <f>'27'!T401</f>
        <v>0</v>
      </c>
      <c r="L401" s="85" t="e">
        <f>#REF!</f>
        <v>#REF!</v>
      </c>
      <c r="M401" s="105" t="e">
        <f>#REF!</f>
        <v>#REF!</v>
      </c>
      <c r="N401" s="161"/>
      <c r="O401" s="106" t="e">
        <f>#REF!</f>
        <v>#REF!</v>
      </c>
      <c r="P401" s="107" t="e">
        <f>IF(#REF!=0,"",#REF!)</f>
        <v>#REF!</v>
      </c>
      <c r="Q401" s="111" t="e">
        <f>IF(#REF!=0,"",#REF!)</f>
        <v>#REF!</v>
      </c>
      <c r="R401" s="85" t="e">
        <f>IF(#REF!=0,"",#REF!)</f>
        <v>#REF!</v>
      </c>
      <c r="S401" s="85" t="e">
        <f>IF(#REF!=0,"",#REF!)</f>
        <v>#REF!</v>
      </c>
      <c r="T401" s="268"/>
      <c r="U401" s="268"/>
      <c r="V401" s="268"/>
    </row>
    <row r="402" ht="15" customHeight="1" spans="2:22">
      <c r="B402" s="6" t="e">
        <f t="shared" si="7"/>
        <v>#REF!</v>
      </c>
      <c r="C402" s="79" t="e">
        <f>#REF!</f>
        <v>#REF!</v>
      </c>
      <c r="D402" s="62" t="e">
        <f>IF(#REF!=0,"",#REF!)</f>
        <v>#REF!</v>
      </c>
      <c r="E402" s="81" t="e">
        <f>IF(#REF!=0,"",#REF!)</f>
        <v>#REF!</v>
      </c>
      <c r="F402" s="81" t="e">
        <f>IF(#REF!=0,"",#REF!)</f>
        <v>#REF!</v>
      </c>
      <c r="G402" s="100" t="e">
        <f>#REF!</f>
        <v>#REF!</v>
      </c>
      <c r="H402" s="159">
        <f>'27'!R402</f>
        <v>0</v>
      </c>
      <c r="I402" s="159">
        <f>'27'!S402</f>
        <v>0</v>
      </c>
      <c r="J402" s="159"/>
      <c r="K402" s="101">
        <f>'27'!T402</f>
        <v>0</v>
      </c>
      <c r="L402" s="81" t="e">
        <f>#REF!</f>
        <v>#REF!</v>
      </c>
      <c r="M402" s="100" t="e">
        <f>#REF!</f>
        <v>#REF!</v>
      </c>
      <c r="N402" s="159"/>
      <c r="O402" s="101" t="e">
        <f>#REF!</f>
        <v>#REF!</v>
      </c>
      <c r="P402" s="102" t="e">
        <f>IF(#REF!=0,"",#REF!)</f>
        <v>#REF!</v>
      </c>
      <c r="Q402" s="108" t="e">
        <f>IF(#REF!=0,"",#REF!)</f>
        <v>#REF!</v>
      </c>
      <c r="R402" s="81" t="e">
        <f>IF(#REF!=0,"",#REF!)</f>
        <v>#REF!</v>
      </c>
      <c r="S402" s="81" t="e">
        <f>IF(#REF!=0,"",#REF!)</f>
        <v>#REF!</v>
      </c>
      <c r="T402" s="268"/>
      <c r="U402" s="268"/>
      <c r="V402" s="268"/>
    </row>
    <row r="403" ht="15" customHeight="1" spans="2:22">
      <c r="B403" s="6" t="e">
        <f t="shared" si="7"/>
        <v>#REF!</v>
      </c>
      <c r="C403" s="31" t="e">
        <f>#REF!</f>
        <v>#REF!</v>
      </c>
      <c r="D403" s="32" t="e">
        <f>IF(#REF!=0,"",#REF!)</f>
        <v>#REF!</v>
      </c>
      <c r="E403" s="36" t="e">
        <f>IF(#REF!=0,"",#REF!)</f>
        <v>#REF!</v>
      </c>
      <c r="F403" s="36" t="e">
        <f>IF(#REF!=0,"",#REF!)</f>
        <v>#REF!</v>
      </c>
      <c r="G403" s="103">
        <f>'27'!Q403</f>
        <v>0</v>
      </c>
      <c r="H403" s="160">
        <f>'27'!R403</f>
        <v>0</v>
      </c>
      <c r="I403" s="160">
        <f>'27'!S403</f>
        <v>0</v>
      </c>
      <c r="J403" s="160"/>
      <c r="K403" s="104">
        <f>'27'!T403</f>
        <v>0</v>
      </c>
      <c r="L403" s="36" t="e">
        <f>#REF!</f>
        <v>#REF!</v>
      </c>
      <c r="M403" s="103" t="e">
        <f>#REF!</f>
        <v>#REF!</v>
      </c>
      <c r="N403" s="160"/>
      <c r="O403" s="104" t="e">
        <f>#REF!</f>
        <v>#REF!</v>
      </c>
      <c r="P403" s="52" t="e">
        <f>IF(#REF!=0,"",#REF!)</f>
        <v>#REF!</v>
      </c>
      <c r="Q403" s="109" t="e">
        <f>IF(#REF!=0,"",#REF!)</f>
        <v>#REF!</v>
      </c>
      <c r="R403" s="36" t="e">
        <f>IF(#REF!=0,"",#REF!)</f>
        <v>#REF!</v>
      </c>
      <c r="S403" s="36" t="e">
        <f>IF(#REF!=0,"",#REF!)</f>
        <v>#REF!</v>
      </c>
      <c r="T403" s="268"/>
      <c r="U403" s="268"/>
      <c r="V403" s="268"/>
    </row>
    <row r="404" ht="15" customHeight="1" spans="2:22">
      <c r="B404" s="6" t="e">
        <f t="shared" si="7"/>
        <v>#REF!</v>
      </c>
      <c r="C404" s="83" t="e">
        <f>#REF!</f>
        <v>#REF!</v>
      </c>
      <c r="D404" s="110" t="e">
        <f>IF(#REF!=0,"",#REF!)</f>
        <v>#REF!</v>
      </c>
      <c r="E404" s="85" t="e">
        <f>IF(#REF!=0,"",#REF!)</f>
        <v>#REF!</v>
      </c>
      <c r="F404" s="85" t="e">
        <f>IF(#REF!=0,"",#REF!)</f>
        <v>#REF!</v>
      </c>
      <c r="G404" s="105">
        <f>'27'!Q404</f>
        <v>0</v>
      </c>
      <c r="H404" s="161">
        <f>'27'!R404</f>
        <v>0</v>
      </c>
      <c r="I404" s="161">
        <f>'27'!S404</f>
        <v>0</v>
      </c>
      <c r="J404" s="161"/>
      <c r="K404" s="106">
        <f>'27'!T404</f>
        <v>0</v>
      </c>
      <c r="L404" s="85" t="e">
        <f>#REF!</f>
        <v>#REF!</v>
      </c>
      <c r="M404" s="105" t="e">
        <f>#REF!</f>
        <v>#REF!</v>
      </c>
      <c r="N404" s="161"/>
      <c r="O404" s="106" t="e">
        <f>#REF!</f>
        <v>#REF!</v>
      </c>
      <c r="P404" s="107" t="e">
        <f>IF(#REF!=0,"",#REF!)</f>
        <v>#REF!</v>
      </c>
      <c r="Q404" s="111" t="e">
        <f>IF(#REF!=0,"",#REF!)</f>
        <v>#REF!</v>
      </c>
      <c r="R404" s="85" t="e">
        <f>IF(#REF!=0,"",#REF!)</f>
        <v>#REF!</v>
      </c>
      <c r="S404" s="85" t="e">
        <f>IF(#REF!=0,"",#REF!)</f>
        <v>#REF!</v>
      </c>
      <c r="T404" s="268"/>
      <c r="U404" s="268"/>
      <c r="V404" s="268"/>
    </row>
    <row r="405" ht="15" customHeight="1" spans="2:22">
      <c r="B405" s="6" t="e">
        <f t="shared" si="7"/>
        <v>#REF!</v>
      </c>
      <c r="C405" s="79" t="e">
        <f>#REF!</f>
        <v>#REF!</v>
      </c>
      <c r="D405" s="62" t="e">
        <f>IF(#REF!=0,"",#REF!)</f>
        <v>#REF!</v>
      </c>
      <c r="E405" s="81" t="e">
        <f>IF(#REF!=0,"",#REF!)</f>
        <v>#REF!</v>
      </c>
      <c r="F405" s="81" t="e">
        <f>IF(#REF!=0,"",#REF!)</f>
        <v>#REF!</v>
      </c>
      <c r="G405" s="100" t="e">
        <f>#REF!</f>
        <v>#REF!</v>
      </c>
      <c r="H405" s="159">
        <f>'27'!R405</f>
        <v>0</v>
      </c>
      <c r="I405" s="159">
        <f>'27'!S405</f>
        <v>0</v>
      </c>
      <c r="J405" s="159"/>
      <c r="K405" s="101">
        <f>'27'!T405</f>
        <v>0</v>
      </c>
      <c r="L405" s="81" t="e">
        <f>#REF!</f>
        <v>#REF!</v>
      </c>
      <c r="M405" s="100" t="e">
        <f>#REF!</f>
        <v>#REF!</v>
      </c>
      <c r="N405" s="159"/>
      <c r="O405" s="101" t="e">
        <f>#REF!</f>
        <v>#REF!</v>
      </c>
      <c r="P405" s="102" t="e">
        <f>IF(#REF!=0,"",#REF!)</f>
        <v>#REF!</v>
      </c>
      <c r="Q405" s="108" t="e">
        <f>IF(#REF!=0,"",#REF!)</f>
        <v>#REF!</v>
      </c>
      <c r="R405" s="81" t="e">
        <f>IF(#REF!=0,"",#REF!)</f>
        <v>#REF!</v>
      </c>
      <c r="S405" s="81" t="e">
        <f>IF(#REF!=0,"",#REF!)</f>
        <v>#REF!</v>
      </c>
      <c r="T405" s="268"/>
      <c r="U405" s="268"/>
      <c r="V405" s="268"/>
    </row>
    <row r="406" ht="15" customHeight="1" spans="2:22">
      <c r="B406" s="6" t="e">
        <f t="shared" si="7"/>
        <v>#REF!</v>
      </c>
      <c r="C406" s="31" t="e">
        <f>#REF!</f>
        <v>#REF!</v>
      </c>
      <c r="D406" s="32" t="e">
        <f>IF(#REF!=0,"",#REF!)</f>
        <v>#REF!</v>
      </c>
      <c r="E406" s="36" t="e">
        <f>IF(#REF!=0,"",#REF!)</f>
        <v>#REF!</v>
      </c>
      <c r="F406" s="36" t="e">
        <f>IF(#REF!=0,"",#REF!)</f>
        <v>#REF!</v>
      </c>
      <c r="G406" s="103">
        <f>'27'!Q406</f>
        <v>0</v>
      </c>
      <c r="H406" s="160">
        <f>'27'!R406</f>
        <v>0</v>
      </c>
      <c r="I406" s="160">
        <f>'27'!S406</f>
        <v>0</v>
      </c>
      <c r="J406" s="160"/>
      <c r="K406" s="104">
        <f>'27'!T406</f>
        <v>0</v>
      </c>
      <c r="L406" s="36" t="e">
        <f>#REF!</f>
        <v>#REF!</v>
      </c>
      <c r="M406" s="103" t="e">
        <f>#REF!</f>
        <v>#REF!</v>
      </c>
      <c r="N406" s="160"/>
      <c r="O406" s="104" t="e">
        <f>#REF!</f>
        <v>#REF!</v>
      </c>
      <c r="P406" s="52" t="e">
        <f>IF(#REF!=0,"",#REF!)</f>
        <v>#REF!</v>
      </c>
      <c r="Q406" s="109" t="e">
        <f>IF(#REF!=0,"",#REF!)</f>
        <v>#REF!</v>
      </c>
      <c r="R406" s="36" t="e">
        <f>IF(#REF!=0,"",#REF!)</f>
        <v>#REF!</v>
      </c>
      <c r="S406" s="36" t="e">
        <f>IF(#REF!=0,"",#REF!)</f>
        <v>#REF!</v>
      </c>
      <c r="T406" s="268"/>
      <c r="U406" s="268"/>
      <c r="V406" s="268"/>
    </row>
    <row r="407" ht="15" customHeight="1" spans="2:22">
      <c r="B407" s="6" t="e">
        <f t="shared" si="7"/>
        <v>#REF!</v>
      </c>
      <c r="C407" s="83" t="e">
        <f>#REF!</f>
        <v>#REF!</v>
      </c>
      <c r="D407" s="110" t="e">
        <f>IF(#REF!=0,"",#REF!)</f>
        <v>#REF!</v>
      </c>
      <c r="E407" s="85" t="e">
        <f>IF(#REF!=0,"",#REF!)</f>
        <v>#REF!</v>
      </c>
      <c r="F407" s="85" t="e">
        <f>IF(#REF!=0,"",#REF!)</f>
        <v>#REF!</v>
      </c>
      <c r="G407" s="105">
        <f>'27'!Q407</f>
        <v>0</v>
      </c>
      <c r="H407" s="161">
        <f>'27'!R407</f>
        <v>0</v>
      </c>
      <c r="I407" s="161">
        <f>'27'!S407</f>
        <v>0</v>
      </c>
      <c r="J407" s="161"/>
      <c r="K407" s="106">
        <f>'27'!T407</f>
        <v>0</v>
      </c>
      <c r="L407" s="85" t="e">
        <f>#REF!</f>
        <v>#REF!</v>
      </c>
      <c r="M407" s="105" t="e">
        <f>#REF!</f>
        <v>#REF!</v>
      </c>
      <c r="N407" s="161"/>
      <c r="O407" s="106" t="e">
        <f>#REF!</f>
        <v>#REF!</v>
      </c>
      <c r="P407" s="107" t="e">
        <f>IF(#REF!=0,"",#REF!)</f>
        <v>#REF!</v>
      </c>
      <c r="Q407" s="111" t="e">
        <f>IF(#REF!=0,"",#REF!)</f>
        <v>#REF!</v>
      </c>
      <c r="R407" s="85" t="e">
        <f>IF(#REF!=0,"",#REF!)</f>
        <v>#REF!</v>
      </c>
      <c r="S407" s="85" t="e">
        <f>IF(#REF!=0,"",#REF!)</f>
        <v>#REF!</v>
      </c>
      <c r="T407" s="268"/>
      <c r="U407" s="268"/>
      <c r="V407" s="268"/>
    </row>
    <row r="408" ht="15" customHeight="1" spans="2:22">
      <c r="B408" s="6" t="e">
        <f t="shared" si="7"/>
        <v>#REF!</v>
      </c>
      <c r="C408" s="79" t="e">
        <f>#REF!</f>
        <v>#REF!</v>
      </c>
      <c r="D408" s="62" t="e">
        <f>IF(#REF!=0,"",#REF!)</f>
        <v>#REF!</v>
      </c>
      <c r="E408" s="81" t="e">
        <f>IF(#REF!=0,"",#REF!)</f>
        <v>#REF!</v>
      </c>
      <c r="F408" s="81" t="e">
        <f>IF(#REF!=0,"",#REF!)</f>
        <v>#REF!</v>
      </c>
      <c r="G408" s="100" t="e">
        <f>#REF!</f>
        <v>#REF!</v>
      </c>
      <c r="H408" s="159">
        <f>'27'!R408</f>
        <v>0</v>
      </c>
      <c r="I408" s="159">
        <f>'27'!S408</f>
        <v>0</v>
      </c>
      <c r="J408" s="159"/>
      <c r="K408" s="101">
        <f>'27'!T408</f>
        <v>0</v>
      </c>
      <c r="L408" s="81" t="e">
        <f>#REF!</f>
        <v>#REF!</v>
      </c>
      <c r="M408" s="100" t="e">
        <f>#REF!</f>
        <v>#REF!</v>
      </c>
      <c r="N408" s="159"/>
      <c r="O408" s="101" t="e">
        <f>#REF!</f>
        <v>#REF!</v>
      </c>
      <c r="P408" s="102" t="e">
        <f>IF(#REF!=0,"",#REF!)</f>
        <v>#REF!</v>
      </c>
      <c r="Q408" s="108" t="e">
        <f>IF(#REF!=0,"",#REF!)</f>
        <v>#REF!</v>
      </c>
      <c r="R408" s="81" t="e">
        <f>IF(#REF!=0,"",#REF!)</f>
        <v>#REF!</v>
      </c>
      <c r="S408" s="81" t="e">
        <f>IF(#REF!=0,"",#REF!)</f>
        <v>#REF!</v>
      </c>
      <c r="T408" s="268"/>
      <c r="U408" s="268"/>
      <c r="V408" s="268"/>
    </row>
    <row r="409" ht="15" customHeight="1" spans="2:22">
      <c r="B409" s="6" t="e">
        <f t="shared" si="7"/>
        <v>#REF!</v>
      </c>
      <c r="C409" s="31" t="e">
        <f>#REF!</f>
        <v>#REF!</v>
      </c>
      <c r="D409" s="32" t="e">
        <f>IF(#REF!=0,"",#REF!)</f>
        <v>#REF!</v>
      </c>
      <c r="E409" s="36" t="e">
        <f>IF(#REF!=0,"",#REF!)</f>
        <v>#REF!</v>
      </c>
      <c r="F409" s="36" t="e">
        <f>IF(#REF!=0,"",#REF!)</f>
        <v>#REF!</v>
      </c>
      <c r="G409" s="103">
        <f>'27'!Q409</f>
        <v>0</v>
      </c>
      <c r="H409" s="160">
        <f>'27'!R409</f>
        <v>0</v>
      </c>
      <c r="I409" s="160">
        <f>'27'!S409</f>
        <v>0</v>
      </c>
      <c r="J409" s="160"/>
      <c r="K409" s="104">
        <f>'27'!T409</f>
        <v>0</v>
      </c>
      <c r="L409" s="36" t="e">
        <f>#REF!</f>
        <v>#REF!</v>
      </c>
      <c r="M409" s="103" t="e">
        <f>#REF!</f>
        <v>#REF!</v>
      </c>
      <c r="N409" s="160"/>
      <c r="O409" s="104" t="e">
        <f>#REF!</f>
        <v>#REF!</v>
      </c>
      <c r="P409" s="52" t="e">
        <f>IF(#REF!=0,"",#REF!)</f>
        <v>#REF!</v>
      </c>
      <c r="Q409" s="109" t="e">
        <f>IF(#REF!=0,"",#REF!)</f>
        <v>#REF!</v>
      </c>
      <c r="R409" s="36" t="e">
        <f>IF(#REF!=0,"",#REF!)</f>
        <v>#REF!</v>
      </c>
      <c r="S409" s="36" t="e">
        <f>IF(#REF!=0,"",#REF!)</f>
        <v>#REF!</v>
      </c>
      <c r="T409" s="268"/>
      <c r="U409" s="268"/>
      <c r="V409" s="268"/>
    </row>
    <row r="410" ht="15" customHeight="1" spans="2:22">
      <c r="B410" s="6" t="e">
        <f t="shared" si="7"/>
        <v>#REF!</v>
      </c>
      <c r="C410" s="83" t="e">
        <f>#REF!</f>
        <v>#REF!</v>
      </c>
      <c r="D410" s="110" t="e">
        <f>IF(#REF!=0,"",#REF!)</f>
        <v>#REF!</v>
      </c>
      <c r="E410" s="85" t="e">
        <f>IF(#REF!=0,"",#REF!)</f>
        <v>#REF!</v>
      </c>
      <c r="F410" s="85" t="e">
        <f>IF(#REF!=0,"",#REF!)</f>
        <v>#REF!</v>
      </c>
      <c r="G410" s="105">
        <f>'27'!Q410</f>
        <v>0</v>
      </c>
      <c r="H410" s="161">
        <f>'27'!R410</f>
        <v>0</v>
      </c>
      <c r="I410" s="161">
        <f>'27'!S410</f>
        <v>0</v>
      </c>
      <c r="J410" s="161"/>
      <c r="K410" s="106">
        <f>'27'!T410</f>
        <v>0</v>
      </c>
      <c r="L410" s="85" t="e">
        <f>#REF!</f>
        <v>#REF!</v>
      </c>
      <c r="M410" s="105" t="e">
        <f>#REF!</f>
        <v>#REF!</v>
      </c>
      <c r="N410" s="161"/>
      <c r="O410" s="106" t="e">
        <f>#REF!</f>
        <v>#REF!</v>
      </c>
      <c r="P410" s="107" t="e">
        <f>IF(#REF!=0,"",#REF!)</f>
        <v>#REF!</v>
      </c>
      <c r="Q410" s="111" t="e">
        <f>IF(#REF!=0,"",#REF!)</f>
        <v>#REF!</v>
      </c>
      <c r="R410" s="85" t="e">
        <f>IF(#REF!=0,"",#REF!)</f>
        <v>#REF!</v>
      </c>
      <c r="S410" s="85" t="e">
        <f>IF(#REF!=0,"",#REF!)</f>
        <v>#REF!</v>
      </c>
      <c r="T410" s="268"/>
      <c r="U410" s="268"/>
      <c r="V410" s="268"/>
    </row>
    <row r="411" ht="15" customHeight="1" spans="2:22">
      <c r="B411" s="6" t="e">
        <f t="shared" si="7"/>
        <v>#REF!</v>
      </c>
      <c r="C411" s="79" t="e">
        <f>#REF!</f>
        <v>#REF!</v>
      </c>
      <c r="D411" s="62" t="e">
        <f>IF(#REF!=0,"",#REF!)</f>
        <v>#REF!</v>
      </c>
      <c r="E411" s="81" t="e">
        <f>IF(#REF!=0,"",#REF!)</f>
        <v>#REF!</v>
      </c>
      <c r="F411" s="81" t="e">
        <f>IF(#REF!=0,"",#REF!)</f>
        <v>#REF!</v>
      </c>
      <c r="G411" s="100" t="e">
        <f>#REF!</f>
        <v>#REF!</v>
      </c>
      <c r="H411" s="159">
        <f>'27'!R411</f>
        <v>0</v>
      </c>
      <c r="I411" s="159">
        <f>'27'!S411</f>
        <v>0</v>
      </c>
      <c r="J411" s="159"/>
      <c r="K411" s="101">
        <f>'27'!T411</f>
        <v>0</v>
      </c>
      <c r="L411" s="81" t="e">
        <f>#REF!</f>
        <v>#REF!</v>
      </c>
      <c r="M411" s="100" t="e">
        <f>#REF!</f>
        <v>#REF!</v>
      </c>
      <c r="N411" s="159"/>
      <c r="O411" s="101" t="e">
        <f>#REF!</f>
        <v>#REF!</v>
      </c>
      <c r="P411" s="102" t="e">
        <f>IF(#REF!=0,"",#REF!)</f>
        <v>#REF!</v>
      </c>
      <c r="Q411" s="108" t="e">
        <f>IF(#REF!=0,"",#REF!)</f>
        <v>#REF!</v>
      </c>
      <c r="R411" s="81" t="e">
        <f>IF(#REF!=0,"",#REF!)</f>
        <v>#REF!</v>
      </c>
      <c r="S411" s="81" t="e">
        <f>IF(#REF!=0,"",#REF!)</f>
        <v>#REF!</v>
      </c>
      <c r="T411" s="268"/>
      <c r="U411" s="268"/>
      <c r="V411" s="268"/>
    </row>
    <row r="412" ht="15" customHeight="1" spans="2:22">
      <c r="B412" s="6" t="e">
        <f t="shared" si="7"/>
        <v>#REF!</v>
      </c>
      <c r="C412" s="31" t="e">
        <f>#REF!</f>
        <v>#REF!</v>
      </c>
      <c r="D412" s="32" t="e">
        <f>IF(#REF!=0,"",#REF!)</f>
        <v>#REF!</v>
      </c>
      <c r="E412" s="36" t="e">
        <f>IF(#REF!=0,"",#REF!)</f>
        <v>#REF!</v>
      </c>
      <c r="F412" s="36" t="e">
        <f>IF(#REF!=0,"",#REF!)</f>
        <v>#REF!</v>
      </c>
      <c r="G412" s="103">
        <f>'27'!Q412</f>
        <v>0</v>
      </c>
      <c r="H412" s="160">
        <f>'27'!R412</f>
        <v>0</v>
      </c>
      <c r="I412" s="160">
        <f>'27'!S412</f>
        <v>0</v>
      </c>
      <c r="J412" s="160"/>
      <c r="K412" s="104">
        <f>'27'!T412</f>
        <v>0</v>
      </c>
      <c r="L412" s="36" t="e">
        <f>#REF!</f>
        <v>#REF!</v>
      </c>
      <c r="M412" s="103" t="e">
        <f>#REF!</f>
        <v>#REF!</v>
      </c>
      <c r="N412" s="160"/>
      <c r="O412" s="104" t="e">
        <f>#REF!</f>
        <v>#REF!</v>
      </c>
      <c r="P412" s="52" t="e">
        <f>IF(#REF!=0,"",#REF!)</f>
        <v>#REF!</v>
      </c>
      <c r="Q412" s="109" t="e">
        <f>IF(#REF!=0,"",#REF!)</f>
        <v>#REF!</v>
      </c>
      <c r="R412" s="36" t="e">
        <f>IF(#REF!=0,"",#REF!)</f>
        <v>#REF!</v>
      </c>
      <c r="S412" s="36" t="e">
        <f>IF(#REF!=0,"",#REF!)</f>
        <v>#REF!</v>
      </c>
      <c r="T412" s="268"/>
      <c r="U412" s="268"/>
      <c r="V412" s="268"/>
    </row>
    <row r="413" ht="15" customHeight="1" spans="2:22">
      <c r="B413" s="6" t="e">
        <f t="shared" si="7"/>
        <v>#REF!</v>
      </c>
      <c r="C413" s="83" t="e">
        <f>#REF!</f>
        <v>#REF!</v>
      </c>
      <c r="D413" s="110" t="e">
        <f>IF(#REF!=0,"",#REF!)</f>
        <v>#REF!</v>
      </c>
      <c r="E413" s="85" t="e">
        <f>IF(#REF!=0,"",#REF!)</f>
        <v>#REF!</v>
      </c>
      <c r="F413" s="85" t="e">
        <f>IF(#REF!=0,"",#REF!)</f>
        <v>#REF!</v>
      </c>
      <c r="G413" s="105">
        <f>'27'!Q413</f>
        <v>0</v>
      </c>
      <c r="H413" s="161">
        <f>'27'!R413</f>
        <v>0</v>
      </c>
      <c r="I413" s="161">
        <f>'27'!S413</f>
        <v>0</v>
      </c>
      <c r="J413" s="161"/>
      <c r="K413" s="106">
        <f>'27'!T413</f>
        <v>0</v>
      </c>
      <c r="L413" s="85" t="e">
        <f>#REF!</f>
        <v>#REF!</v>
      </c>
      <c r="M413" s="105" t="e">
        <f>#REF!</f>
        <v>#REF!</v>
      </c>
      <c r="N413" s="161"/>
      <c r="O413" s="106" t="e">
        <f>#REF!</f>
        <v>#REF!</v>
      </c>
      <c r="P413" s="107" t="e">
        <f>IF(#REF!=0,"",#REF!)</f>
        <v>#REF!</v>
      </c>
      <c r="Q413" s="111" t="e">
        <f>IF(#REF!=0,"",#REF!)</f>
        <v>#REF!</v>
      </c>
      <c r="R413" s="85" t="e">
        <f>IF(#REF!=0,"",#REF!)</f>
        <v>#REF!</v>
      </c>
      <c r="S413" s="85" t="e">
        <f>IF(#REF!=0,"",#REF!)</f>
        <v>#REF!</v>
      </c>
      <c r="T413" s="268"/>
      <c r="U413" s="268"/>
      <c r="V413" s="268"/>
    </row>
    <row r="414" ht="15" customHeight="1" spans="2:22">
      <c r="B414" s="6" t="e">
        <f t="shared" si="7"/>
        <v>#REF!</v>
      </c>
      <c r="C414" s="79" t="e">
        <f>#REF!</f>
        <v>#REF!</v>
      </c>
      <c r="D414" s="62" t="e">
        <f>IF(#REF!=0,"",#REF!)</f>
        <v>#REF!</v>
      </c>
      <c r="E414" s="81" t="e">
        <f>IF(#REF!=0,"",#REF!)</f>
        <v>#REF!</v>
      </c>
      <c r="F414" s="81" t="e">
        <f>IF(#REF!=0,"",#REF!)</f>
        <v>#REF!</v>
      </c>
      <c r="G414" s="100" t="e">
        <f>#REF!</f>
        <v>#REF!</v>
      </c>
      <c r="H414" s="159">
        <f>'27'!R414</f>
        <v>0</v>
      </c>
      <c r="I414" s="159">
        <f>'27'!S414</f>
        <v>0</v>
      </c>
      <c r="J414" s="159"/>
      <c r="K414" s="101">
        <f>'27'!T414</f>
        <v>0</v>
      </c>
      <c r="L414" s="81" t="e">
        <f>#REF!</f>
        <v>#REF!</v>
      </c>
      <c r="M414" s="100" t="e">
        <f>#REF!</f>
        <v>#REF!</v>
      </c>
      <c r="N414" s="159"/>
      <c r="O414" s="101" t="e">
        <f>#REF!</f>
        <v>#REF!</v>
      </c>
      <c r="P414" s="102" t="e">
        <f>IF(#REF!=0,"",#REF!)</f>
        <v>#REF!</v>
      </c>
      <c r="Q414" s="108" t="e">
        <f>IF(#REF!=0,"",#REF!)</f>
        <v>#REF!</v>
      </c>
      <c r="R414" s="81" t="e">
        <f>IF(#REF!=0,"",#REF!)</f>
        <v>#REF!</v>
      </c>
      <c r="S414" s="81" t="e">
        <f>IF(#REF!=0,"",#REF!)</f>
        <v>#REF!</v>
      </c>
      <c r="T414" s="268"/>
      <c r="U414" s="268"/>
      <c r="V414" s="268"/>
    </row>
    <row r="415" ht="15" customHeight="1" spans="2:22">
      <c r="B415" s="6" t="e">
        <f t="shared" si="7"/>
        <v>#REF!</v>
      </c>
      <c r="C415" s="31" t="e">
        <f>#REF!</f>
        <v>#REF!</v>
      </c>
      <c r="D415" s="32" t="e">
        <f>IF(#REF!=0,"",#REF!)</f>
        <v>#REF!</v>
      </c>
      <c r="E415" s="36" t="e">
        <f>IF(#REF!=0,"",#REF!)</f>
        <v>#REF!</v>
      </c>
      <c r="F415" s="36" t="e">
        <f>IF(#REF!=0,"",#REF!)</f>
        <v>#REF!</v>
      </c>
      <c r="G415" s="103">
        <f>'27'!Q415</f>
        <v>0</v>
      </c>
      <c r="H415" s="160">
        <f>'27'!R415</f>
        <v>0</v>
      </c>
      <c r="I415" s="160">
        <f>'27'!S415</f>
        <v>0</v>
      </c>
      <c r="J415" s="160"/>
      <c r="K415" s="104">
        <f>'27'!T415</f>
        <v>0</v>
      </c>
      <c r="L415" s="36" t="e">
        <f>#REF!</f>
        <v>#REF!</v>
      </c>
      <c r="M415" s="103" t="e">
        <f>#REF!</f>
        <v>#REF!</v>
      </c>
      <c r="N415" s="160"/>
      <c r="O415" s="104" t="e">
        <f>#REF!</f>
        <v>#REF!</v>
      </c>
      <c r="P415" s="52" t="e">
        <f>IF(#REF!=0,"",#REF!)</f>
        <v>#REF!</v>
      </c>
      <c r="Q415" s="109" t="e">
        <f>IF(#REF!=0,"",#REF!)</f>
        <v>#REF!</v>
      </c>
      <c r="R415" s="36" t="e">
        <f>IF(#REF!=0,"",#REF!)</f>
        <v>#REF!</v>
      </c>
      <c r="S415" s="36" t="e">
        <f>IF(#REF!=0,"",#REF!)</f>
        <v>#REF!</v>
      </c>
      <c r="T415" s="268"/>
      <c r="U415" s="268"/>
      <c r="V415" s="268"/>
    </row>
    <row r="416" ht="15" customHeight="1" spans="2:22">
      <c r="B416" s="6" t="e">
        <f t="shared" si="7"/>
        <v>#REF!</v>
      </c>
      <c r="C416" s="83" t="e">
        <f>#REF!</f>
        <v>#REF!</v>
      </c>
      <c r="D416" s="110" t="e">
        <f>IF(#REF!=0,"",#REF!)</f>
        <v>#REF!</v>
      </c>
      <c r="E416" s="85" t="e">
        <f>IF(#REF!=0,"",#REF!)</f>
        <v>#REF!</v>
      </c>
      <c r="F416" s="85" t="e">
        <f>IF(#REF!=0,"",#REF!)</f>
        <v>#REF!</v>
      </c>
      <c r="G416" s="105">
        <f>'27'!Q416</f>
        <v>0</v>
      </c>
      <c r="H416" s="161">
        <f>'27'!R416</f>
        <v>0</v>
      </c>
      <c r="I416" s="161">
        <f>'27'!S416</f>
        <v>0</v>
      </c>
      <c r="J416" s="161"/>
      <c r="K416" s="106">
        <f>'27'!T416</f>
        <v>0</v>
      </c>
      <c r="L416" s="85" t="e">
        <f>#REF!</f>
        <v>#REF!</v>
      </c>
      <c r="M416" s="105" t="e">
        <f>#REF!</f>
        <v>#REF!</v>
      </c>
      <c r="N416" s="161"/>
      <c r="O416" s="106" t="e">
        <f>#REF!</f>
        <v>#REF!</v>
      </c>
      <c r="P416" s="107" t="e">
        <f>IF(#REF!=0,"",#REF!)</f>
        <v>#REF!</v>
      </c>
      <c r="Q416" s="111" t="e">
        <f>IF(#REF!=0,"",#REF!)</f>
        <v>#REF!</v>
      </c>
      <c r="R416" s="85" t="e">
        <f>IF(#REF!=0,"",#REF!)</f>
        <v>#REF!</v>
      </c>
      <c r="S416" s="85" t="e">
        <f>IF(#REF!=0,"",#REF!)</f>
        <v>#REF!</v>
      </c>
      <c r="T416" s="268"/>
      <c r="U416" s="268"/>
      <c r="V416" s="268"/>
    </row>
    <row r="417" ht="15" customHeight="1" spans="2:22">
      <c r="B417" s="6" t="e">
        <f t="shared" si="7"/>
        <v>#REF!</v>
      </c>
      <c r="C417" s="79" t="e">
        <f>#REF!</f>
        <v>#REF!</v>
      </c>
      <c r="D417" s="62" t="e">
        <f>IF(#REF!=0,"",#REF!)</f>
        <v>#REF!</v>
      </c>
      <c r="E417" s="81" t="e">
        <f>IF(#REF!=0,"",#REF!)</f>
        <v>#REF!</v>
      </c>
      <c r="F417" s="81" t="e">
        <f>IF(#REF!=0,"",#REF!)</f>
        <v>#REF!</v>
      </c>
      <c r="G417" s="100" t="e">
        <f>#REF!</f>
        <v>#REF!</v>
      </c>
      <c r="H417" s="159">
        <f>'27'!R417</f>
        <v>0</v>
      </c>
      <c r="I417" s="159">
        <f>'27'!S417</f>
        <v>0</v>
      </c>
      <c r="J417" s="159"/>
      <c r="K417" s="101">
        <f>'27'!T417</f>
        <v>0</v>
      </c>
      <c r="L417" s="81" t="e">
        <f>#REF!</f>
        <v>#REF!</v>
      </c>
      <c r="M417" s="100" t="e">
        <f>#REF!</f>
        <v>#REF!</v>
      </c>
      <c r="N417" s="159"/>
      <c r="O417" s="101" t="e">
        <f>#REF!</f>
        <v>#REF!</v>
      </c>
      <c r="P417" s="102" t="e">
        <f>IF(#REF!=0,"",#REF!)</f>
        <v>#REF!</v>
      </c>
      <c r="Q417" s="108" t="e">
        <f>IF(#REF!=0,"",#REF!)</f>
        <v>#REF!</v>
      </c>
      <c r="R417" s="81" t="e">
        <f>IF(#REF!=0,"",#REF!)</f>
        <v>#REF!</v>
      </c>
      <c r="S417" s="81" t="e">
        <f>IF(#REF!=0,"",#REF!)</f>
        <v>#REF!</v>
      </c>
      <c r="T417" s="268"/>
      <c r="U417" s="268"/>
      <c r="V417" s="268"/>
    </row>
    <row r="418" ht="15" customHeight="1" spans="2:22">
      <c r="B418" s="6" t="e">
        <f t="shared" si="7"/>
        <v>#REF!</v>
      </c>
      <c r="C418" s="31" t="e">
        <f>#REF!</f>
        <v>#REF!</v>
      </c>
      <c r="D418" s="32" t="e">
        <f>IF(#REF!=0,"",#REF!)</f>
        <v>#REF!</v>
      </c>
      <c r="E418" s="36" t="e">
        <f>IF(#REF!=0,"",#REF!)</f>
        <v>#REF!</v>
      </c>
      <c r="F418" s="36" t="e">
        <f>IF(#REF!=0,"",#REF!)</f>
        <v>#REF!</v>
      </c>
      <c r="G418" s="103">
        <f>'27'!Q418</f>
        <v>0</v>
      </c>
      <c r="H418" s="160">
        <f>'27'!R418</f>
        <v>0</v>
      </c>
      <c r="I418" s="160">
        <f>'27'!S418</f>
        <v>0</v>
      </c>
      <c r="J418" s="160"/>
      <c r="K418" s="104">
        <f>'27'!T418</f>
        <v>0</v>
      </c>
      <c r="L418" s="36" t="e">
        <f>#REF!</f>
        <v>#REF!</v>
      </c>
      <c r="M418" s="103" t="e">
        <f>#REF!</f>
        <v>#REF!</v>
      </c>
      <c r="N418" s="160"/>
      <c r="O418" s="104" t="e">
        <f>#REF!</f>
        <v>#REF!</v>
      </c>
      <c r="P418" s="52" t="e">
        <f>IF(#REF!=0,"",#REF!)</f>
        <v>#REF!</v>
      </c>
      <c r="Q418" s="109" t="e">
        <f>IF(#REF!=0,"",#REF!)</f>
        <v>#REF!</v>
      </c>
      <c r="R418" s="36" t="e">
        <f>IF(#REF!=0,"",#REF!)</f>
        <v>#REF!</v>
      </c>
      <c r="S418" s="36" t="e">
        <f>IF(#REF!=0,"",#REF!)</f>
        <v>#REF!</v>
      </c>
      <c r="T418" s="268"/>
      <c r="U418" s="268"/>
      <c r="V418" s="268"/>
    </row>
    <row r="419" ht="15" customHeight="1" spans="2:22">
      <c r="B419" s="6" t="e">
        <f t="shared" si="7"/>
        <v>#REF!</v>
      </c>
      <c r="C419" s="83" t="e">
        <f>#REF!</f>
        <v>#REF!</v>
      </c>
      <c r="D419" s="110" t="e">
        <f>IF(#REF!=0,"",#REF!)</f>
        <v>#REF!</v>
      </c>
      <c r="E419" s="85" t="e">
        <f>IF(#REF!=0,"",#REF!)</f>
        <v>#REF!</v>
      </c>
      <c r="F419" s="85" t="e">
        <f>IF(#REF!=0,"",#REF!)</f>
        <v>#REF!</v>
      </c>
      <c r="G419" s="105">
        <f>'27'!Q419</f>
        <v>0</v>
      </c>
      <c r="H419" s="161">
        <f>'27'!R419</f>
        <v>0</v>
      </c>
      <c r="I419" s="161">
        <f>'27'!S419</f>
        <v>0</v>
      </c>
      <c r="J419" s="161"/>
      <c r="K419" s="106">
        <f>'27'!T419</f>
        <v>0</v>
      </c>
      <c r="L419" s="85" t="e">
        <f>#REF!</f>
        <v>#REF!</v>
      </c>
      <c r="M419" s="105" t="e">
        <f>#REF!</f>
        <v>#REF!</v>
      </c>
      <c r="N419" s="161"/>
      <c r="O419" s="106" t="e">
        <f>#REF!</f>
        <v>#REF!</v>
      </c>
      <c r="P419" s="107" t="e">
        <f>IF(#REF!=0,"",#REF!)</f>
        <v>#REF!</v>
      </c>
      <c r="Q419" s="111" t="e">
        <f>IF(#REF!=0,"",#REF!)</f>
        <v>#REF!</v>
      </c>
      <c r="R419" s="85" t="e">
        <f>IF(#REF!=0,"",#REF!)</f>
        <v>#REF!</v>
      </c>
      <c r="S419" s="85" t="e">
        <f>IF(#REF!=0,"",#REF!)</f>
        <v>#REF!</v>
      </c>
      <c r="T419" s="268"/>
      <c r="U419" s="268"/>
      <c r="V419" s="268"/>
    </row>
    <row r="420" ht="15" customHeight="1" spans="2:22">
      <c r="B420" s="6" t="e">
        <f t="shared" si="7"/>
        <v>#REF!</v>
      </c>
      <c r="C420" s="79" t="e">
        <f>#REF!</f>
        <v>#REF!</v>
      </c>
      <c r="D420" s="62" t="e">
        <f>IF(#REF!=0,"",#REF!)</f>
        <v>#REF!</v>
      </c>
      <c r="E420" s="81" t="e">
        <f>IF(#REF!=0,"",#REF!)</f>
        <v>#REF!</v>
      </c>
      <c r="F420" s="81" t="e">
        <f>IF(#REF!=0,"",#REF!)</f>
        <v>#REF!</v>
      </c>
      <c r="G420" s="100" t="e">
        <f>#REF!</f>
        <v>#REF!</v>
      </c>
      <c r="H420" s="159">
        <f>'27'!R420</f>
        <v>0</v>
      </c>
      <c r="I420" s="159">
        <f>'27'!S420</f>
        <v>0</v>
      </c>
      <c r="J420" s="159"/>
      <c r="K420" s="101">
        <f>'27'!T420</f>
        <v>0</v>
      </c>
      <c r="L420" s="81" t="e">
        <f>#REF!</f>
        <v>#REF!</v>
      </c>
      <c r="M420" s="100" t="e">
        <f>#REF!</f>
        <v>#REF!</v>
      </c>
      <c r="N420" s="159"/>
      <c r="O420" s="101" t="e">
        <f>#REF!</f>
        <v>#REF!</v>
      </c>
      <c r="P420" s="102" t="e">
        <f>IF(#REF!=0,"",#REF!)</f>
        <v>#REF!</v>
      </c>
      <c r="Q420" s="108" t="e">
        <f>IF(#REF!=0,"",#REF!)</f>
        <v>#REF!</v>
      </c>
      <c r="R420" s="81" t="e">
        <f>IF(#REF!=0,"",#REF!)</f>
        <v>#REF!</v>
      </c>
      <c r="S420" s="81" t="e">
        <f>IF(#REF!=0,"",#REF!)</f>
        <v>#REF!</v>
      </c>
      <c r="T420" s="268"/>
      <c r="U420" s="268"/>
      <c r="V420" s="268"/>
    </row>
    <row r="421" ht="15" customHeight="1" spans="2:22">
      <c r="B421" s="6" t="e">
        <f t="shared" si="7"/>
        <v>#REF!</v>
      </c>
      <c r="C421" s="31" t="e">
        <f>#REF!</f>
        <v>#REF!</v>
      </c>
      <c r="D421" s="32" t="e">
        <f>IF(#REF!=0,"",#REF!)</f>
        <v>#REF!</v>
      </c>
      <c r="E421" s="36" t="e">
        <f>IF(#REF!=0,"",#REF!)</f>
        <v>#REF!</v>
      </c>
      <c r="F421" s="36" t="e">
        <f>IF(#REF!=0,"",#REF!)</f>
        <v>#REF!</v>
      </c>
      <c r="G421" s="103">
        <f>'27'!Q421</f>
        <v>0</v>
      </c>
      <c r="H421" s="160">
        <f>'27'!R421</f>
        <v>0</v>
      </c>
      <c r="I421" s="160">
        <f>'27'!S421</f>
        <v>0</v>
      </c>
      <c r="J421" s="160"/>
      <c r="K421" s="104">
        <f>'27'!T421</f>
        <v>0</v>
      </c>
      <c r="L421" s="36" t="e">
        <f>#REF!</f>
        <v>#REF!</v>
      </c>
      <c r="M421" s="103" t="e">
        <f>#REF!</f>
        <v>#REF!</v>
      </c>
      <c r="N421" s="160"/>
      <c r="O421" s="104" t="e">
        <f>#REF!</f>
        <v>#REF!</v>
      </c>
      <c r="P421" s="52" t="e">
        <f>IF(#REF!=0,"",#REF!)</f>
        <v>#REF!</v>
      </c>
      <c r="Q421" s="109" t="e">
        <f>IF(#REF!=0,"",#REF!)</f>
        <v>#REF!</v>
      </c>
      <c r="R421" s="36" t="e">
        <f>IF(#REF!=0,"",#REF!)</f>
        <v>#REF!</v>
      </c>
      <c r="S421" s="36" t="e">
        <f>IF(#REF!=0,"",#REF!)</f>
        <v>#REF!</v>
      </c>
      <c r="T421" s="268"/>
      <c r="U421" s="268"/>
      <c r="V421" s="268"/>
    </row>
    <row r="422" ht="15" customHeight="1" spans="2:22">
      <c r="B422" s="6" t="e">
        <f t="shared" si="7"/>
        <v>#REF!</v>
      </c>
      <c r="C422" s="83" t="e">
        <f>#REF!</f>
        <v>#REF!</v>
      </c>
      <c r="D422" s="110" t="e">
        <f>IF(#REF!=0,"",#REF!)</f>
        <v>#REF!</v>
      </c>
      <c r="E422" s="85" t="e">
        <f>IF(#REF!=0,"",#REF!)</f>
        <v>#REF!</v>
      </c>
      <c r="F422" s="85" t="e">
        <f>IF(#REF!=0,"",#REF!)</f>
        <v>#REF!</v>
      </c>
      <c r="G422" s="105">
        <f>'27'!Q422</f>
        <v>0</v>
      </c>
      <c r="H422" s="161">
        <f>'27'!R422</f>
        <v>0</v>
      </c>
      <c r="I422" s="161">
        <f>'27'!S422</f>
        <v>0</v>
      </c>
      <c r="J422" s="161"/>
      <c r="K422" s="106">
        <f>'27'!T422</f>
        <v>0</v>
      </c>
      <c r="L422" s="85" t="e">
        <f>#REF!</f>
        <v>#REF!</v>
      </c>
      <c r="M422" s="105" t="e">
        <f>#REF!</f>
        <v>#REF!</v>
      </c>
      <c r="N422" s="161"/>
      <c r="O422" s="106" t="e">
        <f>#REF!</f>
        <v>#REF!</v>
      </c>
      <c r="P422" s="107" t="e">
        <f>IF(#REF!=0,"",#REF!)</f>
        <v>#REF!</v>
      </c>
      <c r="Q422" s="111" t="e">
        <f>IF(#REF!=0,"",#REF!)</f>
        <v>#REF!</v>
      </c>
      <c r="R422" s="85" t="e">
        <f>IF(#REF!=0,"",#REF!)</f>
        <v>#REF!</v>
      </c>
      <c r="S422" s="85" t="e">
        <f>IF(#REF!=0,"",#REF!)</f>
        <v>#REF!</v>
      </c>
      <c r="T422" s="268"/>
      <c r="U422" s="268"/>
      <c r="V422" s="268"/>
    </row>
    <row r="423" ht="15" customHeight="1" spans="2:22">
      <c r="B423" s="6" t="e">
        <f t="shared" si="7"/>
        <v>#REF!</v>
      </c>
      <c r="C423" s="79" t="e">
        <f>#REF!</f>
        <v>#REF!</v>
      </c>
      <c r="D423" s="62" t="e">
        <f>IF(#REF!=0,"",#REF!)</f>
        <v>#REF!</v>
      </c>
      <c r="E423" s="81" t="e">
        <f>IF(#REF!=0,"",#REF!)</f>
        <v>#REF!</v>
      </c>
      <c r="F423" s="81" t="e">
        <f>IF(#REF!=0,"",#REF!)</f>
        <v>#REF!</v>
      </c>
      <c r="G423" s="100" t="e">
        <f>#REF!</f>
        <v>#REF!</v>
      </c>
      <c r="H423" s="159">
        <f>'27'!R423</f>
        <v>0</v>
      </c>
      <c r="I423" s="159">
        <f>'27'!S423</f>
        <v>0</v>
      </c>
      <c r="J423" s="159"/>
      <c r="K423" s="101">
        <f>'27'!T423</f>
        <v>0</v>
      </c>
      <c r="L423" s="81" t="e">
        <f>#REF!</f>
        <v>#REF!</v>
      </c>
      <c r="M423" s="100" t="e">
        <f>#REF!</f>
        <v>#REF!</v>
      </c>
      <c r="N423" s="159"/>
      <c r="O423" s="101" t="e">
        <f>#REF!</f>
        <v>#REF!</v>
      </c>
      <c r="P423" s="102" t="e">
        <f>IF(#REF!=0,"",#REF!)</f>
        <v>#REF!</v>
      </c>
      <c r="Q423" s="108" t="e">
        <f>IF(#REF!=0,"",#REF!)</f>
        <v>#REF!</v>
      </c>
      <c r="R423" s="81" t="e">
        <f>IF(#REF!=0,"",#REF!)</f>
        <v>#REF!</v>
      </c>
      <c r="S423" s="81" t="e">
        <f>IF(#REF!=0,"",#REF!)</f>
        <v>#REF!</v>
      </c>
      <c r="T423" s="268"/>
      <c r="U423" s="268"/>
      <c r="V423" s="268"/>
    </row>
    <row r="424" ht="15" customHeight="1" spans="2:22">
      <c r="B424" s="6" t="e">
        <f t="shared" si="7"/>
        <v>#REF!</v>
      </c>
      <c r="C424" s="31" t="e">
        <f>#REF!</f>
        <v>#REF!</v>
      </c>
      <c r="D424" s="32" t="e">
        <f>IF(#REF!=0,"",#REF!)</f>
        <v>#REF!</v>
      </c>
      <c r="E424" s="36" t="e">
        <f>IF(#REF!=0,"",#REF!)</f>
        <v>#REF!</v>
      </c>
      <c r="F424" s="36" t="e">
        <f>IF(#REF!=0,"",#REF!)</f>
        <v>#REF!</v>
      </c>
      <c r="G424" s="103">
        <f>'27'!Q424</f>
        <v>0</v>
      </c>
      <c r="H424" s="160">
        <f>'27'!R424</f>
        <v>0</v>
      </c>
      <c r="I424" s="160">
        <f>'27'!S424</f>
        <v>0</v>
      </c>
      <c r="J424" s="160"/>
      <c r="K424" s="104">
        <f>'27'!T424</f>
        <v>0</v>
      </c>
      <c r="L424" s="36" t="e">
        <f>#REF!</f>
        <v>#REF!</v>
      </c>
      <c r="M424" s="103" t="e">
        <f>#REF!</f>
        <v>#REF!</v>
      </c>
      <c r="N424" s="160"/>
      <c r="O424" s="104" t="e">
        <f>#REF!</f>
        <v>#REF!</v>
      </c>
      <c r="P424" s="52" t="e">
        <f>IF(#REF!=0,"",#REF!)</f>
        <v>#REF!</v>
      </c>
      <c r="Q424" s="109" t="e">
        <f>IF(#REF!=0,"",#REF!)</f>
        <v>#REF!</v>
      </c>
      <c r="R424" s="36" t="e">
        <f>IF(#REF!=0,"",#REF!)</f>
        <v>#REF!</v>
      </c>
      <c r="S424" s="36" t="e">
        <f>IF(#REF!=0,"",#REF!)</f>
        <v>#REF!</v>
      </c>
      <c r="T424" s="268"/>
      <c r="U424" s="268"/>
      <c r="V424" s="268"/>
    </row>
    <row r="425" ht="15" customHeight="1" spans="2:22">
      <c r="B425" s="6" t="e">
        <f t="shared" si="7"/>
        <v>#REF!</v>
      </c>
      <c r="C425" s="83" t="e">
        <f>#REF!</f>
        <v>#REF!</v>
      </c>
      <c r="D425" s="110" t="e">
        <f>IF(#REF!=0,"",#REF!)</f>
        <v>#REF!</v>
      </c>
      <c r="E425" s="85" t="e">
        <f>IF(#REF!=0,"",#REF!)</f>
        <v>#REF!</v>
      </c>
      <c r="F425" s="85" t="e">
        <f>IF(#REF!=0,"",#REF!)</f>
        <v>#REF!</v>
      </c>
      <c r="G425" s="105">
        <f>'27'!Q425</f>
        <v>0</v>
      </c>
      <c r="H425" s="161">
        <f>'27'!R425</f>
        <v>0</v>
      </c>
      <c r="I425" s="161">
        <f>'27'!S425</f>
        <v>0</v>
      </c>
      <c r="J425" s="161"/>
      <c r="K425" s="106">
        <f>'27'!T425</f>
        <v>0</v>
      </c>
      <c r="L425" s="85" t="e">
        <f>#REF!</f>
        <v>#REF!</v>
      </c>
      <c r="M425" s="105" t="e">
        <f>#REF!</f>
        <v>#REF!</v>
      </c>
      <c r="N425" s="161"/>
      <c r="O425" s="106" t="e">
        <f>#REF!</f>
        <v>#REF!</v>
      </c>
      <c r="P425" s="107" t="e">
        <f>IF(#REF!=0,"",#REF!)</f>
        <v>#REF!</v>
      </c>
      <c r="Q425" s="111" t="e">
        <f>IF(#REF!=0,"",#REF!)</f>
        <v>#REF!</v>
      </c>
      <c r="R425" s="85" t="e">
        <f>IF(#REF!=0,"",#REF!)</f>
        <v>#REF!</v>
      </c>
      <c r="S425" s="85" t="e">
        <f>IF(#REF!=0,"",#REF!)</f>
        <v>#REF!</v>
      </c>
      <c r="T425" s="268"/>
      <c r="U425" s="268"/>
      <c r="V425" s="268"/>
    </row>
    <row r="426" ht="15" customHeight="1" spans="2:22">
      <c r="B426" s="6" t="e">
        <f t="shared" si="7"/>
        <v>#REF!</v>
      </c>
      <c r="C426" s="79" t="e">
        <f>#REF!</f>
        <v>#REF!</v>
      </c>
      <c r="D426" s="62" t="e">
        <f>IF(#REF!=0,"",#REF!)</f>
        <v>#REF!</v>
      </c>
      <c r="E426" s="81" t="e">
        <f>IF(#REF!=0,"",#REF!)</f>
        <v>#REF!</v>
      </c>
      <c r="F426" s="81" t="e">
        <f>IF(#REF!=0,"",#REF!)</f>
        <v>#REF!</v>
      </c>
      <c r="G426" s="100" t="e">
        <f>#REF!</f>
        <v>#REF!</v>
      </c>
      <c r="H426" s="159">
        <f>'27'!R426</f>
        <v>0</v>
      </c>
      <c r="I426" s="159">
        <f>'27'!S426</f>
        <v>0</v>
      </c>
      <c r="J426" s="159"/>
      <c r="K426" s="101">
        <f>'27'!T426</f>
        <v>0</v>
      </c>
      <c r="L426" s="81" t="e">
        <f>#REF!</f>
        <v>#REF!</v>
      </c>
      <c r="M426" s="100" t="e">
        <f>#REF!</f>
        <v>#REF!</v>
      </c>
      <c r="N426" s="159"/>
      <c r="O426" s="101" t="e">
        <f>#REF!</f>
        <v>#REF!</v>
      </c>
      <c r="P426" s="102" t="e">
        <f>IF(#REF!=0,"",#REF!)</f>
        <v>#REF!</v>
      </c>
      <c r="Q426" s="108" t="e">
        <f>IF(#REF!=0,"",#REF!)</f>
        <v>#REF!</v>
      </c>
      <c r="R426" s="81" t="e">
        <f>IF(#REF!=0,"",#REF!)</f>
        <v>#REF!</v>
      </c>
      <c r="S426" s="81" t="e">
        <f>IF(#REF!=0,"",#REF!)</f>
        <v>#REF!</v>
      </c>
      <c r="T426" s="268"/>
      <c r="U426" s="268"/>
      <c r="V426" s="268"/>
    </row>
    <row r="427" ht="15" customHeight="1" spans="2:22">
      <c r="B427" s="6" t="e">
        <f t="shared" si="7"/>
        <v>#REF!</v>
      </c>
      <c r="C427" s="31" t="e">
        <f>#REF!</f>
        <v>#REF!</v>
      </c>
      <c r="D427" s="32" t="e">
        <f>IF(#REF!=0,"",#REF!)</f>
        <v>#REF!</v>
      </c>
      <c r="E427" s="36" t="e">
        <f>IF(#REF!=0,"",#REF!)</f>
        <v>#REF!</v>
      </c>
      <c r="F427" s="36" t="e">
        <f>IF(#REF!=0,"",#REF!)</f>
        <v>#REF!</v>
      </c>
      <c r="G427" s="103">
        <f>'27'!Q427</f>
        <v>0</v>
      </c>
      <c r="H427" s="160">
        <f>'27'!R427</f>
        <v>0</v>
      </c>
      <c r="I427" s="160">
        <f>'27'!S427</f>
        <v>0</v>
      </c>
      <c r="J427" s="160"/>
      <c r="K427" s="104">
        <f>'27'!T427</f>
        <v>0</v>
      </c>
      <c r="L427" s="36" t="e">
        <f>#REF!</f>
        <v>#REF!</v>
      </c>
      <c r="M427" s="103" t="e">
        <f>#REF!</f>
        <v>#REF!</v>
      </c>
      <c r="N427" s="160"/>
      <c r="O427" s="104" t="e">
        <f>#REF!</f>
        <v>#REF!</v>
      </c>
      <c r="P427" s="52" t="e">
        <f>IF(#REF!=0,"",#REF!)</f>
        <v>#REF!</v>
      </c>
      <c r="Q427" s="109" t="e">
        <f>IF(#REF!=0,"",#REF!)</f>
        <v>#REF!</v>
      </c>
      <c r="R427" s="36" t="e">
        <f>IF(#REF!=0,"",#REF!)</f>
        <v>#REF!</v>
      </c>
      <c r="S427" s="36" t="e">
        <f>IF(#REF!=0,"",#REF!)</f>
        <v>#REF!</v>
      </c>
      <c r="T427" s="268"/>
      <c r="U427" s="268"/>
      <c r="V427" s="268"/>
    </row>
    <row r="428" ht="15" customHeight="1" spans="2:22">
      <c r="B428" s="6" t="e">
        <f t="shared" si="7"/>
        <v>#REF!</v>
      </c>
      <c r="C428" s="83" t="e">
        <f>#REF!</f>
        <v>#REF!</v>
      </c>
      <c r="D428" s="110" t="e">
        <f>IF(#REF!=0,"",#REF!)</f>
        <v>#REF!</v>
      </c>
      <c r="E428" s="85" t="e">
        <f>IF(#REF!=0,"",#REF!)</f>
        <v>#REF!</v>
      </c>
      <c r="F428" s="85" t="e">
        <f>IF(#REF!=0,"",#REF!)</f>
        <v>#REF!</v>
      </c>
      <c r="G428" s="105">
        <f>'27'!Q428</f>
        <v>0</v>
      </c>
      <c r="H428" s="161">
        <f>'27'!R428</f>
        <v>0</v>
      </c>
      <c r="I428" s="161">
        <f>'27'!S428</f>
        <v>0</v>
      </c>
      <c r="J428" s="161"/>
      <c r="K428" s="106">
        <f>'27'!T428</f>
        <v>0</v>
      </c>
      <c r="L428" s="85" t="e">
        <f>#REF!</f>
        <v>#REF!</v>
      </c>
      <c r="M428" s="105" t="e">
        <f>#REF!</f>
        <v>#REF!</v>
      </c>
      <c r="N428" s="161"/>
      <c r="O428" s="106" t="e">
        <f>#REF!</f>
        <v>#REF!</v>
      </c>
      <c r="P428" s="107" t="e">
        <f>IF(#REF!=0,"",#REF!)</f>
        <v>#REF!</v>
      </c>
      <c r="Q428" s="111" t="e">
        <f>IF(#REF!=0,"",#REF!)</f>
        <v>#REF!</v>
      </c>
      <c r="R428" s="85" t="e">
        <f>IF(#REF!=0,"",#REF!)</f>
        <v>#REF!</v>
      </c>
      <c r="S428" s="85" t="e">
        <f>IF(#REF!=0,"",#REF!)</f>
        <v>#REF!</v>
      </c>
      <c r="T428" s="268"/>
      <c r="U428" s="268"/>
      <c r="V428" s="268"/>
    </row>
    <row r="429" ht="15" customHeight="1" spans="2:22">
      <c r="B429" s="6" t="e">
        <f t="shared" si="7"/>
        <v>#REF!</v>
      </c>
      <c r="C429" s="79" t="e">
        <f>#REF!</f>
        <v>#REF!</v>
      </c>
      <c r="D429" s="62" t="e">
        <f>IF(#REF!=0,"",#REF!)</f>
        <v>#REF!</v>
      </c>
      <c r="E429" s="81" t="e">
        <f>IF(#REF!=0,"",#REF!)</f>
        <v>#REF!</v>
      </c>
      <c r="F429" s="81" t="e">
        <f>IF(#REF!=0,"",#REF!)</f>
        <v>#REF!</v>
      </c>
      <c r="G429" s="100" t="e">
        <f>#REF!</f>
        <v>#REF!</v>
      </c>
      <c r="H429" s="159">
        <f>'27'!R429</f>
        <v>0</v>
      </c>
      <c r="I429" s="159">
        <f>'27'!S429</f>
        <v>0</v>
      </c>
      <c r="J429" s="159"/>
      <c r="K429" s="101">
        <f>'27'!T429</f>
        <v>0</v>
      </c>
      <c r="L429" s="81" t="e">
        <f>#REF!</f>
        <v>#REF!</v>
      </c>
      <c r="M429" s="100" t="e">
        <f>#REF!</f>
        <v>#REF!</v>
      </c>
      <c r="N429" s="159"/>
      <c r="O429" s="101" t="e">
        <f>#REF!</f>
        <v>#REF!</v>
      </c>
      <c r="P429" s="102" t="e">
        <f>IF(#REF!=0,"",#REF!)</f>
        <v>#REF!</v>
      </c>
      <c r="Q429" s="108" t="e">
        <f>IF(#REF!=0,"",#REF!)</f>
        <v>#REF!</v>
      </c>
      <c r="R429" s="81" t="e">
        <f>IF(#REF!=0,"",#REF!)</f>
        <v>#REF!</v>
      </c>
      <c r="S429" s="81" t="e">
        <f>IF(#REF!=0,"",#REF!)</f>
        <v>#REF!</v>
      </c>
      <c r="T429" s="268"/>
      <c r="U429" s="268"/>
      <c r="V429" s="268"/>
    </row>
    <row r="430" ht="15" customHeight="1" spans="2:22">
      <c r="B430" s="6" t="e">
        <f t="shared" si="7"/>
        <v>#REF!</v>
      </c>
      <c r="C430" s="31" t="e">
        <f>#REF!</f>
        <v>#REF!</v>
      </c>
      <c r="D430" s="32" t="e">
        <f>IF(#REF!=0,"",#REF!)</f>
        <v>#REF!</v>
      </c>
      <c r="E430" s="36" t="e">
        <f>IF(#REF!=0,"",#REF!)</f>
        <v>#REF!</v>
      </c>
      <c r="F430" s="36" t="e">
        <f>IF(#REF!=0,"",#REF!)</f>
        <v>#REF!</v>
      </c>
      <c r="G430" s="103">
        <f>'27'!Q430</f>
        <v>0</v>
      </c>
      <c r="H430" s="160">
        <f>'27'!R430</f>
        <v>0</v>
      </c>
      <c r="I430" s="160">
        <f>'27'!S430</f>
        <v>0</v>
      </c>
      <c r="J430" s="160"/>
      <c r="K430" s="104">
        <f>'27'!T430</f>
        <v>0</v>
      </c>
      <c r="L430" s="36" t="e">
        <f>#REF!</f>
        <v>#REF!</v>
      </c>
      <c r="M430" s="103" t="e">
        <f>#REF!</f>
        <v>#REF!</v>
      </c>
      <c r="N430" s="160"/>
      <c r="O430" s="104" t="e">
        <f>#REF!</f>
        <v>#REF!</v>
      </c>
      <c r="P430" s="52" t="e">
        <f>IF(#REF!=0,"",#REF!)</f>
        <v>#REF!</v>
      </c>
      <c r="Q430" s="109" t="e">
        <f>IF(#REF!=0,"",#REF!)</f>
        <v>#REF!</v>
      </c>
      <c r="R430" s="36" t="e">
        <f>IF(#REF!=0,"",#REF!)</f>
        <v>#REF!</v>
      </c>
      <c r="S430" s="36" t="e">
        <f>IF(#REF!=0,"",#REF!)</f>
        <v>#REF!</v>
      </c>
      <c r="T430" s="268"/>
      <c r="U430" s="268"/>
      <c r="V430" s="268"/>
    </row>
    <row r="431" ht="15" customHeight="1" spans="2:22">
      <c r="B431" s="6" t="e">
        <f t="shared" si="7"/>
        <v>#REF!</v>
      </c>
      <c r="C431" s="83" t="e">
        <f>#REF!</f>
        <v>#REF!</v>
      </c>
      <c r="D431" s="110" t="e">
        <f>IF(#REF!=0,"",#REF!)</f>
        <v>#REF!</v>
      </c>
      <c r="E431" s="85" t="e">
        <f>IF(#REF!=0,"",#REF!)</f>
        <v>#REF!</v>
      </c>
      <c r="F431" s="85" t="e">
        <f>IF(#REF!=0,"",#REF!)</f>
        <v>#REF!</v>
      </c>
      <c r="G431" s="105">
        <f>'27'!Q431</f>
        <v>0</v>
      </c>
      <c r="H431" s="161">
        <f>'27'!R431</f>
        <v>0</v>
      </c>
      <c r="I431" s="161">
        <f>'27'!S431</f>
        <v>0</v>
      </c>
      <c r="J431" s="161"/>
      <c r="K431" s="106">
        <f>'27'!T431</f>
        <v>0</v>
      </c>
      <c r="L431" s="85" t="e">
        <f>#REF!</f>
        <v>#REF!</v>
      </c>
      <c r="M431" s="105" t="e">
        <f>#REF!</f>
        <v>#REF!</v>
      </c>
      <c r="N431" s="161"/>
      <c r="O431" s="106" t="e">
        <f>#REF!</f>
        <v>#REF!</v>
      </c>
      <c r="P431" s="107" t="e">
        <f>IF(#REF!=0,"",#REF!)</f>
        <v>#REF!</v>
      </c>
      <c r="Q431" s="111" t="e">
        <f>IF(#REF!=0,"",#REF!)</f>
        <v>#REF!</v>
      </c>
      <c r="R431" s="85" t="e">
        <f>IF(#REF!=0,"",#REF!)</f>
        <v>#REF!</v>
      </c>
      <c r="S431" s="85" t="e">
        <f>IF(#REF!=0,"",#REF!)</f>
        <v>#REF!</v>
      </c>
      <c r="T431" s="268"/>
      <c r="U431" s="268"/>
      <c r="V431" s="268"/>
    </row>
    <row r="432" ht="15" customHeight="1" spans="2:22">
      <c r="B432" s="6" t="e">
        <f t="shared" si="7"/>
        <v>#REF!</v>
      </c>
      <c r="C432" s="79" t="e">
        <f>#REF!</f>
        <v>#REF!</v>
      </c>
      <c r="D432" s="62" t="e">
        <f>IF(#REF!=0,"",#REF!)</f>
        <v>#REF!</v>
      </c>
      <c r="E432" s="81" t="e">
        <f>IF(#REF!=0,"",#REF!)</f>
        <v>#REF!</v>
      </c>
      <c r="F432" s="81" t="e">
        <f>IF(#REF!=0,"",#REF!)</f>
        <v>#REF!</v>
      </c>
      <c r="G432" s="100" t="e">
        <f>#REF!</f>
        <v>#REF!</v>
      </c>
      <c r="H432" s="159">
        <f>'27'!R432</f>
        <v>0</v>
      </c>
      <c r="I432" s="159">
        <f>'27'!S432</f>
        <v>0</v>
      </c>
      <c r="J432" s="159"/>
      <c r="K432" s="101">
        <f>'27'!T432</f>
        <v>0</v>
      </c>
      <c r="L432" s="81" t="e">
        <f>#REF!</f>
        <v>#REF!</v>
      </c>
      <c r="M432" s="100" t="e">
        <f>#REF!</f>
        <v>#REF!</v>
      </c>
      <c r="N432" s="159"/>
      <c r="O432" s="101" t="e">
        <f>#REF!</f>
        <v>#REF!</v>
      </c>
      <c r="P432" s="102" t="e">
        <f>IF(#REF!=0,"",#REF!)</f>
        <v>#REF!</v>
      </c>
      <c r="Q432" s="108" t="e">
        <f>IF(#REF!=0,"",#REF!)</f>
        <v>#REF!</v>
      </c>
      <c r="R432" s="81" t="e">
        <f>IF(#REF!=0,"",#REF!)</f>
        <v>#REF!</v>
      </c>
      <c r="S432" s="81" t="e">
        <f>IF(#REF!=0,"",#REF!)</f>
        <v>#REF!</v>
      </c>
      <c r="T432" s="268"/>
      <c r="U432" s="268"/>
      <c r="V432" s="268"/>
    </row>
    <row r="433" ht="15" customHeight="1" spans="2:22">
      <c r="B433" s="6" t="e">
        <f t="shared" si="7"/>
        <v>#REF!</v>
      </c>
      <c r="C433" s="31" t="e">
        <f>#REF!</f>
        <v>#REF!</v>
      </c>
      <c r="D433" s="32" t="e">
        <f>IF(#REF!=0,"",#REF!)</f>
        <v>#REF!</v>
      </c>
      <c r="E433" s="36" t="e">
        <f>IF(#REF!=0,"",#REF!)</f>
        <v>#REF!</v>
      </c>
      <c r="F433" s="36" t="e">
        <f>IF(#REF!=0,"",#REF!)</f>
        <v>#REF!</v>
      </c>
      <c r="G433" s="103">
        <f>'27'!Q433</f>
        <v>0</v>
      </c>
      <c r="H433" s="160">
        <f>'27'!R433</f>
        <v>0</v>
      </c>
      <c r="I433" s="160">
        <f>'27'!S433</f>
        <v>0</v>
      </c>
      <c r="J433" s="160"/>
      <c r="K433" s="104">
        <f>'27'!T433</f>
        <v>0</v>
      </c>
      <c r="L433" s="36" t="e">
        <f>#REF!</f>
        <v>#REF!</v>
      </c>
      <c r="M433" s="103" t="e">
        <f>#REF!</f>
        <v>#REF!</v>
      </c>
      <c r="N433" s="160"/>
      <c r="O433" s="104" t="e">
        <f>#REF!</f>
        <v>#REF!</v>
      </c>
      <c r="P433" s="52" t="e">
        <f>IF(#REF!=0,"",#REF!)</f>
        <v>#REF!</v>
      </c>
      <c r="Q433" s="109" t="e">
        <f>IF(#REF!=0,"",#REF!)</f>
        <v>#REF!</v>
      </c>
      <c r="R433" s="36" t="e">
        <f>IF(#REF!=0,"",#REF!)</f>
        <v>#REF!</v>
      </c>
      <c r="S433" s="36" t="e">
        <f>IF(#REF!=0,"",#REF!)</f>
        <v>#REF!</v>
      </c>
      <c r="T433" s="268"/>
      <c r="U433" s="268"/>
      <c r="V433" s="268"/>
    </row>
    <row r="434" ht="15" customHeight="1" spans="2:22">
      <c r="B434" s="6" t="e">
        <f t="shared" si="7"/>
        <v>#REF!</v>
      </c>
      <c r="C434" s="83" t="e">
        <f>#REF!</f>
        <v>#REF!</v>
      </c>
      <c r="D434" s="110" t="e">
        <f>IF(#REF!=0,"",#REF!)</f>
        <v>#REF!</v>
      </c>
      <c r="E434" s="85" t="e">
        <f>IF(#REF!=0,"",#REF!)</f>
        <v>#REF!</v>
      </c>
      <c r="F434" s="85" t="e">
        <f>IF(#REF!=0,"",#REF!)</f>
        <v>#REF!</v>
      </c>
      <c r="G434" s="105">
        <f>'27'!Q434</f>
        <v>0</v>
      </c>
      <c r="H434" s="161">
        <f>'27'!R434</f>
        <v>0</v>
      </c>
      <c r="I434" s="161">
        <f>'27'!S434</f>
        <v>0</v>
      </c>
      <c r="J434" s="161"/>
      <c r="K434" s="106">
        <f>'27'!T434</f>
        <v>0</v>
      </c>
      <c r="L434" s="85" t="e">
        <f>#REF!</f>
        <v>#REF!</v>
      </c>
      <c r="M434" s="105" t="e">
        <f>#REF!</f>
        <v>#REF!</v>
      </c>
      <c r="N434" s="161"/>
      <c r="O434" s="106" t="e">
        <f>#REF!</f>
        <v>#REF!</v>
      </c>
      <c r="P434" s="107" t="e">
        <f>IF(#REF!=0,"",#REF!)</f>
        <v>#REF!</v>
      </c>
      <c r="Q434" s="111" t="e">
        <f>IF(#REF!=0,"",#REF!)</f>
        <v>#REF!</v>
      </c>
      <c r="R434" s="85" t="e">
        <f>IF(#REF!=0,"",#REF!)</f>
        <v>#REF!</v>
      </c>
      <c r="S434" s="85" t="e">
        <f>IF(#REF!=0,"",#REF!)</f>
        <v>#REF!</v>
      </c>
      <c r="T434" s="268"/>
      <c r="U434" s="268"/>
      <c r="V434" s="268"/>
    </row>
    <row r="435" ht="15" customHeight="1" spans="2:22">
      <c r="B435" s="6" t="e">
        <f t="shared" si="7"/>
        <v>#REF!</v>
      </c>
      <c r="C435" s="79" t="e">
        <f>#REF!</f>
        <v>#REF!</v>
      </c>
      <c r="D435" s="62" t="e">
        <f>IF(#REF!=0,"",#REF!)</f>
        <v>#REF!</v>
      </c>
      <c r="E435" s="81" t="e">
        <f>IF(#REF!=0,"",#REF!)</f>
        <v>#REF!</v>
      </c>
      <c r="F435" s="81" t="e">
        <f>IF(#REF!=0,"",#REF!)</f>
        <v>#REF!</v>
      </c>
      <c r="G435" s="100" t="e">
        <f>#REF!</f>
        <v>#REF!</v>
      </c>
      <c r="H435" s="159">
        <f>'27'!R435</f>
        <v>0</v>
      </c>
      <c r="I435" s="159">
        <f>'27'!S435</f>
        <v>0</v>
      </c>
      <c r="J435" s="159"/>
      <c r="K435" s="101">
        <f>'27'!T435</f>
        <v>0</v>
      </c>
      <c r="L435" s="81" t="e">
        <f>#REF!</f>
        <v>#REF!</v>
      </c>
      <c r="M435" s="100" t="e">
        <f>#REF!</f>
        <v>#REF!</v>
      </c>
      <c r="N435" s="159"/>
      <c r="O435" s="101" t="e">
        <f>#REF!</f>
        <v>#REF!</v>
      </c>
      <c r="P435" s="102" t="e">
        <f>IF(#REF!=0,"",#REF!)</f>
        <v>#REF!</v>
      </c>
      <c r="Q435" s="108" t="e">
        <f>IF(#REF!=0,"",#REF!)</f>
        <v>#REF!</v>
      </c>
      <c r="R435" s="81" t="e">
        <f>IF(#REF!=0,"",#REF!)</f>
        <v>#REF!</v>
      </c>
      <c r="S435" s="81" t="e">
        <f>IF(#REF!=0,"",#REF!)</f>
        <v>#REF!</v>
      </c>
      <c r="T435" s="268"/>
      <c r="U435" s="268"/>
      <c r="V435" s="268"/>
    </row>
    <row r="436" ht="15" customHeight="1" spans="2:22">
      <c r="B436" s="6" t="e">
        <f t="shared" si="7"/>
        <v>#REF!</v>
      </c>
      <c r="C436" s="31" t="e">
        <f>#REF!</f>
        <v>#REF!</v>
      </c>
      <c r="D436" s="32" t="e">
        <f>IF(#REF!=0,"",#REF!)</f>
        <v>#REF!</v>
      </c>
      <c r="E436" s="36" t="e">
        <f>IF(#REF!=0,"",#REF!)</f>
        <v>#REF!</v>
      </c>
      <c r="F436" s="36" t="e">
        <f>IF(#REF!=0,"",#REF!)</f>
        <v>#REF!</v>
      </c>
      <c r="G436" s="103">
        <f>'27'!Q436</f>
        <v>0</v>
      </c>
      <c r="H436" s="160">
        <f>'27'!R436</f>
        <v>0</v>
      </c>
      <c r="I436" s="160">
        <f>'27'!S436</f>
        <v>0</v>
      </c>
      <c r="J436" s="160"/>
      <c r="K436" s="104">
        <f>'27'!T436</f>
        <v>0</v>
      </c>
      <c r="L436" s="36" t="e">
        <f>#REF!</f>
        <v>#REF!</v>
      </c>
      <c r="M436" s="103" t="e">
        <f>#REF!</f>
        <v>#REF!</v>
      </c>
      <c r="N436" s="160"/>
      <c r="O436" s="104" t="e">
        <f>#REF!</f>
        <v>#REF!</v>
      </c>
      <c r="P436" s="52" t="e">
        <f>IF(#REF!=0,"",#REF!)</f>
        <v>#REF!</v>
      </c>
      <c r="Q436" s="109" t="e">
        <f>IF(#REF!=0,"",#REF!)</f>
        <v>#REF!</v>
      </c>
      <c r="R436" s="36" t="e">
        <f>IF(#REF!=0,"",#REF!)</f>
        <v>#REF!</v>
      </c>
      <c r="S436" s="36" t="e">
        <f>IF(#REF!=0,"",#REF!)</f>
        <v>#REF!</v>
      </c>
      <c r="T436" s="268"/>
      <c r="U436" s="268"/>
      <c r="V436" s="268"/>
    </row>
    <row r="437" ht="15" customHeight="1" spans="2:22">
      <c r="B437" s="6" t="e">
        <f t="shared" si="7"/>
        <v>#REF!</v>
      </c>
      <c r="C437" s="83" t="e">
        <f>#REF!</f>
        <v>#REF!</v>
      </c>
      <c r="D437" s="110" t="e">
        <f>IF(#REF!=0,"",#REF!)</f>
        <v>#REF!</v>
      </c>
      <c r="E437" s="85" t="e">
        <f>IF(#REF!=0,"",#REF!)</f>
        <v>#REF!</v>
      </c>
      <c r="F437" s="85" t="e">
        <f>IF(#REF!=0,"",#REF!)</f>
        <v>#REF!</v>
      </c>
      <c r="G437" s="105">
        <f>'27'!Q437</f>
        <v>0</v>
      </c>
      <c r="H437" s="161">
        <f>'27'!R437</f>
        <v>0</v>
      </c>
      <c r="I437" s="161">
        <f>'27'!S437</f>
        <v>0</v>
      </c>
      <c r="J437" s="161"/>
      <c r="K437" s="106">
        <f>'27'!T437</f>
        <v>0</v>
      </c>
      <c r="L437" s="85" t="e">
        <f>#REF!</f>
        <v>#REF!</v>
      </c>
      <c r="M437" s="105" t="e">
        <f>#REF!</f>
        <v>#REF!</v>
      </c>
      <c r="N437" s="161"/>
      <c r="O437" s="106" t="e">
        <f>#REF!</f>
        <v>#REF!</v>
      </c>
      <c r="P437" s="107" t="e">
        <f>IF(#REF!=0,"",#REF!)</f>
        <v>#REF!</v>
      </c>
      <c r="Q437" s="111" t="e">
        <f>IF(#REF!=0,"",#REF!)</f>
        <v>#REF!</v>
      </c>
      <c r="R437" s="85" t="e">
        <f>IF(#REF!=0,"",#REF!)</f>
        <v>#REF!</v>
      </c>
      <c r="S437" s="85" t="e">
        <f>IF(#REF!=0,"",#REF!)</f>
        <v>#REF!</v>
      </c>
      <c r="T437" s="268"/>
      <c r="U437" s="268"/>
      <c r="V437" s="268"/>
    </row>
    <row r="438" ht="15" customHeight="1" spans="2:22">
      <c r="B438" s="6" t="e">
        <f t="shared" si="7"/>
        <v>#REF!</v>
      </c>
      <c r="C438" s="79" t="e">
        <f>#REF!</f>
        <v>#REF!</v>
      </c>
      <c r="D438" s="62" t="e">
        <f>IF(#REF!=0,"",#REF!)</f>
        <v>#REF!</v>
      </c>
      <c r="E438" s="81" t="e">
        <f>IF(#REF!=0,"",#REF!)</f>
        <v>#REF!</v>
      </c>
      <c r="F438" s="81" t="e">
        <f>IF(#REF!=0,"",#REF!)</f>
        <v>#REF!</v>
      </c>
      <c r="G438" s="100" t="e">
        <f>#REF!</f>
        <v>#REF!</v>
      </c>
      <c r="H438" s="159">
        <f>'27'!R438</f>
        <v>0</v>
      </c>
      <c r="I438" s="159">
        <f>'27'!S438</f>
        <v>0</v>
      </c>
      <c r="J438" s="159"/>
      <c r="K438" s="101">
        <f>'27'!T438</f>
        <v>0</v>
      </c>
      <c r="L438" s="81" t="e">
        <f>#REF!</f>
        <v>#REF!</v>
      </c>
      <c r="M438" s="100" t="e">
        <f>#REF!</f>
        <v>#REF!</v>
      </c>
      <c r="N438" s="159"/>
      <c r="O438" s="101" t="e">
        <f>#REF!</f>
        <v>#REF!</v>
      </c>
      <c r="P438" s="102" t="e">
        <f>IF(#REF!=0,"",#REF!)</f>
        <v>#REF!</v>
      </c>
      <c r="Q438" s="108" t="e">
        <f>IF(#REF!=0,"",#REF!)</f>
        <v>#REF!</v>
      </c>
      <c r="R438" s="81" t="e">
        <f>IF(#REF!=0,"",#REF!)</f>
        <v>#REF!</v>
      </c>
      <c r="S438" s="81" t="e">
        <f>IF(#REF!=0,"",#REF!)</f>
        <v>#REF!</v>
      </c>
      <c r="T438" s="268"/>
      <c r="U438" s="268"/>
      <c r="V438" s="268"/>
    </row>
    <row r="439" ht="15" customHeight="1" spans="2:22">
      <c r="B439" s="6" t="e">
        <f t="shared" si="7"/>
        <v>#REF!</v>
      </c>
      <c r="C439" s="31" t="e">
        <f>#REF!</f>
        <v>#REF!</v>
      </c>
      <c r="D439" s="32" t="e">
        <f>IF(#REF!=0,"",#REF!)</f>
        <v>#REF!</v>
      </c>
      <c r="E439" s="36" t="e">
        <f>IF(#REF!=0,"",#REF!)</f>
        <v>#REF!</v>
      </c>
      <c r="F439" s="36" t="e">
        <f>IF(#REF!=0,"",#REF!)</f>
        <v>#REF!</v>
      </c>
      <c r="G439" s="103">
        <f>'27'!Q439</f>
        <v>0</v>
      </c>
      <c r="H439" s="160">
        <f>'27'!R439</f>
        <v>0</v>
      </c>
      <c r="I439" s="160">
        <f>'27'!S439</f>
        <v>0</v>
      </c>
      <c r="J439" s="160"/>
      <c r="K439" s="104">
        <f>'27'!T439</f>
        <v>0</v>
      </c>
      <c r="L439" s="36" t="e">
        <f>#REF!</f>
        <v>#REF!</v>
      </c>
      <c r="M439" s="103" t="e">
        <f>#REF!</f>
        <v>#REF!</v>
      </c>
      <c r="N439" s="160"/>
      <c r="O439" s="104" t="e">
        <f>#REF!</f>
        <v>#REF!</v>
      </c>
      <c r="P439" s="52" t="e">
        <f>IF(#REF!=0,"",#REF!)</f>
        <v>#REF!</v>
      </c>
      <c r="Q439" s="109" t="e">
        <f>IF(#REF!=0,"",#REF!)</f>
        <v>#REF!</v>
      </c>
      <c r="R439" s="36" t="e">
        <f>IF(#REF!=0,"",#REF!)</f>
        <v>#REF!</v>
      </c>
      <c r="S439" s="36" t="e">
        <f>IF(#REF!=0,"",#REF!)</f>
        <v>#REF!</v>
      </c>
      <c r="T439" s="268"/>
      <c r="U439" s="268"/>
      <c r="V439" s="268"/>
    </row>
    <row r="440" ht="15" customHeight="1" spans="2:22">
      <c r="B440" s="6" t="e">
        <f t="shared" si="7"/>
        <v>#REF!</v>
      </c>
      <c r="C440" s="83" t="e">
        <f>#REF!</f>
        <v>#REF!</v>
      </c>
      <c r="D440" s="110" t="e">
        <f>IF(#REF!=0,"",#REF!)</f>
        <v>#REF!</v>
      </c>
      <c r="E440" s="85" t="e">
        <f>IF(#REF!=0,"",#REF!)</f>
        <v>#REF!</v>
      </c>
      <c r="F440" s="85" t="e">
        <f>IF(#REF!=0,"",#REF!)</f>
        <v>#REF!</v>
      </c>
      <c r="G440" s="105">
        <f>'27'!Q440</f>
        <v>0</v>
      </c>
      <c r="H440" s="161">
        <f>'27'!R440</f>
        <v>0</v>
      </c>
      <c r="I440" s="161">
        <f>'27'!S440</f>
        <v>0</v>
      </c>
      <c r="J440" s="161"/>
      <c r="K440" s="106">
        <f>'27'!T440</f>
        <v>0</v>
      </c>
      <c r="L440" s="85" t="e">
        <f>#REF!</f>
        <v>#REF!</v>
      </c>
      <c r="M440" s="105" t="e">
        <f>#REF!</f>
        <v>#REF!</v>
      </c>
      <c r="N440" s="161"/>
      <c r="O440" s="106" t="e">
        <f>#REF!</f>
        <v>#REF!</v>
      </c>
      <c r="P440" s="107" t="e">
        <f>IF(#REF!=0,"",#REF!)</f>
        <v>#REF!</v>
      </c>
      <c r="Q440" s="111" t="e">
        <f>IF(#REF!=0,"",#REF!)</f>
        <v>#REF!</v>
      </c>
      <c r="R440" s="85" t="e">
        <f>IF(#REF!=0,"",#REF!)</f>
        <v>#REF!</v>
      </c>
      <c r="S440" s="85" t="e">
        <f>IF(#REF!=0,"",#REF!)</f>
        <v>#REF!</v>
      </c>
      <c r="T440" s="268"/>
      <c r="U440" s="268"/>
      <c r="V440" s="268"/>
    </row>
    <row r="441" ht="15" customHeight="1" spans="2:22">
      <c r="B441" s="6" t="e">
        <f t="shared" si="7"/>
        <v>#REF!</v>
      </c>
      <c r="C441" s="79" t="e">
        <f>#REF!</f>
        <v>#REF!</v>
      </c>
      <c r="D441" s="62" t="e">
        <f>IF(#REF!=0,"",#REF!)</f>
        <v>#REF!</v>
      </c>
      <c r="E441" s="81" t="e">
        <f>IF(#REF!=0,"",#REF!)</f>
        <v>#REF!</v>
      </c>
      <c r="F441" s="81" t="e">
        <f>IF(#REF!=0,"",#REF!)</f>
        <v>#REF!</v>
      </c>
      <c r="G441" s="100" t="e">
        <f>#REF!</f>
        <v>#REF!</v>
      </c>
      <c r="H441" s="159">
        <f>'27'!R441</f>
        <v>0</v>
      </c>
      <c r="I441" s="159">
        <f>'27'!S441</f>
        <v>0</v>
      </c>
      <c r="J441" s="159"/>
      <c r="K441" s="101">
        <f>'27'!T441</f>
        <v>0</v>
      </c>
      <c r="L441" s="81" t="e">
        <f>#REF!</f>
        <v>#REF!</v>
      </c>
      <c r="M441" s="100" t="e">
        <f>#REF!</f>
        <v>#REF!</v>
      </c>
      <c r="N441" s="159"/>
      <c r="O441" s="101" t="e">
        <f>#REF!</f>
        <v>#REF!</v>
      </c>
      <c r="P441" s="102" t="e">
        <f>IF(#REF!=0,"",#REF!)</f>
        <v>#REF!</v>
      </c>
      <c r="Q441" s="108" t="e">
        <f>IF(#REF!=0,"",#REF!)</f>
        <v>#REF!</v>
      </c>
      <c r="R441" s="81" t="e">
        <f>IF(#REF!=0,"",#REF!)</f>
        <v>#REF!</v>
      </c>
      <c r="S441" s="81" t="e">
        <f>IF(#REF!=0,"",#REF!)</f>
        <v>#REF!</v>
      </c>
      <c r="T441" s="268"/>
      <c r="U441" s="268"/>
      <c r="V441" s="268"/>
    </row>
    <row r="442" ht="15" customHeight="1" spans="2:22">
      <c r="B442" s="6" t="e">
        <f t="shared" si="7"/>
        <v>#REF!</v>
      </c>
      <c r="C442" s="31" t="e">
        <f>#REF!</f>
        <v>#REF!</v>
      </c>
      <c r="D442" s="32" t="e">
        <f>IF(#REF!=0,"",#REF!)</f>
        <v>#REF!</v>
      </c>
      <c r="E442" s="36" t="e">
        <f>IF(#REF!=0,"",#REF!)</f>
        <v>#REF!</v>
      </c>
      <c r="F442" s="36" t="e">
        <f>IF(#REF!=0,"",#REF!)</f>
        <v>#REF!</v>
      </c>
      <c r="G442" s="103">
        <f>'27'!Q442</f>
        <v>0</v>
      </c>
      <c r="H442" s="160">
        <f>'27'!R442</f>
        <v>0</v>
      </c>
      <c r="I442" s="160">
        <f>'27'!S442</f>
        <v>0</v>
      </c>
      <c r="J442" s="160"/>
      <c r="K442" s="104">
        <f>'27'!T442</f>
        <v>0</v>
      </c>
      <c r="L442" s="36" t="e">
        <f>#REF!</f>
        <v>#REF!</v>
      </c>
      <c r="M442" s="103" t="e">
        <f>#REF!</f>
        <v>#REF!</v>
      </c>
      <c r="N442" s="160"/>
      <c r="O442" s="104" t="e">
        <f>#REF!</f>
        <v>#REF!</v>
      </c>
      <c r="P442" s="52" t="e">
        <f>IF(#REF!=0,"",#REF!)</f>
        <v>#REF!</v>
      </c>
      <c r="Q442" s="109" t="e">
        <f>IF(#REF!=0,"",#REF!)</f>
        <v>#REF!</v>
      </c>
      <c r="R442" s="36" t="e">
        <f>IF(#REF!=0,"",#REF!)</f>
        <v>#REF!</v>
      </c>
      <c r="S442" s="36" t="e">
        <f>IF(#REF!=0,"",#REF!)</f>
        <v>#REF!</v>
      </c>
      <c r="T442" s="268"/>
      <c r="U442" s="268"/>
      <c r="V442" s="268"/>
    </row>
    <row r="443" ht="15" customHeight="1" spans="2:22">
      <c r="B443" s="6" t="e">
        <f t="shared" si="7"/>
        <v>#REF!</v>
      </c>
      <c r="C443" s="83" t="e">
        <f>#REF!</f>
        <v>#REF!</v>
      </c>
      <c r="D443" s="110" t="e">
        <f>IF(#REF!=0,"",#REF!)</f>
        <v>#REF!</v>
      </c>
      <c r="E443" s="85" t="e">
        <f>IF(#REF!=0,"",#REF!)</f>
        <v>#REF!</v>
      </c>
      <c r="F443" s="85" t="e">
        <f>IF(#REF!=0,"",#REF!)</f>
        <v>#REF!</v>
      </c>
      <c r="G443" s="105">
        <f>'27'!Q443</f>
        <v>0</v>
      </c>
      <c r="H443" s="161">
        <f>'27'!R443</f>
        <v>0</v>
      </c>
      <c r="I443" s="161">
        <f>'27'!S443</f>
        <v>0</v>
      </c>
      <c r="J443" s="161"/>
      <c r="K443" s="106">
        <f>'27'!T443</f>
        <v>0</v>
      </c>
      <c r="L443" s="85" t="e">
        <f>#REF!</f>
        <v>#REF!</v>
      </c>
      <c r="M443" s="105" t="e">
        <f>#REF!</f>
        <v>#REF!</v>
      </c>
      <c r="N443" s="161"/>
      <c r="O443" s="106" t="e">
        <f>#REF!</f>
        <v>#REF!</v>
      </c>
      <c r="P443" s="107" t="e">
        <f>IF(#REF!=0,"",#REF!)</f>
        <v>#REF!</v>
      </c>
      <c r="Q443" s="111" t="e">
        <f>IF(#REF!=0,"",#REF!)</f>
        <v>#REF!</v>
      </c>
      <c r="R443" s="85" t="e">
        <f>IF(#REF!=0,"",#REF!)</f>
        <v>#REF!</v>
      </c>
      <c r="S443" s="85" t="e">
        <f>IF(#REF!=0,"",#REF!)</f>
        <v>#REF!</v>
      </c>
      <c r="T443" s="268"/>
      <c r="U443" s="268"/>
      <c r="V443" s="268"/>
    </row>
    <row r="444" ht="15" customHeight="1" spans="2:22">
      <c r="B444" s="6" t="e">
        <f t="shared" si="7"/>
        <v>#REF!</v>
      </c>
      <c r="C444" s="79" t="e">
        <f>#REF!</f>
        <v>#REF!</v>
      </c>
      <c r="D444" s="62" t="e">
        <f>IF(#REF!=0,"",#REF!)</f>
        <v>#REF!</v>
      </c>
      <c r="E444" s="81" t="e">
        <f>IF(#REF!=0,"",#REF!)</f>
        <v>#REF!</v>
      </c>
      <c r="F444" s="81" t="e">
        <f>IF(#REF!=0,"",#REF!)</f>
        <v>#REF!</v>
      </c>
      <c r="G444" s="100" t="e">
        <f>#REF!</f>
        <v>#REF!</v>
      </c>
      <c r="H444" s="159">
        <f>'27'!R444</f>
        <v>0</v>
      </c>
      <c r="I444" s="159">
        <f>'27'!S444</f>
        <v>0</v>
      </c>
      <c r="J444" s="159"/>
      <c r="K444" s="101">
        <f>'27'!T444</f>
        <v>0</v>
      </c>
      <c r="L444" s="81" t="e">
        <f>#REF!</f>
        <v>#REF!</v>
      </c>
      <c r="M444" s="100" t="e">
        <f>#REF!</f>
        <v>#REF!</v>
      </c>
      <c r="N444" s="159"/>
      <c r="O444" s="101" t="e">
        <f>#REF!</f>
        <v>#REF!</v>
      </c>
      <c r="P444" s="102" t="e">
        <f>IF(#REF!=0,"",#REF!)</f>
        <v>#REF!</v>
      </c>
      <c r="Q444" s="108" t="e">
        <f>IF(#REF!=0,"",#REF!)</f>
        <v>#REF!</v>
      </c>
      <c r="R444" s="81" t="e">
        <f>IF(#REF!=0,"",#REF!)</f>
        <v>#REF!</v>
      </c>
      <c r="S444" s="81" t="e">
        <f>IF(#REF!=0,"",#REF!)</f>
        <v>#REF!</v>
      </c>
      <c r="T444" s="268"/>
      <c r="U444" s="268"/>
      <c r="V444" s="268"/>
    </row>
    <row r="445" ht="15" customHeight="1" spans="2:22">
      <c r="B445" s="6" t="e">
        <f t="shared" si="7"/>
        <v>#REF!</v>
      </c>
      <c r="C445" s="31" t="e">
        <f>#REF!</f>
        <v>#REF!</v>
      </c>
      <c r="D445" s="32" t="e">
        <f>IF(#REF!=0,"",#REF!)</f>
        <v>#REF!</v>
      </c>
      <c r="E445" s="36" t="e">
        <f>IF(#REF!=0,"",#REF!)</f>
        <v>#REF!</v>
      </c>
      <c r="F445" s="36" t="e">
        <f>IF(#REF!=0,"",#REF!)</f>
        <v>#REF!</v>
      </c>
      <c r="G445" s="103">
        <f>'27'!Q445</f>
        <v>0</v>
      </c>
      <c r="H445" s="160">
        <f>'27'!R445</f>
        <v>0</v>
      </c>
      <c r="I445" s="160">
        <f>'27'!S445</f>
        <v>0</v>
      </c>
      <c r="J445" s="160"/>
      <c r="K445" s="104">
        <f>'27'!T445</f>
        <v>0</v>
      </c>
      <c r="L445" s="36" t="e">
        <f>#REF!</f>
        <v>#REF!</v>
      </c>
      <c r="M445" s="103" t="e">
        <f>#REF!</f>
        <v>#REF!</v>
      </c>
      <c r="N445" s="160"/>
      <c r="O445" s="104" t="e">
        <f>#REF!</f>
        <v>#REF!</v>
      </c>
      <c r="P445" s="52" t="e">
        <f>IF(#REF!=0,"",#REF!)</f>
        <v>#REF!</v>
      </c>
      <c r="Q445" s="109" t="e">
        <f>IF(#REF!=0,"",#REF!)</f>
        <v>#REF!</v>
      </c>
      <c r="R445" s="36" t="e">
        <f>IF(#REF!=0,"",#REF!)</f>
        <v>#REF!</v>
      </c>
      <c r="S445" s="36" t="e">
        <f>IF(#REF!=0,"",#REF!)</f>
        <v>#REF!</v>
      </c>
      <c r="T445" s="268"/>
      <c r="U445" s="268"/>
      <c r="V445" s="268"/>
    </row>
    <row r="446" ht="15" customHeight="1" spans="2:22">
      <c r="B446" s="6" t="e">
        <f t="shared" si="7"/>
        <v>#REF!</v>
      </c>
      <c r="C446" s="83" t="e">
        <f>#REF!</f>
        <v>#REF!</v>
      </c>
      <c r="D446" s="110" t="e">
        <f>IF(#REF!=0,"",#REF!)</f>
        <v>#REF!</v>
      </c>
      <c r="E446" s="85" t="e">
        <f>IF(#REF!=0,"",#REF!)</f>
        <v>#REF!</v>
      </c>
      <c r="F446" s="85" t="e">
        <f>IF(#REF!=0,"",#REF!)</f>
        <v>#REF!</v>
      </c>
      <c r="G446" s="105">
        <f>'27'!Q446</f>
        <v>0</v>
      </c>
      <c r="H446" s="161">
        <f>'27'!R446</f>
        <v>0</v>
      </c>
      <c r="I446" s="161">
        <f>'27'!S446</f>
        <v>0</v>
      </c>
      <c r="J446" s="161"/>
      <c r="K446" s="106">
        <f>'27'!T446</f>
        <v>0</v>
      </c>
      <c r="L446" s="85" t="e">
        <f>#REF!</f>
        <v>#REF!</v>
      </c>
      <c r="M446" s="105" t="e">
        <f>#REF!</f>
        <v>#REF!</v>
      </c>
      <c r="N446" s="161"/>
      <c r="O446" s="106" t="e">
        <f>#REF!</f>
        <v>#REF!</v>
      </c>
      <c r="P446" s="107" t="e">
        <f>IF(#REF!=0,"",#REF!)</f>
        <v>#REF!</v>
      </c>
      <c r="Q446" s="111" t="e">
        <f>IF(#REF!=0,"",#REF!)</f>
        <v>#REF!</v>
      </c>
      <c r="R446" s="85" t="e">
        <f>IF(#REF!=0,"",#REF!)</f>
        <v>#REF!</v>
      </c>
      <c r="S446" s="85" t="e">
        <f>IF(#REF!=0,"",#REF!)</f>
        <v>#REF!</v>
      </c>
      <c r="T446" s="268"/>
      <c r="U446" s="268"/>
      <c r="V446" s="268"/>
    </row>
    <row r="447" ht="15" customHeight="1" spans="2:22">
      <c r="B447" s="6" t="e">
        <f t="shared" si="7"/>
        <v>#REF!</v>
      </c>
      <c r="C447" s="79" t="e">
        <f>#REF!</f>
        <v>#REF!</v>
      </c>
      <c r="D447" s="62" t="e">
        <f>IF(#REF!=0,"",#REF!)</f>
        <v>#REF!</v>
      </c>
      <c r="E447" s="81" t="e">
        <f>IF(#REF!=0,"",#REF!)</f>
        <v>#REF!</v>
      </c>
      <c r="F447" s="81" t="e">
        <f>IF(#REF!=0,"",#REF!)</f>
        <v>#REF!</v>
      </c>
      <c r="G447" s="100" t="e">
        <f>#REF!</f>
        <v>#REF!</v>
      </c>
      <c r="H447" s="159">
        <f>'27'!R447</f>
        <v>0</v>
      </c>
      <c r="I447" s="159">
        <f>'27'!S447</f>
        <v>0</v>
      </c>
      <c r="J447" s="159"/>
      <c r="K447" s="101">
        <f>'27'!T447</f>
        <v>0</v>
      </c>
      <c r="L447" s="81" t="e">
        <f>#REF!</f>
        <v>#REF!</v>
      </c>
      <c r="M447" s="100" t="e">
        <f>#REF!</f>
        <v>#REF!</v>
      </c>
      <c r="N447" s="159"/>
      <c r="O447" s="101" t="e">
        <f>#REF!</f>
        <v>#REF!</v>
      </c>
      <c r="P447" s="102" t="e">
        <f>IF(#REF!=0,"",#REF!)</f>
        <v>#REF!</v>
      </c>
      <c r="Q447" s="108" t="e">
        <f>IF(#REF!=0,"",#REF!)</f>
        <v>#REF!</v>
      </c>
      <c r="R447" s="81" t="e">
        <f>IF(#REF!=0,"",#REF!)</f>
        <v>#REF!</v>
      </c>
      <c r="S447" s="81" t="e">
        <f>IF(#REF!=0,"",#REF!)</f>
        <v>#REF!</v>
      </c>
      <c r="T447" s="268"/>
      <c r="U447" s="268"/>
      <c r="V447" s="268"/>
    </row>
    <row r="448" ht="15" customHeight="1" spans="2:22">
      <c r="B448" s="6" t="e">
        <f t="shared" si="7"/>
        <v>#REF!</v>
      </c>
      <c r="C448" s="31" t="e">
        <f>#REF!</f>
        <v>#REF!</v>
      </c>
      <c r="D448" s="32" t="e">
        <f>IF(#REF!=0,"",#REF!)</f>
        <v>#REF!</v>
      </c>
      <c r="E448" s="36" t="e">
        <f>IF(#REF!=0,"",#REF!)</f>
        <v>#REF!</v>
      </c>
      <c r="F448" s="36" t="e">
        <f>IF(#REF!=0,"",#REF!)</f>
        <v>#REF!</v>
      </c>
      <c r="G448" s="103">
        <f>'27'!Q448</f>
        <v>0</v>
      </c>
      <c r="H448" s="160">
        <f>'27'!R448</f>
        <v>0</v>
      </c>
      <c r="I448" s="160">
        <f>'27'!S448</f>
        <v>0</v>
      </c>
      <c r="J448" s="160"/>
      <c r="K448" s="104">
        <f>'27'!T448</f>
        <v>0</v>
      </c>
      <c r="L448" s="36" t="e">
        <f>#REF!</f>
        <v>#REF!</v>
      </c>
      <c r="M448" s="103" t="e">
        <f>#REF!</f>
        <v>#REF!</v>
      </c>
      <c r="N448" s="160"/>
      <c r="O448" s="104" t="e">
        <f>#REF!</f>
        <v>#REF!</v>
      </c>
      <c r="P448" s="52" t="e">
        <f>IF(#REF!=0,"",#REF!)</f>
        <v>#REF!</v>
      </c>
      <c r="Q448" s="109" t="e">
        <f>IF(#REF!=0,"",#REF!)</f>
        <v>#REF!</v>
      </c>
      <c r="R448" s="36" t="e">
        <f>IF(#REF!=0,"",#REF!)</f>
        <v>#REF!</v>
      </c>
      <c r="S448" s="36" t="e">
        <f>IF(#REF!=0,"",#REF!)</f>
        <v>#REF!</v>
      </c>
      <c r="T448" s="268"/>
      <c r="U448" s="268"/>
      <c r="V448" s="268"/>
    </row>
    <row r="449" ht="15" customHeight="1" spans="2:22">
      <c r="B449" s="6" t="e">
        <f t="shared" si="7"/>
        <v>#REF!</v>
      </c>
      <c r="C449" s="83" t="e">
        <f>#REF!</f>
        <v>#REF!</v>
      </c>
      <c r="D449" s="110" t="e">
        <f>IF(#REF!=0,"",#REF!)</f>
        <v>#REF!</v>
      </c>
      <c r="E449" s="85" t="e">
        <f>IF(#REF!=0,"",#REF!)</f>
        <v>#REF!</v>
      </c>
      <c r="F449" s="85" t="e">
        <f>IF(#REF!=0,"",#REF!)</f>
        <v>#REF!</v>
      </c>
      <c r="G449" s="105">
        <f>'27'!Q449</f>
        <v>0</v>
      </c>
      <c r="H449" s="161">
        <f>'27'!R449</f>
        <v>0</v>
      </c>
      <c r="I449" s="161">
        <f>'27'!S449</f>
        <v>0</v>
      </c>
      <c r="J449" s="161"/>
      <c r="K449" s="106">
        <f>'27'!T449</f>
        <v>0</v>
      </c>
      <c r="L449" s="85" t="e">
        <f>#REF!</f>
        <v>#REF!</v>
      </c>
      <c r="M449" s="105" t="e">
        <f>#REF!</f>
        <v>#REF!</v>
      </c>
      <c r="N449" s="161"/>
      <c r="O449" s="106" t="e">
        <f>#REF!</f>
        <v>#REF!</v>
      </c>
      <c r="P449" s="107" t="e">
        <f>IF(#REF!=0,"",#REF!)</f>
        <v>#REF!</v>
      </c>
      <c r="Q449" s="111" t="e">
        <f>IF(#REF!=0,"",#REF!)</f>
        <v>#REF!</v>
      </c>
      <c r="R449" s="85" t="e">
        <f>IF(#REF!=0,"",#REF!)</f>
        <v>#REF!</v>
      </c>
      <c r="S449" s="85" t="e">
        <f>IF(#REF!=0,"",#REF!)</f>
        <v>#REF!</v>
      </c>
      <c r="T449" s="268"/>
      <c r="U449" s="268"/>
      <c r="V449" s="268"/>
    </row>
    <row r="450" ht="15" customHeight="1" spans="2:22">
      <c r="B450" s="6" t="e">
        <f t="shared" si="7"/>
        <v>#REF!</v>
      </c>
      <c r="C450" s="79" t="e">
        <f>#REF!</f>
        <v>#REF!</v>
      </c>
      <c r="D450" s="62" t="e">
        <f>IF(#REF!=0,"",#REF!)</f>
        <v>#REF!</v>
      </c>
      <c r="E450" s="81" t="e">
        <f>IF(#REF!=0,"",#REF!)</f>
        <v>#REF!</v>
      </c>
      <c r="F450" s="81" t="e">
        <f>IF(#REF!=0,"",#REF!)</f>
        <v>#REF!</v>
      </c>
      <c r="G450" s="100" t="e">
        <f>#REF!</f>
        <v>#REF!</v>
      </c>
      <c r="H450" s="159">
        <f>'27'!R450</f>
        <v>0</v>
      </c>
      <c r="I450" s="159">
        <f>'27'!S450</f>
        <v>0</v>
      </c>
      <c r="J450" s="159"/>
      <c r="K450" s="101">
        <f>'27'!T450</f>
        <v>0</v>
      </c>
      <c r="L450" s="81" t="e">
        <f>#REF!</f>
        <v>#REF!</v>
      </c>
      <c r="M450" s="100" t="e">
        <f>#REF!</f>
        <v>#REF!</v>
      </c>
      <c r="N450" s="159"/>
      <c r="O450" s="101" t="e">
        <f>#REF!</f>
        <v>#REF!</v>
      </c>
      <c r="P450" s="102" t="e">
        <f>IF(#REF!=0,"",#REF!)</f>
        <v>#REF!</v>
      </c>
      <c r="Q450" s="108" t="e">
        <f>IF(#REF!=0,"",#REF!)</f>
        <v>#REF!</v>
      </c>
      <c r="R450" s="81" t="e">
        <f>IF(#REF!=0,"",#REF!)</f>
        <v>#REF!</v>
      </c>
      <c r="S450" s="81" t="e">
        <f>IF(#REF!=0,"",#REF!)</f>
        <v>#REF!</v>
      </c>
      <c r="T450" s="268"/>
      <c r="U450" s="268"/>
      <c r="V450" s="268"/>
    </row>
    <row r="451" ht="15" customHeight="1" spans="2:22">
      <c r="B451" s="6" t="e">
        <f t="shared" ref="B451:B513" si="8">COUNTA(C451)-IF(C451=0,1)+B450</f>
        <v>#REF!</v>
      </c>
      <c r="C451" s="31" t="e">
        <f>#REF!</f>
        <v>#REF!</v>
      </c>
      <c r="D451" s="32" t="e">
        <f>IF(#REF!=0,"",#REF!)</f>
        <v>#REF!</v>
      </c>
      <c r="E451" s="36" t="e">
        <f>IF(#REF!=0,"",#REF!)</f>
        <v>#REF!</v>
      </c>
      <c r="F451" s="36" t="e">
        <f>IF(#REF!=0,"",#REF!)</f>
        <v>#REF!</v>
      </c>
      <c r="G451" s="103">
        <f>'27'!Q451</f>
        <v>0</v>
      </c>
      <c r="H451" s="160">
        <f>'27'!R451</f>
        <v>0</v>
      </c>
      <c r="I451" s="160">
        <f>'27'!S451</f>
        <v>0</v>
      </c>
      <c r="J451" s="160"/>
      <c r="K451" s="104">
        <f>'27'!T451</f>
        <v>0</v>
      </c>
      <c r="L451" s="36" t="e">
        <f>#REF!</f>
        <v>#REF!</v>
      </c>
      <c r="M451" s="103" t="e">
        <f>#REF!</f>
        <v>#REF!</v>
      </c>
      <c r="N451" s="160"/>
      <c r="O451" s="104" t="e">
        <f>#REF!</f>
        <v>#REF!</v>
      </c>
      <c r="P451" s="52" t="e">
        <f>IF(#REF!=0,"",#REF!)</f>
        <v>#REF!</v>
      </c>
      <c r="Q451" s="109" t="e">
        <f>IF(#REF!=0,"",#REF!)</f>
        <v>#REF!</v>
      </c>
      <c r="R451" s="36" t="e">
        <f>IF(#REF!=0,"",#REF!)</f>
        <v>#REF!</v>
      </c>
      <c r="S451" s="36" t="e">
        <f>IF(#REF!=0,"",#REF!)</f>
        <v>#REF!</v>
      </c>
      <c r="T451" s="268"/>
      <c r="U451" s="268"/>
      <c r="V451" s="268"/>
    </row>
    <row r="452" ht="15" customHeight="1" spans="2:22">
      <c r="B452" s="6" t="e">
        <f t="shared" si="8"/>
        <v>#REF!</v>
      </c>
      <c r="C452" s="83" t="e">
        <f>#REF!</f>
        <v>#REF!</v>
      </c>
      <c r="D452" s="110" t="e">
        <f>IF(#REF!=0,"",#REF!)</f>
        <v>#REF!</v>
      </c>
      <c r="E452" s="85" t="e">
        <f>IF(#REF!=0,"",#REF!)</f>
        <v>#REF!</v>
      </c>
      <c r="F452" s="85" t="e">
        <f>IF(#REF!=0,"",#REF!)</f>
        <v>#REF!</v>
      </c>
      <c r="G452" s="105">
        <f>'27'!Q452</f>
        <v>0</v>
      </c>
      <c r="H452" s="161">
        <f>'27'!R452</f>
        <v>0</v>
      </c>
      <c r="I452" s="161">
        <f>'27'!S452</f>
        <v>0</v>
      </c>
      <c r="J452" s="161"/>
      <c r="K452" s="106">
        <f>'27'!T452</f>
        <v>0</v>
      </c>
      <c r="L452" s="85" t="e">
        <f>#REF!</f>
        <v>#REF!</v>
      </c>
      <c r="M452" s="105" t="e">
        <f>#REF!</f>
        <v>#REF!</v>
      </c>
      <c r="N452" s="161"/>
      <c r="O452" s="106" t="e">
        <f>#REF!</f>
        <v>#REF!</v>
      </c>
      <c r="P452" s="107" t="e">
        <f>IF(#REF!=0,"",#REF!)</f>
        <v>#REF!</v>
      </c>
      <c r="Q452" s="111" t="e">
        <f>IF(#REF!=0,"",#REF!)</f>
        <v>#REF!</v>
      </c>
      <c r="R452" s="85" t="e">
        <f>IF(#REF!=0,"",#REF!)</f>
        <v>#REF!</v>
      </c>
      <c r="S452" s="85" t="e">
        <f>IF(#REF!=0,"",#REF!)</f>
        <v>#REF!</v>
      </c>
      <c r="T452" s="268"/>
      <c r="U452" s="268"/>
      <c r="V452" s="268"/>
    </row>
    <row r="453" ht="15" customHeight="1" spans="2:22">
      <c r="B453" s="6" t="e">
        <f t="shared" si="8"/>
        <v>#REF!</v>
      </c>
      <c r="C453" s="79" t="e">
        <f>#REF!</f>
        <v>#REF!</v>
      </c>
      <c r="D453" s="62" t="e">
        <f>IF(#REF!=0,"",#REF!)</f>
        <v>#REF!</v>
      </c>
      <c r="E453" s="81" t="e">
        <f>IF(#REF!=0,"",#REF!)</f>
        <v>#REF!</v>
      </c>
      <c r="F453" s="81" t="e">
        <f>IF(#REF!=0,"",#REF!)</f>
        <v>#REF!</v>
      </c>
      <c r="G453" s="100" t="e">
        <f>#REF!</f>
        <v>#REF!</v>
      </c>
      <c r="H453" s="159">
        <f>'27'!R453</f>
        <v>0</v>
      </c>
      <c r="I453" s="159">
        <f>'27'!S453</f>
        <v>0</v>
      </c>
      <c r="J453" s="159"/>
      <c r="K453" s="101">
        <f>'27'!T453</f>
        <v>0</v>
      </c>
      <c r="L453" s="81" t="e">
        <f>#REF!</f>
        <v>#REF!</v>
      </c>
      <c r="M453" s="100" t="e">
        <f>#REF!</f>
        <v>#REF!</v>
      </c>
      <c r="N453" s="159"/>
      <c r="O453" s="101" t="e">
        <f>#REF!</f>
        <v>#REF!</v>
      </c>
      <c r="P453" s="102" t="e">
        <f>IF(#REF!=0,"",#REF!)</f>
        <v>#REF!</v>
      </c>
      <c r="Q453" s="108" t="e">
        <f>IF(#REF!=0,"",#REF!)</f>
        <v>#REF!</v>
      </c>
      <c r="R453" s="81" t="e">
        <f>IF(#REF!=0,"",#REF!)</f>
        <v>#REF!</v>
      </c>
      <c r="S453" s="81" t="e">
        <f>IF(#REF!=0,"",#REF!)</f>
        <v>#REF!</v>
      </c>
      <c r="T453" s="268"/>
      <c r="U453" s="268"/>
      <c r="V453" s="268"/>
    </row>
    <row r="454" ht="15" customHeight="1" spans="2:22">
      <c r="B454" s="6" t="e">
        <f t="shared" si="8"/>
        <v>#REF!</v>
      </c>
      <c r="C454" s="31" t="e">
        <f>#REF!</f>
        <v>#REF!</v>
      </c>
      <c r="D454" s="32" t="e">
        <f>IF(#REF!=0,"",#REF!)</f>
        <v>#REF!</v>
      </c>
      <c r="E454" s="36" t="e">
        <f>IF(#REF!=0,"",#REF!)</f>
        <v>#REF!</v>
      </c>
      <c r="F454" s="36" t="e">
        <f>IF(#REF!=0,"",#REF!)</f>
        <v>#REF!</v>
      </c>
      <c r="G454" s="103">
        <f>'27'!Q454</f>
        <v>0</v>
      </c>
      <c r="H454" s="160">
        <f>'27'!R454</f>
        <v>0</v>
      </c>
      <c r="I454" s="160">
        <f>'27'!S454</f>
        <v>0</v>
      </c>
      <c r="J454" s="160"/>
      <c r="K454" s="104">
        <f>'27'!T454</f>
        <v>0</v>
      </c>
      <c r="L454" s="36" t="e">
        <f>#REF!</f>
        <v>#REF!</v>
      </c>
      <c r="M454" s="103" t="e">
        <f>#REF!</f>
        <v>#REF!</v>
      </c>
      <c r="N454" s="160"/>
      <c r="O454" s="104" t="e">
        <f>#REF!</f>
        <v>#REF!</v>
      </c>
      <c r="P454" s="52" t="e">
        <f>IF(#REF!=0,"",#REF!)</f>
        <v>#REF!</v>
      </c>
      <c r="Q454" s="109" t="e">
        <f>IF(#REF!=0,"",#REF!)</f>
        <v>#REF!</v>
      </c>
      <c r="R454" s="36" t="e">
        <f>IF(#REF!=0,"",#REF!)</f>
        <v>#REF!</v>
      </c>
      <c r="S454" s="36" t="e">
        <f>IF(#REF!=0,"",#REF!)</f>
        <v>#REF!</v>
      </c>
      <c r="T454" s="268"/>
      <c r="U454" s="268"/>
      <c r="V454" s="268"/>
    </row>
    <row r="455" ht="15" customHeight="1" spans="2:22">
      <c r="B455" s="6" t="e">
        <f t="shared" si="8"/>
        <v>#REF!</v>
      </c>
      <c r="C455" s="83" t="e">
        <f>#REF!</f>
        <v>#REF!</v>
      </c>
      <c r="D455" s="110" t="e">
        <f>IF(#REF!=0,"",#REF!)</f>
        <v>#REF!</v>
      </c>
      <c r="E455" s="85" t="e">
        <f>IF(#REF!=0,"",#REF!)</f>
        <v>#REF!</v>
      </c>
      <c r="F455" s="85" t="e">
        <f>IF(#REF!=0,"",#REF!)</f>
        <v>#REF!</v>
      </c>
      <c r="G455" s="105">
        <f>'27'!Q455</f>
        <v>0</v>
      </c>
      <c r="H455" s="161">
        <f>'27'!R455</f>
        <v>0</v>
      </c>
      <c r="I455" s="161">
        <f>'27'!S455</f>
        <v>0</v>
      </c>
      <c r="J455" s="161"/>
      <c r="K455" s="106">
        <f>'27'!T455</f>
        <v>0</v>
      </c>
      <c r="L455" s="85" t="e">
        <f>#REF!</f>
        <v>#REF!</v>
      </c>
      <c r="M455" s="105" t="e">
        <f>#REF!</f>
        <v>#REF!</v>
      </c>
      <c r="N455" s="161"/>
      <c r="O455" s="106" t="e">
        <f>#REF!</f>
        <v>#REF!</v>
      </c>
      <c r="P455" s="107" t="e">
        <f>IF(#REF!=0,"",#REF!)</f>
        <v>#REF!</v>
      </c>
      <c r="Q455" s="111" t="e">
        <f>IF(#REF!=0,"",#REF!)</f>
        <v>#REF!</v>
      </c>
      <c r="R455" s="85" t="e">
        <f>IF(#REF!=0,"",#REF!)</f>
        <v>#REF!</v>
      </c>
      <c r="S455" s="85" t="e">
        <f>IF(#REF!=0,"",#REF!)</f>
        <v>#REF!</v>
      </c>
      <c r="T455" s="268"/>
      <c r="U455" s="268"/>
      <c r="V455" s="268"/>
    </row>
    <row r="456" ht="15" customHeight="1" spans="2:22">
      <c r="B456" s="6" t="e">
        <f t="shared" si="8"/>
        <v>#REF!</v>
      </c>
      <c r="C456" s="79" t="e">
        <f>#REF!</f>
        <v>#REF!</v>
      </c>
      <c r="D456" s="62" t="e">
        <f>IF(#REF!=0,"",#REF!)</f>
        <v>#REF!</v>
      </c>
      <c r="E456" s="81" t="e">
        <f>IF(#REF!=0,"",#REF!)</f>
        <v>#REF!</v>
      </c>
      <c r="F456" s="81" t="e">
        <f>IF(#REF!=0,"",#REF!)</f>
        <v>#REF!</v>
      </c>
      <c r="G456" s="100" t="e">
        <f>#REF!</f>
        <v>#REF!</v>
      </c>
      <c r="H456" s="159">
        <f>'27'!R456</f>
        <v>0</v>
      </c>
      <c r="I456" s="159">
        <f>'27'!S456</f>
        <v>0</v>
      </c>
      <c r="J456" s="159"/>
      <c r="K456" s="101">
        <f>'27'!T456</f>
        <v>0</v>
      </c>
      <c r="L456" s="81" t="e">
        <f>#REF!</f>
        <v>#REF!</v>
      </c>
      <c r="M456" s="100" t="e">
        <f>#REF!</f>
        <v>#REF!</v>
      </c>
      <c r="N456" s="159"/>
      <c r="O456" s="101" t="e">
        <f>#REF!</f>
        <v>#REF!</v>
      </c>
      <c r="P456" s="102" t="e">
        <f>IF(#REF!=0,"",#REF!)</f>
        <v>#REF!</v>
      </c>
      <c r="Q456" s="108" t="e">
        <f>IF(#REF!=0,"",#REF!)</f>
        <v>#REF!</v>
      </c>
      <c r="R456" s="81" t="e">
        <f>IF(#REF!=0,"",#REF!)</f>
        <v>#REF!</v>
      </c>
      <c r="S456" s="81" t="e">
        <f>IF(#REF!=0,"",#REF!)</f>
        <v>#REF!</v>
      </c>
      <c r="T456" s="268"/>
      <c r="U456" s="268"/>
      <c r="V456" s="268"/>
    </row>
    <row r="457" ht="15" customHeight="1" spans="2:22">
      <c r="B457" s="6" t="e">
        <f t="shared" si="8"/>
        <v>#REF!</v>
      </c>
      <c r="C457" s="31" t="e">
        <f>#REF!</f>
        <v>#REF!</v>
      </c>
      <c r="D457" s="32" t="e">
        <f>IF(#REF!=0,"",#REF!)</f>
        <v>#REF!</v>
      </c>
      <c r="E457" s="36" t="e">
        <f>IF(#REF!=0,"",#REF!)</f>
        <v>#REF!</v>
      </c>
      <c r="F457" s="36" t="e">
        <f>IF(#REF!=0,"",#REF!)</f>
        <v>#REF!</v>
      </c>
      <c r="G457" s="103">
        <f>'27'!Q457</f>
        <v>0</v>
      </c>
      <c r="H457" s="160">
        <f>'27'!R457</f>
        <v>0</v>
      </c>
      <c r="I457" s="160">
        <f>'27'!S457</f>
        <v>0</v>
      </c>
      <c r="J457" s="160"/>
      <c r="K457" s="104">
        <f>'27'!T457</f>
        <v>0</v>
      </c>
      <c r="L457" s="36" t="e">
        <f>#REF!</f>
        <v>#REF!</v>
      </c>
      <c r="M457" s="103" t="e">
        <f>#REF!</f>
        <v>#REF!</v>
      </c>
      <c r="N457" s="160"/>
      <c r="O457" s="104" t="e">
        <f>#REF!</f>
        <v>#REF!</v>
      </c>
      <c r="P457" s="52" t="e">
        <f>IF(#REF!=0,"",#REF!)</f>
        <v>#REF!</v>
      </c>
      <c r="Q457" s="109" t="e">
        <f>IF(#REF!=0,"",#REF!)</f>
        <v>#REF!</v>
      </c>
      <c r="R457" s="36" t="e">
        <f>IF(#REF!=0,"",#REF!)</f>
        <v>#REF!</v>
      </c>
      <c r="S457" s="36" t="e">
        <f>IF(#REF!=0,"",#REF!)</f>
        <v>#REF!</v>
      </c>
      <c r="T457" s="268"/>
      <c r="U457" s="268"/>
      <c r="V457" s="268"/>
    </row>
    <row r="458" ht="15" customHeight="1" spans="2:22">
      <c r="B458" s="6" t="e">
        <f t="shared" si="8"/>
        <v>#REF!</v>
      </c>
      <c r="C458" s="83" t="e">
        <f>#REF!</f>
        <v>#REF!</v>
      </c>
      <c r="D458" s="110" t="e">
        <f>IF(#REF!=0,"",#REF!)</f>
        <v>#REF!</v>
      </c>
      <c r="E458" s="85" t="e">
        <f>IF(#REF!=0,"",#REF!)</f>
        <v>#REF!</v>
      </c>
      <c r="F458" s="85" t="e">
        <f>IF(#REF!=0,"",#REF!)</f>
        <v>#REF!</v>
      </c>
      <c r="G458" s="105">
        <f>'27'!Q458</f>
        <v>0</v>
      </c>
      <c r="H458" s="161">
        <f>'27'!R458</f>
        <v>0</v>
      </c>
      <c r="I458" s="161">
        <f>'27'!S458</f>
        <v>0</v>
      </c>
      <c r="J458" s="161"/>
      <c r="K458" s="106">
        <f>'27'!T458</f>
        <v>0</v>
      </c>
      <c r="L458" s="85" t="e">
        <f>#REF!</f>
        <v>#REF!</v>
      </c>
      <c r="M458" s="105" t="e">
        <f>#REF!</f>
        <v>#REF!</v>
      </c>
      <c r="N458" s="161"/>
      <c r="O458" s="106" t="e">
        <f>#REF!</f>
        <v>#REF!</v>
      </c>
      <c r="P458" s="107" t="e">
        <f>IF(#REF!=0,"",#REF!)</f>
        <v>#REF!</v>
      </c>
      <c r="Q458" s="111" t="e">
        <f>IF(#REF!=0,"",#REF!)</f>
        <v>#REF!</v>
      </c>
      <c r="R458" s="85" t="e">
        <f>IF(#REF!=0,"",#REF!)</f>
        <v>#REF!</v>
      </c>
      <c r="S458" s="85" t="e">
        <f>IF(#REF!=0,"",#REF!)</f>
        <v>#REF!</v>
      </c>
      <c r="T458" s="268"/>
      <c r="U458" s="268"/>
      <c r="V458" s="268"/>
    </row>
    <row r="459" ht="15" customHeight="1" spans="2:22">
      <c r="B459" s="6" t="e">
        <f t="shared" si="8"/>
        <v>#REF!</v>
      </c>
      <c r="C459" s="79" t="e">
        <f>#REF!</f>
        <v>#REF!</v>
      </c>
      <c r="D459" s="62" t="e">
        <f>IF(#REF!=0,"",#REF!)</f>
        <v>#REF!</v>
      </c>
      <c r="E459" s="81" t="e">
        <f>IF(#REF!=0,"",#REF!)</f>
        <v>#REF!</v>
      </c>
      <c r="F459" s="81" t="e">
        <f>IF(#REF!=0,"",#REF!)</f>
        <v>#REF!</v>
      </c>
      <c r="G459" s="100" t="e">
        <f>#REF!</f>
        <v>#REF!</v>
      </c>
      <c r="H459" s="159">
        <f>'27'!R459</f>
        <v>0</v>
      </c>
      <c r="I459" s="159">
        <f>'27'!S459</f>
        <v>0</v>
      </c>
      <c r="J459" s="159"/>
      <c r="K459" s="101">
        <f>'27'!T459</f>
        <v>0</v>
      </c>
      <c r="L459" s="81" t="e">
        <f>#REF!</f>
        <v>#REF!</v>
      </c>
      <c r="M459" s="100" t="e">
        <f>#REF!</f>
        <v>#REF!</v>
      </c>
      <c r="N459" s="159"/>
      <c r="O459" s="101" t="e">
        <f>#REF!</f>
        <v>#REF!</v>
      </c>
      <c r="P459" s="102" t="e">
        <f>IF(#REF!=0,"",#REF!)</f>
        <v>#REF!</v>
      </c>
      <c r="Q459" s="108" t="e">
        <f>IF(#REF!=0,"",#REF!)</f>
        <v>#REF!</v>
      </c>
      <c r="R459" s="81" t="e">
        <f>IF(#REF!=0,"",#REF!)</f>
        <v>#REF!</v>
      </c>
      <c r="S459" s="81" t="e">
        <f>IF(#REF!=0,"",#REF!)</f>
        <v>#REF!</v>
      </c>
      <c r="T459" s="268"/>
      <c r="U459" s="268"/>
      <c r="V459" s="268"/>
    </row>
    <row r="460" ht="15" customHeight="1" spans="2:22">
      <c r="B460" s="6" t="e">
        <f t="shared" si="8"/>
        <v>#REF!</v>
      </c>
      <c r="C460" s="31" t="e">
        <f>#REF!</f>
        <v>#REF!</v>
      </c>
      <c r="D460" s="32" t="e">
        <f>IF(#REF!=0,"",#REF!)</f>
        <v>#REF!</v>
      </c>
      <c r="E460" s="36" t="e">
        <f>IF(#REF!=0,"",#REF!)</f>
        <v>#REF!</v>
      </c>
      <c r="F460" s="36" t="e">
        <f>IF(#REF!=0,"",#REF!)</f>
        <v>#REF!</v>
      </c>
      <c r="G460" s="103">
        <f>'27'!Q460</f>
        <v>0</v>
      </c>
      <c r="H460" s="160">
        <f>'27'!R460</f>
        <v>0</v>
      </c>
      <c r="I460" s="160">
        <f>'27'!S460</f>
        <v>0</v>
      </c>
      <c r="J460" s="160"/>
      <c r="K460" s="104">
        <f>'27'!T460</f>
        <v>0</v>
      </c>
      <c r="L460" s="36" t="e">
        <f>#REF!</f>
        <v>#REF!</v>
      </c>
      <c r="M460" s="103" t="e">
        <f>#REF!</f>
        <v>#REF!</v>
      </c>
      <c r="N460" s="160"/>
      <c r="O460" s="104" t="e">
        <f>#REF!</f>
        <v>#REF!</v>
      </c>
      <c r="P460" s="52" t="e">
        <f>IF(#REF!=0,"",#REF!)</f>
        <v>#REF!</v>
      </c>
      <c r="Q460" s="109" t="e">
        <f>IF(#REF!=0,"",#REF!)</f>
        <v>#REF!</v>
      </c>
      <c r="R460" s="36" t="e">
        <f>IF(#REF!=0,"",#REF!)</f>
        <v>#REF!</v>
      </c>
      <c r="S460" s="36" t="e">
        <f>IF(#REF!=0,"",#REF!)</f>
        <v>#REF!</v>
      </c>
      <c r="T460" s="268"/>
      <c r="U460" s="268"/>
      <c r="V460" s="268"/>
    </row>
    <row r="461" ht="15" customHeight="1" spans="2:22">
      <c r="B461" s="6" t="e">
        <f t="shared" si="8"/>
        <v>#REF!</v>
      </c>
      <c r="C461" s="83" t="e">
        <f>#REF!</f>
        <v>#REF!</v>
      </c>
      <c r="D461" s="110" t="e">
        <f>IF(#REF!=0,"",#REF!)</f>
        <v>#REF!</v>
      </c>
      <c r="E461" s="85" t="e">
        <f>IF(#REF!=0,"",#REF!)</f>
        <v>#REF!</v>
      </c>
      <c r="F461" s="85" t="e">
        <f>IF(#REF!=0,"",#REF!)</f>
        <v>#REF!</v>
      </c>
      <c r="G461" s="105">
        <f>'27'!Q461</f>
        <v>0</v>
      </c>
      <c r="H461" s="161">
        <f>'27'!R461</f>
        <v>0</v>
      </c>
      <c r="I461" s="161">
        <f>'27'!S461</f>
        <v>0</v>
      </c>
      <c r="J461" s="161"/>
      <c r="K461" s="106">
        <f>'27'!T461</f>
        <v>0</v>
      </c>
      <c r="L461" s="85" t="e">
        <f>#REF!</f>
        <v>#REF!</v>
      </c>
      <c r="M461" s="105" t="e">
        <f>#REF!</f>
        <v>#REF!</v>
      </c>
      <c r="N461" s="161"/>
      <c r="O461" s="106" t="e">
        <f>#REF!</f>
        <v>#REF!</v>
      </c>
      <c r="P461" s="107" t="e">
        <f>IF(#REF!=0,"",#REF!)</f>
        <v>#REF!</v>
      </c>
      <c r="Q461" s="111" t="e">
        <f>IF(#REF!=0,"",#REF!)</f>
        <v>#REF!</v>
      </c>
      <c r="R461" s="85" t="e">
        <f>IF(#REF!=0,"",#REF!)</f>
        <v>#REF!</v>
      </c>
      <c r="S461" s="85" t="e">
        <f>IF(#REF!=0,"",#REF!)</f>
        <v>#REF!</v>
      </c>
      <c r="T461" s="268"/>
      <c r="U461" s="268"/>
      <c r="V461" s="268"/>
    </row>
    <row r="462" ht="15" customHeight="1" spans="2:22">
      <c r="B462" s="6" t="e">
        <f t="shared" si="8"/>
        <v>#REF!</v>
      </c>
      <c r="C462" s="79" t="e">
        <f>#REF!</f>
        <v>#REF!</v>
      </c>
      <c r="D462" s="62" t="e">
        <f>IF(#REF!=0,"",#REF!)</f>
        <v>#REF!</v>
      </c>
      <c r="E462" s="81" t="e">
        <f>IF(#REF!=0,"",#REF!)</f>
        <v>#REF!</v>
      </c>
      <c r="F462" s="81" t="e">
        <f>IF(#REF!=0,"",#REF!)</f>
        <v>#REF!</v>
      </c>
      <c r="G462" s="100" t="e">
        <f>#REF!</f>
        <v>#REF!</v>
      </c>
      <c r="H462" s="159">
        <f>'27'!R462</f>
        <v>0</v>
      </c>
      <c r="I462" s="159">
        <f>'27'!S462</f>
        <v>0</v>
      </c>
      <c r="J462" s="159"/>
      <c r="K462" s="101">
        <f>'27'!T462</f>
        <v>0</v>
      </c>
      <c r="L462" s="81" t="e">
        <f>#REF!</f>
        <v>#REF!</v>
      </c>
      <c r="M462" s="100" t="e">
        <f>#REF!</f>
        <v>#REF!</v>
      </c>
      <c r="N462" s="159"/>
      <c r="O462" s="101" t="e">
        <f>#REF!</f>
        <v>#REF!</v>
      </c>
      <c r="P462" s="102" t="e">
        <f>IF(#REF!=0,"",#REF!)</f>
        <v>#REF!</v>
      </c>
      <c r="Q462" s="108" t="e">
        <f>IF(#REF!=0,"",#REF!)</f>
        <v>#REF!</v>
      </c>
      <c r="R462" s="81" t="e">
        <f>IF(#REF!=0,"",#REF!)</f>
        <v>#REF!</v>
      </c>
      <c r="S462" s="81" t="e">
        <f>IF(#REF!=0,"",#REF!)</f>
        <v>#REF!</v>
      </c>
      <c r="T462" s="268"/>
      <c r="U462" s="268"/>
      <c r="V462" s="268"/>
    </row>
    <row r="463" ht="15" customHeight="1" spans="2:22">
      <c r="B463" s="6" t="e">
        <f t="shared" si="8"/>
        <v>#REF!</v>
      </c>
      <c r="C463" s="31" t="e">
        <f>#REF!</f>
        <v>#REF!</v>
      </c>
      <c r="D463" s="32" t="e">
        <f>IF(#REF!=0,"",#REF!)</f>
        <v>#REF!</v>
      </c>
      <c r="E463" s="36" t="e">
        <f>IF(#REF!=0,"",#REF!)</f>
        <v>#REF!</v>
      </c>
      <c r="F463" s="36" t="e">
        <f>IF(#REF!=0,"",#REF!)</f>
        <v>#REF!</v>
      </c>
      <c r="G463" s="103">
        <f>'27'!Q463</f>
        <v>0</v>
      </c>
      <c r="H463" s="160">
        <f>'27'!R463</f>
        <v>0</v>
      </c>
      <c r="I463" s="160">
        <f>'27'!S463</f>
        <v>0</v>
      </c>
      <c r="J463" s="160"/>
      <c r="K463" s="104">
        <f>'27'!T463</f>
        <v>0</v>
      </c>
      <c r="L463" s="36" t="e">
        <f>#REF!</f>
        <v>#REF!</v>
      </c>
      <c r="M463" s="103" t="e">
        <f>#REF!</f>
        <v>#REF!</v>
      </c>
      <c r="N463" s="160"/>
      <c r="O463" s="104" t="e">
        <f>#REF!</f>
        <v>#REF!</v>
      </c>
      <c r="P463" s="52" t="e">
        <f>IF(#REF!=0,"",#REF!)</f>
        <v>#REF!</v>
      </c>
      <c r="Q463" s="109" t="e">
        <f>IF(#REF!=0,"",#REF!)</f>
        <v>#REF!</v>
      </c>
      <c r="R463" s="36" t="e">
        <f>IF(#REF!=0,"",#REF!)</f>
        <v>#REF!</v>
      </c>
      <c r="S463" s="36" t="e">
        <f>IF(#REF!=0,"",#REF!)</f>
        <v>#REF!</v>
      </c>
      <c r="T463" s="268"/>
      <c r="U463" s="268"/>
      <c r="V463" s="268"/>
    </row>
    <row r="464" ht="15" customHeight="1" spans="2:22">
      <c r="B464" s="6" t="e">
        <f t="shared" si="8"/>
        <v>#REF!</v>
      </c>
      <c r="C464" s="83" t="e">
        <f>#REF!</f>
        <v>#REF!</v>
      </c>
      <c r="D464" s="110" t="e">
        <f>IF(#REF!=0,"",#REF!)</f>
        <v>#REF!</v>
      </c>
      <c r="E464" s="85" t="e">
        <f>IF(#REF!=0,"",#REF!)</f>
        <v>#REF!</v>
      </c>
      <c r="F464" s="85" t="e">
        <f>IF(#REF!=0,"",#REF!)</f>
        <v>#REF!</v>
      </c>
      <c r="G464" s="105">
        <f>'27'!Q464</f>
        <v>0</v>
      </c>
      <c r="H464" s="161">
        <f>'27'!R464</f>
        <v>0</v>
      </c>
      <c r="I464" s="161">
        <f>'27'!S464</f>
        <v>0</v>
      </c>
      <c r="J464" s="161"/>
      <c r="K464" s="106">
        <f>'27'!T464</f>
        <v>0</v>
      </c>
      <c r="L464" s="85" t="e">
        <f>#REF!</f>
        <v>#REF!</v>
      </c>
      <c r="M464" s="105" t="e">
        <f>#REF!</f>
        <v>#REF!</v>
      </c>
      <c r="N464" s="161"/>
      <c r="O464" s="106" t="e">
        <f>#REF!</f>
        <v>#REF!</v>
      </c>
      <c r="P464" s="107" t="e">
        <f>IF(#REF!=0,"",#REF!)</f>
        <v>#REF!</v>
      </c>
      <c r="Q464" s="111" t="e">
        <f>IF(#REF!=0,"",#REF!)</f>
        <v>#REF!</v>
      </c>
      <c r="R464" s="85" t="e">
        <f>IF(#REF!=0,"",#REF!)</f>
        <v>#REF!</v>
      </c>
      <c r="S464" s="85" t="e">
        <f>IF(#REF!=0,"",#REF!)</f>
        <v>#REF!</v>
      </c>
      <c r="T464" s="268"/>
      <c r="U464" s="268"/>
      <c r="V464" s="268"/>
    </row>
    <row r="465" ht="15" customHeight="1" spans="2:22">
      <c r="B465" s="6" t="e">
        <f t="shared" si="8"/>
        <v>#REF!</v>
      </c>
      <c r="C465" s="79" t="e">
        <f>#REF!</f>
        <v>#REF!</v>
      </c>
      <c r="D465" s="62" t="e">
        <f>IF(#REF!=0,"",#REF!)</f>
        <v>#REF!</v>
      </c>
      <c r="E465" s="81" t="e">
        <f>IF(#REF!=0,"",#REF!)</f>
        <v>#REF!</v>
      </c>
      <c r="F465" s="81" t="e">
        <f>IF(#REF!=0,"",#REF!)</f>
        <v>#REF!</v>
      </c>
      <c r="G465" s="100" t="e">
        <f>#REF!</f>
        <v>#REF!</v>
      </c>
      <c r="H465" s="159">
        <f>'27'!R465</f>
        <v>0</v>
      </c>
      <c r="I465" s="159">
        <f>'27'!S465</f>
        <v>0</v>
      </c>
      <c r="J465" s="159"/>
      <c r="K465" s="101">
        <f>'27'!T465</f>
        <v>0</v>
      </c>
      <c r="L465" s="81" t="e">
        <f>#REF!</f>
        <v>#REF!</v>
      </c>
      <c r="M465" s="100" t="e">
        <f>#REF!</f>
        <v>#REF!</v>
      </c>
      <c r="N465" s="159"/>
      <c r="O465" s="101" t="e">
        <f>#REF!</f>
        <v>#REF!</v>
      </c>
      <c r="P465" s="102" t="e">
        <f>IF(#REF!=0,"",#REF!)</f>
        <v>#REF!</v>
      </c>
      <c r="Q465" s="108" t="e">
        <f>IF(#REF!=0,"",#REF!)</f>
        <v>#REF!</v>
      </c>
      <c r="R465" s="81" t="e">
        <f>IF(#REF!=0,"",#REF!)</f>
        <v>#REF!</v>
      </c>
      <c r="S465" s="81" t="e">
        <f>IF(#REF!=0,"",#REF!)</f>
        <v>#REF!</v>
      </c>
      <c r="T465" s="268"/>
      <c r="U465" s="268"/>
      <c r="V465" s="268"/>
    </row>
    <row r="466" ht="15" customHeight="1" spans="2:22">
      <c r="B466" s="6" t="e">
        <f t="shared" si="8"/>
        <v>#REF!</v>
      </c>
      <c r="C466" s="31" t="e">
        <f>#REF!</f>
        <v>#REF!</v>
      </c>
      <c r="D466" s="32" t="e">
        <f>IF(#REF!=0,"",#REF!)</f>
        <v>#REF!</v>
      </c>
      <c r="E466" s="36" t="e">
        <f>IF(#REF!=0,"",#REF!)</f>
        <v>#REF!</v>
      </c>
      <c r="F466" s="36" t="e">
        <f>IF(#REF!=0,"",#REF!)</f>
        <v>#REF!</v>
      </c>
      <c r="G466" s="103">
        <f>'27'!Q466</f>
        <v>0</v>
      </c>
      <c r="H466" s="160">
        <f>'27'!R466</f>
        <v>0</v>
      </c>
      <c r="I466" s="160">
        <f>'27'!S466</f>
        <v>0</v>
      </c>
      <c r="J466" s="160"/>
      <c r="K466" s="104">
        <f>'27'!T466</f>
        <v>0</v>
      </c>
      <c r="L466" s="36" t="e">
        <f>#REF!</f>
        <v>#REF!</v>
      </c>
      <c r="M466" s="103" t="e">
        <f>#REF!</f>
        <v>#REF!</v>
      </c>
      <c r="N466" s="160"/>
      <c r="O466" s="104" t="e">
        <f>#REF!</f>
        <v>#REF!</v>
      </c>
      <c r="P466" s="52" t="e">
        <f>IF(#REF!=0,"",#REF!)</f>
        <v>#REF!</v>
      </c>
      <c r="Q466" s="109" t="e">
        <f>IF(#REF!=0,"",#REF!)</f>
        <v>#REF!</v>
      </c>
      <c r="R466" s="36" t="e">
        <f>IF(#REF!=0,"",#REF!)</f>
        <v>#REF!</v>
      </c>
      <c r="S466" s="36" t="e">
        <f>IF(#REF!=0,"",#REF!)</f>
        <v>#REF!</v>
      </c>
      <c r="T466" s="268"/>
      <c r="U466" s="268"/>
      <c r="V466" s="268"/>
    </row>
    <row r="467" ht="15" customHeight="1" spans="2:22">
      <c r="B467" s="6" t="e">
        <f t="shared" si="8"/>
        <v>#REF!</v>
      </c>
      <c r="C467" s="83" t="e">
        <f>#REF!</f>
        <v>#REF!</v>
      </c>
      <c r="D467" s="110" t="e">
        <f>IF(#REF!=0,"",#REF!)</f>
        <v>#REF!</v>
      </c>
      <c r="E467" s="85" t="e">
        <f>IF(#REF!=0,"",#REF!)</f>
        <v>#REF!</v>
      </c>
      <c r="F467" s="85" t="e">
        <f>IF(#REF!=0,"",#REF!)</f>
        <v>#REF!</v>
      </c>
      <c r="G467" s="105">
        <f>'27'!Q467</f>
        <v>0</v>
      </c>
      <c r="H467" s="161">
        <f>'27'!R467</f>
        <v>0</v>
      </c>
      <c r="I467" s="161">
        <f>'27'!S467</f>
        <v>0</v>
      </c>
      <c r="J467" s="161"/>
      <c r="K467" s="106">
        <f>'27'!T467</f>
        <v>0</v>
      </c>
      <c r="L467" s="85" t="e">
        <f>#REF!</f>
        <v>#REF!</v>
      </c>
      <c r="M467" s="105" t="e">
        <f>#REF!</f>
        <v>#REF!</v>
      </c>
      <c r="N467" s="161"/>
      <c r="O467" s="106" t="e">
        <f>#REF!</f>
        <v>#REF!</v>
      </c>
      <c r="P467" s="107" t="e">
        <f>IF(#REF!=0,"",#REF!)</f>
        <v>#REF!</v>
      </c>
      <c r="Q467" s="111" t="e">
        <f>IF(#REF!=0,"",#REF!)</f>
        <v>#REF!</v>
      </c>
      <c r="R467" s="85" t="e">
        <f>IF(#REF!=0,"",#REF!)</f>
        <v>#REF!</v>
      </c>
      <c r="S467" s="85" t="e">
        <f>IF(#REF!=0,"",#REF!)</f>
        <v>#REF!</v>
      </c>
      <c r="T467" s="268"/>
      <c r="U467" s="268"/>
      <c r="V467" s="268"/>
    </row>
    <row r="468" ht="15" customHeight="1" spans="2:22">
      <c r="B468" s="6" t="e">
        <f t="shared" si="8"/>
        <v>#REF!</v>
      </c>
      <c r="C468" s="79" t="e">
        <f>#REF!</f>
        <v>#REF!</v>
      </c>
      <c r="D468" s="62" t="e">
        <f>IF(#REF!=0,"",#REF!)</f>
        <v>#REF!</v>
      </c>
      <c r="E468" s="81" t="e">
        <f>IF(#REF!=0,"",#REF!)</f>
        <v>#REF!</v>
      </c>
      <c r="F468" s="81" t="e">
        <f>IF(#REF!=0,"",#REF!)</f>
        <v>#REF!</v>
      </c>
      <c r="G468" s="100" t="e">
        <f>#REF!</f>
        <v>#REF!</v>
      </c>
      <c r="H468" s="159">
        <f>'27'!R468</f>
        <v>0</v>
      </c>
      <c r="I468" s="159">
        <f>'27'!S468</f>
        <v>0</v>
      </c>
      <c r="J468" s="159"/>
      <c r="K468" s="101">
        <f>'27'!T468</f>
        <v>0</v>
      </c>
      <c r="L468" s="81" t="e">
        <f>#REF!</f>
        <v>#REF!</v>
      </c>
      <c r="M468" s="100" t="e">
        <f>#REF!</f>
        <v>#REF!</v>
      </c>
      <c r="N468" s="159"/>
      <c r="O468" s="101" t="e">
        <f>#REF!</f>
        <v>#REF!</v>
      </c>
      <c r="P468" s="102" t="e">
        <f>IF(#REF!=0,"",#REF!)</f>
        <v>#REF!</v>
      </c>
      <c r="Q468" s="108" t="e">
        <f>IF(#REF!=0,"",#REF!)</f>
        <v>#REF!</v>
      </c>
      <c r="R468" s="81" t="e">
        <f>IF(#REF!=0,"",#REF!)</f>
        <v>#REF!</v>
      </c>
      <c r="S468" s="81" t="e">
        <f>IF(#REF!=0,"",#REF!)</f>
        <v>#REF!</v>
      </c>
      <c r="T468" s="268"/>
      <c r="U468" s="268"/>
      <c r="V468" s="268"/>
    </row>
    <row r="469" ht="15" customHeight="1" spans="2:22">
      <c r="B469" s="6" t="e">
        <f t="shared" si="8"/>
        <v>#REF!</v>
      </c>
      <c r="C469" s="31" t="e">
        <f>#REF!</f>
        <v>#REF!</v>
      </c>
      <c r="D469" s="32" t="e">
        <f>IF(#REF!=0,"",#REF!)</f>
        <v>#REF!</v>
      </c>
      <c r="E469" s="36" t="e">
        <f>IF(#REF!=0,"",#REF!)</f>
        <v>#REF!</v>
      </c>
      <c r="F469" s="36" t="e">
        <f>IF(#REF!=0,"",#REF!)</f>
        <v>#REF!</v>
      </c>
      <c r="G469" s="103">
        <f>'27'!Q469</f>
        <v>0</v>
      </c>
      <c r="H469" s="160">
        <f>'27'!R469</f>
        <v>0</v>
      </c>
      <c r="I469" s="160">
        <f>'27'!S469</f>
        <v>0</v>
      </c>
      <c r="J469" s="160"/>
      <c r="K469" s="104">
        <f>'27'!T469</f>
        <v>0</v>
      </c>
      <c r="L469" s="36" t="e">
        <f>#REF!</f>
        <v>#REF!</v>
      </c>
      <c r="M469" s="103" t="e">
        <f>#REF!</f>
        <v>#REF!</v>
      </c>
      <c r="N469" s="160"/>
      <c r="O469" s="104" t="e">
        <f>#REF!</f>
        <v>#REF!</v>
      </c>
      <c r="P469" s="52" t="e">
        <f>IF(#REF!=0,"",#REF!)</f>
        <v>#REF!</v>
      </c>
      <c r="Q469" s="109" t="e">
        <f>IF(#REF!=0,"",#REF!)</f>
        <v>#REF!</v>
      </c>
      <c r="R469" s="36" t="e">
        <f>IF(#REF!=0,"",#REF!)</f>
        <v>#REF!</v>
      </c>
      <c r="S469" s="36" t="e">
        <f>IF(#REF!=0,"",#REF!)</f>
        <v>#REF!</v>
      </c>
      <c r="T469" s="268"/>
      <c r="U469" s="268"/>
      <c r="V469" s="268"/>
    </row>
    <row r="470" ht="15" customHeight="1" spans="2:22">
      <c r="B470" s="6" t="e">
        <f t="shared" si="8"/>
        <v>#REF!</v>
      </c>
      <c r="C470" s="83" t="e">
        <f>#REF!</f>
        <v>#REF!</v>
      </c>
      <c r="D470" s="110" t="e">
        <f>IF(#REF!=0,"",#REF!)</f>
        <v>#REF!</v>
      </c>
      <c r="E470" s="85" t="e">
        <f>IF(#REF!=0,"",#REF!)</f>
        <v>#REF!</v>
      </c>
      <c r="F470" s="85" t="e">
        <f>IF(#REF!=0,"",#REF!)</f>
        <v>#REF!</v>
      </c>
      <c r="G470" s="105">
        <f>'27'!Q470</f>
        <v>0</v>
      </c>
      <c r="H470" s="161">
        <f>'27'!R470</f>
        <v>0</v>
      </c>
      <c r="I470" s="161">
        <f>'27'!S470</f>
        <v>0</v>
      </c>
      <c r="J470" s="161"/>
      <c r="K470" s="106">
        <f>'27'!T470</f>
        <v>0</v>
      </c>
      <c r="L470" s="85" t="e">
        <f>#REF!</f>
        <v>#REF!</v>
      </c>
      <c r="M470" s="105" t="e">
        <f>#REF!</f>
        <v>#REF!</v>
      </c>
      <c r="N470" s="161"/>
      <c r="O470" s="106" t="e">
        <f>#REF!</f>
        <v>#REF!</v>
      </c>
      <c r="P470" s="107" t="e">
        <f>IF(#REF!=0,"",#REF!)</f>
        <v>#REF!</v>
      </c>
      <c r="Q470" s="111" t="e">
        <f>IF(#REF!=0,"",#REF!)</f>
        <v>#REF!</v>
      </c>
      <c r="R470" s="85" t="e">
        <f>IF(#REF!=0,"",#REF!)</f>
        <v>#REF!</v>
      </c>
      <c r="S470" s="85" t="e">
        <f>IF(#REF!=0,"",#REF!)</f>
        <v>#REF!</v>
      </c>
      <c r="T470" s="268"/>
      <c r="U470" s="268"/>
      <c r="V470" s="268"/>
    </row>
    <row r="471" ht="15" customHeight="1" spans="2:22">
      <c r="B471" s="6" t="e">
        <f t="shared" si="8"/>
        <v>#REF!</v>
      </c>
      <c r="C471" s="79" t="e">
        <f>#REF!</f>
        <v>#REF!</v>
      </c>
      <c r="D471" s="62" t="e">
        <f>IF(#REF!=0,"",#REF!)</f>
        <v>#REF!</v>
      </c>
      <c r="E471" s="81" t="e">
        <f>IF(#REF!=0,"",#REF!)</f>
        <v>#REF!</v>
      </c>
      <c r="F471" s="81" t="e">
        <f>IF(#REF!=0,"",#REF!)</f>
        <v>#REF!</v>
      </c>
      <c r="G471" s="100" t="e">
        <f>#REF!</f>
        <v>#REF!</v>
      </c>
      <c r="H471" s="159">
        <f>'27'!R471</f>
        <v>0</v>
      </c>
      <c r="I471" s="159">
        <f>'27'!S471</f>
        <v>0</v>
      </c>
      <c r="J471" s="159"/>
      <c r="K471" s="101">
        <f>'27'!T471</f>
        <v>0</v>
      </c>
      <c r="L471" s="81" t="e">
        <f>#REF!</f>
        <v>#REF!</v>
      </c>
      <c r="M471" s="100" t="e">
        <f>#REF!</f>
        <v>#REF!</v>
      </c>
      <c r="N471" s="159"/>
      <c r="O471" s="101" t="e">
        <f>#REF!</f>
        <v>#REF!</v>
      </c>
      <c r="P471" s="102" t="e">
        <f>IF(#REF!=0,"",#REF!)</f>
        <v>#REF!</v>
      </c>
      <c r="Q471" s="108" t="e">
        <f>IF(#REF!=0,"",#REF!)</f>
        <v>#REF!</v>
      </c>
      <c r="R471" s="81" t="e">
        <f>IF(#REF!=0,"",#REF!)</f>
        <v>#REF!</v>
      </c>
      <c r="S471" s="81" t="e">
        <f>IF(#REF!=0,"",#REF!)</f>
        <v>#REF!</v>
      </c>
      <c r="T471" s="268"/>
      <c r="U471" s="268"/>
      <c r="V471" s="268"/>
    </row>
    <row r="472" ht="15" customHeight="1" spans="2:22">
      <c r="B472" s="6" t="e">
        <f t="shared" si="8"/>
        <v>#REF!</v>
      </c>
      <c r="C472" s="31" t="e">
        <f>#REF!</f>
        <v>#REF!</v>
      </c>
      <c r="D472" s="32" t="e">
        <f>IF(#REF!=0,"",#REF!)</f>
        <v>#REF!</v>
      </c>
      <c r="E472" s="36" t="e">
        <f>IF(#REF!=0,"",#REF!)</f>
        <v>#REF!</v>
      </c>
      <c r="F472" s="36" t="e">
        <f>IF(#REF!=0,"",#REF!)</f>
        <v>#REF!</v>
      </c>
      <c r="G472" s="103">
        <f>'27'!Q472</f>
        <v>0</v>
      </c>
      <c r="H472" s="160">
        <f>'27'!R472</f>
        <v>0</v>
      </c>
      <c r="I472" s="160">
        <f>'27'!S472</f>
        <v>0</v>
      </c>
      <c r="J472" s="160"/>
      <c r="K472" s="104">
        <f>'27'!T472</f>
        <v>0</v>
      </c>
      <c r="L472" s="36" t="e">
        <f>#REF!</f>
        <v>#REF!</v>
      </c>
      <c r="M472" s="103" t="e">
        <f>#REF!</f>
        <v>#REF!</v>
      </c>
      <c r="N472" s="160"/>
      <c r="O472" s="104" t="e">
        <f>#REF!</f>
        <v>#REF!</v>
      </c>
      <c r="P472" s="52" t="e">
        <f>IF(#REF!=0,"",#REF!)</f>
        <v>#REF!</v>
      </c>
      <c r="Q472" s="109" t="e">
        <f>IF(#REF!=0,"",#REF!)</f>
        <v>#REF!</v>
      </c>
      <c r="R472" s="36" t="e">
        <f>IF(#REF!=0,"",#REF!)</f>
        <v>#REF!</v>
      </c>
      <c r="S472" s="36" t="e">
        <f>IF(#REF!=0,"",#REF!)</f>
        <v>#REF!</v>
      </c>
      <c r="T472" s="268"/>
      <c r="U472" s="268"/>
      <c r="V472" s="268"/>
    </row>
    <row r="473" ht="15" customHeight="1" spans="2:22">
      <c r="B473" s="6" t="e">
        <f t="shared" si="8"/>
        <v>#REF!</v>
      </c>
      <c r="C473" s="83" t="e">
        <f>#REF!</f>
        <v>#REF!</v>
      </c>
      <c r="D473" s="110" t="e">
        <f>IF(#REF!=0,"",#REF!)</f>
        <v>#REF!</v>
      </c>
      <c r="E473" s="85" t="e">
        <f>IF(#REF!=0,"",#REF!)</f>
        <v>#REF!</v>
      </c>
      <c r="F473" s="85" t="e">
        <f>IF(#REF!=0,"",#REF!)</f>
        <v>#REF!</v>
      </c>
      <c r="G473" s="105">
        <f>'27'!Q473</f>
        <v>0</v>
      </c>
      <c r="H473" s="161">
        <f>'27'!R473</f>
        <v>0</v>
      </c>
      <c r="I473" s="161">
        <f>'27'!S473</f>
        <v>0</v>
      </c>
      <c r="J473" s="161"/>
      <c r="K473" s="106">
        <f>'27'!T473</f>
        <v>0</v>
      </c>
      <c r="L473" s="85" t="e">
        <f>#REF!</f>
        <v>#REF!</v>
      </c>
      <c r="M473" s="105" t="e">
        <f>#REF!</f>
        <v>#REF!</v>
      </c>
      <c r="N473" s="161"/>
      <c r="O473" s="106" t="e">
        <f>#REF!</f>
        <v>#REF!</v>
      </c>
      <c r="P473" s="107" t="e">
        <f>IF(#REF!=0,"",#REF!)</f>
        <v>#REF!</v>
      </c>
      <c r="Q473" s="111" t="e">
        <f>IF(#REF!=0,"",#REF!)</f>
        <v>#REF!</v>
      </c>
      <c r="R473" s="85" t="e">
        <f>IF(#REF!=0,"",#REF!)</f>
        <v>#REF!</v>
      </c>
      <c r="S473" s="85" t="e">
        <f>IF(#REF!=0,"",#REF!)</f>
        <v>#REF!</v>
      </c>
      <c r="T473" s="268"/>
      <c r="U473" s="268"/>
      <c r="V473" s="268"/>
    </row>
    <row r="474" ht="15" customHeight="1" spans="2:22">
      <c r="B474" s="6" t="e">
        <f t="shared" si="8"/>
        <v>#REF!</v>
      </c>
      <c r="C474" s="79" t="e">
        <f>#REF!</f>
        <v>#REF!</v>
      </c>
      <c r="D474" s="62" t="e">
        <f>IF(#REF!=0,"",#REF!)</f>
        <v>#REF!</v>
      </c>
      <c r="E474" s="81" t="e">
        <f>IF(#REF!=0,"",#REF!)</f>
        <v>#REF!</v>
      </c>
      <c r="F474" s="81" t="e">
        <f>IF(#REF!=0,"",#REF!)</f>
        <v>#REF!</v>
      </c>
      <c r="G474" s="100" t="e">
        <f>#REF!</f>
        <v>#REF!</v>
      </c>
      <c r="H474" s="159">
        <f>'27'!R474</f>
        <v>0</v>
      </c>
      <c r="I474" s="159">
        <f>'27'!S474</f>
        <v>0</v>
      </c>
      <c r="J474" s="159"/>
      <c r="K474" s="101">
        <f>'27'!T474</f>
        <v>0</v>
      </c>
      <c r="L474" s="81" t="e">
        <f>#REF!</f>
        <v>#REF!</v>
      </c>
      <c r="M474" s="100" t="e">
        <f>#REF!</f>
        <v>#REF!</v>
      </c>
      <c r="N474" s="159"/>
      <c r="O474" s="101" t="e">
        <f>#REF!</f>
        <v>#REF!</v>
      </c>
      <c r="P474" s="102" t="e">
        <f>IF(#REF!=0,"",#REF!)</f>
        <v>#REF!</v>
      </c>
      <c r="Q474" s="108" t="e">
        <f>IF(#REF!=0,"",#REF!)</f>
        <v>#REF!</v>
      </c>
      <c r="R474" s="81" t="e">
        <f>IF(#REF!=0,"",#REF!)</f>
        <v>#REF!</v>
      </c>
      <c r="S474" s="81" t="e">
        <f>IF(#REF!=0,"",#REF!)</f>
        <v>#REF!</v>
      </c>
      <c r="T474" s="268"/>
      <c r="U474" s="268"/>
      <c r="V474" s="268"/>
    </row>
    <row r="475" ht="15" customHeight="1" spans="2:22">
      <c r="B475" s="6" t="e">
        <f t="shared" si="8"/>
        <v>#REF!</v>
      </c>
      <c r="C475" s="31" t="e">
        <f>#REF!</f>
        <v>#REF!</v>
      </c>
      <c r="D475" s="32" t="e">
        <f>IF(#REF!=0,"",#REF!)</f>
        <v>#REF!</v>
      </c>
      <c r="E475" s="36" t="e">
        <f>IF(#REF!=0,"",#REF!)</f>
        <v>#REF!</v>
      </c>
      <c r="F475" s="36" t="e">
        <f>IF(#REF!=0,"",#REF!)</f>
        <v>#REF!</v>
      </c>
      <c r="G475" s="103">
        <f>'27'!Q475</f>
        <v>0</v>
      </c>
      <c r="H475" s="160">
        <f>'27'!R475</f>
        <v>0</v>
      </c>
      <c r="I475" s="160">
        <f>'27'!S475</f>
        <v>0</v>
      </c>
      <c r="J475" s="160"/>
      <c r="K475" s="104">
        <f>'27'!T475</f>
        <v>0</v>
      </c>
      <c r="L475" s="36" t="e">
        <f>#REF!</f>
        <v>#REF!</v>
      </c>
      <c r="M475" s="103" t="e">
        <f>#REF!</f>
        <v>#REF!</v>
      </c>
      <c r="N475" s="160"/>
      <c r="O475" s="104" t="e">
        <f>#REF!</f>
        <v>#REF!</v>
      </c>
      <c r="P475" s="52" t="e">
        <f>IF(#REF!=0,"",#REF!)</f>
        <v>#REF!</v>
      </c>
      <c r="Q475" s="109" t="e">
        <f>IF(#REF!=0,"",#REF!)</f>
        <v>#REF!</v>
      </c>
      <c r="R475" s="36" t="e">
        <f>IF(#REF!=0,"",#REF!)</f>
        <v>#REF!</v>
      </c>
      <c r="S475" s="36" t="e">
        <f>IF(#REF!=0,"",#REF!)</f>
        <v>#REF!</v>
      </c>
      <c r="T475" s="268"/>
      <c r="U475" s="268"/>
      <c r="V475" s="268"/>
    </row>
    <row r="476" ht="15" customHeight="1" spans="2:22">
      <c r="B476" s="6" t="e">
        <f t="shared" si="8"/>
        <v>#REF!</v>
      </c>
      <c r="C476" s="83" t="e">
        <f>#REF!</f>
        <v>#REF!</v>
      </c>
      <c r="D476" s="110" t="e">
        <f>IF(#REF!=0,"",#REF!)</f>
        <v>#REF!</v>
      </c>
      <c r="E476" s="85" t="e">
        <f>IF(#REF!=0,"",#REF!)</f>
        <v>#REF!</v>
      </c>
      <c r="F476" s="85" t="e">
        <f>IF(#REF!=0,"",#REF!)</f>
        <v>#REF!</v>
      </c>
      <c r="G476" s="105">
        <f>'27'!Q476</f>
        <v>0</v>
      </c>
      <c r="H476" s="161">
        <f>'27'!R476</f>
        <v>0</v>
      </c>
      <c r="I476" s="161">
        <f>'27'!S476</f>
        <v>0</v>
      </c>
      <c r="J476" s="161"/>
      <c r="K476" s="106">
        <f>'27'!T476</f>
        <v>0</v>
      </c>
      <c r="L476" s="85" t="e">
        <f>#REF!</f>
        <v>#REF!</v>
      </c>
      <c r="M476" s="105" t="e">
        <f>#REF!</f>
        <v>#REF!</v>
      </c>
      <c r="N476" s="161"/>
      <c r="O476" s="106" t="e">
        <f>#REF!</f>
        <v>#REF!</v>
      </c>
      <c r="P476" s="107" t="e">
        <f>IF(#REF!=0,"",#REF!)</f>
        <v>#REF!</v>
      </c>
      <c r="Q476" s="111" t="e">
        <f>IF(#REF!=0,"",#REF!)</f>
        <v>#REF!</v>
      </c>
      <c r="R476" s="85" t="e">
        <f>IF(#REF!=0,"",#REF!)</f>
        <v>#REF!</v>
      </c>
      <c r="S476" s="85" t="e">
        <f>IF(#REF!=0,"",#REF!)</f>
        <v>#REF!</v>
      </c>
      <c r="T476" s="268"/>
      <c r="U476" s="268"/>
      <c r="V476" s="268"/>
    </row>
    <row r="477" ht="15" customHeight="1" spans="2:22">
      <c r="B477" s="6" t="e">
        <f t="shared" si="8"/>
        <v>#REF!</v>
      </c>
      <c r="C477" s="79" t="e">
        <f>#REF!</f>
        <v>#REF!</v>
      </c>
      <c r="D477" s="62" t="e">
        <f>IF(#REF!=0,"",#REF!)</f>
        <v>#REF!</v>
      </c>
      <c r="E477" s="81" t="e">
        <f>IF(#REF!=0,"",#REF!)</f>
        <v>#REF!</v>
      </c>
      <c r="F477" s="81" t="e">
        <f>IF(#REF!=0,"",#REF!)</f>
        <v>#REF!</v>
      </c>
      <c r="G477" s="100" t="e">
        <f>#REF!</f>
        <v>#REF!</v>
      </c>
      <c r="H477" s="159">
        <f>'27'!R477</f>
        <v>0</v>
      </c>
      <c r="I477" s="159">
        <f>'27'!S477</f>
        <v>0</v>
      </c>
      <c r="J477" s="159"/>
      <c r="K477" s="101">
        <f>'27'!T477</f>
        <v>0</v>
      </c>
      <c r="L477" s="81" t="e">
        <f>#REF!</f>
        <v>#REF!</v>
      </c>
      <c r="M477" s="100" t="e">
        <f>#REF!</f>
        <v>#REF!</v>
      </c>
      <c r="N477" s="159"/>
      <c r="O477" s="101" t="e">
        <f>#REF!</f>
        <v>#REF!</v>
      </c>
      <c r="P477" s="102" t="e">
        <f>IF(#REF!=0,"",#REF!)</f>
        <v>#REF!</v>
      </c>
      <c r="Q477" s="108" t="e">
        <f>IF(#REF!=0,"",#REF!)</f>
        <v>#REF!</v>
      </c>
      <c r="R477" s="81" t="e">
        <f>IF(#REF!=0,"",#REF!)</f>
        <v>#REF!</v>
      </c>
      <c r="S477" s="81" t="e">
        <f>IF(#REF!=0,"",#REF!)</f>
        <v>#REF!</v>
      </c>
      <c r="T477" s="268"/>
      <c r="U477" s="268"/>
      <c r="V477" s="268"/>
    </row>
    <row r="478" ht="15" customHeight="1" spans="2:22">
      <c r="B478" s="6" t="e">
        <f t="shared" si="8"/>
        <v>#REF!</v>
      </c>
      <c r="C478" s="31" t="e">
        <f>#REF!</f>
        <v>#REF!</v>
      </c>
      <c r="D478" s="32" t="e">
        <f>IF(#REF!=0,"",#REF!)</f>
        <v>#REF!</v>
      </c>
      <c r="E478" s="36" t="e">
        <f>IF(#REF!=0,"",#REF!)</f>
        <v>#REF!</v>
      </c>
      <c r="F478" s="36" t="e">
        <f>IF(#REF!=0,"",#REF!)</f>
        <v>#REF!</v>
      </c>
      <c r="G478" s="103">
        <f>'27'!Q478</f>
        <v>0</v>
      </c>
      <c r="H478" s="160">
        <f>'27'!R478</f>
        <v>0</v>
      </c>
      <c r="I478" s="160">
        <f>'27'!S478</f>
        <v>0</v>
      </c>
      <c r="J478" s="160"/>
      <c r="K478" s="104">
        <f>'27'!T478</f>
        <v>0</v>
      </c>
      <c r="L478" s="36" t="e">
        <f>#REF!</f>
        <v>#REF!</v>
      </c>
      <c r="M478" s="103" t="e">
        <f>#REF!</f>
        <v>#REF!</v>
      </c>
      <c r="N478" s="160"/>
      <c r="O478" s="104" t="e">
        <f>#REF!</f>
        <v>#REF!</v>
      </c>
      <c r="P478" s="52" t="e">
        <f>IF(#REF!=0,"",#REF!)</f>
        <v>#REF!</v>
      </c>
      <c r="Q478" s="109" t="e">
        <f>IF(#REF!=0,"",#REF!)</f>
        <v>#REF!</v>
      </c>
      <c r="R478" s="36" t="e">
        <f>IF(#REF!=0,"",#REF!)</f>
        <v>#REF!</v>
      </c>
      <c r="S478" s="36" t="e">
        <f>IF(#REF!=0,"",#REF!)</f>
        <v>#REF!</v>
      </c>
      <c r="T478" s="268"/>
      <c r="U478" s="268"/>
      <c r="V478" s="268"/>
    </row>
    <row r="479" ht="15" customHeight="1" spans="2:22">
      <c r="B479" s="6" t="e">
        <f t="shared" si="8"/>
        <v>#REF!</v>
      </c>
      <c r="C479" s="83" t="e">
        <f>#REF!</f>
        <v>#REF!</v>
      </c>
      <c r="D479" s="110" t="e">
        <f>IF(#REF!=0,"",#REF!)</f>
        <v>#REF!</v>
      </c>
      <c r="E479" s="85" t="e">
        <f>IF(#REF!=0,"",#REF!)</f>
        <v>#REF!</v>
      </c>
      <c r="F479" s="85" t="e">
        <f>IF(#REF!=0,"",#REF!)</f>
        <v>#REF!</v>
      </c>
      <c r="G479" s="105">
        <f>'27'!Q479</f>
        <v>0</v>
      </c>
      <c r="H479" s="161">
        <f>'27'!R479</f>
        <v>0</v>
      </c>
      <c r="I479" s="161">
        <f>'27'!S479</f>
        <v>0</v>
      </c>
      <c r="J479" s="161"/>
      <c r="K479" s="106">
        <f>'27'!T479</f>
        <v>0</v>
      </c>
      <c r="L479" s="85" t="e">
        <f>#REF!</f>
        <v>#REF!</v>
      </c>
      <c r="M479" s="105" t="e">
        <f>#REF!</f>
        <v>#REF!</v>
      </c>
      <c r="N479" s="161"/>
      <c r="O479" s="106" t="e">
        <f>#REF!</f>
        <v>#REF!</v>
      </c>
      <c r="P479" s="107" t="e">
        <f>IF(#REF!=0,"",#REF!)</f>
        <v>#REF!</v>
      </c>
      <c r="Q479" s="111" t="e">
        <f>IF(#REF!=0,"",#REF!)</f>
        <v>#REF!</v>
      </c>
      <c r="R479" s="85" t="e">
        <f>IF(#REF!=0,"",#REF!)</f>
        <v>#REF!</v>
      </c>
      <c r="S479" s="85" t="e">
        <f>IF(#REF!=0,"",#REF!)</f>
        <v>#REF!</v>
      </c>
      <c r="T479" s="268"/>
      <c r="U479" s="268"/>
      <c r="V479" s="268"/>
    </row>
    <row r="480" ht="15" customHeight="1" spans="2:22">
      <c r="B480" s="6" t="e">
        <f t="shared" si="8"/>
        <v>#REF!</v>
      </c>
      <c r="C480" s="79" t="e">
        <f>#REF!</f>
        <v>#REF!</v>
      </c>
      <c r="D480" s="62" t="e">
        <f>IF(#REF!=0,"",#REF!)</f>
        <v>#REF!</v>
      </c>
      <c r="E480" s="81" t="e">
        <f>IF(#REF!=0,"",#REF!)</f>
        <v>#REF!</v>
      </c>
      <c r="F480" s="81" t="e">
        <f>IF(#REF!=0,"",#REF!)</f>
        <v>#REF!</v>
      </c>
      <c r="G480" s="100" t="e">
        <f>#REF!</f>
        <v>#REF!</v>
      </c>
      <c r="H480" s="159">
        <f>'27'!R480</f>
        <v>0</v>
      </c>
      <c r="I480" s="159">
        <f>'27'!S480</f>
        <v>0</v>
      </c>
      <c r="J480" s="159"/>
      <c r="K480" s="101">
        <f>'27'!T480</f>
        <v>0</v>
      </c>
      <c r="L480" s="81" t="e">
        <f>#REF!</f>
        <v>#REF!</v>
      </c>
      <c r="M480" s="100" t="e">
        <f>#REF!</f>
        <v>#REF!</v>
      </c>
      <c r="N480" s="159"/>
      <c r="O480" s="101" t="e">
        <f>#REF!</f>
        <v>#REF!</v>
      </c>
      <c r="P480" s="102" t="e">
        <f>IF(#REF!=0,"",#REF!)</f>
        <v>#REF!</v>
      </c>
      <c r="Q480" s="108" t="e">
        <f>IF(#REF!=0,"",#REF!)</f>
        <v>#REF!</v>
      </c>
      <c r="R480" s="81" t="e">
        <f>IF(#REF!=0,"",#REF!)</f>
        <v>#REF!</v>
      </c>
      <c r="S480" s="81" t="e">
        <f>IF(#REF!=0,"",#REF!)</f>
        <v>#REF!</v>
      </c>
      <c r="T480" s="268"/>
      <c r="U480" s="268"/>
      <c r="V480" s="268"/>
    </row>
    <row r="481" ht="15" customHeight="1" spans="2:22">
      <c r="B481" s="6" t="e">
        <f t="shared" si="8"/>
        <v>#REF!</v>
      </c>
      <c r="C481" s="31" t="e">
        <f>#REF!</f>
        <v>#REF!</v>
      </c>
      <c r="D481" s="32" t="e">
        <f>IF(#REF!=0,"",#REF!)</f>
        <v>#REF!</v>
      </c>
      <c r="E481" s="36" t="e">
        <f>IF(#REF!=0,"",#REF!)</f>
        <v>#REF!</v>
      </c>
      <c r="F481" s="36" t="e">
        <f>IF(#REF!=0,"",#REF!)</f>
        <v>#REF!</v>
      </c>
      <c r="G481" s="103">
        <f>'27'!Q481</f>
        <v>0</v>
      </c>
      <c r="H481" s="160">
        <f>'27'!R481</f>
        <v>0</v>
      </c>
      <c r="I481" s="160">
        <f>'27'!S481</f>
        <v>0</v>
      </c>
      <c r="J481" s="160"/>
      <c r="K481" s="104">
        <f>'27'!T481</f>
        <v>0</v>
      </c>
      <c r="L481" s="36" t="e">
        <f>#REF!</f>
        <v>#REF!</v>
      </c>
      <c r="M481" s="103" t="e">
        <f>#REF!</f>
        <v>#REF!</v>
      </c>
      <c r="N481" s="160"/>
      <c r="O481" s="104" t="e">
        <f>#REF!</f>
        <v>#REF!</v>
      </c>
      <c r="P481" s="52" t="e">
        <f>IF(#REF!=0,"",#REF!)</f>
        <v>#REF!</v>
      </c>
      <c r="Q481" s="109" t="e">
        <f>IF(#REF!=0,"",#REF!)</f>
        <v>#REF!</v>
      </c>
      <c r="R481" s="36" t="e">
        <f>IF(#REF!=0,"",#REF!)</f>
        <v>#REF!</v>
      </c>
      <c r="S481" s="36" t="e">
        <f>IF(#REF!=0,"",#REF!)</f>
        <v>#REF!</v>
      </c>
      <c r="T481" s="268"/>
      <c r="U481" s="268"/>
      <c r="V481" s="268"/>
    </row>
    <row r="482" ht="15" customHeight="1" spans="2:22">
      <c r="B482" s="6" t="e">
        <f t="shared" si="8"/>
        <v>#REF!</v>
      </c>
      <c r="C482" s="83" t="e">
        <f>#REF!</f>
        <v>#REF!</v>
      </c>
      <c r="D482" s="110" t="e">
        <f>IF(#REF!=0,"",#REF!)</f>
        <v>#REF!</v>
      </c>
      <c r="E482" s="85" t="e">
        <f>IF(#REF!=0,"",#REF!)</f>
        <v>#REF!</v>
      </c>
      <c r="F482" s="85" t="e">
        <f>IF(#REF!=0,"",#REF!)</f>
        <v>#REF!</v>
      </c>
      <c r="G482" s="105">
        <f>'27'!Q482</f>
        <v>0</v>
      </c>
      <c r="H482" s="161">
        <f>'27'!R482</f>
        <v>0</v>
      </c>
      <c r="I482" s="161">
        <f>'27'!S482</f>
        <v>0</v>
      </c>
      <c r="J482" s="161"/>
      <c r="K482" s="106">
        <f>'27'!T482</f>
        <v>0</v>
      </c>
      <c r="L482" s="85" t="e">
        <f>#REF!</f>
        <v>#REF!</v>
      </c>
      <c r="M482" s="105" t="e">
        <f>#REF!</f>
        <v>#REF!</v>
      </c>
      <c r="N482" s="161"/>
      <c r="O482" s="106" t="e">
        <f>#REF!</f>
        <v>#REF!</v>
      </c>
      <c r="P482" s="107" t="e">
        <f>IF(#REF!=0,"",#REF!)</f>
        <v>#REF!</v>
      </c>
      <c r="Q482" s="111" t="e">
        <f>IF(#REF!=0,"",#REF!)</f>
        <v>#REF!</v>
      </c>
      <c r="R482" s="85" t="e">
        <f>IF(#REF!=0,"",#REF!)</f>
        <v>#REF!</v>
      </c>
      <c r="S482" s="85" t="e">
        <f>IF(#REF!=0,"",#REF!)</f>
        <v>#REF!</v>
      </c>
      <c r="T482" s="268"/>
      <c r="U482" s="268"/>
      <c r="V482" s="268"/>
    </row>
    <row r="483" ht="15" customHeight="1" spans="2:22">
      <c r="B483" s="6" t="e">
        <f t="shared" si="8"/>
        <v>#REF!</v>
      </c>
      <c r="C483" s="79" t="e">
        <f>#REF!</f>
        <v>#REF!</v>
      </c>
      <c r="D483" s="62" t="e">
        <f>IF(#REF!=0,"",#REF!)</f>
        <v>#REF!</v>
      </c>
      <c r="E483" s="81" t="e">
        <f>IF(#REF!=0,"",#REF!)</f>
        <v>#REF!</v>
      </c>
      <c r="F483" s="81" t="e">
        <f>IF(#REF!=0,"",#REF!)</f>
        <v>#REF!</v>
      </c>
      <c r="G483" s="100" t="e">
        <f>#REF!</f>
        <v>#REF!</v>
      </c>
      <c r="H483" s="159">
        <f>'27'!R483</f>
        <v>0</v>
      </c>
      <c r="I483" s="159">
        <f>'27'!S483</f>
        <v>0</v>
      </c>
      <c r="J483" s="159"/>
      <c r="K483" s="101">
        <f>'27'!T483</f>
        <v>0</v>
      </c>
      <c r="L483" s="81" t="e">
        <f>#REF!</f>
        <v>#REF!</v>
      </c>
      <c r="M483" s="100" t="e">
        <f>#REF!</f>
        <v>#REF!</v>
      </c>
      <c r="N483" s="159"/>
      <c r="O483" s="101" t="e">
        <f>#REF!</f>
        <v>#REF!</v>
      </c>
      <c r="P483" s="102" t="e">
        <f>IF(#REF!=0,"",#REF!)</f>
        <v>#REF!</v>
      </c>
      <c r="Q483" s="108" t="e">
        <f>IF(#REF!=0,"",#REF!)</f>
        <v>#REF!</v>
      </c>
      <c r="R483" s="81" t="e">
        <f>IF(#REF!=0,"",#REF!)</f>
        <v>#REF!</v>
      </c>
      <c r="S483" s="81" t="e">
        <f>IF(#REF!=0,"",#REF!)</f>
        <v>#REF!</v>
      </c>
      <c r="T483" s="268"/>
      <c r="U483" s="268"/>
      <c r="V483" s="268"/>
    </row>
    <row r="484" ht="15" customHeight="1" spans="2:22">
      <c r="B484" s="6" t="e">
        <f t="shared" si="8"/>
        <v>#REF!</v>
      </c>
      <c r="C484" s="31" t="e">
        <f>#REF!</f>
        <v>#REF!</v>
      </c>
      <c r="D484" s="32" t="e">
        <f>IF(#REF!=0,"",#REF!)</f>
        <v>#REF!</v>
      </c>
      <c r="E484" s="36" t="e">
        <f>IF(#REF!=0,"",#REF!)</f>
        <v>#REF!</v>
      </c>
      <c r="F484" s="36" t="e">
        <f>IF(#REF!=0,"",#REF!)</f>
        <v>#REF!</v>
      </c>
      <c r="G484" s="103">
        <f>'27'!Q484</f>
        <v>0</v>
      </c>
      <c r="H484" s="160">
        <f>'27'!R484</f>
        <v>0</v>
      </c>
      <c r="I484" s="160">
        <f>'27'!S484</f>
        <v>0</v>
      </c>
      <c r="J484" s="160"/>
      <c r="K484" s="104">
        <f>'27'!T484</f>
        <v>0</v>
      </c>
      <c r="L484" s="36" t="e">
        <f>#REF!</f>
        <v>#REF!</v>
      </c>
      <c r="M484" s="103" t="e">
        <f>#REF!</f>
        <v>#REF!</v>
      </c>
      <c r="N484" s="160"/>
      <c r="O484" s="104" t="e">
        <f>#REF!</f>
        <v>#REF!</v>
      </c>
      <c r="P484" s="52" t="e">
        <f>IF(#REF!=0,"",#REF!)</f>
        <v>#REF!</v>
      </c>
      <c r="Q484" s="109" t="e">
        <f>IF(#REF!=0,"",#REF!)</f>
        <v>#REF!</v>
      </c>
      <c r="R484" s="36" t="e">
        <f>IF(#REF!=0,"",#REF!)</f>
        <v>#REF!</v>
      </c>
      <c r="S484" s="36" t="e">
        <f>IF(#REF!=0,"",#REF!)</f>
        <v>#REF!</v>
      </c>
      <c r="T484" s="268"/>
      <c r="U484" s="268"/>
      <c r="V484" s="268"/>
    </row>
    <row r="485" ht="15" customHeight="1" spans="2:22">
      <c r="B485" s="6" t="e">
        <f t="shared" si="8"/>
        <v>#REF!</v>
      </c>
      <c r="C485" s="83" t="e">
        <f>#REF!</f>
        <v>#REF!</v>
      </c>
      <c r="D485" s="110" t="e">
        <f>IF(#REF!=0,"",#REF!)</f>
        <v>#REF!</v>
      </c>
      <c r="E485" s="85" t="e">
        <f>IF(#REF!=0,"",#REF!)</f>
        <v>#REF!</v>
      </c>
      <c r="F485" s="85" t="e">
        <f>IF(#REF!=0,"",#REF!)</f>
        <v>#REF!</v>
      </c>
      <c r="G485" s="105">
        <f>'27'!Q485</f>
        <v>0</v>
      </c>
      <c r="H485" s="161">
        <f>'27'!R485</f>
        <v>0</v>
      </c>
      <c r="I485" s="161">
        <f>'27'!S485</f>
        <v>0</v>
      </c>
      <c r="J485" s="161"/>
      <c r="K485" s="106">
        <f>'27'!T485</f>
        <v>0</v>
      </c>
      <c r="L485" s="85" t="e">
        <f>#REF!</f>
        <v>#REF!</v>
      </c>
      <c r="M485" s="105" t="e">
        <f>#REF!</f>
        <v>#REF!</v>
      </c>
      <c r="N485" s="161"/>
      <c r="O485" s="106" t="e">
        <f>#REF!</f>
        <v>#REF!</v>
      </c>
      <c r="P485" s="107" t="e">
        <f>IF(#REF!=0,"",#REF!)</f>
        <v>#REF!</v>
      </c>
      <c r="Q485" s="111" t="e">
        <f>IF(#REF!=0,"",#REF!)</f>
        <v>#REF!</v>
      </c>
      <c r="R485" s="85" t="e">
        <f>IF(#REF!=0,"",#REF!)</f>
        <v>#REF!</v>
      </c>
      <c r="S485" s="85" t="e">
        <f>IF(#REF!=0,"",#REF!)</f>
        <v>#REF!</v>
      </c>
      <c r="T485" s="268"/>
      <c r="U485" s="268"/>
      <c r="V485" s="268"/>
    </row>
    <row r="486" ht="15" customHeight="1" spans="2:22">
      <c r="B486" s="6" t="e">
        <f t="shared" si="8"/>
        <v>#REF!</v>
      </c>
      <c r="C486" s="79" t="e">
        <f>#REF!</f>
        <v>#REF!</v>
      </c>
      <c r="D486" s="62" t="e">
        <f>IF(#REF!=0,"",#REF!)</f>
        <v>#REF!</v>
      </c>
      <c r="E486" s="81" t="e">
        <f>IF(#REF!=0,"",#REF!)</f>
        <v>#REF!</v>
      </c>
      <c r="F486" s="81" t="e">
        <f>IF(#REF!=0,"",#REF!)</f>
        <v>#REF!</v>
      </c>
      <c r="G486" s="100" t="e">
        <f>#REF!</f>
        <v>#REF!</v>
      </c>
      <c r="H486" s="159">
        <f>'27'!R486</f>
        <v>0</v>
      </c>
      <c r="I486" s="159">
        <f>'27'!S486</f>
        <v>0</v>
      </c>
      <c r="J486" s="159"/>
      <c r="K486" s="101">
        <f>'27'!T486</f>
        <v>0</v>
      </c>
      <c r="L486" s="81" t="e">
        <f>#REF!</f>
        <v>#REF!</v>
      </c>
      <c r="M486" s="100" t="e">
        <f>#REF!</f>
        <v>#REF!</v>
      </c>
      <c r="N486" s="159"/>
      <c r="O486" s="101" t="e">
        <f>#REF!</f>
        <v>#REF!</v>
      </c>
      <c r="P486" s="102" t="e">
        <f>IF(#REF!=0,"",#REF!)</f>
        <v>#REF!</v>
      </c>
      <c r="Q486" s="108" t="e">
        <f>IF(#REF!=0,"",#REF!)</f>
        <v>#REF!</v>
      </c>
      <c r="R486" s="81" t="e">
        <f>IF(#REF!=0,"",#REF!)</f>
        <v>#REF!</v>
      </c>
      <c r="S486" s="81" t="e">
        <f>IF(#REF!=0,"",#REF!)</f>
        <v>#REF!</v>
      </c>
      <c r="T486" s="268"/>
      <c r="U486" s="268"/>
      <c r="V486" s="268"/>
    </row>
    <row r="487" ht="15" customHeight="1" spans="2:22">
      <c r="B487" s="6" t="e">
        <f t="shared" si="8"/>
        <v>#REF!</v>
      </c>
      <c r="C487" s="31" t="e">
        <f>#REF!</f>
        <v>#REF!</v>
      </c>
      <c r="D487" s="32" t="e">
        <f>IF(#REF!=0,"",#REF!)</f>
        <v>#REF!</v>
      </c>
      <c r="E487" s="36" t="e">
        <f>IF(#REF!=0,"",#REF!)</f>
        <v>#REF!</v>
      </c>
      <c r="F487" s="36" t="e">
        <f>IF(#REF!=0,"",#REF!)</f>
        <v>#REF!</v>
      </c>
      <c r="G487" s="103">
        <f>'27'!Q487</f>
        <v>0</v>
      </c>
      <c r="H487" s="160">
        <f>'27'!R487</f>
        <v>0</v>
      </c>
      <c r="I487" s="160">
        <f>'27'!S487</f>
        <v>0</v>
      </c>
      <c r="J487" s="160"/>
      <c r="K487" s="104">
        <f>'27'!T487</f>
        <v>0</v>
      </c>
      <c r="L487" s="36" t="e">
        <f>#REF!</f>
        <v>#REF!</v>
      </c>
      <c r="M487" s="103" t="e">
        <f>#REF!</f>
        <v>#REF!</v>
      </c>
      <c r="N487" s="160"/>
      <c r="O487" s="104" t="e">
        <f>#REF!</f>
        <v>#REF!</v>
      </c>
      <c r="P487" s="52" t="e">
        <f>IF(#REF!=0,"",#REF!)</f>
        <v>#REF!</v>
      </c>
      <c r="Q487" s="109" t="e">
        <f>IF(#REF!=0,"",#REF!)</f>
        <v>#REF!</v>
      </c>
      <c r="R487" s="36" t="e">
        <f>IF(#REF!=0,"",#REF!)</f>
        <v>#REF!</v>
      </c>
      <c r="S487" s="36" t="e">
        <f>IF(#REF!=0,"",#REF!)</f>
        <v>#REF!</v>
      </c>
      <c r="T487" s="268"/>
      <c r="U487" s="268"/>
      <c r="V487" s="268"/>
    </row>
    <row r="488" ht="15" customHeight="1" spans="2:22">
      <c r="B488" s="6" t="e">
        <f t="shared" si="8"/>
        <v>#REF!</v>
      </c>
      <c r="C488" s="83" t="e">
        <f>#REF!</f>
        <v>#REF!</v>
      </c>
      <c r="D488" s="110" t="e">
        <f>IF(#REF!=0,"",#REF!)</f>
        <v>#REF!</v>
      </c>
      <c r="E488" s="85" t="e">
        <f>IF(#REF!=0,"",#REF!)</f>
        <v>#REF!</v>
      </c>
      <c r="F488" s="85" t="e">
        <f>IF(#REF!=0,"",#REF!)</f>
        <v>#REF!</v>
      </c>
      <c r="G488" s="105">
        <f>'27'!Q488</f>
        <v>0</v>
      </c>
      <c r="H488" s="161">
        <f>'27'!R488</f>
        <v>0</v>
      </c>
      <c r="I488" s="161">
        <f>'27'!S488</f>
        <v>0</v>
      </c>
      <c r="J488" s="161"/>
      <c r="K488" s="106">
        <f>'27'!T488</f>
        <v>0</v>
      </c>
      <c r="L488" s="85" t="e">
        <f>#REF!</f>
        <v>#REF!</v>
      </c>
      <c r="M488" s="105" t="e">
        <f>#REF!</f>
        <v>#REF!</v>
      </c>
      <c r="N488" s="161"/>
      <c r="O488" s="106" t="e">
        <f>#REF!</f>
        <v>#REF!</v>
      </c>
      <c r="P488" s="107" t="e">
        <f>IF(#REF!=0,"",#REF!)</f>
        <v>#REF!</v>
      </c>
      <c r="Q488" s="111" t="e">
        <f>IF(#REF!=0,"",#REF!)</f>
        <v>#REF!</v>
      </c>
      <c r="R488" s="85" t="e">
        <f>IF(#REF!=0,"",#REF!)</f>
        <v>#REF!</v>
      </c>
      <c r="S488" s="85" t="e">
        <f>IF(#REF!=0,"",#REF!)</f>
        <v>#REF!</v>
      </c>
      <c r="T488" s="268"/>
      <c r="U488" s="268"/>
      <c r="V488" s="268"/>
    </row>
    <row r="489" ht="15" customHeight="1" spans="2:22">
      <c r="B489" s="6" t="e">
        <f t="shared" si="8"/>
        <v>#REF!</v>
      </c>
      <c r="C489" s="79" t="e">
        <f>#REF!</f>
        <v>#REF!</v>
      </c>
      <c r="D489" s="62" t="e">
        <f>IF(#REF!=0,"",#REF!)</f>
        <v>#REF!</v>
      </c>
      <c r="E489" s="81" t="e">
        <f>IF(#REF!=0,"",#REF!)</f>
        <v>#REF!</v>
      </c>
      <c r="F489" s="81" t="e">
        <f>IF(#REF!=0,"",#REF!)</f>
        <v>#REF!</v>
      </c>
      <c r="G489" s="100" t="e">
        <f>#REF!</f>
        <v>#REF!</v>
      </c>
      <c r="H489" s="159">
        <f>'27'!R489</f>
        <v>0</v>
      </c>
      <c r="I489" s="159">
        <f>'27'!S489</f>
        <v>0</v>
      </c>
      <c r="J489" s="159"/>
      <c r="K489" s="101">
        <f>'27'!T489</f>
        <v>0</v>
      </c>
      <c r="L489" s="81" t="e">
        <f>#REF!</f>
        <v>#REF!</v>
      </c>
      <c r="M489" s="100" t="e">
        <f>#REF!</f>
        <v>#REF!</v>
      </c>
      <c r="N489" s="159"/>
      <c r="O489" s="101" t="e">
        <f>#REF!</f>
        <v>#REF!</v>
      </c>
      <c r="P489" s="102" t="e">
        <f>IF(#REF!=0,"",#REF!)</f>
        <v>#REF!</v>
      </c>
      <c r="Q489" s="108" t="e">
        <f>IF(#REF!=0,"",#REF!)</f>
        <v>#REF!</v>
      </c>
      <c r="R489" s="81" t="e">
        <f>IF(#REF!=0,"",#REF!)</f>
        <v>#REF!</v>
      </c>
      <c r="S489" s="81" t="e">
        <f>IF(#REF!=0,"",#REF!)</f>
        <v>#REF!</v>
      </c>
      <c r="T489" s="268"/>
      <c r="U489" s="268"/>
      <c r="V489" s="268"/>
    </row>
    <row r="490" ht="15" customHeight="1" spans="2:22">
      <c r="B490" s="6" t="e">
        <f t="shared" si="8"/>
        <v>#REF!</v>
      </c>
      <c r="C490" s="31" t="e">
        <f>#REF!</f>
        <v>#REF!</v>
      </c>
      <c r="D490" s="32" t="e">
        <f>IF(#REF!=0,"",#REF!)</f>
        <v>#REF!</v>
      </c>
      <c r="E490" s="36" t="e">
        <f>IF(#REF!=0,"",#REF!)</f>
        <v>#REF!</v>
      </c>
      <c r="F490" s="36" t="e">
        <f>IF(#REF!=0,"",#REF!)</f>
        <v>#REF!</v>
      </c>
      <c r="G490" s="103">
        <f>'27'!Q490</f>
        <v>0</v>
      </c>
      <c r="H490" s="160">
        <f>'27'!R490</f>
        <v>0</v>
      </c>
      <c r="I490" s="160">
        <f>'27'!S490</f>
        <v>0</v>
      </c>
      <c r="J490" s="160"/>
      <c r="K490" s="104">
        <f>'27'!T490</f>
        <v>0</v>
      </c>
      <c r="L490" s="36" t="e">
        <f>#REF!</f>
        <v>#REF!</v>
      </c>
      <c r="M490" s="103" t="e">
        <f>#REF!</f>
        <v>#REF!</v>
      </c>
      <c r="N490" s="160"/>
      <c r="O490" s="104" t="e">
        <f>#REF!</f>
        <v>#REF!</v>
      </c>
      <c r="P490" s="52" t="e">
        <f>IF(#REF!=0,"",#REF!)</f>
        <v>#REF!</v>
      </c>
      <c r="Q490" s="109" t="e">
        <f>IF(#REF!=0,"",#REF!)</f>
        <v>#REF!</v>
      </c>
      <c r="R490" s="36" t="e">
        <f>IF(#REF!=0,"",#REF!)</f>
        <v>#REF!</v>
      </c>
      <c r="S490" s="36" t="e">
        <f>IF(#REF!=0,"",#REF!)</f>
        <v>#REF!</v>
      </c>
      <c r="T490" s="268"/>
      <c r="U490" s="268"/>
      <c r="V490" s="268"/>
    </row>
    <row r="491" ht="15" customHeight="1" spans="2:22">
      <c r="B491" s="6" t="e">
        <f t="shared" si="8"/>
        <v>#REF!</v>
      </c>
      <c r="C491" s="83" t="e">
        <f>#REF!</f>
        <v>#REF!</v>
      </c>
      <c r="D491" s="110" t="e">
        <f>IF(#REF!=0,"",#REF!)</f>
        <v>#REF!</v>
      </c>
      <c r="E491" s="85" t="e">
        <f>IF(#REF!=0,"",#REF!)</f>
        <v>#REF!</v>
      </c>
      <c r="F491" s="85" t="e">
        <f>IF(#REF!=0,"",#REF!)</f>
        <v>#REF!</v>
      </c>
      <c r="G491" s="105">
        <f>'27'!Q491</f>
        <v>0</v>
      </c>
      <c r="H491" s="161">
        <f>'27'!R491</f>
        <v>0</v>
      </c>
      <c r="I491" s="161">
        <f>'27'!S491</f>
        <v>0</v>
      </c>
      <c r="J491" s="161"/>
      <c r="K491" s="106">
        <f>'27'!T491</f>
        <v>0</v>
      </c>
      <c r="L491" s="85" t="e">
        <f>#REF!</f>
        <v>#REF!</v>
      </c>
      <c r="M491" s="105" t="e">
        <f>#REF!</f>
        <v>#REF!</v>
      </c>
      <c r="N491" s="161"/>
      <c r="O491" s="106" t="e">
        <f>#REF!</f>
        <v>#REF!</v>
      </c>
      <c r="P491" s="107" t="e">
        <f>IF(#REF!=0,"",#REF!)</f>
        <v>#REF!</v>
      </c>
      <c r="Q491" s="111" t="e">
        <f>IF(#REF!=0,"",#REF!)</f>
        <v>#REF!</v>
      </c>
      <c r="R491" s="85" t="e">
        <f>IF(#REF!=0,"",#REF!)</f>
        <v>#REF!</v>
      </c>
      <c r="S491" s="85" t="e">
        <f>IF(#REF!=0,"",#REF!)</f>
        <v>#REF!</v>
      </c>
      <c r="T491" s="268"/>
      <c r="U491" s="268"/>
      <c r="V491" s="268"/>
    </row>
    <row r="492" ht="15" customHeight="1" spans="2:22">
      <c r="B492" s="6" t="e">
        <f t="shared" si="8"/>
        <v>#REF!</v>
      </c>
      <c r="C492" s="79" t="e">
        <f>#REF!</f>
        <v>#REF!</v>
      </c>
      <c r="D492" s="62" t="e">
        <f>IF(#REF!=0,"",#REF!)</f>
        <v>#REF!</v>
      </c>
      <c r="E492" s="81" t="e">
        <f>IF(#REF!=0,"",#REF!)</f>
        <v>#REF!</v>
      </c>
      <c r="F492" s="81" t="e">
        <f>IF(#REF!=0,"",#REF!)</f>
        <v>#REF!</v>
      </c>
      <c r="G492" s="100" t="e">
        <f>#REF!</f>
        <v>#REF!</v>
      </c>
      <c r="H492" s="159">
        <f>'27'!R492</f>
        <v>0</v>
      </c>
      <c r="I492" s="159">
        <f>'27'!S492</f>
        <v>0</v>
      </c>
      <c r="J492" s="159"/>
      <c r="K492" s="101">
        <f>'27'!T492</f>
        <v>0</v>
      </c>
      <c r="L492" s="81" t="e">
        <f>#REF!</f>
        <v>#REF!</v>
      </c>
      <c r="M492" s="100" t="e">
        <f>#REF!</f>
        <v>#REF!</v>
      </c>
      <c r="N492" s="159"/>
      <c r="O492" s="101" t="e">
        <f>#REF!</f>
        <v>#REF!</v>
      </c>
      <c r="P492" s="102" t="e">
        <f>IF(#REF!=0,"",#REF!)</f>
        <v>#REF!</v>
      </c>
      <c r="Q492" s="108" t="e">
        <f>IF(#REF!=0,"",#REF!)</f>
        <v>#REF!</v>
      </c>
      <c r="R492" s="81" t="e">
        <f>IF(#REF!=0,"",#REF!)</f>
        <v>#REF!</v>
      </c>
      <c r="S492" s="81" t="e">
        <f>IF(#REF!=0,"",#REF!)</f>
        <v>#REF!</v>
      </c>
      <c r="T492" s="268"/>
      <c r="U492" s="268"/>
      <c r="V492" s="268"/>
    </row>
    <row r="493" ht="15" customHeight="1" spans="2:22">
      <c r="B493" s="6" t="e">
        <f t="shared" si="8"/>
        <v>#REF!</v>
      </c>
      <c r="C493" s="31" t="e">
        <f>#REF!</f>
        <v>#REF!</v>
      </c>
      <c r="D493" s="32" t="e">
        <f>IF(#REF!=0,"",#REF!)</f>
        <v>#REF!</v>
      </c>
      <c r="E493" s="36" t="e">
        <f>IF(#REF!=0,"",#REF!)</f>
        <v>#REF!</v>
      </c>
      <c r="F493" s="36" t="e">
        <f>IF(#REF!=0,"",#REF!)</f>
        <v>#REF!</v>
      </c>
      <c r="G493" s="103">
        <f>'27'!Q493</f>
        <v>0</v>
      </c>
      <c r="H493" s="160">
        <f>'27'!R493</f>
        <v>0</v>
      </c>
      <c r="I493" s="160">
        <f>'27'!S493</f>
        <v>0</v>
      </c>
      <c r="J493" s="160"/>
      <c r="K493" s="104">
        <f>'27'!T493</f>
        <v>0</v>
      </c>
      <c r="L493" s="36" t="e">
        <f>#REF!</f>
        <v>#REF!</v>
      </c>
      <c r="M493" s="103" t="e">
        <f>#REF!</f>
        <v>#REF!</v>
      </c>
      <c r="N493" s="160"/>
      <c r="O493" s="104" t="e">
        <f>#REF!</f>
        <v>#REF!</v>
      </c>
      <c r="P493" s="52" t="e">
        <f>IF(#REF!=0,"",#REF!)</f>
        <v>#REF!</v>
      </c>
      <c r="Q493" s="109" t="e">
        <f>IF(#REF!=0,"",#REF!)</f>
        <v>#REF!</v>
      </c>
      <c r="R493" s="36" t="e">
        <f>IF(#REF!=0,"",#REF!)</f>
        <v>#REF!</v>
      </c>
      <c r="S493" s="36" t="e">
        <f>IF(#REF!=0,"",#REF!)</f>
        <v>#REF!</v>
      </c>
      <c r="T493" s="268"/>
      <c r="U493" s="268"/>
      <c r="V493" s="268"/>
    </row>
    <row r="494" ht="15" customHeight="1" spans="2:22">
      <c r="B494" s="6" t="e">
        <f t="shared" si="8"/>
        <v>#REF!</v>
      </c>
      <c r="C494" s="83" t="e">
        <f>#REF!</f>
        <v>#REF!</v>
      </c>
      <c r="D494" s="110" t="e">
        <f>IF(#REF!=0,"",#REF!)</f>
        <v>#REF!</v>
      </c>
      <c r="E494" s="85" t="e">
        <f>IF(#REF!=0,"",#REF!)</f>
        <v>#REF!</v>
      </c>
      <c r="F494" s="85" t="e">
        <f>IF(#REF!=0,"",#REF!)</f>
        <v>#REF!</v>
      </c>
      <c r="G494" s="105">
        <f>'27'!Q494</f>
        <v>0</v>
      </c>
      <c r="H494" s="161">
        <f>'27'!R494</f>
        <v>0</v>
      </c>
      <c r="I494" s="161">
        <f>'27'!S494</f>
        <v>0</v>
      </c>
      <c r="J494" s="161"/>
      <c r="K494" s="106">
        <f>'27'!T494</f>
        <v>0</v>
      </c>
      <c r="L494" s="85" t="e">
        <f>#REF!</f>
        <v>#REF!</v>
      </c>
      <c r="M494" s="105" t="e">
        <f>#REF!</f>
        <v>#REF!</v>
      </c>
      <c r="N494" s="161"/>
      <c r="O494" s="106" t="e">
        <f>#REF!</f>
        <v>#REF!</v>
      </c>
      <c r="P494" s="107" t="e">
        <f>IF(#REF!=0,"",#REF!)</f>
        <v>#REF!</v>
      </c>
      <c r="Q494" s="111" t="e">
        <f>IF(#REF!=0,"",#REF!)</f>
        <v>#REF!</v>
      </c>
      <c r="R494" s="85" t="e">
        <f>IF(#REF!=0,"",#REF!)</f>
        <v>#REF!</v>
      </c>
      <c r="S494" s="85" t="e">
        <f>IF(#REF!=0,"",#REF!)</f>
        <v>#REF!</v>
      </c>
      <c r="T494" s="268"/>
      <c r="U494" s="268"/>
      <c r="V494" s="268"/>
    </row>
    <row r="495" ht="15" customHeight="1" spans="2:22">
      <c r="B495" s="6" t="e">
        <f t="shared" si="8"/>
        <v>#REF!</v>
      </c>
      <c r="C495" s="79" t="e">
        <f>#REF!</f>
        <v>#REF!</v>
      </c>
      <c r="D495" s="62" t="e">
        <f>IF(#REF!=0,"",#REF!)</f>
        <v>#REF!</v>
      </c>
      <c r="E495" s="81" t="e">
        <f>IF(#REF!=0,"",#REF!)</f>
        <v>#REF!</v>
      </c>
      <c r="F495" s="81" t="e">
        <f>IF(#REF!=0,"",#REF!)</f>
        <v>#REF!</v>
      </c>
      <c r="G495" s="100" t="e">
        <f>#REF!</f>
        <v>#REF!</v>
      </c>
      <c r="H495" s="159">
        <f>'27'!R495</f>
        <v>0</v>
      </c>
      <c r="I495" s="159">
        <f>'27'!S495</f>
        <v>0</v>
      </c>
      <c r="J495" s="159"/>
      <c r="K495" s="101">
        <f>'27'!T495</f>
        <v>0</v>
      </c>
      <c r="L495" s="81" t="e">
        <f>#REF!</f>
        <v>#REF!</v>
      </c>
      <c r="M495" s="100" t="e">
        <f>#REF!</f>
        <v>#REF!</v>
      </c>
      <c r="N495" s="159"/>
      <c r="O495" s="101" t="e">
        <f>#REF!</f>
        <v>#REF!</v>
      </c>
      <c r="P495" s="102" t="e">
        <f>IF(#REF!=0,"",#REF!)</f>
        <v>#REF!</v>
      </c>
      <c r="Q495" s="108" t="e">
        <f>IF(#REF!=0,"",#REF!)</f>
        <v>#REF!</v>
      </c>
      <c r="R495" s="81" t="e">
        <f>IF(#REF!=0,"",#REF!)</f>
        <v>#REF!</v>
      </c>
      <c r="S495" s="81" t="e">
        <f>IF(#REF!=0,"",#REF!)</f>
        <v>#REF!</v>
      </c>
      <c r="T495" s="268"/>
      <c r="U495" s="268"/>
      <c r="V495" s="268"/>
    </row>
    <row r="496" ht="15" customHeight="1" spans="2:22">
      <c r="B496" s="6" t="e">
        <f t="shared" si="8"/>
        <v>#REF!</v>
      </c>
      <c r="C496" s="31" t="e">
        <f>#REF!</f>
        <v>#REF!</v>
      </c>
      <c r="D496" s="32" t="e">
        <f>IF(#REF!=0,"",#REF!)</f>
        <v>#REF!</v>
      </c>
      <c r="E496" s="36" t="e">
        <f>IF(#REF!=0,"",#REF!)</f>
        <v>#REF!</v>
      </c>
      <c r="F496" s="36" t="e">
        <f>IF(#REF!=0,"",#REF!)</f>
        <v>#REF!</v>
      </c>
      <c r="G496" s="103">
        <f>'27'!Q496</f>
        <v>0</v>
      </c>
      <c r="H496" s="160">
        <f>'27'!R496</f>
        <v>0</v>
      </c>
      <c r="I496" s="160">
        <f>'27'!S496</f>
        <v>0</v>
      </c>
      <c r="J496" s="160"/>
      <c r="K496" s="104">
        <f>'27'!T496</f>
        <v>0</v>
      </c>
      <c r="L496" s="36" t="e">
        <f>#REF!</f>
        <v>#REF!</v>
      </c>
      <c r="M496" s="103" t="e">
        <f>#REF!</f>
        <v>#REF!</v>
      </c>
      <c r="N496" s="160"/>
      <c r="O496" s="104" t="e">
        <f>#REF!</f>
        <v>#REF!</v>
      </c>
      <c r="P496" s="52" t="e">
        <f>IF(#REF!=0,"",#REF!)</f>
        <v>#REF!</v>
      </c>
      <c r="Q496" s="109" t="e">
        <f>IF(#REF!=0,"",#REF!)</f>
        <v>#REF!</v>
      </c>
      <c r="R496" s="36" t="e">
        <f>IF(#REF!=0,"",#REF!)</f>
        <v>#REF!</v>
      </c>
      <c r="S496" s="36" t="e">
        <f>IF(#REF!=0,"",#REF!)</f>
        <v>#REF!</v>
      </c>
      <c r="T496" s="268"/>
      <c r="U496" s="268"/>
      <c r="V496" s="268"/>
    </row>
    <row r="497" ht="15" customHeight="1" spans="2:22">
      <c r="B497" s="6" t="e">
        <f t="shared" si="8"/>
        <v>#REF!</v>
      </c>
      <c r="C497" s="83" t="e">
        <f>#REF!</f>
        <v>#REF!</v>
      </c>
      <c r="D497" s="110" t="e">
        <f>IF(#REF!=0,"",#REF!)</f>
        <v>#REF!</v>
      </c>
      <c r="E497" s="85" t="e">
        <f>IF(#REF!=0,"",#REF!)</f>
        <v>#REF!</v>
      </c>
      <c r="F497" s="85" t="e">
        <f>IF(#REF!=0,"",#REF!)</f>
        <v>#REF!</v>
      </c>
      <c r="G497" s="105">
        <f>'27'!Q497</f>
        <v>0</v>
      </c>
      <c r="H497" s="161">
        <f>'27'!R497</f>
        <v>0</v>
      </c>
      <c r="I497" s="161">
        <f>'27'!S497</f>
        <v>0</v>
      </c>
      <c r="J497" s="161"/>
      <c r="K497" s="106">
        <f>'27'!T497</f>
        <v>0</v>
      </c>
      <c r="L497" s="85" t="e">
        <f>#REF!</f>
        <v>#REF!</v>
      </c>
      <c r="M497" s="105" t="e">
        <f>#REF!</f>
        <v>#REF!</v>
      </c>
      <c r="N497" s="161"/>
      <c r="O497" s="106" t="e">
        <f>#REF!</f>
        <v>#REF!</v>
      </c>
      <c r="P497" s="107" t="e">
        <f>IF(#REF!=0,"",#REF!)</f>
        <v>#REF!</v>
      </c>
      <c r="Q497" s="111" t="e">
        <f>IF(#REF!=0,"",#REF!)</f>
        <v>#REF!</v>
      </c>
      <c r="R497" s="85" t="e">
        <f>IF(#REF!=0,"",#REF!)</f>
        <v>#REF!</v>
      </c>
      <c r="S497" s="85" t="e">
        <f>IF(#REF!=0,"",#REF!)</f>
        <v>#REF!</v>
      </c>
      <c r="T497" s="268"/>
      <c r="U497" s="268"/>
      <c r="V497" s="268"/>
    </row>
    <row r="498" ht="15" customHeight="1" spans="2:22">
      <c r="B498" s="6" t="e">
        <f t="shared" si="8"/>
        <v>#REF!</v>
      </c>
      <c r="C498" s="79" t="e">
        <f>#REF!</f>
        <v>#REF!</v>
      </c>
      <c r="D498" s="62" t="e">
        <f>IF(#REF!=0,"",#REF!)</f>
        <v>#REF!</v>
      </c>
      <c r="E498" s="81" t="e">
        <f>IF(#REF!=0,"",#REF!)</f>
        <v>#REF!</v>
      </c>
      <c r="F498" s="81" t="e">
        <f>IF(#REF!=0,"",#REF!)</f>
        <v>#REF!</v>
      </c>
      <c r="G498" s="100" t="e">
        <f>#REF!</f>
        <v>#REF!</v>
      </c>
      <c r="H498" s="159">
        <f>'27'!R498</f>
        <v>0</v>
      </c>
      <c r="I498" s="159">
        <f>'27'!S498</f>
        <v>0</v>
      </c>
      <c r="J498" s="159"/>
      <c r="K498" s="101">
        <f>'27'!T498</f>
        <v>0</v>
      </c>
      <c r="L498" s="81" t="e">
        <f>#REF!</f>
        <v>#REF!</v>
      </c>
      <c r="M498" s="100" t="e">
        <f>#REF!</f>
        <v>#REF!</v>
      </c>
      <c r="N498" s="159"/>
      <c r="O498" s="101" t="e">
        <f>#REF!</f>
        <v>#REF!</v>
      </c>
      <c r="P498" s="102" t="e">
        <f>IF(#REF!=0,"",#REF!)</f>
        <v>#REF!</v>
      </c>
      <c r="Q498" s="108" t="e">
        <f>IF(#REF!=0,"",#REF!)</f>
        <v>#REF!</v>
      </c>
      <c r="R498" s="81" t="e">
        <f>IF(#REF!=0,"",#REF!)</f>
        <v>#REF!</v>
      </c>
      <c r="S498" s="81" t="e">
        <f>IF(#REF!=0,"",#REF!)</f>
        <v>#REF!</v>
      </c>
      <c r="T498" s="268"/>
      <c r="U498" s="268"/>
      <c r="V498" s="268"/>
    </row>
    <row r="499" ht="15" customHeight="1" spans="2:22">
      <c r="B499" s="6" t="e">
        <f t="shared" si="8"/>
        <v>#REF!</v>
      </c>
      <c r="C499" s="31" t="e">
        <f>#REF!</f>
        <v>#REF!</v>
      </c>
      <c r="D499" s="32" t="e">
        <f>IF(#REF!=0,"",#REF!)</f>
        <v>#REF!</v>
      </c>
      <c r="E499" s="36" t="e">
        <f>IF(#REF!=0,"",#REF!)</f>
        <v>#REF!</v>
      </c>
      <c r="F499" s="36" t="e">
        <f>IF(#REF!=0,"",#REF!)</f>
        <v>#REF!</v>
      </c>
      <c r="G499" s="103">
        <f>'27'!Q499</f>
        <v>0</v>
      </c>
      <c r="H499" s="160">
        <f>'27'!R499</f>
        <v>0</v>
      </c>
      <c r="I499" s="160">
        <f>'27'!S499</f>
        <v>0</v>
      </c>
      <c r="J499" s="160"/>
      <c r="K499" s="104">
        <f>'27'!T499</f>
        <v>0</v>
      </c>
      <c r="L499" s="36" t="e">
        <f>#REF!</f>
        <v>#REF!</v>
      </c>
      <c r="M499" s="103" t="e">
        <f>#REF!</f>
        <v>#REF!</v>
      </c>
      <c r="N499" s="160"/>
      <c r="O499" s="104" t="e">
        <f>#REF!</f>
        <v>#REF!</v>
      </c>
      <c r="P499" s="52" t="e">
        <f>IF(#REF!=0,"",#REF!)</f>
        <v>#REF!</v>
      </c>
      <c r="Q499" s="109" t="e">
        <f>IF(#REF!=0,"",#REF!)</f>
        <v>#REF!</v>
      </c>
      <c r="R499" s="36" t="e">
        <f>IF(#REF!=0,"",#REF!)</f>
        <v>#REF!</v>
      </c>
      <c r="S499" s="36" t="e">
        <f>IF(#REF!=0,"",#REF!)</f>
        <v>#REF!</v>
      </c>
      <c r="T499" s="268"/>
      <c r="U499" s="268"/>
      <c r="V499" s="268"/>
    </row>
    <row r="500" ht="15" customHeight="1" spans="2:22">
      <c r="B500" s="6" t="e">
        <f t="shared" si="8"/>
        <v>#REF!</v>
      </c>
      <c r="C500" s="83" t="e">
        <f>#REF!</f>
        <v>#REF!</v>
      </c>
      <c r="D500" s="110" t="e">
        <f>IF(#REF!=0,"",#REF!)</f>
        <v>#REF!</v>
      </c>
      <c r="E500" s="85" t="e">
        <f>IF(#REF!=0,"",#REF!)</f>
        <v>#REF!</v>
      </c>
      <c r="F500" s="85" t="e">
        <f>IF(#REF!=0,"",#REF!)</f>
        <v>#REF!</v>
      </c>
      <c r="G500" s="105">
        <f>'27'!Q500</f>
        <v>0</v>
      </c>
      <c r="H500" s="161">
        <f>'27'!R500</f>
        <v>0</v>
      </c>
      <c r="I500" s="161">
        <f>'27'!S500</f>
        <v>0</v>
      </c>
      <c r="J500" s="161"/>
      <c r="K500" s="106">
        <f>'27'!T500</f>
        <v>0</v>
      </c>
      <c r="L500" s="85" t="e">
        <f>#REF!</f>
        <v>#REF!</v>
      </c>
      <c r="M500" s="105" t="e">
        <f>#REF!</f>
        <v>#REF!</v>
      </c>
      <c r="N500" s="161"/>
      <c r="O500" s="106" t="e">
        <f>#REF!</f>
        <v>#REF!</v>
      </c>
      <c r="P500" s="107" t="e">
        <f>IF(#REF!=0,"",#REF!)</f>
        <v>#REF!</v>
      </c>
      <c r="Q500" s="111" t="e">
        <f>IF(#REF!=0,"",#REF!)</f>
        <v>#REF!</v>
      </c>
      <c r="R500" s="85" t="e">
        <f>IF(#REF!=0,"",#REF!)</f>
        <v>#REF!</v>
      </c>
      <c r="S500" s="85" t="e">
        <f>IF(#REF!=0,"",#REF!)</f>
        <v>#REF!</v>
      </c>
      <c r="T500" s="268"/>
      <c r="U500" s="268"/>
      <c r="V500" s="268"/>
    </row>
    <row r="501" ht="15" customHeight="1" spans="2:22">
      <c r="B501" s="6" t="e">
        <f t="shared" si="8"/>
        <v>#REF!</v>
      </c>
      <c r="C501" s="79" t="e">
        <f>#REF!</f>
        <v>#REF!</v>
      </c>
      <c r="D501" s="62" t="e">
        <f>IF(#REF!=0,"",#REF!)</f>
        <v>#REF!</v>
      </c>
      <c r="E501" s="81" t="e">
        <f>IF(#REF!=0,"",#REF!)</f>
        <v>#REF!</v>
      </c>
      <c r="F501" s="81" t="e">
        <f>IF(#REF!=0,"",#REF!)</f>
        <v>#REF!</v>
      </c>
      <c r="G501" s="100" t="e">
        <f>#REF!</f>
        <v>#REF!</v>
      </c>
      <c r="H501" s="159">
        <f>'27'!R501</f>
        <v>0</v>
      </c>
      <c r="I501" s="159">
        <f>'27'!S501</f>
        <v>0</v>
      </c>
      <c r="J501" s="159"/>
      <c r="K501" s="101">
        <f>'27'!T501</f>
        <v>0</v>
      </c>
      <c r="L501" s="81" t="e">
        <f>#REF!</f>
        <v>#REF!</v>
      </c>
      <c r="M501" s="100" t="e">
        <f>#REF!</f>
        <v>#REF!</v>
      </c>
      <c r="N501" s="159"/>
      <c r="O501" s="101" t="e">
        <f>#REF!</f>
        <v>#REF!</v>
      </c>
      <c r="P501" s="102" t="e">
        <f>IF(#REF!=0,"",#REF!)</f>
        <v>#REF!</v>
      </c>
      <c r="Q501" s="108" t="e">
        <f>IF(#REF!=0,"",#REF!)</f>
        <v>#REF!</v>
      </c>
      <c r="R501" s="81" t="e">
        <f>IF(#REF!=0,"",#REF!)</f>
        <v>#REF!</v>
      </c>
      <c r="S501" s="81" t="e">
        <f>IF(#REF!=0,"",#REF!)</f>
        <v>#REF!</v>
      </c>
      <c r="T501" s="268"/>
      <c r="U501" s="268"/>
      <c r="V501" s="268"/>
    </row>
    <row r="502" ht="15" customHeight="1" spans="2:22">
      <c r="B502" s="6" t="e">
        <f t="shared" si="8"/>
        <v>#REF!</v>
      </c>
      <c r="C502" s="31" t="e">
        <f>#REF!</f>
        <v>#REF!</v>
      </c>
      <c r="D502" s="32" t="e">
        <f>IF(#REF!=0,"",#REF!)</f>
        <v>#REF!</v>
      </c>
      <c r="E502" s="36" t="e">
        <f>IF(#REF!=0,"",#REF!)</f>
        <v>#REF!</v>
      </c>
      <c r="F502" s="36" t="e">
        <f>IF(#REF!=0,"",#REF!)</f>
        <v>#REF!</v>
      </c>
      <c r="G502" s="103">
        <f>'27'!Q502</f>
        <v>0</v>
      </c>
      <c r="H502" s="160">
        <f>'27'!R502</f>
        <v>0</v>
      </c>
      <c r="I502" s="160">
        <f>'27'!S502</f>
        <v>0</v>
      </c>
      <c r="J502" s="160"/>
      <c r="K502" s="104">
        <f>'27'!T502</f>
        <v>0</v>
      </c>
      <c r="L502" s="36" t="e">
        <f>#REF!</f>
        <v>#REF!</v>
      </c>
      <c r="M502" s="103" t="e">
        <f>#REF!</f>
        <v>#REF!</v>
      </c>
      <c r="N502" s="160"/>
      <c r="O502" s="104" t="e">
        <f>#REF!</f>
        <v>#REF!</v>
      </c>
      <c r="P502" s="52" t="e">
        <f>IF(#REF!=0,"",#REF!)</f>
        <v>#REF!</v>
      </c>
      <c r="Q502" s="109" t="e">
        <f>IF(#REF!=0,"",#REF!)</f>
        <v>#REF!</v>
      </c>
      <c r="R502" s="36" t="e">
        <f>IF(#REF!=0,"",#REF!)</f>
        <v>#REF!</v>
      </c>
      <c r="S502" s="36" t="e">
        <f>IF(#REF!=0,"",#REF!)</f>
        <v>#REF!</v>
      </c>
      <c r="T502" s="268"/>
      <c r="U502" s="268"/>
      <c r="V502" s="268"/>
    </row>
    <row r="503" ht="15" customHeight="1" spans="2:22">
      <c r="B503" s="6" t="e">
        <f t="shared" si="8"/>
        <v>#REF!</v>
      </c>
      <c r="C503" s="83" t="e">
        <f>#REF!</f>
        <v>#REF!</v>
      </c>
      <c r="D503" s="110" t="e">
        <f>IF(#REF!=0,"",#REF!)</f>
        <v>#REF!</v>
      </c>
      <c r="E503" s="85" t="e">
        <f>IF(#REF!=0,"",#REF!)</f>
        <v>#REF!</v>
      </c>
      <c r="F503" s="85" t="e">
        <f>IF(#REF!=0,"",#REF!)</f>
        <v>#REF!</v>
      </c>
      <c r="G503" s="105">
        <f>'27'!Q503</f>
        <v>0</v>
      </c>
      <c r="H503" s="161">
        <f>'27'!R503</f>
        <v>0</v>
      </c>
      <c r="I503" s="161">
        <f>'27'!S503</f>
        <v>0</v>
      </c>
      <c r="J503" s="161"/>
      <c r="K503" s="106">
        <f>'27'!T503</f>
        <v>0</v>
      </c>
      <c r="L503" s="85" t="e">
        <f>#REF!</f>
        <v>#REF!</v>
      </c>
      <c r="M503" s="105" t="e">
        <f>#REF!</f>
        <v>#REF!</v>
      </c>
      <c r="N503" s="161"/>
      <c r="O503" s="106" t="e">
        <f>#REF!</f>
        <v>#REF!</v>
      </c>
      <c r="P503" s="107" t="e">
        <f>IF(#REF!=0,"",#REF!)</f>
        <v>#REF!</v>
      </c>
      <c r="Q503" s="111" t="e">
        <f>IF(#REF!=0,"",#REF!)</f>
        <v>#REF!</v>
      </c>
      <c r="R503" s="85" t="e">
        <f>IF(#REF!=0,"",#REF!)</f>
        <v>#REF!</v>
      </c>
      <c r="S503" s="85" t="e">
        <f>IF(#REF!=0,"",#REF!)</f>
        <v>#REF!</v>
      </c>
      <c r="T503" s="268"/>
      <c r="U503" s="268"/>
      <c r="V503" s="268"/>
    </row>
    <row r="504" ht="15" customHeight="1" spans="2:22">
      <c r="B504" s="6" t="e">
        <f t="shared" si="8"/>
        <v>#REF!</v>
      </c>
      <c r="C504" s="79" t="e">
        <f>#REF!</f>
        <v>#REF!</v>
      </c>
      <c r="D504" s="62" t="e">
        <f>IF(#REF!=0,"",#REF!)</f>
        <v>#REF!</v>
      </c>
      <c r="E504" s="81" t="e">
        <f>IF(#REF!=0,"",#REF!)</f>
        <v>#REF!</v>
      </c>
      <c r="F504" s="81" t="e">
        <f>IF(#REF!=0,"",#REF!)</f>
        <v>#REF!</v>
      </c>
      <c r="G504" s="100" t="e">
        <f>#REF!</f>
        <v>#REF!</v>
      </c>
      <c r="H504" s="159">
        <f>'27'!R504</f>
        <v>0</v>
      </c>
      <c r="I504" s="159">
        <f>'27'!S504</f>
        <v>0</v>
      </c>
      <c r="J504" s="159"/>
      <c r="K504" s="101">
        <f>'27'!T504</f>
        <v>0</v>
      </c>
      <c r="L504" s="81" t="e">
        <f>#REF!</f>
        <v>#REF!</v>
      </c>
      <c r="M504" s="100" t="e">
        <f>#REF!</f>
        <v>#REF!</v>
      </c>
      <c r="N504" s="159"/>
      <c r="O504" s="101" t="e">
        <f>#REF!</f>
        <v>#REF!</v>
      </c>
      <c r="P504" s="102" t="e">
        <f>IF(#REF!=0,"",#REF!)</f>
        <v>#REF!</v>
      </c>
      <c r="Q504" s="108" t="e">
        <f>IF(#REF!=0,"",#REF!)</f>
        <v>#REF!</v>
      </c>
      <c r="R504" s="81" t="e">
        <f>IF(#REF!=0,"",#REF!)</f>
        <v>#REF!</v>
      </c>
      <c r="S504" s="81" t="e">
        <f>IF(#REF!=0,"",#REF!)</f>
        <v>#REF!</v>
      </c>
      <c r="T504" s="268"/>
      <c r="U504" s="268"/>
      <c r="V504" s="268"/>
    </row>
    <row r="505" ht="15" customHeight="1" spans="2:22">
      <c r="B505" s="6" t="e">
        <f t="shared" si="8"/>
        <v>#REF!</v>
      </c>
      <c r="C505" s="31" t="e">
        <f>#REF!</f>
        <v>#REF!</v>
      </c>
      <c r="D505" s="32" t="e">
        <f>IF(#REF!=0,"",#REF!)</f>
        <v>#REF!</v>
      </c>
      <c r="E505" s="36" t="e">
        <f>IF(#REF!=0,"",#REF!)</f>
        <v>#REF!</v>
      </c>
      <c r="F505" s="36" t="e">
        <f>IF(#REF!=0,"",#REF!)</f>
        <v>#REF!</v>
      </c>
      <c r="G505" s="103">
        <f>'27'!Q505</f>
        <v>0</v>
      </c>
      <c r="H505" s="160">
        <f>'27'!R505</f>
        <v>0</v>
      </c>
      <c r="I505" s="160">
        <f>'27'!S505</f>
        <v>0</v>
      </c>
      <c r="J505" s="160"/>
      <c r="K505" s="104">
        <f>'27'!T505</f>
        <v>0</v>
      </c>
      <c r="L505" s="36" t="e">
        <f>#REF!</f>
        <v>#REF!</v>
      </c>
      <c r="M505" s="103" t="e">
        <f>#REF!</f>
        <v>#REF!</v>
      </c>
      <c r="N505" s="160"/>
      <c r="O505" s="104" t="e">
        <f>#REF!</f>
        <v>#REF!</v>
      </c>
      <c r="P505" s="52" t="e">
        <f>IF(#REF!=0,"",#REF!)</f>
        <v>#REF!</v>
      </c>
      <c r="Q505" s="109" t="e">
        <f>IF(#REF!=0,"",#REF!)</f>
        <v>#REF!</v>
      </c>
      <c r="R505" s="36" t="e">
        <f>IF(#REF!=0,"",#REF!)</f>
        <v>#REF!</v>
      </c>
      <c r="S505" s="36" t="e">
        <f>IF(#REF!=0,"",#REF!)</f>
        <v>#REF!</v>
      </c>
      <c r="T505" s="268"/>
      <c r="U505" s="268"/>
      <c r="V505" s="268"/>
    </row>
    <row r="506" ht="15" customHeight="1" spans="2:22">
      <c r="B506" s="6" t="e">
        <f t="shared" si="8"/>
        <v>#REF!</v>
      </c>
      <c r="C506" s="83" t="e">
        <f>#REF!</f>
        <v>#REF!</v>
      </c>
      <c r="D506" s="110" t="e">
        <f>IF(#REF!=0,"",#REF!)</f>
        <v>#REF!</v>
      </c>
      <c r="E506" s="85" t="e">
        <f>IF(#REF!=0,"",#REF!)</f>
        <v>#REF!</v>
      </c>
      <c r="F506" s="85" t="e">
        <f>IF(#REF!=0,"",#REF!)</f>
        <v>#REF!</v>
      </c>
      <c r="G506" s="105">
        <f>'27'!Q506</f>
        <v>0</v>
      </c>
      <c r="H506" s="161">
        <f>'27'!R506</f>
        <v>0</v>
      </c>
      <c r="I506" s="161">
        <f>'27'!S506</f>
        <v>0</v>
      </c>
      <c r="J506" s="161"/>
      <c r="K506" s="106">
        <f>'27'!T506</f>
        <v>0</v>
      </c>
      <c r="L506" s="85" t="e">
        <f>#REF!</f>
        <v>#REF!</v>
      </c>
      <c r="M506" s="105" t="e">
        <f>#REF!</f>
        <v>#REF!</v>
      </c>
      <c r="N506" s="161"/>
      <c r="O506" s="106" t="e">
        <f>#REF!</f>
        <v>#REF!</v>
      </c>
      <c r="P506" s="107" t="e">
        <f>IF(#REF!=0,"",#REF!)</f>
        <v>#REF!</v>
      </c>
      <c r="Q506" s="111" t="e">
        <f>IF(#REF!=0,"",#REF!)</f>
        <v>#REF!</v>
      </c>
      <c r="R506" s="85" t="e">
        <f>IF(#REF!=0,"",#REF!)</f>
        <v>#REF!</v>
      </c>
      <c r="S506" s="85" t="e">
        <f>IF(#REF!=0,"",#REF!)</f>
        <v>#REF!</v>
      </c>
      <c r="T506" s="268"/>
      <c r="U506" s="268"/>
      <c r="V506" s="268"/>
    </row>
    <row r="507" ht="15" customHeight="1" spans="2:22">
      <c r="B507" s="6" t="e">
        <f t="shared" si="8"/>
        <v>#REF!</v>
      </c>
      <c r="C507" s="79" t="e">
        <f>#REF!</f>
        <v>#REF!</v>
      </c>
      <c r="D507" s="62" t="e">
        <f>IF(#REF!=0,"",#REF!)</f>
        <v>#REF!</v>
      </c>
      <c r="E507" s="81" t="e">
        <f>IF(#REF!=0,"",#REF!)</f>
        <v>#REF!</v>
      </c>
      <c r="F507" s="81" t="e">
        <f>IF(#REF!=0,"",#REF!)</f>
        <v>#REF!</v>
      </c>
      <c r="G507" s="100" t="e">
        <f>#REF!</f>
        <v>#REF!</v>
      </c>
      <c r="H507" s="159">
        <f>'27'!R507</f>
        <v>0</v>
      </c>
      <c r="I507" s="159">
        <f>'27'!S507</f>
        <v>0</v>
      </c>
      <c r="J507" s="159"/>
      <c r="K507" s="101">
        <f>'27'!T507</f>
        <v>0</v>
      </c>
      <c r="L507" s="81" t="e">
        <f>#REF!</f>
        <v>#REF!</v>
      </c>
      <c r="M507" s="100" t="e">
        <f>#REF!</f>
        <v>#REF!</v>
      </c>
      <c r="N507" s="159"/>
      <c r="O507" s="101" t="e">
        <f>#REF!</f>
        <v>#REF!</v>
      </c>
      <c r="P507" s="102" t="e">
        <f>IF(#REF!=0,"",#REF!)</f>
        <v>#REF!</v>
      </c>
      <c r="Q507" s="108" t="e">
        <f>IF(#REF!=0,"",#REF!)</f>
        <v>#REF!</v>
      </c>
      <c r="R507" s="81" t="e">
        <f>IF(#REF!=0,"",#REF!)</f>
        <v>#REF!</v>
      </c>
      <c r="S507" s="81" t="e">
        <f>IF(#REF!=0,"",#REF!)</f>
        <v>#REF!</v>
      </c>
      <c r="T507" s="268"/>
      <c r="U507" s="268"/>
      <c r="V507" s="268"/>
    </row>
    <row r="508" ht="15" customHeight="1" spans="2:22">
      <c r="B508" s="6" t="e">
        <f t="shared" si="8"/>
        <v>#REF!</v>
      </c>
      <c r="C508" s="31" t="e">
        <f>#REF!</f>
        <v>#REF!</v>
      </c>
      <c r="D508" s="32" t="e">
        <f>IF(#REF!=0,"",#REF!)</f>
        <v>#REF!</v>
      </c>
      <c r="E508" s="36" t="e">
        <f>IF(#REF!=0,"",#REF!)</f>
        <v>#REF!</v>
      </c>
      <c r="F508" s="36" t="e">
        <f>IF(#REF!=0,"",#REF!)</f>
        <v>#REF!</v>
      </c>
      <c r="G508" s="103">
        <f>'27'!Q508</f>
        <v>0</v>
      </c>
      <c r="H508" s="160">
        <f>'27'!R508</f>
        <v>0</v>
      </c>
      <c r="I508" s="160">
        <f>'27'!S508</f>
        <v>0</v>
      </c>
      <c r="J508" s="160"/>
      <c r="K508" s="104">
        <f>'27'!T508</f>
        <v>0</v>
      </c>
      <c r="L508" s="36" t="e">
        <f>#REF!</f>
        <v>#REF!</v>
      </c>
      <c r="M508" s="103" t="e">
        <f>#REF!</f>
        <v>#REF!</v>
      </c>
      <c r="N508" s="160"/>
      <c r="O508" s="104" t="e">
        <f>#REF!</f>
        <v>#REF!</v>
      </c>
      <c r="P508" s="52" t="e">
        <f>IF(#REF!=0,"",#REF!)</f>
        <v>#REF!</v>
      </c>
      <c r="Q508" s="109" t="e">
        <f>IF(#REF!=0,"",#REF!)</f>
        <v>#REF!</v>
      </c>
      <c r="R508" s="36" t="e">
        <f>IF(#REF!=0,"",#REF!)</f>
        <v>#REF!</v>
      </c>
      <c r="S508" s="36" t="e">
        <f>IF(#REF!=0,"",#REF!)</f>
        <v>#REF!</v>
      </c>
      <c r="T508" s="268"/>
      <c r="U508" s="268"/>
      <c r="V508" s="268"/>
    </row>
    <row r="509" ht="15" customHeight="1" spans="2:22">
      <c r="B509" s="6" t="e">
        <f t="shared" si="8"/>
        <v>#REF!</v>
      </c>
      <c r="C509" s="83" t="e">
        <f>#REF!</f>
        <v>#REF!</v>
      </c>
      <c r="D509" s="110" t="e">
        <f>IF(#REF!=0,"",#REF!)</f>
        <v>#REF!</v>
      </c>
      <c r="E509" s="85" t="e">
        <f>IF(#REF!=0,"",#REF!)</f>
        <v>#REF!</v>
      </c>
      <c r="F509" s="85" t="e">
        <f>IF(#REF!=0,"",#REF!)</f>
        <v>#REF!</v>
      </c>
      <c r="G509" s="105">
        <f>'27'!Q509</f>
        <v>0</v>
      </c>
      <c r="H509" s="161">
        <f>'27'!R509</f>
        <v>0</v>
      </c>
      <c r="I509" s="161">
        <f>'27'!S509</f>
        <v>0</v>
      </c>
      <c r="J509" s="161"/>
      <c r="K509" s="106">
        <f>'27'!T509</f>
        <v>0</v>
      </c>
      <c r="L509" s="85" t="e">
        <f>#REF!</f>
        <v>#REF!</v>
      </c>
      <c r="M509" s="105" t="e">
        <f>#REF!</f>
        <v>#REF!</v>
      </c>
      <c r="N509" s="161"/>
      <c r="O509" s="106" t="e">
        <f>#REF!</f>
        <v>#REF!</v>
      </c>
      <c r="P509" s="107" t="e">
        <f>IF(#REF!=0,"",#REF!)</f>
        <v>#REF!</v>
      </c>
      <c r="Q509" s="111" t="e">
        <f>IF(#REF!=0,"",#REF!)</f>
        <v>#REF!</v>
      </c>
      <c r="R509" s="85" t="e">
        <f>IF(#REF!=0,"",#REF!)</f>
        <v>#REF!</v>
      </c>
      <c r="S509" s="85" t="e">
        <f>IF(#REF!=0,"",#REF!)</f>
        <v>#REF!</v>
      </c>
      <c r="T509" s="268"/>
      <c r="U509" s="268"/>
      <c r="V509" s="268"/>
    </row>
    <row r="510" ht="15" customHeight="1" spans="2:22">
      <c r="B510" s="6" t="e">
        <f t="shared" si="8"/>
        <v>#REF!</v>
      </c>
      <c r="C510" s="79" t="e">
        <f>#REF!</f>
        <v>#REF!</v>
      </c>
      <c r="D510" s="62" t="e">
        <f>IF(#REF!=0,"",#REF!)</f>
        <v>#REF!</v>
      </c>
      <c r="E510" s="81" t="e">
        <f>IF(#REF!=0,"",#REF!)</f>
        <v>#REF!</v>
      </c>
      <c r="F510" s="81" t="e">
        <f>IF(#REF!=0,"",#REF!)</f>
        <v>#REF!</v>
      </c>
      <c r="G510" s="100" t="e">
        <f>#REF!</f>
        <v>#REF!</v>
      </c>
      <c r="H510" s="159">
        <f>'27'!R510</f>
        <v>0</v>
      </c>
      <c r="I510" s="159">
        <f>'27'!S510</f>
        <v>0</v>
      </c>
      <c r="J510" s="159"/>
      <c r="K510" s="101">
        <f>'27'!T510</f>
        <v>0</v>
      </c>
      <c r="L510" s="81" t="e">
        <f>#REF!</f>
        <v>#REF!</v>
      </c>
      <c r="M510" s="100" t="e">
        <f>#REF!</f>
        <v>#REF!</v>
      </c>
      <c r="N510" s="159"/>
      <c r="O510" s="101" t="e">
        <f>#REF!</f>
        <v>#REF!</v>
      </c>
      <c r="P510" s="102" t="e">
        <f>IF(#REF!=0,"",#REF!)</f>
        <v>#REF!</v>
      </c>
      <c r="Q510" s="108" t="e">
        <f>IF(#REF!=0,"",#REF!)</f>
        <v>#REF!</v>
      </c>
      <c r="R510" s="81" t="e">
        <f>IF(#REF!=0,"",#REF!)</f>
        <v>#REF!</v>
      </c>
      <c r="S510" s="81" t="e">
        <f>IF(#REF!=0,"",#REF!)</f>
        <v>#REF!</v>
      </c>
      <c r="T510" s="268"/>
      <c r="U510" s="268"/>
      <c r="V510" s="268"/>
    </row>
    <row r="511" ht="15" customHeight="1" spans="2:22">
      <c r="B511" s="6" t="e">
        <f t="shared" si="8"/>
        <v>#REF!</v>
      </c>
      <c r="C511" s="31" t="e">
        <f>#REF!</f>
        <v>#REF!</v>
      </c>
      <c r="D511" s="32" t="e">
        <f>IF(#REF!=0,"",#REF!)</f>
        <v>#REF!</v>
      </c>
      <c r="E511" s="36" t="e">
        <f>IF(#REF!=0,"",#REF!)</f>
        <v>#REF!</v>
      </c>
      <c r="F511" s="36" t="e">
        <f>IF(#REF!=0,"",#REF!)</f>
        <v>#REF!</v>
      </c>
      <c r="G511" s="103">
        <f>'27'!Q511</f>
        <v>0</v>
      </c>
      <c r="H511" s="160">
        <f>'27'!R511</f>
        <v>0</v>
      </c>
      <c r="I511" s="160">
        <f>'27'!S511</f>
        <v>0</v>
      </c>
      <c r="J511" s="160"/>
      <c r="K511" s="104">
        <f>'27'!T511</f>
        <v>0</v>
      </c>
      <c r="L511" s="36" t="e">
        <f>#REF!</f>
        <v>#REF!</v>
      </c>
      <c r="M511" s="103" t="e">
        <f>#REF!</f>
        <v>#REF!</v>
      </c>
      <c r="N511" s="160"/>
      <c r="O511" s="104" t="e">
        <f>#REF!</f>
        <v>#REF!</v>
      </c>
      <c r="P511" s="52" t="e">
        <f>IF(#REF!=0,"",#REF!)</f>
        <v>#REF!</v>
      </c>
      <c r="Q511" s="109" t="e">
        <f>IF(#REF!=0,"",#REF!)</f>
        <v>#REF!</v>
      </c>
      <c r="R511" s="36" t="e">
        <f>IF(#REF!=0,"",#REF!)</f>
        <v>#REF!</v>
      </c>
      <c r="S511" s="36" t="e">
        <f>IF(#REF!=0,"",#REF!)</f>
        <v>#REF!</v>
      </c>
      <c r="T511" s="268"/>
      <c r="U511" s="268"/>
      <c r="V511" s="268"/>
    </row>
    <row r="512" ht="15" customHeight="1" spans="2:22">
      <c r="B512" s="6" t="e">
        <f t="shared" si="8"/>
        <v>#REF!</v>
      </c>
      <c r="C512" s="83" t="e">
        <f>#REF!</f>
        <v>#REF!</v>
      </c>
      <c r="D512" s="110" t="e">
        <f>IF(#REF!=0,"",#REF!)</f>
        <v>#REF!</v>
      </c>
      <c r="E512" s="85" t="e">
        <f>IF(#REF!=0,"",#REF!)</f>
        <v>#REF!</v>
      </c>
      <c r="F512" s="85" t="e">
        <f>IF(#REF!=0,"",#REF!)</f>
        <v>#REF!</v>
      </c>
      <c r="G512" s="105">
        <f>'27'!Q512</f>
        <v>0</v>
      </c>
      <c r="H512" s="161">
        <f>'27'!R512</f>
        <v>0</v>
      </c>
      <c r="I512" s="161">
        <f>'27'!S512</f>
        <v>0</v>
      </c>
      <c r="J512" s="161"/>
      <c r="K512" s="106">
        <f>'27'!T512</f>
        <v>0</v>
      </c>
      <c r="L512" s="85" t="e">
        <f>#REF!</f>
        <v>#REF!</v>
      </c>
      <c r="M512" s="105" t="e">
        <f>#REF!</f>
        <v>#REF!</v>
      </c>
      <c r="N512" s="161"/>
      <c r="O512" s="106" t="e">
        <f>#REF!</f>
        <v>#REF!</v>
      </c>
      <c r="P512" s="107" t="e">
        <f>IF(#REF!=0,"",#REF!)</f>
        <v>#REF!</v>
      </c>
      <c r="Q512" s="111" t="e">
        <f>IF(#REF!=0,"",#REF!)</f>
        <v>#REF!</v>
      </c>
      <c r="R512" s="85" t="e">
        <f>IF(#REF!=0,"",#REF!)</f>
        <v>#REF!</v>
      </c>
      <c r="S512" s="85" t="e">
        <f>IF(#REF!=0,"",#REF!)</f>
        <v>#REF!</v>
      </c>
      <c r="T512" s="268"/>
      <c r="U512" s="268"/>
      <c r="V512" s="268"/>
    </row>
    <row r="513" ht="15" customHeight="1" spans="2:22">
      <c r="B513" s="6" t="e">
        <f t="shared" si="8"/>
        <v>#REF!</v>
      </c>
      <c r="C513" s="79" t="e">
        <f>#REF!</f>
        <v>#REF!</v>
      </c>
      <c r="D513" s="62" t="e">
        <f>IF(#REF!=0,"",#REF!)</f>
        <v>#REF!</v>
      </c>
      <c r="E513" s="81" t="e">
        <f>IF(#REF!=0,"",#REF!)</f>
        <v>#REF!</v>
      </c>
      <c r="F513" s="81" t="e">
        <f>IF(#REF!=0,"",#REF!)</f>
        <v>#REF!</v>
      </c>
      <c r="G513" s="100" t="e">
        <f>#REF!</f>
        <v>#REF!</v>
      </c>
      <c r="H513" s="159">
        <f>'27'!R513</f>
        <v>0</v>
      </c>
      <c r="I513" s="159">
        <f>'27'!S513</f>
        <v>0</v>
      </c>
      <c r="J513" s="159"/>
      <c r="K513" s="101">
        <f>'27'!T513</f>
        <v>0</v>
      </c>
      <c r="L513" s="81" t="e">
        <f>#REF!</f>
        <v>#REF!</v>
      </c>
      <c r="M513" s="100" t="e">
        <f>#REF!</f>
        <v>#REF!</v>
      </c>
      <c r="N513" s="159"/>
      <c r="O513" s="101" t="e">
        <f>#REF!</f>
        <v>#REF!</v>
      </c>
      <c r="P513" s="102" t="e">
        <f>IF(#REF!=0,"",#REF!)</f>
        <v>#REF!</v>
      </c>
      <c r="Q513" s="108" t="e">
        <f>IF(#REF!=0,"",#REF!)</f>
        <v>#REF!</v>
      </c>
      <c r="R513" s="81" t="e">
        <f>IF(#REF!=0,"",#REF!)</f>
        <v>#REF!</v>
      </c>
      <c r="S513" s="81" t="e">
        <f>IF(#REF!=0,"",#REF!)</f>
        <v>#REF!</v>
      </c>
      <c r="T513" s="268"/>
      <c r="U513" s="268"/>
      <c r="V513" s="268"/>
    </row>
    <row r="514" ht="15" customHeight="1" spans="2:22">
      <c r="B514" s="6" t="e">
        <f t="shared" ref="B514:B577" si="9">COUNTA(C514)-IF(C514=0,1)+B513</f>
        <v>#REF!</v>
      </c>
      <c r="C514" s="31" t="e">
        <f>#REF!</f>
        <v>#REF!</v>
      </c>
      <c r="D514" s="32" t="e">
        <f>IF(#REF!=0,"",#REF!)</f>
        <v>#REF!</v>
      </c>
      <c r="E514" s="36" t="e">
        <f>IF(#REF!=0,"",#REF!)</f>
        <v>#REF!</v>
      </c>
      <c r="F514" s="36" t="e">
        <f>IF(#REF!=0,"",#REF!)</f>
        <v>#REF!</v>
      </c>
      <c r="G514" s="103">
        <f>'27'!Q514</f>
        <v>0</v>
      </c>
      <c r="H514" s="160">
        <f>'27'!R514</f>
        <v>0</v>
      </c>
      <c r="I514" s="160">
        <f>'27'!S514</f>
        <v>0</v>
      </c>
      <c r="J514" s="160"/>
      <c r="K514" s="104">
        <f>'27'!T514</f>
        <v>0</v>
      </c>
      <c r="L514" s="36" t="e">
        <f>#REF!</f>
        <v>#REF!</v>
      </c>
      <c r="M514" s="103" t="e">
        <f>#REF!</f>
        <v>#REF!</v>
      </c>
      <c r="N514" s="160"/>
      <c r="O514" s="104" t="e">
        <f>#REF!</f>
        <v>#REF!</v>
      </c>
      <c r="P514" s="52" t="e">
        <f>IF(#REF!=0,"",#REF!)</f>
        <v>#REF!</v>
      </c>
      <c r="Q514" s="109" t="e">
        <f>IF(#REF!=0,"",#REF!)</f>
        <v>#REF!</v>
      </c>
      <c r="R514" s="36" t="e">
        <f>IF(#REF!=0,"",#REF!)</f>
        <v>#REF!</v>
      </c>
      <c r="S514" s="36" t="e">
        <f>IF(#REF!=0,"",#REF!)</f>
        <v>#REF!</v>
      </c>
      <c r="T514" s="268"/>
      <c r="U514" s="268"/>
      <c r="V514" s="268"/>
    </row>
    <row r="515" ht="15" customHeight="1" spans="2:22">
      <c r="B515" s="6" t="e">
        <f t="shared" si="9"/>
        <v>#REF!</v>
      </c>
      <c r="C515" s="83" t="e">
        <f>#REF!</f>
        <v>#REF!</v>
      </c>
      <c r="D515" s="110" t="e">
        <f>IF(#REF!=0,"",#REF!)</f>
        <v>#REF!</v>
      </c>
      <c r="E515" s="85" t="e">
        <f>IF(#REF!=0,"",#REF!)</f>
        <v>#REF!</v>
      </c>
      <c r="F515" s="85" t="e">
        <f>IF(#REF!=0,"",#REF!)</f>
        <v>#REF!</v>
      </c>
      <c r="G515" s="105">
        <f>'27'!Q515</f>
        <v>0</v>
      </c>
      <c r="H515" s="161">
        <f>'27'!R515</f>
        <v>0</v>
      </c>
      <c r="I515" s="161">
        <f>'27'!S515</f>
        <v>0</v>
      </c>
      <c r="J515" s="161"/>
      <c r="K515" s="106">
        <f>'27'!T515</f>
        <v>0</v>
      </c>
      <c r="L515" s="85" t="e">
        <f>#REF!</f>
        <v>#REF!</v>
      </c>
      <c r="M515" s="105" t="e">
        <f>#REF!</f>
        <v>#REF!</v>
      </c>
      <c r="N515" s="161"/>
      <c r="O515" s="106" t="e">
        <f>#REF!</f>
        <v>#REF!</v>
      </c>
      <c r="P515" s="107" t="e">
        <f>IF(#REF!=0,"",#REF!)</f>
        <v>#REF!</v>
      </c>
      <c r="Q515" s="111" t="e">
        <f>IF(#REF!=0,"",#REF!)</f>
        <v>#REF!</v>
      </c>
      <c r="R515" s="85" t="e">
        <f>IF(#REF!=0,"",#REF!)</f>
        <v>#REF!</v>
      </c>
      <c r="S515" s="85" t="e">
        <f>IF(#REF!=0,"",#REF!)</f>
        <v>#REF!</v>
      </c>
      <c r="T515" s="268"/>
      <c r="U515" s="268"/>
      <c r="V515" s="268"/>
    </row>
    <row r="516" ht="15" customHeight="1" spans="2:22">
      <c r="B516" s="6" t="e">
        <f t="shared" si="9"/>
        <v>#REF!</v>
      </c>
      <c r="C516" s="79" t="e">
        <f>#REF!</f>
        <v>#REF!</v>
      </c>
      <c r="D516" s="62" t="e">
        <f>IF(#REF!=0,"",#REF!)</f>
        <v>#REF!</v>
      </c>
      <c r="E516" s="81" t="e">
        <f>IF(#REF!=0,"",#REF!)</f>
        <v>#REF!</v>
      </c>
      <c r="F516" s="81" t="e">
        <f>IF(#REF!=0,"",#REF!)</f>
        <v>#REF!</v>
      </c>
      <c r="G516" s="100" t="e">
        <f>#REF!</f>
        <v>#REF!</v>
      </c>
      <c r="H516" s="159">
        <f>'27'!R516</f>
        <v>0</v>
      </c>
      <c r="I516" s="159">
        <f>'27'!S516</f>
        <v>0</v>
      </c>
      <c r="J516" s="159"/>
      <c r="K516" s="101">
        <f>'27'!T516</f>
        <v>0</v>
      </c>
      <c r="L516" s="81" t="e">
        <f>#REF!</f>
        <v>#REF!</v>
      </c>
      <c r="M516" s="100" t="e">
        <f>#REF!</f>
        <v>#REF!</v>
      </c>
      <c r="N516" s="159"/>
      <c r="O516" s="101" t="e">
        <f>#REF!</f>
        <v>#REF!</v>
      </c>
      <c r="P516" s="102" t="e">
        <f>IF(#REF!=0,"",#REF!)</f>
        <v>#REF!</v>
      </c>
      <c r="Q516" s="108" t="e">
        <f>IF(#REF!=0,"",#REF!)</f>
        <v>#REF!</v>
      </c>
      <c r="R516" s="81" t="e">
        <f>IF(#REF!=0,"",#REF!)</f>
        <v>#REF!</v>
      </c>
      <c r="S516" s="81" t="e">
        <f>IF(#REF!=0,"",#REF!)</f>
        <v>#REF!</v>
      </c>
      <c r="T516" s="268"/>
      <c r="U516" s="268"/>
      <c r="V516" s="268"/>
    </row>
    <row r="517" ht="15" customHeight="1" spans="2:22">
      <c r="B517" s="6" t="e">
        <f t="shared" si="9"/>
        <v>#REF!</v>
      </c>
      <c r="C517" s="31" t="e">
        <f>#REF!</f>
        <v>#REF!</v>
      </c>
      <c r="D517" s="32" t="e">
        <f>IF(#REF!=0,"",#REF!)</f>
        <v>#REF!</v>
      </c>
      <c r="E517" s="36" t="e">
        <f>IF(#REF!=0,"",#REF!)</f>
        <v>#REF!</v>
      </c>
      <c r="F517" s="36" t="e">
        <f>IF(#REF!=0,"",#REF!)</f>
        <v>#REF!</v>
      </c>
      <c r="G517" s="103">
        <f>'27'!Q517</f>
        <v>0</v>
      </c>
      <c r="H517" s="160">
        <f>'27'!R517</f>
        <v>0</v>
      </c>
      <c r="I517" s="160">
        <f>'27'!S517</f>
        <v>0</v>
      </c>
      <c r="J517" s="160"/>
      <c r="K517" s="104">
        <f>'27'!T517</f>
        <v>0</v>
      </c>
      <c r="L517" s="36" t="e">
        <f>#REF!</f>
        <v>#REF!</v>
      </c>
      <c r="M517" s="103" t="e">
        <f>#REF!</f>
        <v>#REF!</v>
      </c>
      <c r="N517" s="160"/>
      <c r="O517" s="104" t="e">
        <f>#REF!</f>
        <v>#REF!</v>
      </c>
      <c r="P517" s="52" t="e">
        <f>IF(#REF!=0,"",#REF!)</f>
        <v>#REF!</v>
      </c>
      <c r="Q517" s="109" t="e">
        <f>IF(#REF!=0,"",#REF!)</f>
        <v>#REF!</v>
      </c>
      <c r="R517" s="36" t="e">
        <f>IF(#REF!=0,"",#REF!)</f>
        <v>#REF!</v>
      </c>
      <c r="S517" s="36" t="e">
        <f>IF(#REF!=0,"",#REF!)</f>
        <v>#REF!</v>
      </c>
      <c r="T517" s="268"/>
      <c r="U517" s="268"/>
      <c r="V517" s="268"/>
    </row>
    <row r="518" ht="15" customHeight="1" spans="2:22">
      <c r="B518" s="6" t="e">
        <f t="shared" si="9"/>
        <v>#REF!</v>
      </c>
      <c r="C518" s="83" t="e">
        <f>#REF!</f>
        <v>#REF!</v>
      </c>
      <c r="D518" s="110" t="e">
        <f>IF(#REF!=0,"",#REF!)</f>
        <v>#REF!</v>
      </c>
      <c r="E518" s="85" t="e">
        <f>IF(#REF!=0,"",#REF!)</f>
        <v>#REF!</v>
      </c>
      <c r="F518" s="85" t="e">
        <f>IF(#REF!=0,"",#REF!)</f>
        <v>#REF!</v>
      </c>
      <c r="G518" s="105">
        <f>'27'!Q518</f>
        <v>0</v>
      </c>
      <c r="H518" s="161">
        <f>'27'!R518</f>
        <v>0</v>
      </c>
      <c r="I518" s="161">
        <f>'27'!S518</f>
        <v>0</v>
      </c>
      <c r="J518" s="161"/>
      <c r="K518" s="106">
        <f>'27'!T518</f>
        <v>0</v>
      </c>
      <c r="L518" s="85" t="e">
        <f>#REF!</f>
        <v>#REF!</v>
      </c>
      <c r="M518" s="105" t="e">
        <f>#REF!</f>
        <v>#REF!</v>
      </c>
      <c r="N518" s="161"/>
      <c r="O518" s="106" t="e">
        <f>#REF!</f>
        <v>#REF!</v>
      </c>
      <c r="P518" s="107" t="e">
        <f>IF(#REF!=0,"",#REF!)</f>
        <v>#REF!</v>
      </c>
      <c r="Q518" s="111" t="e">
        <f>IF(#REF!=0,"",#REF!)</f>
        <v>#REF!</v>
      </c>
      <c r="R518" s="85" t="e">
        <f>IF(#REF!=0,"",#REF!)</f>
        <v>#REF!</v>
      </c>
      <c r="S518" s="85" t="e">
        <f>IF(#REF!=0,"",#REF!)</f>
        <v>#REF!</v>
      </c>
      <c r="T518" s="268"/>
      <c r="U518" s="268"/>
      <c r="V518" s="268"/>
    </row>
    <row r="519" ht="15" customHeight="1" spans="2:22">
      <c r="B519" s="6" t="e">
        <f t="shared" si="9"/>
        <v>#REF!</v>
      </c>
      <c r="C519" s="79" t="e">
        <f>#REF!</f>
        <v>#REF!</v>
      </c>
      <c r="D519" s="62" t="e">
        <f>IF(#REF!=0,"",#REF!)</f>
        <v>#REF!</v>
      </c>
      <c r="E519" s="81" t="e">
        <f>IF(#REF!=0,"",#REF!)</f>
        <v>#REF!</v>
      </c>
      <c r="F519" s="81" t="e">
        <f>IF(#REF!=0,"",#REF!)</f>
        <v>#REF!</v>
      </c>
      <c r="G519" s="100" t="e">
        <f>#REF!</f>
        <v>#REF!</v>
      </c>
      <c r="H519" s="159">
        <f>'27'!R519</f>
        <v>0</v>
      </c>
      <c r="I519" s="159">
        <f>'27'!S519</f>
        <v>0</v>
      </c>
      <c r="J519" s="159"/>
      <c r="K519" s="101">
        <f>'27'!T519</f>
        <v>0</v>
      </c>
      <c r="L519" s="81" t="e">
        <f>#REF!</f>
        <v>#REF!</v>
      </c>
      <c r="M519" s="100" t="e">
        <f>#REF!</f>
        <v>#REF!</v>
      </c>
      <c r="N519" s="159"/>
      <c r="O519" s="101" t="e">
        <f>#REF!</f>
        <v>#REF!</v>
      </c>
      <c r="P519" s="102" t="e">
        <f>IF(#REF!=0,"",#REF!)</f>
        <v>#REF!</v>
      </c>
      <c r="Q519" s="108" t="e">
        <f>IF(#REF!=0,"",#REF!)</f>
        <v>#REF!</v>
      </c>
      <c r="R519" s="81" t="e">
        <f>IF(#REF!=0,"",#REF!)</f>
        <v>#REF!</v>
      </c>
      <c r="S519" s="81" t="e">
        <f>IF(#REF!=0,"",#REF!)</f>
        <v>#REF!</v>
      </c>
      <c r="T519" s="268"/>
      <c r="U519" s="268"/>
      <c r="V519" s="268"/>
    </row>
    <row r="520" ht="15" customHeight="1" spans="2:22">
      <c r="B520" s="6" t="e">
        <f t="shared" si="9"/>
        <v>#REF!</v>
      </c>
      <c r="C520" s="31" t="e">
        <f>#REF!</f>
        <v>#REF!</v>
      </c>
      <c r="D520" s="32" t="e">
        <f>IF(#REF!=0,"",#REF!)</f>
        <v>#REF!</v>
      </c>
      <c r="E520" s="36" t="e">
        <f>IF(#REF!=0,"",#REF!)</f>
        <v>#REF!</v>
      </c>
      <c r="F520" s="36" t="e">
        <f>IF(#REF!=0,"",#REF!)</f>
        <v>#REF!</v>
      </c>
      <c r="G520" s="103">
        <f>'27'!Q520</f>
        <v>0</v>
      </c>
      <c r="H520" s="160">
        <f>'27'!R520</f>
        <v>0</v>
      </c>
      <c r="I520" s="160">
        <f>'27'!S520</f>
        <v>0</v>
      </c>
      <c r="J520" s="160"/>
      <c r="K520" s="104">
        <f>'27'!T520</f>
        <v>0</v>
      </c>
      <c r="L520" s="36" t="e">
        <f>#REF!</f>
        <v>#REF!</v>
      </c>
      <c r="M520" s="103" t="e">
        <f>#REF!</f>
        <v>#REF!</v>
      </c>
      <c r="N520" s="160"/>
      <c r="O520" s="104" t="e">
        <f>#REF!</f>
        <v>#REF!</v>
      </c>
      <c r="P520" s="52" t="e">
        <f>IF(#REF!=0,"",#REF!)</f>
        <v>#REF!</v>
      </c>
      <c r="Q520" s="109" t="e">
        <f>IF(#REF!=0,"",#REF!)</f>
        <v>#REF!</v>
      </c>
      <c r="R520" s="36" t="e">
        <f>IF(#REF!=0,"",#REF!)</f>
        <v>#REF!</v>
      </c>
      <c r="S520" s="36" t="e">
        <f>IF(#REF!=0,"",#REF!)</f>
        <v>#REF!</v>
      </c>
      <c r="T520" s="268"/>
      <c r="U520" s="268"/>
      <c r="V520" s="268"/>
    </row>
    <row r="521" ht="15" customHeight="1" spans="2:22">
      <c r="B521" s="6" t="e">
        <f t="shared" si="9"/>
        <v>#REF!</v>
      </c>
      <c r="C521" s="83" t="e">
        <f>#REF!</f>
        <v>#REF!</v>
      </c>
      <c r="D521" s="110" t="e">
        <f>IF(#REF!=0,"",#REF!)</f>
        <v>#REF!</v>
      </c>
      <c r="E521" s="85" t="e">
        <f>IF(#REF!=0,"",#REF!)</f>
        <v>#REF!</v>
      </c>
      <c r="F521" s="85" t="e">
        <f>IF(#REF!=0,"",#REF!)</f>
        <v>#REF!</v>
      </c>
      <c r="G521" s="105">
        <f>'27'!Q521</f>
        <v>0</v>
      </c>
      <c r="H521" s="161">
        <f>'27'!R521</f>
        <v>0</v>
      </c>
      <c r="I521" s="161">
        <f>'27'!S521</f>
        <v>0</v>
      </c>
      <c r="J521" s="161"/>
      <c r="K521" s="106">
        <f>'27'!T521</f>
        <v>0</v>
      </c>
      <c r="L521" s="85" t="e">
        <f>#REF!</f>
        <v>#REF!</v>
      </c>
      <c r="M521" s="105" t="e">
        <f>#REF!</f>
        <v>#REF!</v>
      </c>
      <c r="N521" s="161"/>
      <c r="O521" s="106" t="e">
        <f>#REF!</f>
        <v>#REF!</v>
      </c>
      <c r="P521" s="107" t="e">
        <f>IF(#REF!=0,"",#REF!)</f>
        <v>#REF!</v>
      </c>
      <c r="Q521" s="111" t="e">
        <f>IF(#REF!=0,"",#REF!)</f>
        <v>#REF!</v>
      </c>
      <c r="R521" s="85" t="e">
        <f>IF(#REF!=0,"",#REF!)</f>
        <v>#REF!</v>
      </c>
      <c r="S521" s="85" t="e">
        <f>IF(#REF!=0,"",#REF!)</f>
        <v>#REF!</v>
      </c>
      <c r="T521" s="268"/>
      <c r="U521" s="268"/>
      <c r="V521" s="268"/>
    </row>
    <row r="522" ht="15" customHeight="1" spans="2:22">
      <c r="B522" s="6" t="e">
        <f t="shared" si="9"/>
        <v>#REF!</v>
      </c>
      <c r="C522" s="79" t="e">
        <f>#REF!</f>
        <v>#REF!</v>
      </c>
      <c r="D522" s="62" t="e">
        <f>IF(#REF!=0,"",#REF!)</f>
        <v>#REF!</v>
      </c>
      <c r="E522" s="81" t="e">
        <f>IF(#REF!=0,"",#REF!)</f>
        <v>#REF!</v>
      </c>
      <c r="F522" s="81" t="e">
        <f>IF(#REF!=0,"",#REF!)</f>
        <v>#REF!</v>
      </c>
      <c r="G522" s="100" t="e">
        <f>#REF!</f>
        <v>#REF!</v>
      </c>
      <c r="H522" s="159">
        <f>'27'!R522</f>
        <v>0</v>
      </c>
      <c r="I522" s="159">
        <f>'27'!S522</f>
        <v>0</v>
      </c>
      <c r="J522" s="159"/>
      <c r="K522" s="101">
        <f>'27'!T522</f>
        <v>0</v>
      </c>
      <c r="L522" s="81" t="e">
        <f>#REF!</f>
        <v>#REF!</v>
      </c>
      <c r="M522" s="100" t="e">
        <f>#REF!</f>
        <v>#REF!</v>
      </c>
      <c r="N522" s="159"/>
      <c r="O522" s="101" t="e">
        <f>#REF!</f>
        <v>#REF!</v>
      </c>
      <c r="P522" s="102" t="e">
        <f>IF(#REF!=0,"",#REF!)</f>
        <v>#REF!</v>
      </c>
      <c r="Q522" s="108" t="e">
        <f>IF(#REF!=0,"",#REF!)</f>
        <v>#REF!</v>
      </c>
      <c r="R522" s="81" t="e">
        <f>IF(#REF!=0,"",#REF!)</f>
        <v>#REF!</v>
      </c>
      <c r="S522" s="81" t="e">
        <f>IF(#REF!=0,"",#REF!)</f>
        <v>#REF!</v>
      </c>
      <c r="T522" s="268"/>
      <c r="U522" s="268"/>
      <c r="V522" s="268"/>
    </row>
    <row r="523" ht="15" customHeight="1" spans="2:22">
      <c r="B523" s="6" t="e">
        <f t="shared" si="9"/>
        <v>#REF!</v>
      </c>
      <c r="C523" s="31" t="e">
        <f>#REF!</f>
        <v>#REF!</v>
      </c>
      <c r="D523" s="32" t="e">
        <f>IF(#REF!=0,"",#REF!)</f>
        <v>#REF!</v>
      </c>
      <c r="E523" s="36" t="e">
        <f>IF(#REF!=0,"",#REF!)</f>
        <v>#REF!</v>
      </c>
      <c r="F523" s="36" t="e">
        <f>IF(#REF!=0,"",#REF!)</f>
        <v>#REF!</v>
      </c>
      <c r="G523" s="103">
        <f>'27'!Q523</f>
        <v>0</v>
      </c>
      <c r="H523" s="160">
        <f>'27'!R523</f>
        <v>0</v>
      </c>
      <c r="I523" s="160">
        <f>'27'!S523</f>
        <v>0</v>
      </c>
      <c r="J523" s="160"/>
      <c r="K523" s="104">
        <f>'27'!T523</f>
        <v>0</v>
      </c>
      <c r="L523" s="36" t="e">
        <f>#REF!</f>
        <v>#REF!</v>
      </c>
      <c r="M523" s="103" t="e">
        <f>#REF!</f>
        <v>#REF!</v>
      </c>
      <c r="N523" s="160"/>
      <c r="O523" s="104" t="e">
        <f>#REF!</f>
        <v>#REF!</v>
      </c>
      <c r="P523" s="52" t="e">
        <f>IF(#REF!=0,"",#REF!)</f>
        <v>#REF!</v>
      </c>
      <c r="Q523" s="109" t="e">
        <f>IF(#REF!=0,"",#REF!)</f>
        <v>#REF!</v>
      </c>
      <c r="R523" s="36" t="e">
        <f>IF(#REF!=0,"",#REF!)</f>
        <v>#REF!</v>
      </c>
      <c r="S523" s="36" t="e">
        <f>IF(#REF!=0,"",#REF!)</f>
        <v>#REF!</v>
      </c>
      <c r="T523" s="268"/>
      <c r="U523" s="268"/>
      <c r="V523" s="268"/>
    </row>
    <row r="524" ht="15" customHeight="1" spans="2:22">
      <c r="B524" s="6" t="e">
        <f t="shared" si="9"/>
        <v>#REF!</v>
      </c>
      <c r="C524" s="83" t="e">
        <f>#REF!</f>
        <v>#REF!</v>
      </c>
      <c r="D524" s="110" t="e">
        <f>IF(#REF!=0,"",#REF!)</f>
        <v>#REF!</v>
      </c>
      <c r="E524" s="85" t="e">
        <f>IF(#REF!=0,"",#REF!)</f>
        <v>#REF!</v>
      </c>
      <c r="F524" s="85" t="e">
        <f>IF(#REF!=0,"",#REF!)</f>
        <v>#REF!</v>
      </c>
      <c r="G524" s="105">
        <f>'27'!Q524</f>
        <v>0</v>
      </c>
      <c r="H524" s="161">
        <f>'27'!R524</f>
        <v>0</v>
      </c>
      <c r="I524" s="161">
        <f>'27'!S524</f>
        <v>0</v>
      </c>
      <c r="J524" s="161"/>
      <c r="K524" s="106">
        <f>'27'!T524</f>
        <v>0</v>
      </c>
      <c r="L524" s="85" t="e">
        <f>#REF!</f>
        <v>#REF!</v>
      </c>
      <c r="M524" s="105" t="e">
        <f>#REF!</f>
        <v>#REF!</v>
      </c>
      <c r="N524" s="161"/>
      <c r="O524" s="106" t="e">
        <f>#REF!</f>
        <v>#REF!</v>
      </c>
      <c r="P524" s="107" t="e">
        <f>IF(#REF!=0,"",#REF!)</f>
        <v>#REF!</v>
      </c>
      <c r="Q524" s="111" t="e">
        <f>IF(#REF!=0,"",#REF!)</f>
        <v>#REF!</v>
      </c>
      <c r="R524" s="85" t="e">
        <f>IF(#REF!=0,"",#REF!)</f>
        <v>#REF!</v>
      </c>
      <c r="S524" s="85" t="e">
        <f>IF(#REF!=0,"",#REF!)</f>
        <v>#REF!</v>
      </c>
      <c r="T524" s="268"/>
      <c r="U524" s="268"/>
      <c r="V524" s="268"/>
    </row>
    <row r="525" ht="15" customHeight="1" spans="2:22">
      <c r="B525" s="6" t="e">
        <f t="shared" si="9"/>
        <v>#REF!</v>
      </c>
      <c r="C525" s="79" t="e">
        <f>#REF!</f>
        <v>#REF!</v>
      </c>
      <c r="D525" s="62" t="e">
        <f>IF(#REF!=0,"",#REF!)</f>
        <v>#REF!</v>
      </c>
      <c r="E525" s="81" t="e">
        <f>IF(#REF!=0,"",#REF!)</f>
        <v>#REF!</v>
      </c>
      <c r="F525" s="81" t="e">
        <f>IF(#REF!=0,"",#REF!)</f>
        <v>#REF!</v>
      </c>
      <c r="G525" s="100" t="e">
        <f>#REF!</f>
        <v>#REF!</v>
      </c>
      <c r="H525" s="159">
        <f>'27'!R525</f>
        <v>0</v>
      </c>
      <c r="I525" s="159">
        <f>'27'!S525</f>
        <v>0</v>
      </c>
      <c r="J525" s="159"/>
      <c r="K525" s="101">
        <f>'27'!T525</f>
        <v>0</v>
      </c>
      <c r="L525" s="81" t="e">
        <f>#REF!</f>
        <v>#REF!</v>
      </c>
      <c r="M525" s="100" t="e">
        <f>#REF!</f>
        <v>#REF!</v>
      </c>
      <c r="N525" s="159"/>
      <c r="O525" s="101" t="e">
        <f>#REF!</f>
        <v>#REF!</v>
      </c>
      <c r="P525" s="102" t="e">
        <f>IF(#REF!=0,"",#REF!)</f>
        <v>#REF!</v>
      </c>
      <c r="Q525" s="108" t="e">
        <f>IF(#REF!=0,"",#REF!)</f>
        <v>#REF!</v>
      </c>
      <c r="R525" s="81" t="e">
        <f>IF(#REF!=0,"",#REF!)</f>
        <v>#REF!</v>
      </c>
      <c r="S525" s="81" t="e">
        <f>IF(#REF!=0,"",#REF!)</f>
        <v>#REF!</v>
      </c>
      <c r="T525" s="268"/>
      <c r="U525" s="268"/>
      <c r="V525" s="268"/>
    </row>
    <row r="526" ht="15" customHeight="1" spans="2:22">
      <c r="B526" s="6" t="e">
        <f t="shared" si="9"/>
        <v>#REF!</v>
      </c>
      <c r="C526" s="31" t="e">
        <f>#REF!</f>
        <v>#REF!</v>
      </c>
      <c r="D526" s="32" t="e">
        <f>IF(#REF!=0,"",#REF!)</f>
        <v>#REF!</v>
      </c>
      <c r="E526" s="36" t="e">
        <f>IF(#REF!=0,"",#REF!)</f>
        <v>#REF!</v>
      </c>
      <c r="F526" s="36" t="e">
        <f>IF(#REF!=0,"",#REF!)</f>
        <v>#REF!</v>
      </c>
      <c r="G526" s="103">
        <f>'27'!Q526</f>
        <v>0</v>
      </c>
      <c r="H526" s="160">
        <f>'27'!R526</f>
        <v>0</v>
      </c>
      <c r="I526" s="160">
        <f>'27'!S526</f>
        <v>0</v>
      </c>
      <c r="J526" s="160"/>
      <c r="K526" s="104">
        <f>'27'!T526</f>
        <v>0</v>
      </c>
      <c r="L526" s="36" t="e">
        <f>#REF!</f>
        <v>#REF!</v>
      </c>
      <c r="M526" s="103" t="e">
        <f>#REF!</f>
        <v>#REF!</v>
      </c>
      <c r="N526" s="160"/>
      <c r="O526" s="104" t="e">
        <f>#REF!</f>
        <v>#REF!</v>
      </c>
      <c r="P526" s="52" t="e">
        <f>IF(#REF!=0,"",#REF!)</f>
        <v>#REF!</v>
      </c>
      <c r="Q526" s="109" t="e">
        <f>IF(#REF!=0,"",#REF!)</f>
        <v>#REF!</v>
      </c>
      <c r="R526" s="36" t="e">
        <f>IF(#REF!=0,"",#REF!)</f>
        <v>#REF!</v>
      </c>
      <c r="S526" s="36" t="e">
        <f>IF(#REF!=0,"",#REF!)</f>
        <v>#REF!</v>
      </c>
      <c r="T526" s="268"/>
      <c r="U526" s="268"/>
      <c r="V526" s="268"/>
    </row>
    <row r="527" ht="15" customHeight="1" spans="2:22">
      <c r="B527" s="6" t="e">
        <f t="shared" si="9"/>
        <v>#REF!</v>
      </c>
      <c r="C527" s="83" t="e">
        <f>#REF!</f>
        <v>#REF!</v>
      </c>
      <c r="D527" s="110" t="e">
        <f>IF(#REF!=0,"",#REF!)</f>
        <v>#REF!</v>
      </c>
      <c r="E527" s="85" t="e">
        <f>IF(#REF!=0,"",#REF!)</f>
        <v>#REF!</v>
      </c>
      <c r="F527" s="85" t="e">
        <f>IF(#REF!=0,"",#REF!)</f>
        <v>#REF!</v>
      </c>
      <c r="G527" s="105">
        <f>'27'!Q527</f>
        <v>0</v>
      </c>
      <c r="H527" s="161">
        <f>'27'!R527</f>
        <v>0</v>
      </c>
      <c r="I527" s="161">
        <f>'27'!S527</f>
        <v>0</v>
      </c>
      <c r="J527" s="161"/>
      <c r="K527" s="106">
        <f>'27'!T527</f>
        <v>0</v>
      </c>
      <c r="L527" s="85" t="e">
        <f>#REF!</f>
        <v>#REF!</v>
      </c>
      <c r="M527" s="105" t="e">
        <f>#REF!</f>
        <v>#REF!</v>
      </c>
      <c r="N527" s="161"/>
      <c r="O527" s="106" t="e">
        <f>#REF!</f>
        <v>#REF!</v>
      </c>
      <c r="P527" s="107" t="e">
        <f>IF(#REF!=0,"",#REF!)</f>
        <v>#REF!</v>
      </c>
      <c r="Q527" s="111" t="e">
        <f>IF(#REF!=0,"",#REF!)</f>
        <v>#REF!</v>
      </c>
      <c r="R527" s="85" t="e">
        <f>IF(#REF!=0,"",#REF!)</f>
        <v>#REF!</v>
      </c>
      <c r="S527" s="85" t="e">
        <f>IF(#REF!=0,"",#REF!)</f>
        <v>#REF!</v>
      </c>
      <c r="T527" s="268"/>
      <c r="U527" s="268"/>
      <c r="V527" s="268"/>
    </row>
    <row r="528" ht="15" customHeight="1" spans="2:22">
      <c r="B528" s="6" t="e">
        <f t="shared" si="9"/>
        <v>#REF!</v>
      </c>
      <c r="C528" s="79" t="e">
        <f>#REF!</f>
        <v>#REF!</v>
      </c>
      <c r="D528" s="62" t="e">
        <f>IF(#REF!=0,"",#REF!)</f>
        <v>#REF!</v>
      </c>
      <c r="E528" s="81" t="e">
        <f>IF(#REF!=0,"",#REF!)</f>
        <v>#REF!</v>
      </c>
      <c r="F528" s="81" t="e">
        <f>IF(#REF!=0,"",#REF!)</f>
        <v>#REF!</v>
      </c>
      <c r="G528" s="100" t="e">
        <f>#REF!</f>
        <v>#REF!</v>
      </c>
      <c r="H528" s="159">
        <f>'27'!R528</f>
        <v>0</v>
      </c>
      <c r="I528" s="159">
        <f>'27'!S528</f>
        <v>0</v>
      </c>
      <c r="J528" s="159"/>
      <c r="K528" s="101">
        <f>'27'!T528</f>
        <v>0</v>
      </c>
      <c r="L528" s="81" t="e">
        <f>#REF!</f>
        <v>#REF!</v>
      </c>
      <c r="M528" s="100" t="e">
        <f>#REF!</f>
        <v>#REF!</v>
      </c>
      <c r="N528" s="159"/>
      <c r="O528" s="101" t="e">
        <f>#REF!</f>
        <v>#REF!</v>
      </c>
      <c r="P528" s="102" t="e">
        <f>IF(#REF!=0,"",#REF!)</f>
        <v>#REF!</v>
      </c>
      <c r="Q528" s="108" t="e">
        <f>IF(#REF!=0,"",#REF!)</f>
        <v>#REF!</v>
      </c>
      <c r="R528" s="81" t="e">
        <f>IF(#REF!=0,"",#REF!)</f>
        <v>#REF!</v>
      </c>
      <c r="S528" s="81" t="e">
        <f>IF(#REF!=0,"",#REF!)</f>
        <v>#REF!</v>
      </c>
      <c r="T528" s="268"/>
      <c r="U528" s="268"/>
      <c r="V528" s="268"/>
    </row>
    <row r="529" ht="15" customHeight="1" spans="2:22">
      <c r="B529" s="6" t="e">
        <f t="shared" si="9"/>
        <v>#REF!</v>
      </c>
      <c r="C529" s="31" t="e">
        <f>#REF!</f>
        <v>#REF!</v>
      </c>
      <c r="D529" s="32" t="e">
        <f>IF(#REF!=0,"",#REF!)</f>
        <v>#REF!</v>
      </c>
      <c r="E529" s="36" t="e">
        <f>IF(#REF!=0,"",#REF!)</f>
        <v>#REF!</v>
      </c>
      <c r="F529" s="36" t="e">
        <f>IF(#REF!=0,"",#REF!)</f>
        <v>#REF!</v>
      </c>
      <c r="G529" s="103">
        <f>'27'!Q529</f>
        <v>0</v>
      </c>
      <c r="H529" s="160">
        <f>'27'!R529</f>
        <v>0</v>
      </c>
      <c r="I529" s="160">
        <f>'27'!S529</f>
        <v>0</v>
      </c>
      <c r="J529" s="160"/>
      <c r="K529" s="104">
        <f>'27'!T529</f>
        <v>0</v>
      </c>
      <c r="L529" s="36" t="e">
        <f>#REF!</f>
        <v>#REF!</v>
      </c>
      <c r="M529" s="103" t="e">
        <f>#REF!</f>
        <v>#REF!</v>
      </c>
      <c r="N529" s="160"/>
      <c r="O529" s="104" t="e">
        <f>#REF!</f>
        <v>#REF!</v>
      </c>
      <c r="P529" s="52" t="e">
        <f>IF(#REF!=0,"",#REF!)</f>
        <v>#REF!</v>
      </c>
      <c r="Q529" s="109" t="e">
        <f>IF(#REF!=0,"",#REF!)</f>
        <v>#REF!</v>
      </c>
      <c r="R529" s="36" t="e">
        <f>IF(#REF!=0,"",#REF!)</f>
        <v>#REF!</v>
      </c>
      <c r="S529" s="36" t="e">
        <f>IF(#REF!=0,"",#REF!)</f>
        <v>#REF!</v>
      </c>
      <c r="T529" s="268"/>
      <c r="U529" s="268"/>
      <c r="V529" s="268"/>
    </row>
    <row r="530" ht="15" customHeight="1" spans="2:22">
      <c r="B530" s="6" t="e">
        <f t="shared" si="9"/>
        <v>#REF!</v>
      </c>
      <c r="C530" s="83" t="e">
        <f>#REF!</f>
        <v>#REF!</v>
      </c>
      <c r="D530" s="110" t="e">
        <f>IF(#REF!=0,"",#REF!)</f>
        <v>#REF!</v>
      </c>
      <c r="E530" s="85" t="e">
        <f>IF(#REF!=0,"",#REF!)</f>
        <v>#REF!</v>
      </c>
      <c r="F530" s="85" t="e">
        <f>IF(#REF!=0,"",#REF!)</f>
        <v>#REF!</v>
      </c>
      <c r="G530" s="105">
        <f>'27'!Q530</f>
        <v>0</v>
      </c>
      <c r="H530" s="161">
        <f>'27'!R530</f>
        <v>0</v>
      </c>
      <c r="I530" s="161">
        <f>'27'!S530</f>
        <v>0</v>
      </c>
      <c r="J530" s="161"/>
      <c r="K530" s="106">
        <f>'27'!T530</f>
        <v>0</v>
      </c>
      <c r="L530" s="85" t="e">
        <f>#REF!</f>
        <v>#REF!</v>
      </c>
      <c r="M530" s="105" t="e">
        <f>#REF!</f>
        <v>#REF!</v>
      </c>
      <c r="N530" s="161"/>
      <c r="O530" s="106" t="e">
        <f>#REF!</f>
        <v>#REF!</v>
      </c>
      <c r="P530" s="107" t="e">
        <f>IF(#REF!=0,"",#REF!)</f>
        <v>#REF!</v>
      </c>
      <c r="Q530" s="111" t="e">
        <f>IF(#REF!=0,"",#REF!)</f>
        <v>#REF!</v>
      </c>
      <c r="R530" s="85" t="e">
        <f>IF(#REF!=0,"",#REF!)</f>
        <v>#REF!</v>
      </c>
      <c r="S530" s="85" t="e">
        <f>IF(#REF!=0,"",#REF!)</f>
        <v>#REF!</v>
      </c>
      <c r="T530" s="268"/>
      <c r="U530" s="268"/>
      <c r="V530" s="268"/>
    </row>
    <row r="531" ht="15" customHeight="1" spans="2:22">
      <c r="B531" s="6" t="e">
        <f t="shared" si="9"/>
        <v>#REF!</v>
      </c>
      <c r="C531" s="79" t="e">
        <f>#REF!</f>
        <v>#REF!</v>
      </c>
      <c r="D531" s="62" t="e">
        <f>IF(#REF!=0,"",#REF!)</f>
        <v>#REF!</v>
      </c>
      <c r="E531" s="81" t="e">
        <f>IF(#REF!=0,"",#REF!)</f>
        <v>#REF!</v>
      </c>
      <c r="F531" s="81" t="e">
        <f>IF(#REF!=0,"",#REF!)</f>
        <v>#REF!</v>
      </c>
      <c r="G531" s="100" t="e">
        <f>#REF!</f>
        <v>#REF!</v>
      </c>
      <c r="H531" s="159">
        <f>'27'!R531</f>
        <v>0</v>
      </c>
      <c r="I531" s="159">
        <f>'27'!S531</f>
        <v>0</v>
      </c>
      <c r="J531" s="159"/>
      <c r="K531" s="101">
        <f>'27'!T531</f>
        <v>0</v>
      </c>
      <c r="L531" s="81" t="e">
        <f>#REF!</f>
        <v>#REF!</v>
      </c>
      <c r="M531" s="100" t="e">
        <f>#REF!</f>
        <v>#REF!</v>
      </c>
      <c r="N531" s="159"/>
      <c r="O531" s="101" t="e">
        <f>#REF!</f>
        <v>#REF!</v>
      </c>
      <c r="P531" s="102" t="e">
        <f>IF(#REF!=0,"",#REF!)</f>
        <v>#REF!</v>
      </c>
      <c r="Q531" s="108" t="e">
        <f>IF(#REF!=0,"",#REF!)</f>
        <v>#REF!</v>
      </c>
      <c r="R531" s="81" t="e">
        <f>IF(#REF!=0,"",#REF!)</f>
        <v>#REF!</v>
      </c>
      <c r="S531" s="81" t="e">
        <f>IF(#REF!=0,"",#REF!)</f>
        <v>#REF!</v>
      </c>
      <c r="T531" s="268"/>
      <c r="U531" s="268"/>
      <c r="V531" s="268"/>
    </row>
    <row r="532" ht="15" customHeight="1" spans="2:22">
      <c r="B532" s="6" t="e">
        <f t="shared" si="9"/>
        <v>#REF!</v>
      </c>
      <c r="C532" s="31" t="e">
        <f>#REF!</f>
        <v>#REF!</v>
      </c>
      <c r="D532" s="32" t="e">
        <f>IF(#REF!=0,"",#REF!)</f>
        <v>#REF!</v>
      </c>
      <c r="E532" s="36" t="e">
        <f>IF(#REF!=0,"",#REF!)</f>
        <v>#REF!</v>
      </c>
      <c r="F532" s="36" t="e">
        <f>IF(#REF!=0,"",#REF!)</f>
        <v>#REF!</v>
      </c>
      <c r="G532" s="103">
        <f>'27'!Q532</f>
        <v>0</v>
      </c>
      <c r="H532" s="160">
        <f>'27'!R532</f>
        <v>0</v>
      </c>
      <c r="I532" s="160">
        <f>'27'!S532</f>
        <v>0</v>
      </c>
      <c r="J532" s="160"/>
      <c r="K532" s="104">
        <f>'27'!T532</f>
        <v>0</v>
      </c>
      <c r="L532" s="36" t="e">
        <f>#REF!</f>
        <v>#REF!</v>
      </c>
      <c r="M532" s="103" t="e">
        <f>#REF!</f>
        <v>#REF!</v>
      </c>
      <c r="N532" s="160"/>
      <c r="O532" s="104" t="e">
        <f>#REF!</f>
        <v>#REF!</v>
      </c>
      <c r="P532" s="52" t="e">
        <f>IF(#REF!=0,"",#REF!)</f>
        <v>#REF!</v>
      </c>
      <c r="Q532" s="109" t="e">
        <f>IF(#REF!=0,"",#REF!)</f>
        <v>#REF!</v>
      </c>
      <c r="R532" s="36" t="e">
        <f>IF(#REF!=0,"",#REF!)</f>
        <v>#REF!</v>
      </c>
      <c r="S532" s="36" t="e">
        <f>IF(#REF!=0,"",#REF!)</f>
        <v>#REF!</v>
      </c>
      <c r="T532" s="268"/>
      <c r="U532" s="268"/>
      <c r="V532" s="268"/>
    </row>
    <row r="533" ht="15" customHeight="1" spans="2:22">
      <c r="B533" s="6" t="e">
        <f t="shared" si="9"/>
        <v>#REF!</v>
      </c>
      <c r="C533" s="83" t="e">
        <f>#REF!</f>
        <v>#REF!</v>
      </c>
      <c r="D533" s="110" t="e">
        <f>IF(#REF!=0,"",#REF!)</f>
        <v>#REF!</v>
      </c>
      <c r="E533" s="85" t="e">
        <f>IF(#REF!=0,"",#REF!)</f>
        <v>#REF!</v>
      </c>
      <c r="F533" s="85" t="e">
        <f>IF(#REF!=0,"",#REF!)</f>
        <v>#REF!</v>
      </c>
      <c r="G533" s="105">
        <f>'27'!Q533</f>
        <v>0</v>
      </c>
      <c r="H533" s="161">
        <f>'27'!R533</f>
        <v>0</v>
      </c>
      <c r="I533" s="161">
        <f>'27'!S533</f>
        <v>0</v>
      </c>
      <c r="J533" s="161"/>
      <c r="K533" s="106">
        <f>'27'!T533</f>
        <v>0</v>
      </c>
      <c r="L533" s="85" t="e">
        <f>#REF!</f>
        <v>#REF!</v>
      </c>
      <c r="M533" s="105" t="e">
        <f>#REF!</f>
        <v>#REF!</v>
      </c>
      <c r="N533" s="161"/>
      <c r="O533" s="106" t="e">
        <f>#REF!</f>
        <v>#REF!</v>
      </c>
      <c r="P533" s="107" t="e">
        <f>IF(#REF!=0,"",#REF!)</f>
        <v>#REF!</v>
      </c>
      <c r="Q533" s="111" t="e">
        <f>IF(#REF!=0,"",#REF!)</f>
        <v>#REF!</v>
      </c>
      <c r="R533" s="85" t="e">
        <f>IF(#REF!=0,"",#REF!)</f>
        <v>#REF!</v>
      </c>
      <c r="S533" s="85" t="e">
        <f>IF(#REF!=0,"",#REF!)</f>
        <v>#REF!</v>
      </c>
      <c r="T533" s="268"/>
      <c r="U533" s="268"/>
      <c r="V533" s="268"/>
    </row>
    <row r="534" ht="15" customHeight="1" spans="2:22">
      <c r="B534" s="6" t="e">
        <f t="shared" si="9"/>
        <v>#REF!</v>
      </c>
      <c r="C534" s="79" t="e">
        <f>#REF!</f>
        <v>#REF!</v>
      </c>
      <c r="D534" s="62" t="e">
        <f>IF(#REF!=0,"",#REF!)</f>
        <v>#REF!</v>
      </c>
      <c r="E534" s="81" t="e">
        <f>IF(#REF!=0,"",#REF!)</f>
        <v>#REF!</v>
      </c>
      <c r="F534" s="81" t="e">
        <f>IF(#REF!=0,"",#REF!)</f>
        <v>#REF!</v>
      </c>
      <c r="G534" s="100" t="e">
        <f>#REF!</f>
        <v>#REF!</v>
      </c>
      <c r="H534" s="159">
        <f>'27'!R534</f>
        <v>0</v>
      </c>
      <c r="I534" s="159">
        <f>'27'!S534</f>
        <v>0</v>
      </c>
      <c r="J534" s="159"/>
      <c r="K534" s="101">
        <f>'27'!T534</f>
        <v>0</v>
      </c>
      <c r="L534" s="81" t="e">
        <f>#REF!</f>
        <v>#REF!</v>
      </c>
      <c r="M534" s="100" t="e">
        <f>#REF!</f>
        <v>#REF!</v>
      </c>
      <c r="N534" s="159"/>
      <c r="O534" s="101" t="e">
        <f>#REF!</f>
        <v>#REF!</v>
      </c>
      <c r="P534" s="102" t="e">
        <f>IF(#REF!=0,"",#REF!)</f>
        <v>#REF!</v>
      </c>
      <c r="Q534" s="108" t="e">
        <f>IF(#REF!=0,"",#REF!)</f>
        <v>#REF!</v>
      </c>
      <c r="R534" s="81" t="e">
        <f>IF(#REF!=0,"",#REF!)</f>
        <v>#REF!</v>
      </c>
      <c r="S534" s="81" t="e">
        <f>IF(#REF!=0,"",#REF!)</f>
        <v>#REF!</v>
      </c>
      <c r="T534" s="268"/>
      <c r="U534" s="268"/>
      <c r="V534" s="268"/>
    </row>
    <row r="535" ht="15" customHeight="1" spans="2:22">
      <c r="B535" s="6" t="e">
        <f t="shared" si="9"/>
        <v>#REF!</v>
      </c>
      <c r="C535" s="31" t="e">
        <f>#REF!</f>
        <v>#REF!</v>
      </c>
      <c r="D535" s="32" t="e">
        <f>IF(#REF!=0,"",#REF!)</f>
        <v>#REF!</v>
      </c>
      <c r="E535" s="36" t="e">
        <f>IF(#REF!=0,"",#REF!)</f>
        <v>#REF!</v>
      </c>
      <c r="F535" s="36" t="e">
        <f>IF(#REF!=0,"",#REF!)</f>
        <v>#REF!</v>
      </c>
      <c r="G535" s="103">
        <f>'27'!Q535</f>
        <v>0</v>
      </c>
      <c r="H535" s="160">
        <f>'27'!R535</f>
        <v>0</v>
      </c>
      <c r="I535" s="160">
        <f>'27'!S535</f>
        <v>0</v>
      </c>
      <c r="J535" s="160"/>
      <c r="K535" s="104">
        <f>'27'!T535</f>
        <v>0</v>
      </c>
      <c r="L535" s="36" t="e">
        <f>#REF!</f>
        <v>#REF!</v>
      </c>
      <c r="M535" s="103" t="e">
        <f>#REF!</f>
        <v>#REF!</v>
      </c>
      <c r="N535" s="160"/>
      <c r="O535" s="104" t="e">
        <f>#REF!</f>
        <v>#REF!</v>
      </c>
      <c r="P535" s="52" t="e">
        <f>IF(#REF!=0,"",#REF!)</f>
        <v>#REF!</v>
      </c>
      <c r="Q535" s="109" t="e">
        <f>IF(#REF!=0,"",#REF!)</f>
        <v>#REF!</v>
      </c>
      <c r="R535" s="36" t="e">
        <f>IF(#REF!=0,"",#REF!)</f>
        <v>#REF!</v>
      </c>
      <c r="S535" s="36" t="e">
        <f>IF(#REF!=0,"",#REF!)</f>
        <v>#REF!</v>
      </c>
      <c r="T535" s="268"/>
      <c r="U535" s="268"/>
      <c r="V535" s="268"/>
    </row>
    <row r="536" ht="15" customHeight="1" spans="2:22">
      <c r="B536" s="6" t="e">
        <f t="shared" si="9"/>
        <v>#REF!</v>
      </c>
      <c r="C536" s="83" t="e">
        <f>#REF!</f>
        <v>#REF!</v>
      </c>
      <c r="D536" s="110" t="e">
        <f>IF(#REF!=0,"",#REF!)</f>
        <v>#REF!</v>
      </c>
      <c r="E536" s="85" t="e">
        <f>IF(#REF!=0,"",#REF!)</f>
        <v>#REF!</v>
      </c>
      <c r="F536" s="85" t="e">
        <f>IF(#REF!=0,"",#REF!)</f>
        <v>#REF!</v>
      </c>
      <c r="G536" s="105">
        <f>'27'!Q536</f>
        <v>0</v>
      </c>
      <c r="H536" s="161">
        <f>'27'!R536</f>
        <v>0</v>
      </c>
      <c r="I536" s="161">
        <f>'27'!S536</f>
        <v>0</v>
      </c>
      <c r="J536" s="161"/>
      <c r="K536" s="106">
        <f>'27'!T536</f>
        <v>0</v>
      </c>
      <c r="L536" s="85" t="e">
        <f>#REF!</f>
        <v>#REF!</v>
      </c>
      <c r="M536" s="105" t="e">
        <f>#REF!</f>
        <v>#REF!</v>
      </c>
      <c r="N536" s="161"/>
      <c r="O536" s="106" t="e">
        <f>#REF!</f>
        <v>#REF!</v>
      </c>
      <c r="P536" s="107" t="e">
        <f>IF(#REF!=0,"",#REF!)</f>
        <v>#REF!</v>
      </c>
      <c r="Q536" s="111" t="e">
        <f>IF(#REF!=0,"",#REF!)</f>
        <v>#REF!</v>
      </c>
      <c r="R536" s="85" t="e">
        <f>IF(#REF!=0,"",#REF!)</f>
        <v>#REF!</v>
      </c>
      <c r="S536" s="85" t="e">
        <f>IF(#REF!=0,"",#REF!)</f>
        <v>#REF!</v>
      </c>
      <c r="T536" s="268"/>
      <c r="U536" s="268"/>
      <c r="V536" s="268"/>
    </row>
    <row r="537" ht="15" customHeight="1" spans="2:22">
      <c r="B537" s="6" t="e">
        <f t="shared" si="9"/>
        <v>#REF!</v>
      </c>
      <c r="C537" s="79" t="e">
        <f>#REF!</f>
        <v>#REF!</v>
      </c>
      <c r="D537" s="62" t="e">
        <f>IF(#REF!=0,"",#REF!)</f>
        <v>#REF!</v>
      </c>
      <c r="E537" s="81" t="e">
        <f>IF(#REF!=0,"",#REF!)</f>
        <v>#REF!</v>
      </c>
      <c r="F537" s="81" t="e">
        <f>IF(#REF!=0,"",#REF!)</f>
        <v>#REF!</v>
      </c>
      <c r="G537" s="100" t="e">
        <f>#REF!</f>
        <v>#REF!</v>
      </c>
      <c r="H537" s="159">
        <f>'27'!R537</f>
        <v>0</v>
      </c>
      <c r="I537" s="159">
        <f>'27'!S537</f>
        <v>0</v>
      </c>
      <c r="J537" s="159"/>
      <c r="K537" s="101">
        <f>'27'!T537</f>
        <v>0</v>
      </c>
      <c r="L537" s="81" t="e">
        <f>#REF!</f>
        <v>#REF!</v>
      </c>
      <c r="M537" s="100" t="e">
        <f>#REF!</f>
        <v>#REF!</v>
      </c>
      <c r="N537" s="159"/>
      <c r="O537" s="101" t="e">
        <f>#REF!</f>
        <v>#REF!</v>
      </c>
      <c r="P537" s="102" t="e">
        <f>IF(#REF!=0,"",#REF!)</f>
        <v>#REF!</v>
      </c>
      <c r="Q537" s="108" t="e">
        <f>IF(#REF!=0,"",#REF!)</f>
        <v>#REF!</v>
      </c>
      <c r="R537" s="81" t="e">
        <f>IF(#REF!=0,"",#REF!)</f>
        <v>#REF!</v>
      </c>
      <c r="S537" s="81" t="e">
        <f>IF(#REF!=0,"",#REF!)</f>
        <v>#REF!</v>
      </c>
      <c r="T537" s="268"/>
      <c r="U537" s="268"/>
      <c r="V537" s="268"/>
    </row>
    <row r="538" ht="15" customHeight="1" spans="2:22">
      <c r="B538" s="6" t="e">
        <f t="shared" si="9"/>
        <v>#REF!</v>
      </c>
      <c r="C538" s="31" t="e">
        <f>#REF!</f>
        <v>#REF!</v>
      </c>
      <c r="D538" s="32" t="e">
        <f>IF(#REF!=0,"",#REF!)</f>
        <v>#REF!</v>
      </c>
      <c r="E538" s="36" t="e">
        <f>IF(#REF!=0,"",#REF!)</f>
        <v>#REF!</v>
      </c>
      <c r="F538" s="36" t="e">
        <f>IF(#REF!=0,"",#REF!)</f>
        <v>#REF!</v>
      </c>
      <c r="G538" s="103">
        <f>'27'!Q538</f>
        <v>0</v>
      </c>
      <c r="H538" s="160">
        <f>'27'!R538</f>
        <v>0</v>
      </c>
      <c r="I538" s="160">
        <f>'27'!S538</f>
        <v>0</v>
      </c>
      <c r="J538" s="160"/>
      <c r="K538" s="104">
        <f>'27'!T538</f>
        <v>0</v>
      </c>
      <c r="L538" s="36" t="e">
        <f>#REF!</f>
        <v>#REF!</v>
      </c>
      <c r="M538" s="103" t="e">
        <f>#REF!</f>
        <v>#REF!</v>
      </c>
      <c r="N538" s="160"/>
      <c r="O538" s="104" t="e">
        <f>#REF!</f>
        <v>#REF!</v>
      </c>
      <c r="P538" s="52" t="e">
        <f>IF(#REF!=0,"",#REF!)</f>
        <v>#REF!</v>
      </c>
      <c r="Q538" s="109" t="e">
        <f>IF(#REF!=0,"",#REF!)</f>
        <v>#REF!</v>
      </c>
      <c r="R538" s="36" t="e">
        <f>IF(#REF!=0,"",#REF!)</f>
        <v>#REF!</v>
      </c>
      <c r="S538" s="36" t="e">
        <f>IF(#REF!=0,"",#REF!)</f>
        <v>#REF!</v>
      </c>
      <c r="T538" s="268"/>
      <c r="U538" s="268"/>
      <c r="V538" s="268"/>
    </row>
    <row r="539" ht="15" customHeight="1" spans="2:22">
      <c r="B539" s="6" t="e">
        <f t="shared" si="9"/>
        <v>#REF!</v>
      </c>
      <c r="C539" s="83" t="e">
        <f>#REF!</f>
        <v>#REF!</v>
      </c>
      <c r="D539" s="110" t="e">
        <f>IF(#REF!=0,"",#REF!)</f>
        <v>#REF!</v>
      </c>
      <c r="E539" s="85" t="e">
        <f>IF(#REF!=0,"",#REF!)</f>
        <v>#REF!</v>
      </c>
      <c r="F539" s="85" t="e">
        <f>IF(#REF!=0,"",#REF!)</f>
        <v>#REF!</v>
      </c>
      <c r="G539" s="105">
        <f>'27'!Q539</f>
        <v>0</v>
      </c>
      <c r="H539" s="161">
        <f>'27'!R539</f>
        <v>0</v>
      </c>
      <c r="I539" s="161">
        <f>'27'!S539</f>
        <v>0</v>
      </c>
      <c r="J539" s="161"/>
      <c r="K539" s="106">
        <f>'27'!T539</f>
        <v>0</v>
      </c>
      <c r="L539" s="85" t="e">
        <f>#REF!</f>
        <v>#REF!</v>
      </c>
      <c r="M539" s="105" t="e">
        <f>#REF!</f>
        <v>#REF!</v>
      </c>
      <c r="N539" s="161"/>
      <c r="O539" s="106" t="e">
        <f>#REF!</f>
        <v>#REF!</v>
      </c>
      <c r="P539" s="107" t="e">
        <f>IF(#REF!=0,"",#REF!)</f>
        <v>#REF!</v>
      </c>
      <c r="Q539" s="111" t="e">
        <f>IF(#REF!=0,"",#REF!)</f>
        <v>#REF!</v>
      </c>
      <c r="R539" s="85" t="e">
        <f>IF(#REF!=0,"",#REF!)</f>
        <v>#REF!</v>
      </c>
      <c r="S539" s="85" t="e">
        <f>IF(#REF!=0,"",#REF!)</f>
        <v>#REF!</v>
      </c>
      <c r="T539" s="268"/>
      <c r="U539" s="268"/>
      <c r="V539" s="268"/>
    </row>
    <row r="540" ht="15" customHeight="1" spans="2:22">
      <c r="B540" s="6" t="e">
        <f t="shared" si="9"/>
        <v>#REF!</v>
      </c>
      <c r="C540" s="79" t="e">
        <f>#REF!</f>
        <v>#REF!</v>
      </c>
      <c r="D540" s="62" t="e">
        <f>IF(#REF!=0,"",#REF!)</f>
        <v>#REF!</v>
      </c>
      <c r="E540" s="81" t="e">
        <f>IF(#REF!=0,"",#REF!)</f>
        <v>#REF!</v>
      </c>
      <c r="F540" s="81" t="e">
        <f>IF(#REF!=0,"",#REF!)</f>
        <v>#REF!</v>
      </c>
      <c r="G540" s="100" t="e">
        <f>#REF!</f>
        <v>#REF!</v>
      </c>
      <c r="H540" s="159">
        <f>'27'!R540</f>
        <v>0</v>
      </c>
      <c r="I540" s="159">
        <f>'27'!S540</f>
        <v>0</v>
      </c>
      <c r="J540" s="159"/>
      <c r="K540" s="101">
        <f>'27'!T540</f>
        <v>0</v>
      </c>
      <c r="L540" s="81" t="e">
        <f>#REF!</f>
        <v>#REF!</v>
      </c>
      <c r="M540" s="100" t="e">
        <f>#REF!</f>
        <v>#REF!</v>
      </c>
      <c r="N540" s="159"/>
      <c r="O540" s="101" t="e">
        <f>#REF!</f>
        <v>#REF!</v>
      </c>
      <c r="P540" s="102" t="e">
        <f>IF(#REF!=0,"",#REF!)</f>
        <v>#REF!</v>
      </c>
      <c r="Q540" s="108" t="e">
        <f>IF(#REF!=0,"",#REF!)</f>
        <v>#REF!</v>
      </c>
      <c r="R540" s="81" t="e">
        <f>IF(#REF!=0,"",#REF!)</f>
        <v>#REF!</v>
      </c>
      <c r="S540" s="81" t="e">
        <f>IF(#REF!=0,"",#REF!)</f>
        <v>#REF!</v>
      </c>
      <c r="T540" s="268"/>
      <c r="U540" s="268"/>
      <c r="V540" s="268"/>
    </row>
    <row r="541" ht="15" customHeight="1" spans="2:22">
      <c r="B541" s="6" t="e">
        <f t="shared" si="9"/>
        <v>#REF!</v>
      </c>
      <c r="C541" s="31" t="e">
        <f>#REF!</f>
        <v>#REF!</v>
      </c>
      <c r="D541" s="32" t="e">
        <f>IF(#REF!=0,"",#REF!)</f>
        <v>#REF!</v>
      </c>
      <c r="E541" s="36" t="e">
        <f>IF(#REF!=0,"",#REF!)</f>
        <v>#REF!</v>
      </c>
      <c r="F541" s="36" t="e">
        <f>IF(#REF!=0,"",#REF!)</f>
        <v>#REF!</v>
      </c>
      <c r="G541" s="103">
        <f>'27'!Q541</f>
        <v>0</v>
      </c>
      <c r="H541" s="160">
        <f>'27'!R541</f>
        <v>0</v>
      </c>
      <c r="I541" s="160">
        <f>'27'!S541</f>
        <v>0</v>
      </c>
      <c r="J541" s="160"/>
      <c r="K541" s="104">
        <f>'27'!T541</f>
        <v>0</v>
      </c>
      <c r="L541" s="36" t="e">
        <f>#REF!</f>
        <v>#REF!</v>
      </c>
      <c r="M541" s="103" t="e">
        <f>#REF!</f>
        <v>#REF!</v>
      </c>
      <c r="N541" s="160"/>
      <c r="O541" s="104" t="e">
        <f>#REF!</f>
        <v>#REF!</v>
      </c>
      <c r="P541" s="52" t="e">
        <f>IF(#REF!=0,"",#REF!)</f>
        <v>#REF!</v>
      </c>
      <c r="Q541" s="109" t="e">
        <f>IF(#REF!=0,"",#REF!)</f>
        <v>#REF!</v>
      </c>
      <c r="R541" s="36" t="e">
        <f>IF(#REF!=0,"",#REF!)</f>
        <v>#REF!</v>
      </c>
      <c r="S541" s="36" t="e">
        <f>IF(#REF!=0,"",#REF!)</f>
        <v>#REF!</v>
      </c>
      <c r="T541" s="268"/>
      <c r="U541" s="268"/>
      <c r="V541" s="268"/>
    </row>
    <row r="542" ht="15" customHeight="1" spans="2:22">
      <c r="B542" s="6" t="e">
        <f t="shared" si="9"/>
        <v>#REF!</v>
      </c>
      <c r="C542" s="83" t="e">
        <f>#REF!</f>
        <v>#REF!</v>
      </c>
      <c r="D542" s="110" t="e">
        <f>IF(#REF!=0,"",#REF!)</f>
        <v>#REF!</v>
      </c>
      <c r="E542" s="85" t="e">
        <f>IF(#REF!=0,"",#REF!)</f>
        <v>#REF!</v>
      </c>
      <c r="F542" s="85" t="e">
        <f>IF(#REF!=0,"",#REF!)</f>
        <v>#REF!</v>
      </c>
      <c r="G542" s="105">
        <f>'27'!Q542</f>
        <v>0</v>
      </c>
      <c r="H542" s="161">
        <f>'27'!R542</f>
        <v>0</v>
      </c>
      <c r="I542" s="161">
        <f>'27'!S542</f>
        <v>0</v>
      </c>
      <c r="J542" s="161"/>
      <c r="K542" s="106">
        <f>'27'!T542</f>
        <v>0</v>
      </c>
      <c r="L542" s="85" t="e">
        <f>#REF!</f>
        <v>#REF!</v>
      </c>
      <c r="M542" s="105" t="e">
        <f>#REF!</f>
        <v>#REF!</v>
      </c>
      <c r="N542" s="161"/>
      <c r="O542" s="106" t="e">
        <f>#REF!</f>
        <v>#REF!</v>
      </c>
      <c r="P542" s="107" t="e">
        <f>IF(#REF!=0,"",#REF!)</f>
        <v>#REF!</v>
      </c>
      <c r="Q542" s="111" t="e">
        <f>IF(#REF!=0,"",#REF!)</f>
        <v>#REF!</v>
      </c>
      <c r="R542" s="85" t="e">
        <f>IF(#REF!=0,"",#REF!)</f>
        <v>#REF!</v>
      </c>
      <c r="S542" s="85" t="e">
        <f>IF(#REF!=0,"",#REF!)</f>
        <v>#REF!</v>
      </c>
      <c r="T542" s="268"/>
      <c r="U542" s="268"/>
      <c r="V542" s="268"/>
    </row>
    <row r="543" ht="15" customHeight="1" spans="2:22">
      <c r="B543" s="6" t="e">
        <f t="shared" si="9"/>
        <v>#REF!</v>
      </c>
      <c r="C543" s="79" t="e">
        <f>#REF!</f>
        <v>#REF!</v>
      </c>
      <c r="D543" s="62" t="e">
        <f>IF(#REF!=0,"",#REF!)</f>
        <v>#REF!</v>
      </c>
      <c r="E543" s="81" t="e">
        <f>IF(#REF!=0,"",#REF!)</f>
        <v>#REF!</v>
      </c>
      <c r="F543" s="81" t="e">
        <f>IF(#REF!=0,"",#REF!)</f>
        <v>#REF!</v>
      </c>
      <c r="G543" s="100" t="e">
        <f>#REF!</f>
        <v>#REF!</v>
      </c>
      <c r="H543" s="159">
        <f>'27'!R543</f>
        <v>0</v>
      </c>
      <c r="I543" s="159">
        <f>'27'!S543</f>
        <v>0</v>
      </c>
      <c r="J543" s="159"/>
      <c r="K543" s="101">
        <f>'27'!T543</f>
        <v>0</v>
      </c>
      <c r="L543" s="81" t="e">
        <f>#REF!</f>
        <v>#REF!</v>
      </c>
      <c r="M543" s="100" t="e">
        <f>#REF!</f>
        <v>#REF!</v>
      </c>
      <c r="N543" s="159"/>
      <c r="O543" s="101" t="e">
        <f>#REF!</f>
        <v>#REF!</v>
      </c>
      <c r="P543" s="102" t="e">
        <f>IF(#REF!=0,"",#REF!)</f>
        <v>#REF!</v>
      </c>
      <c r="Q543" s="108" t="e">
        <f>IF(#REF!=0,"",#REF!)</f>
        <v>#REF!</v>
      </c>
      <c r="R543" s="81" t="e">
        <f>IF(#REF!=0,"",#REF!)</f>
        <v>#REF!</v>
      </c>
      <c r="S543" s="81" t="e">
        <f>IF(#REF!=0,"",#REF!)</f>
        <v>#REF!</v>
      </c>
      <c r="T543" s="268"/>
      <c r="U543" s="268"/>
      <c r="V543" s="268"/>
    </row>
    <row r="544" ht="15" customHeight="1" spans="2:22">
      <c r="B544" s="6" t="e">
        <f t="shared" si="9"/>
        <v>#REF!</v>
      </c>
      <c r="C544" s="31" t="e">
        <f>#REF!</f>
        <v>#REF!</v>
      </c>
      <c r="D544" s="32" t="e">
        <f>IF(#REF!=0,"",#REF!)</f>
        <v>#REF!</v>
      </c>
      <c r="E544" s="36" t="e">
        <f>IF(#REF!=0,"",#REF!)</f>
        <v>#REF!</v>
      </c>
      <c r="F544" s="36" t="e">
        <f>IF(#REF!=0,"",#REF!)</f>
        <v>#REF!</v>
      </c>
      <c r="G544" s="103">
        <f>'27'!Q544</f>
        <v>0</v>
      </c>
      <c r="H544" s="160">
        <f>'27'!R544</f>
        <v>0</v>
      </c>
      <c r="I544" s="160">
        <f>'27'!S544</f>
        <v>0</v>
      </c>
      <c r="J544" s="160"/>
      <c r="K544" s="104">
        <f>'27'!T544</f>
        <v>0</v>
      </c>
      <c r="L544" s="36" t="e">
        <f>#REF!</f>
        <v>#REF!</v>
      </c>
      <c r="M544" s="103" t="e">
        <f>#REF!</f>
        <v>#REF!</v>
      </c>
      <c r="N544" s="160"/>
      <c r="O544" s="104" t="e">
        <f>#REF!</f>
        <v>#REF!</v>
      </c>
      <c r="P544" s="52" t="e">
        <f>IF(#REF!=0,"",#REF!)</f>
        <v>#REF!</v>
      </c>
      <c r="Q544" s="109" t="e">
        <f>IF(#REF!=0,"",#REF!)</f>
        <v>#REF!</v>
      </c>
      <c r="R544" s="36" t="e">
        <f>IF(#REF!=0,"",#REF!)</f>
        <v>#REF!</v>
      </c>
      <c r="S544" s="36" t="e">
        <f>IF(#REF!=0,"",#REF!)</f>
        <v>#REF!</v>
      </c>
      <c r="T544" s="268"/>
      <c r="U544" s="268"/>
      <c r="V544" s="268"/>
    </row>
    <row r="545" ht="15" customHeight="1" spans="2:22">
      <c r="B545" s="6" t="e">
        <f t="shared" si="9"/>
        <v>#REF!</v>
      </c>
      <c r="C545" s="83" t="e">
        <f>#REF!</f>
        <v>#REF!</v>
      </c>
      <c r="D545" s="110" t="e">
        <f>IF(#REF!=0,"",#REF!)</f>
        <v>#REF!</v>
      </c>
      <c r="E545" s="85" t="e">
        <f>IF(#REF!=0,"",#REF!)</f>
        <v>#REF!</v>
      </c>
      <c r="F545" s="85" t="e">
        <f>IF(#REF!=0,"",#REF!)</f>
        <v>#REF!</v>
      </c>
      <c r="G545" s="105">
        <f>'27'!Q545</f>
        <v>0</v>
      </c>
      <c r="H545" s="161">
        <f>'27'!R545</f>
        <v>0</v>
      </c>
      <c r="I545" s="161">
        <f>'27'!S545</f>
        <v>0</v>
      </c>
      <c r="J545" s="161"/>
      <c r="K545" s="106">
        <f>'27'!T545</f>
        <v>0</v>
      </c>
      <c r="L545" s="85" t="e">
        <f>#REF!</f>
        <v>#REF!</v>
      </c>
      <c r="M545" s="105" t="e">
        <f>#REF!</f>
        <v>#REF!</v>
      </c>
      <c r="N545" s="161"/>
      <c r="O545" s="106" t="e">
        <f>#REF!</f>
        <v>#REF!</v>
      </c>
      <c r="P545" s="107" t="e">
        <f>IF(#REF!=0,"",#REF!)</f>
        <v>#REF!</v>
      </c>
      <c r="Q545" s="111" t="e">
        <f>IF(#REF!=0,"",#REF!)</f>
        <v>#REF!</v>
      </c>
      <c r="R545" s="85" t="e">
        <f>IF(#REF!=0,"",#REF!)</f>
        <v>#REF!</v>
      </c>
      <c r="S545" s="85" t="e">
        <f>IF(#REF!=0,"",#REF!)</f>
        <v>#REF!</v>
      </c>
      <c r="T545" s="268"/>
      <c r="U545" s="268"/>
      <c r="V545" s="268"/>
    </row>
    <row r="546" ht="15" customHeight="1" spans="2:22">
      <c r="B546" s="6" t="e">
        <f t="shared" si="9"/>
        <v>#REF!</v>
      </c>
      <c r="C546" s="79" t="e">
        <f>#REF!</f>
        <v>#REF!</v>
      </c>
      <c r="D546" s="62" t="e">
        <f>IF(#REF!=0,"",#REF!)</f>
        <v>#REF!</v>
      </c>
      <c r="E546" s="81" t="e">
        <f>IF(#REF!=0,"",#REF!)</f>
        <v>#REF!</v>
      </c>
      <c r="F546" s="81" t="e">
        <f>IF(#REF!=0,"",#REF!)</f>
        <v>#REF!</v>
      </c>
      <c r="G546" s="100" t="e">
        <f>#REF!</f>
        <v>#REF!</v>
      </c>
      <c r="H546" s="159">
        <f>'27'!R546</f>
        <v>0</v>
      </c>
      <c r="I546" s="159">
        <f>'27'!S546</f>
        <v>0</v>
      </c>
      <c r="J546" s="159"/>
      <c r="K546" s="101">
        <f>'27'!T546</f>
        <v>0</v>
      </c>
      <c r="L546" s="81" t="e">
        <f>#REF!</f>
        <v>#REF!</v>
      </c>
      <c r="M546" s="100" t="e">
        <f>#REF!</f>
        <v>#REF!</v>
      </c>
      <c r="N546" s="159"/>
      <c r="O546" s="101" t="e">
        <f>#REF!</f>
        <v>#REF!</v>
      </c>
      <c r="P546" s="102" t="e">
        <f>IF(#REF!=0,"",#REF!)</f>
        <v>#REF!</v>
      </c>
      <c r="Q546" s="108" t="e">
        <f>IF(#REF!=0,"",#REF!)</f>
        <v>#REF!</v>
      </c>
      <c r="R546" s="81" t="e">
        <f>IF(#REF!=0,"",#REF!)</f>
        <v>#REF!</v>
      </c>
      <c r="S546" s="81" t="e">
        <f>IF(#REF!=0,"",#REF!)</f>
        <v>#REF!</v>
      </c>
      <c r="T546" s="268"/>
      <c r="U546" s="268"/>
      <c r="V546" s="268"/>
    </row>
    <row r="547" ht="15" customHeight="1" spans="2:22">
      <c r="B547" s="6" t="e">
        <f t="shared" si="9"/>
        <v>#REF!</v>
      </c>
      <c r="C547" s="31" t="e">
        <f>#REF!</f>
        <v>#REF!</v>
      </c>
      <c r="D547" s="32" t="e">
        <f>IF(#REF!=0,"",#REF!)</f>
        <v>#REF!</v>
      </c>
      <c r="E547" s="36" t="e">
        <f>IF(#REF!=0,"",#REF!)</f>
        <v>#REF!</v>
      </c>
      <c r="F547" s="36" t="e">
        <f>IF(#REF!=0,"",#REF!)</f>
        <v>#REF!</v>
      </c>
      <c r="G547" s="103">
        <f>'27'!Q547</f>
        <v>0</v>
      </c>
      <c r="H547" s="160">
        <f>'27'!R547</f>
        <v>0</v>
      </c>
      <c r="I547" s="160">
        <f>'27'!S547</f>
        <v>0</v>
      </c>
      <c r="J547" s="160"/>
      <c r="K547" s="104">
        <f>'27'!T547</f>
        <v>0</v>
      </c>
      <c r="L547" s="36" t="e">
        <f>#REF!</f>
        <v>#REF!</v>
      </c>
      <c r="M547" s="103" t="e">
        <f>#REF!</f>
        <v>#REF!</v>
      </c>
      <c r="N547" s="160"/>
      <c r="O547" s="104" t="e">
        <f>#REF!</f>
        <v>#REF!</v>
      </c>
      <c r="P547" s="52" t="e">
        <f>IF(#REF!=0,"",#REF!)</f>
        <v>#REF!</v>
      </c>
      <c r="Q547" s="109" t="e">
        <f>IF(#REF!=0,"",#REF!)</f>
        <v>#REF!</v>
      </c>
      <c r="R547" s="36" t="e">
        <f>IF(#REF!=0,"",#REF!)</f>
        <v>#REF!</v>
      </c>
      <c r="S547" s="36" t="e">
        <f>IF(#REF!=0,"",#REF!)</f>
        <v>#REF!</v>
      </c>
      <c r="T547" s="268"/>
      <c r="U547" s="268"/>
      <c r="V547" s="268"/>
    </row>
    <row r="548" ht="15" customHeight="1" spans="2:22">
      <c r="B548" s="6" t="e">
        <f t="shared" si="9"/>
        <v>#REF!</v>
      </c>
      <c r="C548" s="83" t="e">
        <f>#REF!</f>
        <v>#REF!</v>
      </c>
      <c r="D548" s="110" t="e">
        <f>IF(#REF!=0,"",#REF!)</f>
        <v>#REF!</v>
      </c>
      <c r="E548" s="85" t="e">
        <f>IF(#REF!=0,"",#REF!)</f>
        <v>#REF!</v>
      </c>
      <c r="F548" s="85" t="e">
        <f>IF(#REF!=0,"",#REF!)</f>
        <v>#REF!</v>
      </c>
      <c r="G548" s="105">
        <f>'27'!Q548</f>
        <v>0</v>
      </c>
      <c r="H548" s="161">
        <f>'27'!R548</f>
        <v>0</v>
      </c>
      <c r="I548" s="161">
        <f>'27'!S548</f>
        <v>0</v>
      </c>
      <c r="J548" s="161"/>
      <c r="K548" s="106">
        <f>'27'!T548</f>
        <v>0</v>
      </c>
      <c r="L548" s="85" t="e">
        <f>#REF!</f>
        <v>#REF!</v>
      </c>
      <c r="M548" s="105" t="e">
        <f>#REF!</f>
        <v>#REF!</v>
      </c>
      <c r="N548" s="161"/>
      <c r="O548" s="106" t="e">
        <f>#REF!</f>
        <v>#REF!</v>
      </c>
      <c r="P548" s="107" t="e">
        <f>IF(#REF!=0,"",#REF!)</f>
        <v>#REF!</v>
      </c>
      <c r="Q548" s="111" t="e">
        <f>IF(#REF!=0,"",#REF!)</f>
        <v>#REF!</v>
      </c>
      <c r="R548" s="85" t="e">
        <f>IF(#REF!=0,"",#REF!)</f>
        <v>#REF!</v>
      </c>
      <c r="S548" s="85" t="e">
        <f>IF(#REF!=0,"",#REF!)</f>
        <v>#REF!</v>
      </c>
      <c r="T548" s="268"/>
      <c r="U548" s="268"/>
      <c r="V548" s="268"/>
    </row>
    <row r="549" ht="15" customHeight="1" spans="2:22">
      <c r="B549" s="6" t="e">
        <f t="shared" si="9"/>
        <v>#REF!</v>
      </c>
      <c r="C549" s="79" t="e">
        <f>#REF!</f>
        <v>#REF!</v>
      </c>
      <c r="D549" s="62" t="e">
        <f>IF(#REF!=0,"",#REF!)</f>
        <v>#REF!</v>
      </c>
      <c r="E549" s="81" t="e">
        <f>IF(#REF!=0,"",#REF!)</f>
        <v>#REF!</v>
      </c>
      <c r="F549" s="81" t="e">
        <f>IF(#REF!=0,"",#REF!)</f>
        <v>#REF!</v>
      </c>
      <c r="G549" s="100" t="e">
        <f>#REF!</f>
        <v>#REF!</v>
      </c>
      <c r="H549" s="159">
        <f>'27'!R549</f>
        <v>0</v>
      </c>
      <c r="I549" s="159">
        <f>'27'!S549</f>
        <v>0</v>
      </c>
      <c r="J549" s="159"/>
      <c r="K549" s="101">
        <f>'27'!T549</f>
        <v>0</v>
      </c>
      <c r="L549" s="81" t="e">
        <f>#REF!</f>
        <v>#REF!</v>
      </c>
      <c r="M549" s="100" t="e">
        <f>#REF!</f>
        <v>#REF!</v>
      </c>
      <c r="N549" s="159"/>
      <c r="O549" s="101" t="e">
        <f>#REF!</f>
        <v>#REF!</v>
      </c>
      <c r="P549" s="102" t="e">
        <f>IF(#REF!=0,"",#REF!)</f>
        <v>#REF!</v>
      </c>
      <c r="Q549" s="108" t="e">
        <f>IF(#REF!=0,"",#REF!)</f>
        <v>#REF!</v>
      </c>
      <c r="R549" s="81" t="e">
        <f>IF(#REF!=0,"",#REF!)</f>
        <v>#REF!</v>
      </c>
      <c r="S549" s="81" t="e">
        <f>IF(#REF!=0,"",#REF!)</f>
        <v>#REF!</v>
      </c>
      <c r="T549" s="268"/>
      <c r="U549" s="268"/>
      <c r="V549" s="268"/>
    </row>
    <row r="550" ht="15" customHeight="1" spans="2:22">
      <c r="B550" s="6" t="e">
        <f t="shared" si="9"/>
        <v>#REF!</v>
      </c>
      <c r="C550" s="31" t="e">
        <f>#REF!</f>
        <v>#REF!</v>
      </c>
      <c r="D550" s="32" t="e">
        <f>IF(#REF!=0,"",#REF!)</f>
        <v>#REF!</v>
      </c>
      <c r="E550" s="36" t="e">
        <f>IF(#REF!=0,"",#REF!)</f>
        <v>#REF!</v>
      </c>
      <c r="F550" s="36" t="e">
        <f>IF(#REF!=0,"",#REF!)</f>
        <v>#REF!</v>
      </c>
      <c r="G550" s="103">
        <f>'27'!Q550</f>
        <v>0</v>
      </c>
      <c r="H550" s="160">
        <f>'27'!R550</f>
        <v>0</v>
      </c>
      <c r="I550" s="160">
        <f>'27'!S550</f>
        <v>0</v>
      </c>
      <c r="J550" s="160"/>
      <c r="K550" s="104">
        <f>'27'!T550</f>
        <v>0</v>
      </c>
      <c r="L550" s="36" t="e">
        <f>#REF!</f>
        <v>#REF!</v>
      </c>
      <c r="M550" s="103" t="e">
        <f>#REF!</f>
        <v>#REF!</v>
      </c>
      <c r="N550" s="160"/>
      <c r="O550" s="104" t="e">
        <f>#REF!</f>
        <v>#REF!</v>
      </c>
      <c r="P550" s="52" t="e">
        <f>IF(#REF!=0,"",#REF!)</f>
        <v>#REF!</v>
      </c>
      <c r="Q550" s="109" t="e">
        <f>IF(#REF!=0,"",#REF!)</f>
        <v>#REF!</v>
      </c>
      <c r="R550" s="36" t="e">
        <f>IF(#REF!=0,"",#REF!)</f>
        <v>#REF!</v>
      </c>
      <c r="S550" s="36" t="e">
        <f>IF(#REF!=0,"",#REF!)</f>
        <v>#REF!</v>
      </c>
      <c r="T550" s="268"/>
      <c r="U550" s="268"/>
      <c r="V550" s="268"/>
    </row>
    <row r="551" ht="15" customHeight="1" spans="2:22">
      <c r="B551" s="6" t="e">
        <f t="shared" si="9"/>
        <v>#REF!</v>
      </c>
      <c r="C551" s="83" t="e">
        <f>#REF!</f>
        <v>#REF!</v>
      </c>
      <c r="D551" s="110" t="e">
        <f>IF(#REF!=0,"",#REF!)</f>
        <v>#REF!</v>
      </c>
      <c r="E551" s="85" t="e">
        <f>IF(#REF!=0,"",#REF!)</f>
        <v>#REF!</v>
      </c>
      <c r="F551" s="85" t="e">
        <f>IF(#REF!=0,"",#REF!)</f>
        <v>#REF!</v>
      </c>
      <c r="G551" s="105">
        <f>'27'!Q551</f>
        <v>0</v>
      </c>
      <c r="H551" s="161">
        <f>'27'!R551</f>
        <v>0</v>
      </c>
      <c r="I551" s="161">
        <f>'27'!S551</f>
        <v>0</v>
      </c>
      <c r="J551" s="161"/>
      <c r="K551" s="106">
        <f>'27'!T551</f>
        <v>0</v>
      </c>
      <c r="L551" s="85" t="e">
        <f>#REF!</f>
        <v>#REF!</v>
      </c>
      <c r="M551" s="105" t="e">
        <f>#REF!</f>
        <v>#REF!</v>
      </c>
      <c r="N551" s="161"/>
      <c r="O551" s="106" t="e">
        <f>#REF!</f>
        <v>#REF!</v>
      </c>
      <c r="P551" s="107" t="e">
        <f>IF(#REF!=0,"",#REF!)</f>
        <v>#REF!</v>
      </c>
      <c r="Q551" s="111" t="e">
        <f>IF(#REF!=0,"",#REF!)</f>
        <v>#REF!</v>
      </c>
      <c r="R551" s="85" t="e">
        <f>IF(#REF!=0,"",#REF!)</f>
        <v>#REF!</v>
      </c>
      <c r="S551" s="85" t="e">
        <f>IF(#REF!=0,"",#REF!)</f>
        <v>#REF!</v>
      </c>
      <c r="T551" s="268"/>
      <c r="U551" s="268"/>
      <c r="V551" s="268"/>
    </row>
    <row r="552" ht="15" customHeight="1" spans="2:22">
      <c r="B552" s="6" t="e">
        <f t="shared" si="9"/>
        <v>#REF!</v>
      </c>
      <c r="C552" s="79" t="e">
        <f>#REF!</f>
        <v>#REF!</v>
      </c>
      <c r="D552" s="62" t="e">
        <f>IF(#REF!=0,"",#REF!)</f>
        <v>#REF!</v>
      </c>
      <c r="E552" s="81" t="e">
        <f>IF(#REF!=0,"",#REF!)</f>
        <v>#REF!</v>
      </c>
      <c r="F552" s="81" t="e">
        <f>IF(#REF!=0,"",#REF!)</f>
        <v>#REF!</v>
      </c>
      <c r="G552" s="100" t="e">
        <f>#REF!</f>
        <v>#REF!</v>
      </c>
      <c r="H552" s="159">
        <f>'27'!R552</f>
        <v>0</v>
      </c>
      <c r="I552" s="159">
        <f>'27'!S552</f>
        <v>0</v>
      </c>
      <c r="J552" s="159"/>
      <c r="K552" s="101">
        <f>'27'!T552</f>
        <v>0</v>
      </c>
      <c r="L552" s="81" t="e">
        <f>#REF!</f>
        <v>#REF!</v>
      </c>
      <c r="M552" s="100" t="e">
        <f>#REF!</f>
        <v>#REF!</v>
      </c>
      <c r="N552" s="159"/>
      <c r="O552" s="101" t="e">
        <f>#REF!</f>
        <v>#REF!</v>
      </c>
      <c r="P552" s="102" t="e">
        <f>IF(#REF!=0,"",#REF!)</f>
        <v>#REF!</v>
      </c>
      <c r="Q552" s="108" t="e">
        <f>IF(#REF!=0,"",#REF!)</f>
        <v>#REF!</v>
      </c>
      <c r="R552" s="81" t="e">
        <f>IF(#REF!=0,"",#REF!)</f>
        <v>#REF!</v>
      </c>
      <c r="S552" s="81" t="e">
        <f>IF(#REF!=0,"",#REF!)</f>
        <v>#REF!</v>
      </c>
      <c r="T552" s="268"/>
      <c r="U552" s="268"/>
      <c r="V552" s="268"/>
    </row>
    <row r="553" ht="15" customHeight="1" spans="2:22">
      <c r="B553" s="6" t="e">
        <f t="shared" si="9"/>
        <v>#REF!</v>
      </c>
      <c r="C553" s="31" t="e">
        <f>#REF!</f>
        <v>#REF!</v>
      </c>
      <c r="D553" s="32" t="e">
        <f>IF(#REF!=0,"",#REF!)</f>
        <v>#REF!</v>
      </c>
      <c r="E553" s="36" t="e">
        <f>IF(#REF!=0,"",#REF!)</f>
        <v>#REF!</v>
      </c>
      <c r="F553" s="36" t="e">
        <f>IF(#REF!=0,"",#REF!)</f>
        <v>#REF!</v>
      </c>
      <c r="G553" s="103">
        <f>'27'!Q553</f>
        <v>0</v>
      </c>
      <c r="H553" s="160">
        <f>'27'!R553</f>
        <v>0</v>
      </c>
      <c r="I553" s="160">
        <f>'27'!S553</f>
        <v>0</v>
      </c>
      <c r="J553" s="160"/>
      <c r="K553" s="104">
        <f>'27'!T553</f>
        <v>0</v>
      </c>
      <c r="L553" s="36" t="e">
        <f>#REF!</f>
        <v>#REF!</v>
      </c>
      <c r="M553" s="103" t="e">
        <f>#REF!</f>
        <v>#REF!</v>
      </c>
      <c r="N553" s="160"/>
      <c r="O553" s="104" t="e">
        <f>#REF!</f>
        <v>#REF!</v>
      </c>
      <c r="P553" s="52" t="e">
        <f>IF(#REF!=0,"",#REF!)</f>
        <v>#REF!</v>
      </c>
      <c r="Q553" s="109" t="e">
        <f>IF(#REF!=0,"",#REF!)</f>
        <v>#REF!</v>
      </c>
      <c r="R553" s="36" t="e">
        <f>IF(#REF!=0,"",#REF!)</f>
        <v>#REF!</v>
      </c>
      <c r="S553" s="36" t="e">
        <f>IF(#REF!=0,"",#REF!)</f>
        <v>#REF!</v>
      </c>
      <c r="T553" s="268"/>
      <c r="U553" s="268"/>
      <c r="V553" s="268"/>
    </row>
    <row r="554" ht="15" customHeight="1" spans="2:22">
      <c r="B554" s="6" t="e">
        <f t="shared" si="9"/>
        <v>#REF!</v>
      </c>
      <c r="C554" s="83" t="e">
        <f>#REF!</f>
        <v>#REF!</v>
      </c>
      <c r="D554" s="110" t="e">
        <f>IF(#REF!=0,"",#REF!)</f>
        <v>#REF!</v>
      </c>
      <c r="E554" s="85" t="e">
        <f>IF(#REF!=0,"",#REF!)</f>
        <v>#REF!</v>
      </c>
      <c r="F554" s="85" t="e">
        <f>IF(#REF!=0,"",#REF!)</f>
        <v>#REF!</v>
      </c>
      <c r="G554" s="105">
        <f>'27'!Q554</f>
        <v>0</v>
      </c>
      <c r="H554" s="161">
        <f>'27'!R554</f>
        <v>0</v>
      </c>
      <c r="I554" s="161">
        <f>'27'!S554</f>
        <v>0</v>
      </c>
      <c r="J554" s="161"/>
      <c r="K554" s="106">
        <f>'27'!T554</f>
        <v>0</v>
      </c>
      <c r="L554" s="85" t="e">
        <f>#REF!</f>
        <v>#REF!</v>
      </c>
      <c r="M554" s="105" t="e">
        <f>#REF!</f>
        <v>#REF!</v>
      </c>
      <c r="N554" s="161"/>
      <c r="O554" s="106" t="e">
        <f>#REF!</f>
        <v>#REF!</v>
      </c>
      <c r="P554" s="107" t="e">
        <f>IF(#REF!=0,"",#REF!)</f>
        <v>#REF!</v>
      </c>
      <c r="Q554" s="111" t="e">
        <f>IF(#REF!=0,"",#REF!)</f>
        <v>#REF!</v>
      </c>
      <c r="R554" s="85" t="e">
        <f>IF(#REF!=0,"",#REF!)</f>
        <v>#REF!</v>
      </c>
      <c r="S554" s="85" t="e">
        <f>IF(#REF!=0,"",#REF!)</f>
        <v>#REF!</v>
      </c>
      <c r="T554" s="268"/>
      <c r="U554" s="268"/>
      <c r="V554" s="268"/>
    </row>
    <row r="555" ht="15" customHeight="1" spans="2:22">
      <c r="B555" s="6" t="e">
        <f t="shared" si="9"/>
        <v>#REF!</v>
      </c>
      <c r="C555" s="79" t="e">
        <f>#REF!</f>
        <v>#REF!</v>
      </c>
      <c r="D555" s="62" t="e">
        <f>IF(#REF!=0,"",#REF!)</f>
        <v>#REF!</v>
      </c>
      <c r="E555" s="81" t="e">
        <f>IF(#REF!=0,"",#REF!)</f>
        <v>#REF!</v>
      </c>
      <c r="F555" s="81" t="e">
        <f>IF(#REF!=0,"",#REF!)</f>
        <v>#REF!</v>
      </c>
      <c r="G555" s="100" t="e">
        <f>#REF!</f>
        <v>#REF!</v>
      </c>
      <c r="H555" s="159">
        <f>'27'!R555</f>
        <v>0</v>
      </c>
      <c r="I555" s="159">
        <f>'27'!S555</f>
        <v>0</v>
      </c>
      <c r="J555" s="159"/>
      <c r="K555" s="101">
        <f>'27'!T555</f>
        <v>0</v>
      </c>
      <c r="L555" s="81" t="e">
        <f>#REF!</f>
        <v>#REF!</v>
      </c>
      <c r="M555" s="100" t="e">
        <f>#REF!</f>
        <v>#REF!</v>
      </c>
      <c r="N555" s="159"/>
      <c r="O555" s="101" t="e">
        <f>#REF!</f>
        <v>#REF!</v>
      </c>
      <c r="P555" s="102" t="e">
        <f>IF(#REF!=0,"",#REF!)</f>
        <v>#REF!</v>
      </c>
      <c r="Q555" s="108" t="e">
        <f>IF(#REF!=0,"",#REF!)</f>
        <v>#REF!</v>
      </c>
      <c r="R555" s="81" t="e">
        <f>IF(#REF!=0,"",#REF!)</f>
        <v>#REF!</v>
      </c>
      <c r="S555" s="81" t="e">
        <f>IF(#REF!=0,"",#REF!)</f>
        <v>#REF!</v>
      </c>
      <c r="T555" s="268"/>
      <c r="U555" s="268"/>
      <c r="V555" s="268"/>
    </row>
    <row r="556" ht="15" customHeight="1" spans="2:22">
      <c r="B556" s="6" t="e">
        <f t="shared" si="9"/>
        <v>#REF!</v>
      </c>
      <c r="C556" s="31" t="e">
        <f>#REF!</f>
        <v>#REF!</v>
      </c>
      <c r="D556" s="32" t="e">
        <f>IF(#REF!=0,"",#REF!)</f>
        <v>#REF!</v>
      </c>
      <c r="E556" s="36" t="e">
        <f>IF(#REF!=0,"",#REF!)</f>
        <v>#REF!</v>
      </c>
      <c r="F556" s="36" t="e">
        <f>IF(#REF!=0,"",#REF!)</f>
        <v>#REF!</v>
      </c>
      <c r="G556" s="103">
        <f>'27'!Q556</f>
        <v>0</v>
      </c>
      <c r="H556" s="160">
        <f>'27'!R556</f>
        <v>0</v>
      </c>
      <c r="I556" s="160">
        <f>'27'!S556</f>
        <v>0</v>
      </c>
      <c r="J556" s="160"/>
      <c r="K556" s="104">
        <f>'27'!T556</f>
        <v>0</v>
      </c>
      <c r="L556" s="36" t="e">
        <f>#REF!</f>
        <v>#REF!</v>
      </c>
      <c r="M556" s="103" t="e">
        <f>#REF!</f>
        <v>#REF!</v>
      </c>
      <c r="N556" s="160"/>
      <c r="O556" s="104" t="e">
        <f>#REF!</f>
        <v>#REF!</v>
      </c>
      <c r="P556" s="52" t="e">
        <f>IF(#REF!=0,"",#REF!)</f>
        <v>#REF!</v>
      </c>
      <c r="Q556" s="109" t="e">
        <f>IF(#REF!=0,"",#REF!)</f>
        <v>#REF!</v>
      </c>
      <c r="R556" s="36" t="e">
        <f>IF(#REF!=0,"",#REF!)</f>
        <v>#REF!</v>
      </c>
      <c r="S556" s="36" t="e">
        <f>IF(#REF!=0,"",#REF!)</f>
        <v>#REF!</v>
      </c>
      <c r="T556" s="268"/>
      <c r="U556" s="268"/>
      <c r="V556" s="268"/>
    </row>
    <row r="557" ht="15" customHeight="1" spans="2:22">
      <c r="B557" s="6" t="e">
        <f t="shared" si="9"/>
        <v>#REF!</v>
      </c>
      <c r="C557" s="83" t="e">
        <f>#REF!</f>
        <v>#REF!</v>
      </c>
      <c r="D557" s="110" t="e">
        <f>IF(#REF!=0,"",#REF!)</f>
        <v>#REF!</v>
      </c>
      <c r="E557" s="85" t="e">
        <f>IF(#REF!=0,"",#REF!)</f>
        <v>#REF!</v>
      </c>
      <c r="F557" s="85" t="e">
        <f>IF(#REF!=0,"",#REF!)</f>
        <v>#REF!</v>
      </c>
      <c r="G557" s="105">
        <f>'27'!Q557</f>
        <v>0</v>
      </c>
      <c r="H557" s="161">
        <f>'27'!R557</f>
        <v>0</v>
      </c>
      <c r="I557" s="161">
        <f>'27'!S557</f>
        <v>0</v>
      </c>
      <c r="J557" s="161"/>
      <c r="K557" s="106">
        <f>'27'!T557</f>
        <v>0</v>
      </c>
      <c r="L557" s="85" t="e">
        <f>#REF!</f>
        <v>#REF!</v>
      </c>
      <c r="M557" s="105" t="e">
        <f>#REF!</f>
        <v>#REF!</v>
      </c>
      <c r="N557" s="161"/>
      <c r="O557" s="106" t="e">
        <f>#REF!</f>
        <v>#REF!</v>
      </c>
      <c r="P557" s="107" t="e">
        <f>IF(#REF!=0,"",#REF!)</f>
        <v>#REF!</v>
      </c>
      <c r="Q557" s="111" t="e">
        <f>IF(#REF!=0,"",#REF!)</f>
        <v>#REF!</v>
      </c>
      <c r="R557" s="85" t="e">
        <f>IF(#REF!=0,"",#REF!)</f>
        <v>#REF!</v>
      </c>
      <c r="S557" s="85" t="e">
        <f>IF(#REF!=0,"",#REF!)</f>
        <v>#REF!</v>
      </c>
      <c r="T557" s="268"/>
      <c r="U557" s="268"/>
      <c r="V557" s="268"/>
    </row>
    <row r="558" ht="15" customHeight="1" spans="2:22">
      <c r="B558" s="6" t="e">
        <f t="shared" si="9"/>
        <v>#REF!</v>
      </c>
      <c r="C558" s="79" t="e">
        <f>#REF!</f>
        <v>#REF!</v>
      </c>
      <c r="D558" s="62" t="e">
        <f>IF(#REF!=0,"",#REF!)</f>
        <v>#REF!</v>
      </c>
      <c r="E558" s="81" t="e">
        <f>IF(#REF!=0,"",#REF!)</f>
        <v>#REF!</v>
      </c>
      <c r="F558" s="81" t="e">
        <f>IF(#REF!=0,"",#REF!)</f>
        <v>#REF!</v>
      </c>
      <c r="G558" s="100" t="e">
        <f>#REF!</f>
        <v>#REF!</v>
      </c>
      <c r="H558" s="159">
        <f>'27'!R558</f>
        <v>0</v>
      </c>
      <c r="I558" s="159">
        <f>'27'!S558</f>
        <v>0</v>
      </c>
      <c r="J558" s="159"/>
      <c r="K558" s="101">
        <f>'27'!T558</f>
        <v>0</v>
      </c>
      <c r="L558" s="81" t="e">
        <f>#REF!</f>
        <v>#REF!</v>
      </c>
      <c r="M558" s="100" t="e">
        <f>#REF!</f>
        <v>#REF!</v>
      </c>
      <c r="N558" s="159"/>
      <c r="O558" s="101" t="e">
        <f>#REF!</f>
        <v>#REF!</v>
      </c>
      <c r="P558" s="102" t="e">
        <f>IF(#REF!=0,"",#REF!)</f>
        <v>#REF!</v>
      </c>
      <c r="Q558" s="108" t="e">
        <f>IF(#REF!=0,"",#REF!)</f>
        <v>#REF!</v>
      </c>
      <c r="R558" s="81" t="e">
        <f>IF(#REF!=0,"",#REF!)</f>
        <v>#REF!</v>
      </c>
      <c r="S558" s="81" t="e">
        <f>IF(#REF!=0,"",#REF!)</f>
        <v>#REF!</v>
      </c>
      <c r="T558" s="268"/>
      <c r="U558" s="268"/>
      <c r="V558" s="268"/>
    </row>
    <row r="559" ht="15" customHeight="1" spans="2:22">
      <c r="B559" s="6" t="e">
        <f t="shared" si="9"/>
        <v>#REF!</v>
      </c>
      <c r="C559" s="31" t="e">
        <f>#REF!</f>
        <v>#REF!</v>
      </c>
      <c r="D559" s="32" t="e">
        <f>IF(#REF!=0,"",#REF!)</f>
        <v>#REF!</v>
      </c>
      <c r="E559" s="36" t="e">
        <f>IF(#REF!=0,"",#REF!)</f>
        <v>#REF!</v>
      </c>
      <c r="F559" s="36" t="e">
        <f>IF(#REF!=0,"",#REF!)</f>
        <v>#REF!</v>
      </c>
      <c r="G559" s="103">
        <f>'27'!Q559</f>
        <v>0</v>
      </c>
      <c r="H559" s="160">
        <f>'27'!R559</f>
        <v>0</v>
      </c>
      <c r="I559" s="160">
        <f>'27'!S559</f>
        <v>0</v>
      </c>
      <c r="J559" s="160"/>
      <c r="K559" s="104">
        <f>'27'!T559</f>
        <v>0</v>
      </c>
      <c r="L559" s="36" t="e">
        <f>#REF!</f>
        <v>#REF!</v>
      </c>
      <c r="M559" s="103" t="e">
        <f>#REF!</f>
        <v>#REF!</v>
      </c>
      <c r="N559" s="160"/>
      <c r="O559" s="104" t="e">
        <f>#REF!</f>
        <v>#REF!</v>
      </c>
      <c r="P559" s="52" t="e">
        <f>IF(#REF!=0,"",#REF!)</f>
        <v>#REF!</v>
      </c>
      <c r="Q559" s="109" t="e">
        <f>IF(#REF!=0,"",#REF!)</f>
        <v>#REF!</v>
      </c>
      <c r="R559" s="36" t="e">
        <f>IF(#REF!=0,"",#REF!)</f>
        <v>#REF!</v>
      </c>
      <c r="S559" s="36" t="e">
        <f>IF(#REF!=0,"",#REF!)</f>
        <v>#REF!</v>
      </c>
      <c r="T559" s="268"/>
      <c r="U559" s="268"/>
      <c r="V559" s="268"/>
    </row>
    <row r="560" ht="15" customHeight="1" spans="2:22">
      <c r="B560" s="6" t="e">
        <f t="shared" si="9"/>
        <v>#REF!</v>
      </c>
      <c r="C560" s="83" t="e">
        <f>#REF!</f>
        <v>#REF!</v>
      </c>
      <c r="D560" s="110" t="e">
        <f>IF(#REF!=0,"",#REF!)</f>
        <v>#REF!</v>
      </c>
      <c r="E560" s="85" t="e">
        <f>IF(#REF!=0,"",#REF!)</f>
        <v>#REF!</v>
      </c>
      <c r="F560" s="85" t="e">
        <f>IF(#REF!=0,"",#REF!)</f>
        <v>#REF!</v>
      </c>
      <c r="G560" s="105">
        <f>'27'!Q560</f>
        <v>0</v>
      </c>
      <c r="H560" s="161">
        <f>'27'!R560</f>
        <v>0</v>
      </c>
      <c r="I560" s="161">
        <f>'27'!S560</f>
        <v>0</v>
      </c>
      <c r="J560" s="161"/>
      <c r="K560" s="106">
        <f>'27'!T560</f>
        <v>0</v>
      </c>
      <c r="L560" s="85" t="e">
        <f>#REF!</f>
        <v>#REF!</v>
      </c>
      <c r="M560" s="105" t="e">
        <f>#REF!</f>
        <v>#REF!</v>
      </c>
      <c r="N560" s="161"/>
      <c r="O560" s="106" t="e">
        <f>#REF!</f>
        <v>#REF!</v>
      </c>
      <c r="P560" s="107" t="e">
        <f>IF(#REF!=0,"",#REF!)</f>
        <v>#REF!</v>
      </c>
      <c r="Q560" s="111" t="e">
        <f>IF(#REF!=0,"",#REF!)</f>
        <v>#REF!</v>
      </c>
      <c r="R560" s="85" t="e">
        <f>IF(#REF!=0,"",#REF!)</f>
        <v>#REF!</v>
      </c>
      <c r="S560" s="85" t="e">
        <f>IF(#REF!=0,"",#REF!)</f>
        <v>#REF!</v>
      </c>
      <c r="T560" s="268"/>
      <c r="U560" s="268"/>
      <c r="V560" s="268"/>
    </row>
    <row r="561" ht="15" customHeight="1" spans="2:22">
      <c r="B561" s="6" t="e">
        <f t="shared" si="9"/>
        <v>#REF!</v>
      </c>
      <c r="C561" s="79" t="e">
        <f>#REF!</f>
        <v>#REF!</v>
      </c>
      <c r="D561" s="62" t="e">
        <f>IF(#REF!=0,"",#REF!)</f>
        <v>#REF!</v>
      </c>
      <c r="E561" s="81" t="e">
        <f>IF(#REF!=0,"",#REF!)</f>
        <v>#REF!</v>
      </c>
      <c r="F561" s="81" t="e">
        <f>IF(#REF!=0,"",#REF!)</f>
        <v>#REF!</v>
      </c>
      <c r="G561" s="100" t="e">
        <f>#REF!</f>
        <v>#REF!</v>
      </c>
      <c r="H561" s="159">
        <f>'27'!R561</f>
        <v>0</v>
      </c>
      <c r="I561" s="159">
        <f>'27'!S561</f>
        <v>0</v>
      </c>
      <c r="J561" s="159"/>
      <c r="K561" s="101">
        <f>'27'!T561</f>
        <v>0</v>
      </c>
      <c r="L561" s="81" t="e">
        <f>#REF!</f>
        <v>#REF!</v>
      </c>
      <c r="M561" s="100" t="e">
        <f>#REF!</f>
        <v>#REF!</v>
      </c>
      <c r="N561" s="159"/>
      <c r="O561" s="101" t="e">
        <f>#REF!</f>
        <v>#REF!</v>
      </c>
      <c r="P561" s="102" t="e">
        <f>IF(#REF!=0,"",#REF!)</f>
        <v>#REF!</v>
      </c>
      <c r="Q561" s="108" t="e">
        <f>IF(#REF!=0,"",#REF!)</f>
        <v>#REF!</v>
      </c>
      <c r="R561" s="81" t="e">
        <f>IF(#REF!=0,"",#REF!)</f>
        <v>#REF!</v>
      </c>
      <c r="S561" s="81" t="e">
        <f>IF(#REF!=0,"",#REF!)</f>
        <v>#REF!</v>
      </c>
      <c r="T561" s="268"/>
      <c r="U561" s="268"/>
      <c r="V561" s="268"/>
    </row>
    <row r="562" ht="15" customHeight="1" spans="2:22">
      <c r="B562" s="6" t="e">
        <f t="shared" si="9"/>
        <v>#REF!</v>
      </c>
      <c r="C562" s="31" t="e">
        <f>#REF!</f>
        <v>#REF!</v>
      </c>
      <c r="D562" s="32" t="e">
        <f>IF(#REF!=0,"",#REF!)</f>
        <v>#REF!</v>
      </c>
      <c r="E562" s="36" t="e">
        <f>IF(#REF!=0,"",#REF!)</f>
        <v>#REF!</v>
      </c>
      <c r="F562" s="36" t="e">
        <f>IF(#REF!=0,"",#REF!)</f>
        <v>#REF!</v>
      </c>
      <c r="G562" s="103">
        <f>'27'!Q562</f>
        <v>0</v>
      </c>
      <c r="H562" s="160">
        <f>'27'!R562</f>
        <v>0</v>
      </c>
      <c r="I562" s="160">
        <f>'27'!S562</f>
        <v>0</v>
      </c>
      <c r="J562" s="160"/>
      <c r="K562" s="104">
        <f>'27'!T562</f>
        <v>0</v>
      </c>
      <c r="L562" s="36" t="e">
        <f>#REF!</f>
        <v>#REF!</v>
      </c>
      <c r="M562" s="103" t="e">
        <f>#REF!</f>
        <v>#REF!</v>
      </c>
      <c r="N562" s="160"/>
      <c r="O562" s="104" t="e">
        <f>#REF!</f>
        <v>#REF!</v>
      </c>
      <c r="P562" s="52" t="e">
        <f>IF(#REF!=0,"",#REF!)</f>
        <v>#REF!</v>
      </c>
      <c r="Q562" s="109" t="e">
        <f>IF(#REF!=0,"",#REF!)</f>
        <v>#REF!</v>
      </c>
      <c r="R562" s="36" t="e">
        <f>IF(#REF!=0,"",#REF!)</f>
        <v>#REF!</v>
      </c>
      <c r="S562" s="36" t="e">
        <f>IF(#REF!=0,"",#REF!)</f>
        <v>#REF!</v>
      </c>
      <c r="T562" s="268"/>
      <c r="U562" s="268"/>
      <c r="V562" s="268"/>
    </row>
    <row r="563" ht="15" customHeight="1" spans="2:22">
      <c r="B563" s="6" t="e">
        <f t="shared" si="9"/>
        <v>#REF!</v>
      </c>
      <c r="C563" s="83" t="e">
        <f>#REF!</f>
        <v>#REF!</v>
      </c>
      <c r="D563" s="110" t="e">
        <f>IF(#REF!=0,"",#REF!)</f>
        <v>#REF!</v>
      </c>
      <c r="E563" s="85" t="e">
        <f>IF(#REF!=0,"",#REF!)</f>
        <v>#REF!</v>
      </c>
      <c r="F563" s="85" t="e">
        <f>IF(#REF!=0,"",#REF!)</f>
        <v>#REF!</v>
      </c>
      <c r="G563" s="105">
        <f>'27'!Q563</f>
        <v>0</v>
      </c>
      <c r="H563" s="161">
        <f>'27'!R563</f>
        <v>0</v>
      </c>
      <c r="I563" s="161">
        <f>'27'!S563</f>
        <v>0</v>
      </c>
      <c r="J563" s="161"/>
      <c r="K563" s="106">
        <f>'27'!T563</f>
        <v>0</v>
      </c>
      <c r="L563" s="85" t="e">
        <f>#REF!</f>
        <v>#REF!</v>
      </c>
      <c r="M563" s="105" t="e">
        <f>#REF!</f>
        <v>#REF!</v>
      </c>
      <c r="N563" s="161"/>
      <c r="O563" s="106" t="e">
        <f>#REF!</f>
        <v>#REF!</v>
      </c>
      <c r="P563" s="107" t="e">
        <f>IF(#REF!=0,"",#REF!)</f>
        <v>#REF!</v>
      </c>
      <c r="Q563" s="111" t="e">
        <f>IF(#REF!=0,"",#REF!)</f>
        <v>#REF!</v>
      </c>
      <c r="R563" s="85" t="e">
        <f>IF(#REF!=0,"",#REF!)</f>
        <v>#REF!</v>
      </c>
      <c r="S563" s="85" t="e">
        <f>IF(#REF!=0,"",#REF!)</f>
        <v>#REF!</v>
      </c>
      <c r="T563" s="268"/>
      <c r="U563" s="268"/>
      <c r="V563" s="268"/>
    </row>
    <row r="564" ht="15" customHeight="1" spans="2:22">
      <c r="B564" s="6" t="e">
        <f t="shared" si="9"/>
        <v>#REF!</v>
      </c>
      <c r="C564" s="79" t="e">
        <f>#REF!</f>
        <v>#REF!</v>
      </c>
      <c r="D564" s="62" t="e">
        <f>IF(#REF!=0,"",#REF!)</f>
        <v>#REF!</v>
      </c>
      <c r="E564" s="81" t="e">
        <f>IF(#REF!=0,"",#REF!)</f>
        <v>#REF!</v>
      </c>
      <c r="F564" s="81" t="e">
        <f>IF(#REF!=0,"",#REF!)</f>
        <v>#REF!</v>
      </c>
      <c r="G564" s="100" t="e">
        <f>#REF!</f>
        <v>#REF!</v>
      </c>
      <c r="H564" s="159">
        <f>'27'!R564</f>
        <v>0</v>
      </c>
      <c r="I564" s="159">
        <f>'27'!S564</f>
        <v>0</v>
      </c>
      <c r="J564" s="159"/>
      <c r="K564" s="101">
        <f>'27'!T564</f>
        <v>0</v>
      </c>
      <c r="L564" s="81" t="e">
        <f>#REF!</f>
        <v>#REF!</v>
      </c>
      <c r="M564" s="100" t="e">
        <f>#REF!</f>
        <v>#REF!</v>
      </c>
      <c r="N564" s="159"/>
      <c r="O564" s="101" t="e">
        <f>#REF!</f>
        <v>#REF!</v>
      </c>
      <c r="P564" s="102" t="e">
        <f>IF(#REF!=0,"",#REF!)</f>
        <v>#REF!</v>
      </c>
      <c r="Q564" s="108" t="e">
        <f>IF(#REF!=0,"",#REF!)</f>
        <v>#REF!</v>
      </c>
      <c r="R564" s="81" t="e">
        <f>IF(#REF!=0,"",#REF!)</f>
        <v>#REF!</v>
      </c>
      <c r="S564" s="81" t="e">
        <f>IF(#REF!=0,"",#REF!)</f>
        <v>#REF!</v>
      </c>
      <c r="T564" s="268"/>
      <c r="U564" s="268"/>
      <c r="V564" s="268"/>
    </row>
    <row r="565" ht="15" customHeight="1" spans="2:22">
      <c r="B565" s="6" t="e">
        <f t="shared" si="9"/>
        <v>#REF!</v>
      </c>
      <c r="C565" s="31" t="e">
        <f>#REF!</f>
        <v>#REF!</v>
      </c>
      <c r="D565" s="32" t="e">
        <f>IF(#REF!=0,"",#REF!)</f>
        <v>#REF!</v>
      </c>
      <c r="E565" s="36" t="e">
        <f>IF(#REF!=0,"",#REF!)</f>
        <v>#REF!</v>
      </c>
      <c r="F565" s="36" t="e">
        <f>IF(#REF!=0,"",#REF!)</f>
        <v>#REF!</v>
      </c>
      <c r="G565" s="103">
        <f>'27'!Q565</f>
        <v>0</v>
      </c>
      <c r="H565" s="160">
        <f>'27'!R565</f>
        <v>0</v>
      </c>
      <c r="I565" s="160">
        <f>'27'!S565</f>
        <v>0</v>
      </c>
      <c r="J565" s="160"/>
      <c r="K565" s="104">
        <f>'27'!T565</f>
        <v>0</v>
      </c>
      <c r="L565" s="36" t="e">
        <f>#REF!</f>
        <v>#REF!</v>
      </c>
      <c r="M565" s="103" t="e">
        <f>#REF!</f>
        <v>#REF!</v>
      </c>
      <c r="N565" s="160"/>
      <c r="O565" s="104" t="e">
        <f>#REF!</f>
        <v>#REF!</v>
      </c>
      <c r="P565" s="52" t="e">
        <f>IF(#REF!=0,"",#REF!)</f>
        <v>#REF!</v>
      </c>
      <c r="Q565" s="109" t="e">
        <f>IF(#REF!=0,"",#REF!)</f>
        <v>#REF!</v>
      </c>
      <c r="R565" s="36" t="e">
        <f>IF(#REF!=0,"",#REF!)</f>
        <v>#REF!</v>
      </c>
      <c r="S565" s="36" t="e">
        <f>IF(#REF!=0,"",#REF!)</f>
        <v>#REF!</v>
      </c>
      <c r="T565" s="268"/>
      <c r="U565" s="268"/>
      <c r="V565" s="268"/>
    </row>
    <row r="566" ht="15" customHeight="1" spans="2:22">
      <c r="B566" s="6" t="e">
        <f t="shared" si="9"/>
        <v>#REF!</v>
      </c>
      <c r="C566" s="83" t="e">
        <f>#REF!</f>
        <v>#REF!</v>
      </c>
      <c r="D566" s="110" t="e">
        <f>IF(#REF!=0,"",#REF!)</f>
        <v>#REF!</v>
      </c>
      <c r="E566" s="85" t="e">
        <f>IF(#REF!=0,"",#REF!)</f>
        <v>#REF!</v>
      </c>
      <c r="F566" s="85" t="e">
        <f>IF(#REF!=0,"",#REF!)</f>
        <v>#REF!</v>
      </c>
      <c r="G566" s="105">
        <f>'27'!Q566</f>
        <v>0</v>
      </c>
      <c r="H566" s="161">
        <f>'27'!R566</f>
        <v>0</v>
      </c>
      <c r="I566" s="161">
        <f>'27'!S566</f>
        <v>0</v>
      </c>
      <c r="J566" s="161"/>
      <c r="K566" s="106">
        <f>'27'!T566</f>
        <v>0</v>
      </c>
      <c r="L566" s="85" t="e">
        <f>#REF!</f>
        <v>#REF!</v>
      </c>
      <c r="M566" s="105" t="e">
        <f>#REF!</f>
        <v>#REF!</v>
      </c>
      <c r="N566" s="161"/>
      <c r="O566" s="106" t="e">
        <f>#REF!</f>
        <v>#REF!</v>
      </c>
      <c r="P566" s="107" t="e">
        <f>IF(#REF!=0,"",#REF!)</f>
        <v>#REF!</v>
      </c>
      <c r="Q566" s="111" t="e">
        <f>IF(#REF!=0,"",#REF!)</f>
        <v>#REF!</v>
      </c>
      <c r="R566" s="85" t="e">
        <f>IF(#REF!=0,"",#REF!)</f>
        <v>#REF!</v>
      </c>
      <c r="S566" s="85" t="e">
        <f>IF(#REF!=0,"",#REF!)</f>
        <v>#REF!</v>
      </c>
      <c r="T566" s="268"/>
      <c r="U566" s="268"/>
      <c r="V566" s="268"/>
    </row>
    <row r="567" ht="15" customHeight="1" spans="2:22">
      <c r="B567" s="6" t="e">
        <f t="shared" si="9"/>
        <v>#REF!</v>
      </c>
      <c r="C567" s="79" t="e">
        <f>#REF!</f>
        <v>#REF!</v>
      </c>
      <c r="D567" s="62" t="e">
        <f>IF(#REF!=0,"",#REF!)</f>
        <v>#REF!</v>
      </c>
      <c r="E567" s="81" t="e">
        <f>IF(#REF!=0,"",#REF!)</f>
        <v>#REF!</v>
      </c>
      <c r="F567" s="81" t="e">
        <f>IF(#REF!=0,"",#REF!)</f>
        <v>#REF!</v>
      </c>
      <c r="G567" s="100" t="e">
        <f>#REF!</f>
        <v>#REF!</v>
      </c>
      <c r="H567" s="159">
        <f>'27'!R567</f>
        <v>0</v>
      </c>
      <c r="I567" s="159">
        <f>'27'!S567</f>
        <v>0</v>
      </c>
      <c r="J567" s="159"/>
      <c r="K567" s="101">
        <f>'27'!T567</f>
        <v>0</v>
      </c>
      <c r="L567" s="81" t="e">
        <f>#REF!</f>
        <v>#REF!</v>
      </c>
      <c r="M567" s="100" t="e">
        <f>#REF!</f>
        <v>#REF!</v>
      </c>
      <c r="N567" s="159"/>
      <c r="O567" s="101" t="e">
        <f>#REF!</f>
        <v>#REF!</v>
      </c>
      <c r="P567" s="102" t="e">
        <f>IF(#REF!=0,"",#REF!)</f>
        <v>#REF!</v>
      </c>
      <c r="Q567" s="108" t="e">
        <f>IF(#REF!=0,"",#REF!)</f>
        <v>#REF!</v>
      </c>
      <c r="R567" s="81" t="e">
        <f>IF(#REF!=0,"",#REF!)</f>
        <v>#REF!</v>
      </c>
      <c r="S567" s="81" t="e">
        <f>IF(#REF!=0,"",#REF!)</f>
        <v>#REF!</v>
      </c>
      <c r="T567" s="268"/>
      <c r="U567" s="268"/>
      <c r="V567" s="268"/>
    </row>
    <row r="568" ht="15" customHeight="1" spans="2:22">
      <c r="B568" s="6" t="e">
        <f t="shared" si="9"/>
        <v>#REF!</v>
      </c>
      <c r="C568" s="31" t="e">
        <f>#REF!</f>
        <v>#REF!</v>
      </c>
      <c r="D568" s="32" t="e">
        <f>IF(#REF!=0,"",#REF!)</f>
        <v>#REF!</v>
      </c>
      <c r="E568" s="36" t="e">
        <f>IF(#REF!=0,"",#REF!)</f>
        <v>#REF!</v>
      </c>
      <c r="F568" s="36" t="e">
        <f>IF(#REF!=0,"",#REF!)</f>
        <v>#REF!</v>
      </c>
      <c r="G568" s="103">
        <f>'27'!Q568</f>
        <v>0</v>
      </c>
      <c r="H568" s="160">
        <f>'27'!R568</f>
        <v>0</v>
      </c>
      <c r="I568" s="160">
        <f>'27'!S568</f>
        <v>0</v>
      </c>
      <c r="J568" s="160"/>
      <c r="K568" s="104">
        <f>'27'!T568</f>
        <v>0</v>
      </c>
      <c r="L568" s="36" t="e">
        <f>#REF!</f>
        <v>#REF!</v>
      </c>
      <c r="M568" s="103" t="e">
        <f>#REF!</f>
        <v>#REF!</v>
      </c>
      <c r="N568" s="160"/>
      <c r="O568" s="104" t="e">
        <f>#REF!</f>
        <v>#REF!</v>
      </c>
      <c r="P568" s="52" t="e">
        <f>IF(#REF!=0,"",#REF!)</f>
        <v>#REF!</v>
      </c>
      <c r="Q568" s="109" t="e">
        <f>IF(#REF!=0,"",#REF!)</f>
        <v>#REF!</v>
      </c>
      <c r="R568" s="36" t="e">
        <f>IF(#REF!=0,"",#REF!)</f>
        <v>#REF!</v>
      </c>
      <c r="S568" s="36" t="e">
        <f>IF(#REF!=0,"",#REF!)</f>
        <v>#REF!</v>
      </c>
      <c r="T568" s="268"/>
      <c r="U568" s="268"/>
      <c r="V568" s="268"/>
    </row>
    <row r="569" ht="15" customHeight="1" spans="2:22">
      <c r="B569" s="6" t="e">
        <f t="shared" si="9"/>
        <v>#REF!</v>
      </c>
      <c r="C569" s="83" t="e">
        <f>#REF!</f>
        <v>#REF!</v>
      </c>
      <c r="D569" s="110" t="e">
        <f>IF(#REF!=0,"",#REF!)</f>
        <v>#REF!</v>
      </c>
      <c r="E569" s="85" t="e">
        <f>IF(#REF!=0,"",#REF!)</f>
        <v>#REF!</v>
      </c>
      <c r="F569" s="85" t="e">
        <f>IF(#REF!=0,"",#REF!)</f>
        <v>#REF!</v>
      </c>
      <c r="G569" s="105">
        <f>'27'!Q569</f>
        <v>0</v>
      </c>
      <c r="H569" s="161">
        <f>'27'!R569</f>
        <v>0</v>
      </c>
      <c r="I569" s="161">
        <f>'27'!S569</f>
        <v>0</v>
      </c>
      <c r="J569" s="161"/>
      <c r="K569" s="106">
        <f>'27'!T569</f>
        <v>0</v>
      </c>
      <c r="L569" s="85" t="e">
        <f>#REF!</f>
        <v>#REF!</v>
      </c>
      <c r="M569" s="105" t="e">
        <f>#REF!</f>
        <v>#REF!</v>
      </c>
      <c r="N569" s="161"/>
      <c r="O569" s="106" t="e">
        <f>#REF!</f>
        <v>#REF!</v>
      </c>
      <c r="P569" s="107" t="e">
        <f>IF(#REF!=0,"",#REF!)</f>
        <v>#REF!</v>
      </c>
      <c r="Q569" s="111" t="e">
        <f>IF(#REF!=0,"",#REF!)</f>
        <v>#REF!</v>
      </c>
      <c r="R569" s="85" t="e">
        <f>IF(#REF!=0,"",#REF!)</f>
        <v>#REF!</v>
      </c>
      <c r="S569" s="85" t="e">
        <f>IF(#REF!=0,"",#REF!)</f>
        <v>#REF!</v>
      </c>
      <c r="T569" s="268"/>
      <c r="U569" s="268"/>
      <c r="V569" s="268"/>
    </row>
    <row r="570" ht="15" customHeight="1" spans="2:22">
      <c r="B570" s="6" t="e">
        <f t="shared" si="9"/>
        <v>#REF!</v>
      </c>
      <c r="C570" s="79" t="e">
        <f>#REF!</f>
        <v>#REF!</v>
      </c>
      <c r="D570" s="62" t="e">
        <f>IF(#REF!=0,"",#REF!)</f>
        <v>#REF!</v>
      </c>
      <c r="E570" s="81" t="e">
        <f>IF(#REF!=0,"",#REF!)</f>
        <v>#REF!</v>
      </c>
      <c r="F570" s="81" t="e">
        <f>IF(#REF!=0,"",#REF!)</f>
        <v>#REF!</v>
      </c>
      <c r="G570" s="100" t="e">
        <f>#REF!</f>
        <v>#REF!</v>
      </c>
      <c r="H570" s="159">
        <f>'27'!R570</f>
        <v>0</v>
      </c>
      <c r="I570" s="159">
        <f>'27'!S570</f>
        <v>0</v>
      </c>
      <c r="J570" s="159"/>
      <c r="K570" s="101">
        <f>'27'!T570</f>
        <v>0</v>
      </c>
      <c r="L570" s="81" t="e">
        <f>#REF!</f>
        <v>#REF!</v>
      </c>
      <c r="M570" s="100" t="e">
        <f>#REF!</f>
        <v>#REF!</v>
      </c>
      <c r="N570" s="159"/>
      <c r="O570" s="101" t="e">
        <f>#REF!</f>
        <v>#REF!</v>
      </c>
      <c r="P570" s="102" t="e">
        <f>IF(#REF!=0,"",#REF!)</f>
        <v>#REF!</v>
      </c>
      <c r="Q570" s="108" t="e">
        <f>IF(#REF!=0,"",#REF!)</f>
        <v>#REF!</v>
      </c>
      <c r="R570" s="81" t="e">
        <f>IF(#REF!=0,"",#REF!)</f>
        <v>#REF!</v>
      </c>
      <c r="S570" s="81" t="e">
        <f>IF(#REF!=0,"",#REF!)</f>
        <v>#REF!</v>
      </c>
      <c r="T570" s="268"/>
      <c r="U570" s="268"/>
      <c r="V570" s="268"/>
    </row>
    <row r="571" ht="15" customHeight="1" spans="2:22">
      <c r="B571" s="6" t="e">
        <f t="shared" si="9"/>
        <v>#REF!</v>
      </c>
      <c r="C571" s="31" t="e">
        <f>#REF!</f>
        <v>#REF!</v>
      </c>
      <c r="D571" s="32" t="e">
        <f>IF(#REF!=0,"",#REF!)</f>
        <v>#REF!</v>
      </c>
      <c r="E571" s="36" t="e">
        <f>IF(#REF!=0,"",#REF!)</f>
        <v>#REF!</v>
      </c>
      <c r="F571" s="36" t="e">
        <f>IF(#REF!=0,"",#REF!)</f>
        <v>#REF!</v>
      </c>
      <c r="G571" s="103">
        <f>'27'!Q571</f>
        <v>0</v>
      </c>
      <c r="H571" s="160">
        <f>'27'!R571</f>
        <v>0</v>
      </c>
      <c r="I571" s="160">
        <f>'27'!S571</f>
        <v>0</v>
      </c>
      <c r="J571" s="160"/>
      <c r="K571" s="104">
        <f>'27'!T571</f>
        <v>0</v>
      </c>
      <c r="L571" s="36" t="e">
        <f>#REF!</f>
        <v>#REF!</v>
      </c>
      <c r="M571" s="103" t="e">
        <f>#REF!</f>
        <v>#REF!</v>
      </c>
      <c r="N571" s="160"/>
      <c r="O571" s="104" t="e">
        <f>#REF!</f>
        <v>#REF!</v>
      </c>
      <c r="P571" s="52" t="e">
        <f>IF(#REF!=0,"",#REF!)</f>
        <v>#REF!</v>
      </c>
      <c r="Q571" s="109" t="e">
        <f>IF(#REF!=0,"",#REF!)</f>
        <v>#REF!</v>
      </c>
      <c r="R571" s="36" t="e">
        <f>IF(#REF!=0,"",#REF!)</f>
        <v>#REF!</v>
      </c>
      <c r="S571" s="36" t="e">
        <f>IF(#REF!=0,"",#REF!)</f>
        <v>#REF!</v>
      </c>
      <c r="T571" s="268"/>
      <c r="U571" s="268"/>
      <c r="V571" s="268"/>
    </row>
    <row r="572" ht="15" customHeight="1" spans="2:22">
      <c r="B572" s="6" t="e">
        <f t="shared" si="9"/>
        <v>#REF!</v>
      </c>
      <c r="C572" s="83" t="e">
        <f>#REF!</f>
        <v>#REF!</v>
      </c>
      <c r="D572" s="110" t="e">
        <f>IF(#REF!=0,"",#REF!)</f>
        <v>#REF!</v>
      </c>
      <c r="E572" s="85" t="e">
        <f>IF(#REF!=0,"",#REF!)</f>
        <v>#REF!</v>
      </c>
      <c r="F572" s="85" t="e">
        <f>IF(#REF!=0,"",#REF!)</f>
        <v>#REF!</v>
      </c>
      <c r="G572" s="105">
        <f>'27'!Q572</f>
        <v>0</v>
      </c>
      <c r="H572" s="161">
        <f>'27'!R572</f>
        <v>0</v>
      </c>
      <c r="I572" s="161">
        <f>'27'!S572</f>
        <v>0</v>
      </c>
      <c r="J572" s="161"/>
      <c r="K572" s="106">
        <f>'27'!T572</f>
        <v>0</v>
      </c>
      <c r="L572" s="85" t="e">
        <f>#REF!</f>
        <v>#REF!</v>
      </c>
      <c r="M572" s="105" t="e">
        <f>#REF!</f>
        <v>#REF!</v>
      </c>
      <c r="N572" s="161"/>
      <c r="O572" s="106" t="e">
        <f>#REF!</f>
        <v>#REF!</v>
      </c>
      <c r="P572" s="107" t="e">
        <f>IF(#REF!=0,"",#REF!)</f>
        <v>#REF!</v>
      </c>
      <c r="Q572" s="111" t="e">
        <f>IF(#REF!=0,"",#REF!)</f>
        <v>#REF!</v>
      </c>
      <c r="R572" s="85" t="e">
        <f>IF(#REF!=0,"",#REF!)</f>
        <v>#REF!</v>
      </c>
      <c r="S572" s="85" t="e">
        <f>IF(#REF!=0,"",#REF!)</f>
        <v>#REF!</v>
      </c>
      <c r="T572" s="268"/>
      <c r="U572" s="268"/>
      <c r="V572" s="268"/>
    </row>
    <row r="573" ht="15" customHeight="1" spans="2:22">
      <c r="B573" s="6" t="e">
        <f t="shared" si="9"/>
        <v>#REF!</v>
      </c>
      <c r="C573" s="79" t="e">
        <f>#REF!</f>
        <v>#REF!</v>
      </c>
      <c r="D573" s="62" t="e">
        <f>IF(#REF!=0,"",#REF!)</f>
        <v>#REF!</v>
      </c>
      <c r="E573" s="81" t="e">
        <f>IF(#REF!=0,"",#REF!)</f>
        <v>#REF!</v>
      </c>
      <c r="F573" s="81" t="e">
        <f>IF(#REF!=0,"",#REF!)</f>
        <v>#REF!</v>
      </c>
      <c r="G573" s="100" t="e">
        <f>#REF!</f>
        <v>#REF!</v>
      </c>
      <c r="H573" s="159">
        <f>'27'!R573</f>
        <v>0</v>
      </c>
      <c r="I573" s="159">
        <f>'27'!S573</f>
        <v>0</v>
      </c>
      <c r="J573" s="159"/>
      <c r="K573" s="101">
        <f>'27'!T573</f>
        <v>0</v>
      </c>
      <c r="L573" s="81" t="e">
        <f>#REF!</f>
        <v>#REF!</v>
      </c>
      <c r="M573" s="100" t="e">
        <f>#REF!</f>
        <v>#REF!</v>
      </c>
      <c r="N573" s="159"/>
      <c r="O573" s="101" t="e">
        <f>#REF!</f>
        <v>#REF!</v>
      </c>
      <c r="P573" s="102" t="e">
        <f>IF(#REF!=0,"",#REF!)</f>
        <v>#REF!</v>
      </c>
      <c r="Q573" s="108" t="e">
        <f>IF(#REF!=0,"",#REF!)</f>
        <v>#REF!</v>
      </c>
      <c r="R573" s="81" t="e">
        <f>IF(#REF!=0,"",#REF!)</f>
        <v>#REF!</v>
      </c>
      <c r="S573" s="81" t="e">
        <f>IF(#REF!=0,"",#REF!)</f>
        <v>#REF!</v>
      </c>
      <c r="T573" s="268"/>
      <c r="U573" s="268"/>
      <c r="V573" s="268"/>
    </row>
    <row r="574" ht="15" customHeight="1" spans="2:22">
      <c r="B574" s="6" t="e">
        <f t="shared" si="9"/>
        <v>#REF!</v>
      </c>
      <c r="C574" s="31" t="e">
        <f>#REF!</f>
        <v>#REF!</v>
      </c>
      <c r="D574" s="32" t="e">
        <f>IF(#REF!=0,"",#REF!)</f>
        <v>#REF!</v>
      </c>
      <c r="E574" s="36" t="e">
        <f>IF(#REF!=0,"",#REF!)</f>
        <v>#REF!</v>
      </c>
      <c r="F574" s="36" t="e">
        <f>IF(#REF!=0,"",#REF!)</f>
        <v>#REF!</v>
      </c>
      <c r="G574" s="103">
        <f>'27'!Q574</f>
        <v>0</v>
      </c>
      <c r="H574" s="160">
        <f>'27'!R574</f>
        <v>0</v>
      </c>
      <c r="I574" s="160">
        <f>'27'!S574</f>
        <v>0</v>
      </c>
      <c r="J574" s="160"/>
      <c r="K574" s="104">
        <f>'27'!T574</f>
        <v>0</v>
      </c>
      <c r="L574" s="36" t="e">
        <f>#REF!</f>
        <v>#REF!</v>
      </c>
      <c r="M574" s="103" t="e">
        <f>#REF!</f>
        <v>#REF!</v>
      </c>
      <c r="N574" s="160"/>
      <c r="O574" s="104" t="e">
        <f>#REF!</f>
        <v>#REF!</v>
      </c>
      <c r="P574" s="52" t="e">
        <f>IF(#REF!=0,"",#REF!)</f>
        <v>#REF!</v>
      </c>
      <c r="Q574" s="109" t="e">
        <f>IF(#REF!=0,"",#REF!)</f>
        <v>#REF!</v>
      </c>
      <c r="R574" s="36" t="e">
        <f>IF(#REF!=0,"",#REF!)</f>
        <v>#REF!</v>
      </c>
      <c r="S574" s="36" t="e">
        <f>IF(#REF!=0,"",#REF!)</f>
        <v>#REF!</v>
      </c>
      <c r="T574" s="268"/>
      <c r="U574" s="268"/>
      <c r="V574" s="268"/>
    </row>
    <row r="575" ht="15" customHeight="1" spans="2:22">
      <c r="B575" s="6" t="e">
        <f t="shared" si="9"/>
        <v>#REF!</v>
      </c>
      <c r="C575" s="83" t="e">
        <f>#REF!</f>
        <v>#REF!</v>
      </c>
      <c r="D575" s="110" t="e">
        <f>IF(#REF!=0,"",#REF!)</f>
        <v>#REF!</v>
      </c>
      <c r="E575" s="85" t="e">
        <f>IF(#REF!=0,"",#REF!)</f>
        <v>#REF!</v>
      </c>
      <c r="F575" s="85" t="e">
        <f>IF(#REF!=0,"",#REF!)</f>
        <v>#REF!</v>
      </c>
      <c r="G575" s="105">
        <f>'27'!Q575</f>
        <v>0</v>
      </c>
      <c r="H575" s="161">
        <f>'27'!R575</f>
        <v>0</v>
      </c>
      <c r="I575" s="161">
        <f>'27'!S575</f>
        <v>0</v>
      </c>
      <c r="J575" s="161"/>
      <c r="K575" s="106">
        <f>'27'!T575</f>
        <v>0</v>
      </c>
      <c r="L575" s="85" t="e">
        <f>#REF!</f>
        <v>#REF!</v>
      </c>
      <c r="M575" s="105" t="e">
        <f>#REF!</f>
        <v>#REF!</v>
      </c>
      <c r="N575" s="161"/>
      <c r="O575" s="106" t="e">
        <f>#REF!</f>
        <v>#REF!</v>
      </c>
      <c r="P575" s="107" t="e">
        <f>IF(#REF!=0,"",#REF!)</f>
        <v>#REF!</v>
      </c>
      <c r="Q575" s="111" t="e">
        <f>IF(#REF!=0,"",#REF!)</f>
        <v>#REF!</v>
      </c>
      <c r="R575" s="85" t="e">
        <f>IF(#REF!=0,"",#REF!)</f>
        <v>#REF!</v>
      </c>
      <c r="S575" s="85" t="e">
        <f>IF(#REF!=0,"",#REF!)</f>
        <v>#REF!</v>
      </c>
      <c r="T575" s="268"/>
      <c r="U575" s="268"/>
      <c r="V575" s="268"/>
    </row>
    <row r="576" ht="15" customHeight="1" spans="2:22">
      <c r="B576" s="6" t="e">
        <f t="shared" si="9"/>
        <v>#REF!</v>
      </c>
      <c r="C576" s="79" t="e">
        <f>#REF!</f>
        <v>#REF!</v>
      </c>
      <c r="D576" s="62" t="e">
        <f>IF(#REF!=0,"",#REF!)</f>
        <v>#REF!</v>
      </c>
      <c r="E576" s="81" t="e">
        <f>IF(#REF!=0,"",#REF!)</f>
        <v>#REF!</v>
      </c>
      <c r="F576" s="81" t="e">
        <f>IF(#REF!=0,"",#REF!)</f>
        <v>#REF!</v>
      </c>
      <c r="G576" s="100" t="e">
        <f>#REF!</f>
        <v>#REF!</v>
      </c>
      <c r="H576" s="159">
        <f>'27'!R576</f>
        <v>0</v>
      </c>
      <c r="I576" s="159">
        <f>'27'!S576</f>
        <v>0</v>
      </c>
      <c r="J576" s="159"/>
      <c r="K576" s="101">
        <f>'27'!T576</f>
        <v>0</v>
      </c>
      <c r="L576" s="81" t="e">
        <f>#REF!</f>
        <v>#REF!</v>
      </c>
      <c r="M576" s="100" t="e">
        <f>#REF!</f>
        <v>#REF!</v>
      </c>
      <c r="N576" s="159"/>
      <c r="O576" s="101" t="e">
        <f>#REF!</f>
        <v>#REF!</v>
      </c>
      <c r="P576" s="102" t="e">
        <f>IF(#REF!=0,"",#REF!)</f>
        <v>#REF!</v>
      </c>
      <c r="Q576" s="108" t="e">
        <f>IF(#REF!=0,"",#REF!)</f>
        <v>#REF!</v>
      </c>
      <c r="R576" s="81" t="e">
        <f>IF(#REF!=0,"",#REF!)</f>
        <v>#REF!</v>
      </c>
      <c r="S576" s="81" t="e">
        <f>IF(#REF!=0,"",#REF!)</f>
        <v>#REF!</v>
      </c>
      <c r="T576" s="268"/>
      <c r="U576" s="268"/>
      <c r="V576" s="268"/>
    </row>
    <row r="577" ht="15" customHeight="1" spans="2:22">
      <c r="B577" s="6" t="e">
        <f t="shared" si="9"/>
        <v>#REF!</v>
      </c>
      <c r="C577" s="31" t="e">
        <f>#REF!</f>
        <v>#REF!</v>
      </c>
      <c r="D577" s="32" t="e">
        <f>IF(#REF!=0,"",#REF!)</f>
        <v>#REF!</v>
      </c>
      <c r="E577" s="36" t="e">
        <f>IF(#REF!=0,"",#REF!)</f>
        <v>#REF!</v>
      </c>
      <c r="F577" s="36" t="e">
        <f>IF(#REF!=0,"",#REF!)</f>
        <v>#REF!</v>
      </c>
      <c r="G577" s="103">
        <f>'27'!Q577</f>
        <v>0</v>
      </c>
      <c r="H577" s="160">
        <f>'27'!R577</f>
        <v>0</v>
      </c>
      <c r="I577" s="160">
        <f>'27'!S577</f>
        <v>0</v>
      </c>
      <c r="J577" s="160"/>
      <c r="K577" s="104">
        <f>'27'!T577</f>
        <v>0</v>
      </c>
      <c r="L577" s="36" t="e">
        <f>#REF!</f>
        <v>#REF!</v>
      </c>
      <c r="M577" s="103" t="e">
        <f>#REF!</f>
        <v>#REF!</v>
      </c>
      <c r="N577" s="160"/>
      <c r="O577" s="104" t="e">
        <f>#REF!</f>
        <v>#REF!</v>
      </c>
      <c r="P577" s="52" t="e">
        <f>IF(#REF!=0,"",#REF!)</f>
        <v>#REF!</v>
      </c>
      <c r="Q577" s="109" t="e">
        <f>IF(#REF!=0,"",#REF!)</f>
        <v>#REF!</v>
      </c>
      <c r="R577" s="36" t="e">
        <f>IF(#REF!=0,"",#REF!)</f>
        <v>#REF!</v>
      </c>
      <c r="S577" s="36" t="e">
        <f>IF(#REF!=0,"",#REF!)</f>
        <v>#REF!</v>
      </c>
      <c r="T577" s="268"/>
      <c r="U577" s="268"/>
      <c r="V577" s="268"/>
    </row>
    <row r="578" ht="15" customHeight="1" spans="2:22">
      <c r="B578" s="6" t="e">
        <f t="shared" ref="B578:B606" si="10">COUNTA(C578)-IF(C578=0,1)+B577</f>
        <v>#REF!</v>
      </c>
      <c r="C578" s="83" t="e">
        <f>#REF!</f>
        <v>#REF!</v>
      </c>
      <c r="D578" s="110" t="e">
        <f>IF(#REF!=0,"",#REF!)</f>
        <v>#REF!</v>
      </c>
      <c r="E578" s="85" t="e">
        <f>IF(#REF!=0,"",#REF!)</f>
        <v>#REF!</v>
      </c>
      <c r="F578" s="85" t="e">
        <f>IF(#REF!=0,"",#REF!)</f>
        <v>#REF!</v>
      </c>
      <c r="G578" s="105">
        <f>'27'!Q578</f>
        <v>0</v>
      </c>
      <c r="H578" s="161">
        <f>'27'!R578</f>
        <v>0</v>
      </c>
      <c r="I578" s="161">
        <f>'27'!S578</f>
        <v>0</v>
      </c>
      <c r="J578" s="161"/>
      <c r="K578" s="106">
        <f>'27'!T578</f>
        <v>0</v>
      </c>
      <c r="L578" s="85" t="e">
        <f>#REF!</f>
        <v>#REF!</v>
      </c>
      <c r="M578" s="105" t="e">
        <f>#REF!</f>
        <v>#REF!</v>
      </c>
      <c r="N578" s="161"/>
      <c r="O578" s="106" t="e">
        <f>#REF!</f>
        <v>#REF!</v>
      </c>
      <c r="P578" s="107" t="e">
        <f>IF(#REF!=0,"",#REF!)</f>
        <v>#REF!</v>
      </c>
      <c r="Q578" s="111" t="e">
        <f>IF(#REF!=0,"",#REF!)</f>
        <v>#REF!</v>
      </c>
      <c r="R578" s="85" t="e">
        <f>IF(#REF!=0,"",#REF!)</f>
        <v>#REF!</v>
      </c>
      <c r="S578" s="85" t="e">
        <f>IF(#REF!=0,"",#REF!)</f>
        <v>#REF!</v>
      </c>
      <c r="T578" s="268"/>
      <c r="U578" s="268"/>
      <c r="V578" s="268"/>
    </row>
    <row r="579" ht="15" customHeight="1" spans="2:22">
      <c r="B579" s="6" t="e">
        <f t="shared" si="10"/>
        <v>#REF!</v>
      </c>
      <c r="C579" s="79" t="e">
        <f>#REF!</f>
        <v>#REF!</v>
      </c>
      <c r="D579" s="62" t="e">
        <f>IF(#REF!=0,"",#REF!)</f>
        <v>#REF!</v>
      </c>
      <c r="E579" s="81" t="e">
        <f>IF(#REF!=0,"",#REF!)</f>
        <v>#REF!</v>
      </c>
      <c r="F579" s="81" t="e">
        <f>IF(#REF!=0,"",#REF!)</f>
        <v>#REF!</v>
      </c>
      <c r="G579" s="100" t="e">
        <f>#REF!</f>
        <v>#REF!</v>
      </c>
      <c r="H579" s="159">
        <f>'27'!R579</f>
        <v>0</v>
      </c>
      <c r="I579" s="159">
        <f>'27'!S579</f>
        <v>0</v>
      </c>
      <c r="J579" s="159"/>
      <c r="K579" s="101">
        <f>'27'!T579</f>
        <v>0</v>
      </c>
      <c r="L579" s="81" t="e">
        <f>#REF!</f>
        <v>#REF!</v>
      </c>
      <c r="M579" s="100" t="e">
        <f>#REF!</f>
        <v>#REF!</v>
      </c>
      <c r="N579" s="159"/>
      <c r="O579" s="101" t="e">
        <f>#REF!</f>
        <v>#REF!</v>
      </c>
      <c r="P579" s="102" t="e">
        <f>IF(#REF!=0,"",#REF!)</f>
        <v>#REF!</v>
      </c>
      <c r="Q579" s="108" t="e">
        <f>IF(#REF!=0,"",#REF!)</f>
        <v>#REF!</v>
      </c>
      <c r="R579" s="81" t="e">
        <f>IF(#REF!=0,"",#REF!)</f>
        <v>#REF!</v>
      </c>
      <c r="S579" s="81" t="e">
        <f>IF(#REF!=0,"",#REF!)</f>
        <v>#REF!</v>
      </c>
      <c r="T579" s="268"/>
      <c r="U579" s="268"/>
      <c r="V579" s="268"/>
    </row>
    <row r="580" ht="15" customHeight="1" spans="2:22">
      <c r="B580" s="6" t="e">
        <f t="shared" si="10"/>
        <v>#REF!</v>
      </c>
      <c r="C580" s="31" t="e">
        <f>#REF!</f>
        <v>#REF!</v>
      </c>
      <c r="D580" s="32" t="e">
        <f>IF(#REF!=0,"",#REF!)</f>
        <v>#REF!</v>
      </c>
      <c r="E580" s="36" t="e">
        <f>IF(#REF!=0,"",#REF!)</f>
        <v>#REF!</v>
      </c>
      <c r="F580" s="36" t="e">
        <f>IF(#REF!=0,"",#REF!)</f>
        <v>#REF!</v>
      </c>
      <c r="G580" s="103">
        <f>'27'!Q580</f>
        <v>0</v>
      </c>
      <c r="H580" s="160">
        <f>'27'!R580</f>
        <v>0</v>
      </c>
      <c r="I580" s="160">
        <f>'27'!S580</f>
        <v>0</v>
      </c>
      <c r="J580" s="160"/>
      <c r="K580" s="104">
        <f>'27'!T580</f>
        <v>0</v>
      </c>
      <c r="L580" s="36" t="e">
        <f>#REF!</f>
        <v>#REF!</v>
      </c>
      <c r="M580" s="103" t="e">
        <f>#REF!</f>
        <v>#REF!</v>
      </c>
      <c r="N580" s="160"/>
      <c r="O580" s="104" t="e">
        <f>#REF!</f>
        <v>#REF!</v>
      </c>
      <c r="P580" s="52" t="e">
        <f>IF(#REF!=0,"",#REF!)</f>
        <v>#REF!</v>
      </c>
      <c r="Q580" s="109" t="e">
        <f>IF(#REF!=0,"",#REF!)</f>
        <v>#REF!</v>
      </c>
      <c r="R580" s="36" t="e">
        <f>IF(#REF!=0,"",#REF!)</f>
        <v>#REF!</v>
      </c>
      <c r="S580" s="36" t="e">
        <f>IF(#REF!=0,"",#REF!)</f>
        <v>#REF!</v>
      </c>
      <c r="T580" s="268"/>
      <c r="U580" s="268"/>
      <c r="V580" s="268"/>
    </row>
    <row r="581" ht="15" customHeight="1" spans="2:22">
      <c r="B581" s="6" t="e">
        <f t="shared" si="10"/>
        <v>#REF!</v>
      </c>
      <c r="C581" s="83" t="e">
        <f>#REF!</f>
        <v>#REF!</v>
      </c>
      <c r="D581" s="110" t="e">
        <f>IF(#REF!=0,"",#REF!)</f>
        <v>#REF!</v>
      </c>
      <c r="E581" s="85" t="e">
        <f>IF(#REF!=0,"",#REF!)</f>
        <v>#REF!</v>
      </c>
      <c r="F581" s="85" t="e">
        <f>IF(#REF!=0,"",#REF!)</f>
        <v>#REF!</v>
      </c>
      <c r="G581" s="105">
        <f>'27'!Q581</f>
        <v>0</v>
      </c>
      <c r="H581" s="161">
        <f>'27'!R581</f>
        <v>0</v>
      </c>
      <c r="I581" s="161">
        <f>'27'!S581</f>
        <v>0</v>
      </c>
      <c r="J581" s="161"/>
      <c r="K581" s="106">
        <f>'27'!T581</f>
        <v>0</v>
      </c>
      <c r="L581" s="85" t="e">
        <f>#REF!</f>
        <v>#REF!</v>
      </c>
      <c r="M581" s="105" t="e">
        <f>#REF!</f>
        <v>#REF!</v>
      </c>
      <c r="N581" s="161"/>
      <c r="O581" s="106" t="e">
        <f>#REF!</f>
        <v>#REF!</v>
      </c>
      <c r="P581" s="107" t="e">
        <f>IF(#REF!=0,"",#REF!)</f>
        <v>#REF!</v>
      </c>
      <c r="Q581" s="111" t="e">
        <f>IF(#REF!=0,"",#REF!)</f>
        <v>#REF!</v>
      </c>
      <c r="R581" s="85" t="e">
        <f>IF(#REF!=0,"",#REF!)</f>
        <v>#REF!</v>
      </c>
      <c r="S581" s="85" t="e">
        <f>IF(#REF!=0,"",#REF!)</f>
        <v>#REF!</v>
      </c>
      <c r="T581" s="268"/>
      <c r="U581" s="268"/>
      <c r="V581" s="268"/>
    </row>
    <row r="582" ht="15" customHeight="1" spans="2:22">
      <c r="B582" s="6" t="e">
        <f t="shared" si="10"/>
        <v>#REF!</v>
      </c>
      <c r="C582" s="79" t="e">
        <f>#REF!</f>
        <v>#REF!</v>
      </c>
      <c r="D582" s="62" t="e">
        <f>IF(#REF!=0,"",#REF!)</f>
        <v>#REF!</v>
      </c>
      <c r="E582" s="81" t="e">
        <f>IF(#REF!=0,"",#REF!)</f>
        <v>#REF!</v>
      </c>
      <c r="F582" s="81" t="e">
        <f>IF(#REF!=0,"",#REF!)</f>
        <v>#REF!</v>
      </c>
      <c r="G582" s="100" t="e">
        <f>#REF!</f>
        <v>#REF!</v>
      </c>
      <c r="H582" s="159">
        <f>'27'!R582</f>
        <v>0</v>
      </c>
      <c r="I582" s="159">
        <f>'27'!S582</f>
        <v>0</v>
      </c>
      <c r="J582" s="159"/>
      <c r="K582" s="101">
        <f>'27'!T582</f>
        <v>0</v>
      </c>
      <c r="L582" s="81" t="e">
        <f>#REF!</f>
        <v>#REF!</v>
      </c>
      <c r="M582" s="100" t="e">
        <f>#REF!</f>
        <v>#REF!</v>
      </c>
      <c r="N582" s="159"/>
      <c r="O582" s="101" t="e">
        <f>#REF!</f>
        <v>#REF!</v>
      </c>
      <c r="P582" s="102" t="e">
        <f>IF(#REF!=0,"",#REF!)</f>
        <v>#REF!</v>
      </c>
      <c r="Q582" s="108" t="e">
        <f>IF(#REF!=0,"",#REF!)</f>
        <v>#REF!</v>
      </c>
      <c r="R582" s="81" t="e">
        <f>IF(#REF!=0,"",#REF!)</f>
        <v>#REF!</v>
      </c>
      <c r="S582" s="81" t="e">
        <f>IF(#REF!=0,"",#REF!)</f>
        <v>#REF!</v>
      </c>
      <c r="T582" s="268"/>
      <c r="U582" s="268"/>
      <c r="V582" s="268"/>
    </row>
    <row r="583" ht="15" customHeight="1" spans="2:22">
      <c r="B583" s="6" t="e">
        <f t="shared" si="10"/>
        <v>#REF!</v>
      </c>
      <c r="C583" s="31" t="e">
        <f>#REF!</f>
        <v>#REF!</v>
      </c>
      <c r="D583" s="32" t="e">
        <f>IF(#REF!=0,"",#REF!)</f>
        <v>#REF!</v>
      </c>
      <c r="E583" s="36" t="e">
        <f>IF(#REF!=0,"",#REF!)</f>
        <v>#REF!</v>
      </c>
      <c r="F583" s="36" t="e">
        <f>IF(#REF!=0,"",#REF!)</f>
        <v>#REF!</v>
      </c>
      <c r="G583" s="103">
        <f>'27'!Q583</f>
        <v>0</v>
      </c>
      <c r="H583" s="160">
        <f>'27'!R583</f>
        <v>0</v>
      </c>
      <c r="I583" s="160">
        <f>'27'!S583</f>
        <v>0</v>
      </c>
      <c r="J583" s="160"/>
      <c r="K583" s="104">
        <f>'27'!T583</f>
        <v>0</v>
      </c>
      <c r="L583" s="36" t="e">
        <f>#REF!</f>
        <v>#REF!</v>
      </c>
      <c r="M583" s="103" t="e">
        <f>#REF!</f>
        <v>#REF!</v>
      </c>
      <c r="N583" s="160"/>
      <c r="O583" s="104" t="e">
        <f>#REF!</f>
        <v>#REF!</v>
      </c>
      <c r="P583" s="52" t="e">
        <f>IF(#REF!=0,"",#REF!)</f>
        <v>#REF!</v>
      </c>
      <c r="Q583" s="109" t="e">
        <f>IF(#REF!=0,"",#REF!)</f>
        <v>#REF!</v>
      </c>
      <c r="R583" s="36" t="e">
        <f>IF(#REF!=0,"",#REF!)</f>
        <v>#REF!</v>
      </c>
      <c r="S583" s="36" t="e">
        <f>IF(#REF!=0,"",#REF!)</f>
        <v>#REF!</v>
      </c>
      <c r="T583" s="268"/>
      <c r="U583" s="268"/>
      <c r="V583" s="268"/>
    </row>
    <row r="584" ht="15" customHeight="1" spans="2:22">
      <c r="B584" s="6" t="e">
        <f t="shared" si="10"/>
        <v>#REF!</v>
      </c>
      <c r="C584" s="83" t="e">
        <f>#REF!</f>
        <v>#REF!</v>
      </c>
      <c r="D584" s="110" t="e">
        <f>IF(#REF!=0,"",#REF!)</f>
        <v>#REF!</v>
      </c>
      <c r="E584" s="85" t="e">
        <f>IF(#REF!=0,"",#REF!)</f>
        <v>#REF!</v>
      </c>
      <c r="F584" s="85" t="e">
        <f>IF(#REF!=0,"",#REF!)</f>
        <v>#REF!</v>
      </c>
      <c r="G584" s="105">
        <f>'27'!Q584</f>
        <v>0</v>
      </c>
      <c r="H584" s="161">
        <f>'27'!R584</f>
        <v>0</v>
      </c>
      <c r="I584" s="161">
        <f>'27'!S584</f>
        <v>0</v>
      </c>
      <c r="J584" s="161"/>
      <c r="K584" s="106">
        <f>'27'!T584</f>
        <v>0</v>
      </c>
      <c r="L584" s="85" t="e">
        <f>#REF!</f>
        <v>#REF!</v>
      </c>
      <c r="M584" s="105" t="e">
        <f>#REF!</f>
        <v>#REF!</v>
      </c>
      <c r="N584" s="161"/>
      <c r="O584" s="106" t="e">
        <f>#REF!</f>
        <v>#REF!</v>
      </c>
      <c r="P584" s="107" t="e">
        <f>IF(#REF!=0,"",#REF!)</f>
        <v>#REF!</v>
      </c>
      <c r="Q584" s="111" t="e">
        <f>IF(#REF!=0,"",#REF!)</f>
        <v>#REF!</v>
      </c>
      <c r="R584" s="85" t="e">
        <f>IF(#REF!=0,"",#REF!)</f>
        <v>#REF!</v>
      </c>
      <c r="S584" s="85" t="e">
        <f>IF(#REF!=0,"",#REF!)</f>
        <v>#REF!</v>
      </c>
      <c r="T584" s="268"/>
      <c r="U584" s="268"/>
      <c r="V584" s="268"/>
    </row>
    <row r="585" ht="15" customHeight="1" spans="2:22">
      <c r="B585" s="6" t="e">
        <f t="shared" si="10"/>
        <v>#REF!</v>
      </c>
      <c r="C585" s="79" t="e">
        <f>#REF!</f>
        <v>#REF!</v>
      </c>
      <c r="D585" s="62" t="e">
        <f>IF(#REF!=0,"",#REF!)</f>
        <v>#REF!</v>
      </c>
      <c r="E585" s="81" t="e">
        <f>IF(#REF!=0,"",#REF!)</f>
        <v>#REF!</v>
      </c>
      <c r="F585" s="81" t="e">
        <f>IF(#REF!=0,"",#REF!)</f>
        <v>#REF!</v>
      </c>
      <c r="G585" s="100" t="e">
        <f>#REF!</f>
        <v>#REF!</v>
      </c>
      <c r="H585" s="159">
        <f>'27'!R585</f>
        <v>0</v>
      </c>
      <c r="I585" s="159">
        <f>'27'!S585</f>
        <v>0</v>
      </c>
      <c r="J585" s="159"/>
      <c r="K585" s="101">
        <f>'27'!T585</f>
        <v>0</v>
      </c>
      <c r="L585" s="81" t="e">
        <f>#REF!</f>
        <v>#REF!</v>
      </c>
      <c r="M585" s="100" t="e">
        <f>#REF!</f>
        <v>#REF!</v>
      </c>
      <c r="N585" s="159"/>
      <c r="O585" s="101" t="e">
        <f>#REF!</f>
        <v>#REF!</v>
      </c>
      <c r="P585" s="102" t="e">
        <f>IF(#REF!=0,"",#REF!)</f>
        <v>#REF!</v>
      </c>
      <c r="Q585" s="108" t="e">
        <f>IF(#REF!=0,"",#REF!)</f>
        <v>#REF!</v>
      </c>
      <c r="R585" s="81" t="e">
        <f>IF(#REF!=0,"",#REF!)</f>
        <v>#REF!</v>
      </c>
      <c r="S585" s="81" t="e">
        <f>IF(#REF!=0,"",#REF!)</f>
        <v>#REF!</v>
      </c>
      <c r="T585" s="268"/>
      <c r="U585" s="268"/>
      <c r="V585" s="268"/>
    </row>
    <row r="586" ht="15" customHeight="1" spans="2:22">
      <c r="B586" s="6" t="e">
        <f t="shared" si="10"/>
        <v>#REF!</v>
      </c>
      <c r="C586" s="31" t="e">
        <f>#REF!</f>
        <v>#REF!</v>
      </c>
      <c r="D586" s="32" t="e">
        <f>IF(#REF!=0,"",#REF!)</f>
        <v>#REF!</v>
      </c>
      <c r="E586" s="36" t="e">
        <f>IF(#REF!=0,"",#REF!)</f>
        <v>#REF!</v>
      </c>
      <c r="F586" s="36" t="e">
        <f>IF(#REF!=0,"",#REF!)</f>
        <v>#REF!</v>
      </c>
      <c r="G586" s="103">
        <f>'27'!Q586</f>
        <v>0</v>
      </c>
      <c r="H586" s="160">
        <f>'27'!R586</f>
        <v>0</v>
      </c>
      <c r="I586" s="160">
        <f>'27'!S586</f>
        <v>0</v>
      </c>
      <c r="J586" s="160"/>
      <c r="K586" s="104">
        <f>'27'!T586</f>
        <v>0</v>
      </c>
      <c r="L586" s="36" t="e">
        <f>#REF!</f>
        <v>#REF!</v>
      </c>
      <c r="M586" s="103" t="e">
        <f>#REF!</f>
        <v>#REF!</v>
      </c>
      <c r="N586" s="160"/>
      <c r="O586" s="104" t="e">
        <f>#REF!</f>
        <v>#REF!</v>
      </c>
      <c r="P586" s="52" t="e">
        <f>IF(#REF!=0,"",#REF!)</f>
        <v>#REF!</v>
      </c>
      <c r="Q586" s="109" t="e">
        <f>IF(#REF!=0,"",#REF!)</f>
        <v>#REF!</v>
      </c>
      <c r="R586" s="36" t="e">
        <f>IF(#REF!=0,"",#REF!)</f>
        <v>#REF!</v>
      </c>
      <c r="S586" s="36" t="e">
        <f>IF(#REF!=0,"",#REF!)</f>
        <v>#REF!</v>
      </c>
      <c r="T586" s="268"/>
      <c r="U586" s="268"/>
      <c r="V586" s="268"/>
    </row>
    <row r="587" ht="15" customHeight="1" spans="2:22">
      <c r="B587" s="6" t="e">
        <f t="shared" si="10"/>
        <v>#REF!</v>
      </c>
      <c r="C587" s="83" t="e">
        <f>#REF!</f>
        <v>#REF!</v>
      </c>
      <c r="D587" s="110" t="e">
        <f>IF(#REF!=0,"",#REF!)</f>
        <v>#REF!</v>
      </c>
      <c r="E587" s="85" t="e">
        <f>IF(#REF!=0,"",#REF!)</f>
        <v>#REF!</v>
      </c>
      <c r="F587" s="85" t="e">
        <f>IF(#REF!=0,"",#REF!)</f>
        <v>#REF!</v>
      </c>
      <c r="G587" s="105">
        <f>'27'!Q587</f>
        <v>0</v>
      </c>
      <c r="H587" s="161">
        <f>'27'!R587</f>
        <v>0</v>
      </c>
      <c r="I587" s="161">
        <f>'27'!S587</f>
        <v>0</v>
      </c>
      <c r="J587" s="161"/>
      <c r="K587" s="106">
        <f>'27'!T587</f>
        <v>0</v>
      </c>
      <c r="L587" s="85" t="e">
        <f>#REF!</f>
        <v>#REF!</v>
      </c>
      <c r="M587" s="105" t="e">
        <f>#REF!</f>
        <v>#REF!</v>
      </c>
      <c r="N587" s="161"/>
      <c r="O587" s="106" t="e">
        <f>#REF!</f>
        <v>#REF!</v>
      </c>
      <c r="P587" s="107" t="e">
        <f>IF(#REF!=0,"",#REF!)</f>
        <v>#REF!</v>
      </c>
      <c r="Q587" s="111" t="e">
        <f>IF(#REF!=0,"",#REF!)</f>
        <v>#REF!</v>
      </c>
      <c r="R587" s="85" t="e">
        <f>IF(#REF!=0,"",#REF!)</f>
        <v>#REF!</v>
      </c>
      <c r="S587" s="85" t="e">
        <f>IF(#REF!=0,"",#REF!)</f>
        <v>#REF!</v>
      </c>
      <c r="T587" s="268"/>
      <c r="U587" s="268"/>
      <c r="V587" s="268"/>
    </row>
    <row r="588" ht="15" customHeight="1" spans="2:22">
      <c r="B588" s="6" t="e">
        <f t="shared" si="10"/>
        <v>#REF!</v>
      </c>
      <c r="C588" s="79" t="e">
        <f>#REF!</f>
        <v>#REF!</v>
      </c>
      <c r="D588" s="62" t="e">
        <f>IF(#REF!=0,"",#REF!)</f>
        <v>#REF!</v>
      </c>
      <c r="E588" s="81" t="e">
        <f>IF(#REF!=0,"",#REF!)</f>
        <v>#REF!</v>
      </c>
      <c r="F588" s="81" t="e">
        <f>IF(#REF!=0,"",#REF!)</f>
        <v>#REF!</v>
      </c>
      <c r="G588" s="100" t="e">
        <f>#REF!</f>
        <v>#REF!</v>
      </c>
      <c r="H588" s="159">
        <f>'27'!R588</f>
        <v>0</v>
      </c>
      <c r="I588" s="159">
        <f>'27'!S588</f>
        <v>0</v>
      </c>
      <c r="J588" s="159"/>
      <c r="K588" s="101">
        <f>'27'!T588</f>
        <v>0</v>
      </c>
      <c r="L588" s="81" t="e">
        <f>#REF!</f>
        <v>#REF!</v>
      </c>
      <c r="M588" s="100" t="e">
        <f>#REF!</f>
        <v>#REF!</v>
      </c>
      <c r="N588" s="159"/>
      <c r="O588" s="101" t="e">
        <f>#REF!</f>
        <v>#REF!</v>
      </c>
      <c r="P588" s="102" t="e">
        <f>IF(#REF!=0,"",#REF!)</f>
        <v>#REF!</v>
      </c>
      <c r="Q588" s="108" t="e">
        <f>IF(#REF!=0,"",#REF!)</f>
        <v>#REF!</v>
      </c>
      <c r="R588" s="81" t="e">
        <f>IF(#REF!=0,"",#REF!)</f>
        <v>#REF!</v>
      </c>
      <c r="S588" s="81" t="e">
        <f>IF(#REF!=0,"",#REF!)</f>
        <v>#REF!</v>
      </c>
      <c r="T588" s="268"/>
      <c r="U588" s="268"/>
      <c r="V588" s="268"/>
    </row>
    <row r="589" ht="15" customHeight="1" spans="2:22">
      <c r="B589" s="6" t="e">
        <f t="shared" si="10"/>
        <v>#REF!</v>
      </c>
      <c r="C589" s="31" t="e">
        <f>#REF!</f>
        <v>#REF!</v>
      </c>
      <c r="D589" s="32" t="e">
        <f>IF(#REF!=0,"",#REF!)</f>
        <v>#REF!</v>
      </c>
      <c r="E589" s="36" t="e">
        <f>IF(#REF!=0,"",#REF!)</f>
        <v>#REF!</v>
      </c>
      <c r="F589" s="36" t="e">
        <f>IF(#REF!=0,"",#REF!)</f>
        <v>#REF!</v>
      </c>
      <c r="G589" s="103">
        <f>'27'!Q589</f>
        <v>0</v>
      </c>
      <c r="H589" s="160">
        <f>'27'!R589</f>
        <v>0</v>
      </c>
      <c r="I589" s="160">
        <f>'27'!S589</f>
        <v>0</v>
      </c>
      <c r="J589" s="160"/>
      <c r="K589" s="104">
        <f>'27'!T589</f>
        <v>0</v>
      </c>
      <c r="L589" s="36" t="e">
        <f>#REF!</f>
        <v>#REF!</v>
      </c>
      <c r="M589" s="103" t="e">
        <f>#REF!</f>
        <v>#REF!</v>
      </c>
      <c r="N589" s="160"/>
      <c r="O589" s="104" t="e">
        <f>#REF!</f>
        <v>#REF!</v>
      </c>
      <c r="P589" s="52" t="e">
        <f>IF(#REF!=0,"",#REF!)</f>
        <v>#REF!</v>
      </c>
      <c r="Q589" s="109" t="e">
        <f>IF(#REF!=0,"",#REF!)</f>
        <v>#REF!</v>
      </c>
      <c r="R589" s="36" t="e">
        <f>IF(#REF!=0,"",#REF!)</f>
        <v>#REF!</v>
      </c>
      <c r="S589" s="36" t="e">
        <f>IF(#REF!=0,"",#REF!)</f>
        <v>#REF!</v>
      </c>
      <c r="T589" s="268"/>
      <c r="U589" s="268"/>
      <c r="V589" s="268"/>
    </row>
    <row r="590" ht="15" customHeight="1" spans="2:22">
      <c r="B590" s="6" t="e">
        <f t="shared" si="10"/>
        <v>#REF!</v>
      </c>
      <c r="C590" s="83" t="e">
        <f>#REF!</f>
        <v>#REF!</v>
      </c>
      <c r="D590" s="110" t="e">
        <f>IF(#REF!=0,"",#REF!)</f>
        <v>#REF!</v>
      </c>
      <c r="E590" s="85" t="e">
        <f>IF(#REF!=0,"",#REF!)</f>
        <v>#REF!</v>
      </c>
      <c r="F590" s="85" t="e">
        <f>IF(#REF!=0,"",#REF!)</f>
        <v>#REF!</v>
      </c>
      <c r="G590" s="105">
        <f>'27'!Q590</f>
        <v>0</v>
      </c>
      <c r="H590" s="161">
        <f>'27'!R590</f>
        <v>0</v>
      </c>
      <c r="I590" s="161">
        <f>'27'!S590</f>
        <v>0</v>
      </c>
      <c r="J590" s="161"/>
      <c r="K590" s="106">
        <f>'27'!T590</f>
        <v>0</v>
      </c>
      <c r="L590" s="85" t="e">
        <f>#REF!</f>
        <v>#REF!</v>
      </c>
      <c r="M590" s="105" t="e">
        <f>#REF!</f>
        <v>#REF!</v>
      </c>
      <c r="N590" s="161"/>
      <c r="O590" s="106" t="e">
        <f>#REF!</f>
        <v>#REF!</v>
      </c>
      <c r="P590" s="107" t="e">
        <f>IF(#REF!=0,"",#REF!)</f>
        <v>#REF!</v>
      </c>
      <c r="Q590" s="111" t="e">
        <f>IF(#REF!=0,"",#REF!)</f>
        <v>#REF!</v>
      </c>
      <c r="R590" s="85" t="e">
        <f>IF(#REF!=0,"",#REF!)</f>
        <v>#REF!</v>
      </c>
      <c r="S590" s="85" t="e">
        <f>IF(#REF!=0,"",#REF!)</f>
        <v>#REF!</v>
      </c>
      <c r="T590" s="268"/>
      <c r="U590" s="268"/>
      <c r="V590" s="268"/>
    </row>
    <row r="591" ht="15" customHeight="1" spans="2:22">
      <c r="B591" s="6" t="e">
        <f t="shared" si="10"/>
        <v>#REF!</v>
      </c>
      <c r="C591" s="79" t="e">
        <f>#REF!</f>
        <v>#REF!</v>
      </c>
      <c r="D591" s="62" t="e">
        <f>IF(#REF!=0,"",#REF!)</f>
        <v>#REF!</v>
      </c>
      <c r="E591" s="81" t="e">
        <f>IF(#REF!=0,"",#REF!)</f>
        <v>#REF!</v>
      </c>
      <c r="F591" s="81" t="e">
        <f>IF(#REF!=0,"",#REF!)</f>
        <v>#REF!</v>
      </c>
      <c r="G591" s="100" t="e">
        <f>#REF!</f>
        <v>#REF!</v>
      </c>
      <c r="H591" s="159">
        <f>'27'!R591</f>
        <v>0</v>
      </c>
      <c r="I591" s="159">
        <f>'27'!S591</f>
        <v>0</v>
      </c>
      <c r="J591" s="159"/>
      <c r="K591" s="101">
        <f>'27'!T591</f>
        <v>0</v>
      </c>
      <c r="L591" s="81" t="e">
        <f>#REF!</f>
        <v>#REF!</v>
      </c>
      <c r="M591" s="100" t="e">
        <f>#REF!</f>
        <v>#REF!</v>
      </c>
      <c r="N591" s="159"/>
      <c r="O591" s="101" t="e">
        <f>#REF!</f>
        <v>#REF!</v>
      </c>
      <c r="P591" s="102" t="e">
        <f>IF(#REF!=0,"",#REF!)</f>
        <v>#REF!</v>
      </c>
      <c r="Q591" s="108" t="e">
        <f>IF(#REF!=0,"",#REF!)</f>
        <v>#REF!</v>
      </c>
      <c r="R591" s="81" t="e">
        <f>IF(#REF!=0,"",#REF!)</f>
        <v>#REF!</v>
      </c>
      <c r="S591" s="81" t="e">
        <f>IF(#REF!=0,"",#REF!)</f>
        <v>#REF!</v>
      </c>
      <c r="T591" s="268"/>
      <c r="U591" s="268"/>
      <c r="V591" s="268"/>
    </row>
    <row r="592" ht="15" customHeight="1" spans="2:22">
      <c r="B592" s="6" t="e">
        <f t="shared" si="10"/>
        <v>#REF!</v>
      </c>
      <c r="C592" s="31" t="e">
        <f>#REF!</f>
        <v>#REF!</v>
      </c>
      <c r="D592" s="32" t="e">
        <f>IF(#REF!=0,"",#REF!)</f>
        <v>#REF!</v>
      </c>
      <c r="E592" s="36" t="e">
        <f>IF(#REF!=0,"",#REF!)</f>
        <v>#REF!</v>
      </c>
      <c r="F592" s="36" t="e">
        <f>IF(#REF!=0,"",#REF!)</f>
        <v>#REF!</v>
      </c>
      <c r="G592" s="103">
        <f>'27'!Q592</f>
        <v>0</v>
      </c>
      <c r="H592" s="160">
        <f>'27'!R592</f>
        <v>0</v>
      </c>
      <c r="I592" s="160">
        <f>'27'!S592</f>
        <v>0</v>
      </c>
      <c r="J592" s="160"/>
      <c r="K592" s="104">
        <f>'27'!T592</f>
        <v>0</v>
      </c>
      <c r="L592" s="36" t="e">
        <f>#REF!</f>
        <v>#REF!</v>
      </c>
      <c r="M592" s="103" t="e">
        <f>#REF!</f>
        <v>#REF!</v>
      </c>
      <c r="N592" s="160"/>
      <c r="O592" s="104" t="e">
        <f>#REF!</f>
        <v>#REF!</v>
      </c>
      <c r="P592" s="52" t="e">
        <f>IF(#REF!=0,"",#REF!)</f>
        <v>#REF!</v>
      </c>
      <c r="Q592" s="109" t="e">
        <f>IF(#REF!=0,"",#REF!)</f>
        <v>#REF!</v>
      </c>
      <c r="R592" s="36" t="e">
        <f>IF(#REF!=0,"",#REF!)</f>
        <v>#REF!</v>
      </c>
      <c r="S592" s="36" t="e">
        <f>IF(#REF!=0,"",#REF!)</f>
        <v>#REF!</v>
      </c>
      <c r="T592" s="268"/>
      <c r="U592" s="268"/>
      <c r="V592" s="268"/>
    </row>
    <row r="593" ht="15" customHeight="1" spans="2:22">
      <c r="B593" s="6" t="e">
        <f t="shared" si="10"/>
        <v>#REF!</v>
      </c>
      <c r="C593" s="83" t="e">
        <f>#REF!</f>
        <v>#REF!</v>
      </c>
      <c r="D593" s="110" t="e">
        <f>IF(#REF!=0,"",#REF!)</f>
        <v>#REF!</v>
      </c>
      <c r="E593" s="85" t="e">
        <f>IF(#REF!=0,"",#REF!)</f>
        <v>#REF!</v>
      </c>
      <c r="F593" s="85" t="e">
        <f>IF(#REF!=0,"",#REF!)</f>
        <v>#REF!</v>
      </c>
      <c r="G593" s="105">
        <f>'27'!Q593</f>
        <v>0</v>
      </c>
      <c r="H593" s="161">
        <f>'27'!R593</f>
        <v>0</v>
      </c>
      <c r="I593" s="161">
        <f>'27'!S593</f>
        <v>0</v>
      </c>
      <c r="J593" s="161"/>
      <c r="K593" s="106">
        <f>'27'!T593</f>
        <v>0</v>
      </c>
      <c r="L593" s="85" t="e">
        <f>#REF!</f>
        <v>#REF!</v>
      </c>
      <c r="M593" s="105" t="e">
        <f>#REF!</f>
        <v>#REF!</v>
      </c>
      <c r="N593" s="161"/>
      <c r="O593" s="106" t="e">
        <f>#REF!</f>
        <v>#REF!</v>
      </c>
      <c r="P593" s="107" t="e">
        <f>IF(#REF!=0,"",#REF!)</f>
        <v>#REF!</v>
      </c>
      <c r="Q593" s="111" t="e">
        <f>IF(#REF!=0,"",#REF!)</f>
        <v>#REF!</v>
      </c>
      <c r="R593" s="85" t="e">
        <f>IF(#REF!=0,"",#REF!)</f>
        <v>#REF!</v>
      </c>
      <c r="S593" s="85" t="e">
        <f>IF(#REF!=0,"",#REF!)</f>
        <v>#REF!</v>
      </c>
      <c r="T593" s="268"/>
      <c r="U593" s="268"/>
      <c r="V593" s="268"/>
    </row>
    <row r="594" ht="15" customHeight="1" spans="2:22">
      <c r="B594" s="6" t="e">
        <f t="shared" si="10"/>
        <v>#REF!</v>
      </c>
      <c r="C594" s="79" t="e">
        <f>#REF!</f>
        <v>#REF!</v>
      </c>
      <c r="D594" s="62" t="e">
        <f>IF(#REF!=0,"",#REF!)</f>
        <v>#REF!</v>
      </c>
      <c r="E594" s="81" t="e">
        <f>IF(#REF!=0,"",#REF!)</f>
        <v>#REF!</v>
      </c>
      <c r="F594" s="81" t="e">
        <f>IF(#REF!=0,"",#REF!)</f>
        <v>#REF!</v>
      </c>
      <c r="G594" s="100" t="e">
        <f>#REF!</f>
        <v>#REF!</v>
      </c>
      <c r="H594" s="159">
        <f>'27'!R594</f>
        <v>0</v>
      </c>
      <c r="I594" s="159">
        <f>'27'!S594</f>
        <v>0</v>
      </c>
      <c r="J594" s="159"/>
      <c r="K594" s="101">
        <f>'27'!T594</f>
        <v>0</v>
      </c>
      <c r="L594" s="81" t="e">
        <f>#REF!</f>
        <v>#REF!</v>
      </c>
      <c r="M594" s="100" t="e">
        <f>#REF!</f>
        <v>#REF!</v>
      </c>
      <c r="N594" s="159"/>
      <c r="O594" s="101" t="e">
        <f>#REF!</f>
        <v>#REF!</v>
      </c>
      <c r="P594" s="102" t="e">
        <f>IF(#REF!=0,"",#REF!)</f>
        <v>#REF!</v>
      </c>
      <c r="Q594" s="108" t="e">
        <f>IF(#REF!=0,"",#REF!)</f>
        <v>#REF!</v>
      </c>
      <c r="R594" s="81" t="e">
        <f>IF(#REF!=0,"",#REF!)</f>
        <v>#REF!</v>
      </c>
      <c r="S594" s="81" t="e">
        <f>IF(#REF!=0,"",#REF!)</f>
        <v>#REF!</v>
      </c>
      <c r="T594" s="268"/>
      <c r="U594" s="268"/>
      <c r="V594" s="268"/>
    </row>
    <row r="595" ht="15" customHeight="1" spans="2:22">
      <c r="B595" s="6" t="e">
        <f t="shared" si="10"/>
        <v>#REF!</v>
      </c>
      <c r="C595" s="31" t="e">
        <f>#REF!</f>
        <v>#REF!</v>
      </c>
      <c r="D595" s="32" t="e">
        <f>IF(#REF!=0,"",#REF!)</f>
        <v>#REF!</v>
      </c>
      <c r="E595" s="36" t="e">
        <f>IF(#REF!=0,"",#REF!)</f>
        <v>#REF!</v>
      </c>
      <c r="F595" s="36" t="e">
        <f>IF(#REF!=0,"",#REF!)</f>
        <v>#REF!</v>
      </c>
      <c r="G595" s="103">
        <f>'27'!Q595</f>
        <v>0</v>
      </c>
      <c r="H595" s="160">
        <f>'27'!R595</f>
        <v>0</v>
      </c>
      <c r="I595" s="160">
        <f>'27'!S595</f>
        <v>0</v>
      </c>
      <c r="J595" s="160"/>
      <c r="K595" s="104">
        <f>'27'!T595</f>
        <v>0</v>
      </c>
      <c r="L595" s="36" t="e">
        <f>#REF!</f>
        <v>#REF!</v>
      </c>
      <c r="M595" s="103" t="e">
        <f>#REF!</f>
        <v>#REF!</v>
      </c>
      <c r="N595" s="160"/>
      <c r="O595" s="104" t="e">
        <f>#REF!</f>
        <v>#REF!</v>
      </c>
      <c r="P595" s="52" t="e">
        <f>IF(#REF!=0,"",#REF!)</f>
        <v>#REF!</v>
      </c>
      <c r="Q595" s="109" t="e">
        <f>IF(#REF!=0,"",#REF!)</f>
        <v>#REF!</v>
      </c>
      <c r="R595" s="36" t="e">
        <f>IF(#REF!=0,"",#REF!)</f>
        <v>#REF!</v>
      </c>
      <c r="S595" s="36" t="e">
        <f>IF(#REF!=0,"",#REF!)</f>
        <v>#REF!</v>
      </c>
      <c r="T595" s="268"/>
      <c r="U595" s="268"/>
      <c r="V595" s="268"/>
    </row>
    <row r="596" ht="15" customHeight="1" spans="2:22">
      <c r="B596" s="6" t="e">
        <f t="shared" si="10"/>
        <v>#REF!</v>
      </c>
      <c r="C596" s="83" t="e">
        <f>#REF!</f>
        <v>#REF!</v>
      </c>
      <c r="D596" s="110" t="e">
        <f>IF(#REF!=0,"",#REF!)</f>
        <v>#REF!</v>
      </c>
      <c r="E596" s="85" t="e">
        <f>IF(#REF!=0,"",#REF!)</f>
        <v>#REF!</v>
      </c>
      <c r="F596" s="85" t="e">
        <f>IF(#REF!=0,"",#REF!)</f>
        <v>#REF!</v>
      </c>
      <c r="G596" s="105">
        <f>'27'!Q596</f>
        <v>0</v>
      </c>
      <c r="H596" s="161">
        <f>'27'!R596</f>
        <v>0</v>
      </c>
      <c r="I596" s="161">
        <f>'27'!S596</f>
        <v>0</v>
      </c>
      <c r="J596" s="161"/>
      <c r="K596" s="106">
        <f>'27'!T596</f>
        <v>0</v>
      </c>
      <c r="L596" s="85" t="e">
        <f>#REF!</f>
        <v>#REF!</v>
      </c>
      <c r="M596" s="105" t="e">
        <f>#REF!</f>
        <v>#REF!</v>
      </c>
      <c r="N596" s="161"/>
      <c r="O596" s="106" t="e">
        <f>#REF!</f>
        <v>#REF!</v>
      </c>
      <c r="P596" s="107" t="e">
        <f>IF(#REF!=0,"",#REF!)</f>
        <v>#REF!</v>
      </c>
      <c r="Q596" s="111" t="e">
        <f>IF(#REF!=0,"",#REF!)</f>
        <v>#REF!</v>
      </c>
      <c r="R596" s="85" t="e">
        <f>IF(#REF!=0,"",#REF!)</f>
        <v>#REF!</v>
      </c>
      <c r="S596" s="85" t="e">
        <f>IF(#REF!=0,"",#REF!)</f>
        <v>#REF!</v>
      </c>
      <c r="T596" s="268"/>
      <c r="U596" s="268"/>
      <c r="V596" s="268"/>
    </row>
    <row r="597" ht="15" customHeight="1" spans="2:22">
      <c r="B597" s="6" t="e">
        <f t="shared" si="10"/>
        <v>#REF!</v>
      </c>
      <c r="C597" s="79" t="e">
        <f>#REF!</f>
        <v>#REF!</v>
      </c>
      <c r="D597" s="62" t="e">
        <f>IF(#REF!=0,"",#REF!)</f>
        <v>#REF!</v>
      </c>
      <c r="E597" s="81" t="e">
        <f>IF(#REF!=0,"",#REF!)</f>
        <v>#REF!</v>
      </c>
      <c r="F597" s="81" t="e">
        <f>IF(#REF!=0,"",#REF!)</f>
        <v>#REF!</v>
      </c>
      <c r="G597" s="100" t="e">
        <f>#REF!</f>
        <v>#REF!</v>
      </c>
      <c r="H597" s="159">
        <f>'27'!R597</f>
        <v>0</v>
      </c>
      <c r="I597" s="159">
        <f>'27'!S597</f>
        <v>0</v>
      </c>
      <c r="J597" s="159"/>
      <c r="K597" s="101">
        <f>'27'!T597</f>
        <v>0</v>
      </c>
      <c r="L597" s="81" t="e">
        <f>#REF!</f>
        <v>#REF!</v>
      </c>
      <c r="M597" s="100" t="e">
        <f>#REF!</f>
        <v>#REF!</v>
      </c>
      <c r="N597" s="159"/>
      <c r="O597" s="101" t="e">
        <f>#REF!</f>
        <v>#REF!</v>
      </c>
      <c r="P597" s="102" t="e">
        <f>IF(#REF!=0,"",#REF!)</f>
        <v>#REF!</v>
      </c>
      <c r="Q597" s="108" t="e">
        <f>IF(#REF!=0,"",#REF!)</f>
        <v>#REF!</v>
      </c>
      <c r="R597" s="81" t="e">
        <f>IF(#REF!=0,"",#REF!)</f>
        <v>#REF!</v>
      </c>
      <c r="S597" s="81" t="e">
        <f>IF(#REF!=0,"",#REF!)</f>
        <v>#REF!</v>
      </c>
      <c r="T597" s="268"/>
      <c r="U597" s="268"/>
      <c r="V597" s="268"/>
    </row>
    <row r="598" ht="15" customHeight="1" spans="2:22">
      <c r="B598" s="6" t="e">
        <f t="shared" si="10"/>
        <v>#REF!</v>
      </c>
      <c r="C598" s="31" t="e">
        <f>#REF!</f>
        <v>#REF!</v>
      </c>
      <c r="D598" s="32" t="e">
        <f>IF(#REF!=0,"",#REF!)</f>
        <v>#REF!</v>
      </c>
      <c r="E598" s="36" t="e">
        <f>IF(#REF!=0,"",#REF!)</f>
        <v>#REF!</v>
      </c>
      <c r="F598" s="36" t="e">
        <f>IF(#REF!=0,"",#REF!)</f>
        <v>#REF!</v>
      </c>
      <c r="G598" s="103">
        <f>'27'!Q598</f>
        <v>0</v>
      </c>
      <c r="H598" s="160">
        <f>'27'!R598</f>
        <v>0</v>
      </c>
      <c r="I598" s="160">
        <f>'27'!S598</f>
        <v>0</v>
      </c>
      <c r="J598" s="160"/>
      <c r="K598" s="104">
        <f>'27'!T598</f>
        <v>0</v>
      </c>
      <c r="L598" s="36" t="e">
        <f>#REF!</f>
        <v>#REF!</v>
      </c>
      <c r="M598" s="103" t="e">
        <f>#REF!</f>
        <v>#REF!</v>
      </c>
      <c r="N598" s="160"/>
      <c r="O598" s="104" t="e">
        <f>#REF!</f>
        <v>#REF!</v>
      </c>
      <c r="P598" s="52" t="e">
        <f>IF(#REF!=0,"",#REF!)</f>
        <v>#REF!</v>
      </c>
      <c r="Q598" s="109" t="e">
        <f>IF(#REF!=0,"",#REF!)</f>
        <v>#REF!</v>
      </c>
      <c r="R598" s="36" t="e">
        <f>IF(#REF!=0,"",#REF!)</f>
        <v>#REF!</v>
      </c>
      <c r="S598" s="36" t="e">
        <f>IF(#REF!=0,"",#REF!)</f>
        <v>#REF!</v>
      </c>
      <c r="T598" s="268"/>
      <c r="U598" s="268"/>
      <c r="V598" s="268"/>
    </row>
    <row r="599" ht="15" customHeight="1" spans="2:22">
      <c r="B599" s="6" t="e">
        <f t="shared" si="10"/>
        <v>#REF!</v>
      </c>
      <c r="C599" s="83" t="e">
        <f>#REF!</f>
        <v>#REF!</v>
      </c>
      <c r="D599" s="110" t="e">
        <f>IF(#REF!=0,"",#REF!)</f>
        <v>#REF!</v>
      </c>
      <c r="E599" s="85" t="e">
        <f>IF(#REF!=0,"",#REF!)</f>
        <v>#REF!</v>
      </c>
      <c r="F599" s="85" t="e">
        <f>IF(#REF!=0,"",#REF!)</f>
        <v>#REF!</v>
      </c>
      <c r="G599" s="105">
        <f>'27'!Q599</f>
        <v>0</v>
      </c>
      <c r="H599" s="161">
        <f>'27'!R599</f>
        <v>0</v>
      </c>
      <c r="I599" s="161">
        <f>'27'!S599</f>
        <v>0</v>
      </c>
      <c r="J599" s="161"/>
      <c r="K599" s="106">
        <f>'27'!T599</f>
        <v>0</v>
      </c>
      <c r="L599" s="85" t="e">
        <f>#REF!</f>
        <v>#REF!</v>
      </c>
      <c r="M599" s="105" t="e">
        <f>#REF!</f>
        <v>#REF!</v>
      </c>
      <c r="N599" s="161"/>
      <c r="O599" s="106" t="e">
        <f>#REF!</f>
        <v>#REF!</v>
      </c>
      <c r="P599" s="107" t="e">
        <f>IF(#REF!=0,"",#REF!)</f>
        <v>#REF!</v>
      </c>
      <c r="Q599" s="111" t="e">
        <f>IF(#REF!=0,"",#REF!)</f>
        <v>#REF!</v>
      </c>
      <c r="R599" s="85" t="e">
        <f>IF(#REF!=0,"",#REF!)</f>
        <v>#REF!</v>
      </c>
      <c r="S599" s="85" t="e">
        <f>IF(#REF!=0,"",#REF!)</f>
        <v>#REF!</v>
      </c>
      <c r="T599" s="268"/>
      <c r="U599" s="268"/>
      <c r="V599" s="268"/>
    </row>
    <row r="600" ht="15" customHeight="1" spans="2:22">
      <c r="B600" s="6" t="e">
        <f t="shared" si="10"/>
        <v>#REF!</v>
      </c>
      <c r="C600" s="79" t="e">
        <f>#REF!</f>
        <v>#REF!</v>
      </c>
      <c r="D600" s="62" t="e">
        <f>IF(#REF!=0,"",#REF!)</f>
        <v>#REF!</v>
      </c>
      <c r="E600" s="81" t="e">
        <f>IF(#REF!=0,"",#REF!)</f>
        <v>#REF!</v>
      </c>
      <c r="F600" s="81" t="e">
        <f>IF(#REF!=0,"",#REF!)</f>
        <v>#REF!</v>
      </c>
      <c r="G600" s="100" t="e">
        <f>#REF!</f>
        <v>#REF!</v>
      </c>
      <c r="H600" s="159">
        <f>'27'!R600</f>
        <v>0</v>
      </c>
      <c r="I600" s="159">
        <f>'27'!S600</f>
        <v>0</v>
      </c>
      <c r="J600" s="159"/>
      <c r="K600" s="101">
        <f>'27'!T600</f>
        <v>0</v>
      </c>
      <c r="L600" s="81" t="e">
        <f>#REF!</f>
        <v>#REF!</v>
      </c>
      <c r="M600" s="100" t="e">
        <f>#REF!</f>
        <v>#REF!</v>
      </c>
      <c r="N600" s="159"/>
      <c r="O600" s="101" t="e">
        <f>#REF!</f>
        <v>#REF!</v>
      </c>
      <c r="P600" s="102" t="e">
        <f>IF(#REF!=0,"",#REF!)</f>
        <v>#REF!</v>
      </c>
      <c r="Q600" s="108" t="e">
        <f>IF(#REF!=0,"",#REF!)</f>
        <v>#REF!</v>
      </c>
      <c r="R600" s="81" t="e">
        <f>IF(#REF!=0,"",#REF!)</f>
        <v>#REF!</v>
      </c>
      <c r="S600" s="81" t="e">
        <f>IF(#REF!=0,"",#REF!)</f>
        <v>#REF!</v>
      </c>
      <c r="T600" s="268"/>
      <c r="U600" s="268"/>
      <c r="V600" s="268"/>
    </row>
    <row r="601" ht="15" customHeight="1" spans="2:22">
      <c r="B601" s="6" t="e">
        <f t="shared" si="10"/>
        <v>#REF!</v>
      </c>
      <c r="C601" s="31" t="e">
        <f>#REF!</f>
        <v>#REF!</v>
      </c>
      <c r="D601" s="32" t="e">
        <f>IF(#REF!=0,"",#REF!)</f>
        <v>#REF!</v>
      </c>
      <c r="E601" s="36" t="e">
        <f>IF(#REF!=0,"",#REF!)</f>
        <v>#REF!</v>
      </c>
      <c r="F601" s="36" t="e">
        <f>IF(#REF!=0,"",#REF!)</f>
        <v>#REF!</v>
      </c>
      <c r="G601" s="103">
        <f>'27'!Q601</f>
        <v>0</v>
      </c>
      <c r="H601" s="160">
        <f>'27'!R601</f>
        <v>0</v>
      </c>
      <c r="I601" s="160">
        <f>'27'!S601</f>
        <v>0</v>
      </c>
      <c r="J601" s="160"/>
      <c r="K601" s="104">
        <f>'27'!T601</f>
        <v>0</v>
      </c>
      <c r="L601" s="36" t="e">
        <f>#REF!</f>
        <v>#REF!</v>
      </c>
      <c r="M601" s="103" t="e">
        <f>#REF!</f>
        <v>#REF!</v>
      </c>
      <c r="N601" s="160"/>
      <c r="O601" s="104" t="e">
        <f>#REF!</f>
        <v>#REF!</v>
      </c>
      <c r="P601" s="52" t="e">
        <f>IF(#REF!=0,"",#REF!)</f>
        <v>#REF!</v>
      </c>
      <c r="Q601" s="109" t="e">
        <f>IF(#REF!=0,"",#REF!)</f>
        <v>#REF!</v>
      </c>
      <c r="R601" s="36" t="e">
        <f>IF(#REF!=0,"",#REF!)</f>
        <v>#REF!</v>
      </c>
      <c r="S601" s="36" t="e">
        <f>IF(#REF!=0,"",#REF!)</f>
        <v>#REF!</v>
      </c>
      <c r="T601" s="268"/>
      <c r="U601" s="268"/>
      <c r="V601" s="268"/>
    </row>
    <row r="602" ht="15" customHeight="1" spans="2:22">
      <c r="B602" s="6" t="e">
        <f t="shared" si="10"/>
        <v>#REF!</v>
      </c>
      <c r="C602" s="83" t="e">
        <f>#REF!</f>
        <v>#REF!</v>
      </c>
      <c r="D602" s="110" t="e">
        <f>IF(#REF!=0,"",#REF!)</f>
        <v>#REF!</v>
      </c>
      <c r="E602" s="85" t="e">
        <f>IF(#REF!=0,"",#REF!)</f>
        <v>#REF!</v>
      </c>
      <c r="F602" s="85" t="e">
        <f>IF(#REF!=0,"",#REF!)</f>
        <v>#REF!</v>
      </c>
      <c r="G602" s="105">
        <f>'27'!Q602</f>
        <v>0</v>
      </c>
      <c r="H602" s="161">
        <f>'27'!R602</f>
        <v>0</v>
      </c>
      <c r="I602" s="161">
        <f>'27'!S602</f>
        <v>0</v>
      </c>
      <c r="J602" s="161"/>
      <c r="K602" s="106">
        <f>'27'!T602</f>
        <v>0</v>
      </c>
      <c r="L602" s="85" t="e">
        <f>#REF!</f>
        <v>#REF!</v>
      </c>
      <c r="M602" s="105" t="e">
        <f>#REF!</f>
        <v>#REF!</v>
      </c>
      <c r="N602" s="161"/>
      <c r="O602" s="106" t="e">
        <f>#REF!</f>
        <v>#REF!</v>
      </c>
      <c r="P602" s="107" t="e">
        <f>IF(#REF!=0,"",#REF!)</f>
        <v>#REF!</v>
      </c>
      <c r="Q602" s="111" t="e">
        <f>IF(#REF!=0,"",#REF!)</f>
        <v>#REF!</v>
      </c>
      <c r="R602" s="85" t="e">
        <f>IF(#REF!=0,"",#REF!)</f>
        <v>#REF!</v>
      </c>
      <c r="S602" s="85" t="e">
        <f>IF(#REF!=0,"",#REF!)</f>
        <v>#REF!</v>
      </c>
      <c r="T602" s="268"/>
      <c r="U602" s="268"/>
      <c r="V602" s="268"/>
    </row>
    <row r="603" ht="15" customHeight="1" spans="2:22">
      <c r="B603" s="6" t="e">
        <f t="shared" si="10"/>
        <v>#REF!</v>
      </c>
      <c r="C603" s="79" t="e">
        <f>#REF!</f>
        <v>#REF!</v>
      </c>
      <c r="D603" s="62" t="e">
        <f>IF(#REF!=0,"",#REF!)</f>
        <v>#REF!</v>
      </c>
      <c r="E603" s="81" t="e">
        <f>IF(#REF!=0,"",#REF!)</f>
        <v>#REF!</v>
      </c>
      <c r="F603" s="81" t="e">
        <f>IF(#REF!=0,"",#REF!)</f>
        <v>#REF!</v>
      </c>
      <c r="G603" s="100" t="e">
        <f>#REF!</f>
        <v>#REF!</v>
      </c>
      <c r="H603" s="159">
        <f>'27'!R603</f>
        <v>0</v>
      </c>
      <c r="I603" s="159">
        <f>'27'!S603</f>
        <v>0</v>
      </c>
      <c r="J603" s="159"/>
      <c r="K603" s="101">
        <f>'27'!T603</f>
        <v>0</v>
      </c>
      <c r="L603" s="81" t="e">
        <f>#REF!</f>
        <v>#REF!</v>
      </c>
      <c r="M603" s="100" t="e">
        <f>#REF!</f>
        <v>#REF!</v>
      </c>
      <c r="N603" s="159"/>
      <c r="O603" s="101" t="e">
        <f>#REF!</f>
        <v>#REF!</v>
      </c>
      <c r="P603" s="102" t="e">
        <f>IF(#REF!=0,"",#REF!)</f>
        <v>#REF!</v>
      </c>
      <c r="Q603" s="108" t="e">
        <f>IF(#REF!=0,"",#REF!)</f>
        <v>#REF!</v>
      </c>
      <c r="R603" s="81" t="e">
        <f>IF(#REF!=0,"",#REF!)</f>
        <v>#REF!</v>
      </c>
      <c r="S603" s="81" t="e">
        <f>IF(#REF!=0,"",#REF!)</f>
        <v>#REF!</v>
      </c>
      <c r="T603" s="268"/>
      <c r="U603" s="268"/>
      <c r="V603" s="268"/>
    </row>
    <row r="604" ht="15" customHeight="1" spans="2:22">
      <c r="B604" s="6" t="e">
        <f t="shared" si="10"/>
        <v>#REF!</v>
      </c>
      <c r="C604" s="31" t="e">
        <f>#REF!</f>
        <v>#REF!</v>
      </c>
      <c r="D604" s="32" t="e">
        <f>IF(#REF!=0,"",#REF!)</f>
        <v>#REF!</v>
      </c>
      <c r="E604" s="36" t="e">
        <f>IF(#REF!=0,"",#REF!)</f>
        <v>#REF!</v>
      </c>
      <c r="F604" s="36" t="e">
        <f>IF(#REF!=0,"",#REF!)</f>
        <v>#REF!</v>
      </c>
      <c r="G604" s="103">
        <f>'27'!Q604</f>
        <v>0</v>
      </c>
      <c r="H604" s="160">
        <f>'27'!R604</f>
        <v>0</v>
      </c>
      <c r="I604" s="160">
        <f>'27'!S604</f>
        <v>0</v>
      </c>
      <c r="J604" s="160"/>
      <c r="K604" s="104">
        <f>'27'!T604</f>
        <v>0</v>
      </c>
      <c r="L604" s="36" t="e">
        <f>#REF!</f>
        <v>#REF!</v>
      </c>
      <c r="M604" s="103" t="e">
        <f>#REF!</f>
        <v>#REF!</v>
      </c>
      <c r="N604" s="160"/>
      <c r="O604" s="104" t="e">
        <f>#REF!</f>
        <v>#REF!</v>
      </c>
      <c r="P604" s="52" t="e">
        <f>IF(#REF!=0,"",#REF!)</f>
        <v>#REF!</v>
      </c>
      <c r="Q604" s="109" t="e">
        <f>IF(#REF!=0,"",#REF!)</f>
        <v>#REF!</v>
      </c>
      <c r="R604" s="36" t="e">
        <f>IF(#REF!=0,"",#REF!)</f>
        <v>#REF!</v>
      </c>
      <c r="S604" s="36" t="e">
        <f>IF(#REF!=0,"",#REF!)</f>
        <v>#REF!</v>
      </c>
      <c r="T604" s="268"/>
      <c r="U604" s="268"/>
      <c r="V604" s="268"/>
    </row>
    <row r="605" ht="15" customHeight="1" spans="2:22">
      <c r="B605" s="279" t="e">
        <f t="shared" si="10"/>
        <v>#REF!</v>
      </c>
      <c r="C605" s="280" t="e">
        <f>#REF!</f>
        <v>#REF!</v>
      </c>
      <c r="D605" s="281" t="e">
        <f>IF(#REF!=0,"",#REF!)</f>
        <v>#REF!</v>
      </c>
      <c r="E605" s="282" t="e">
        <f>IF(#REF!=0,"",#REF!)</f>
        <v>#REF!</v>
      </c>
      <c r="F605" s="282" t="e">
        <f>IF(#REF!=0,"",#REF!)</f>
        <v>#REF!</v>
      </c>
      <c r="G605" s="103">
        <f>'27'!Q605</f>
        <v>0</v>
      </c>
      <c r="H605" s="160">
        <f>'27'!R605</f>
        <v>0</v>
      </c>
      <c r="I605" s="160">
        <f>'27'!S605</f>
        <v>0</v>
      </c>
      <c r="J605" s="160"/>
      <c r="K605" s="104">
        <f>'27'!T605</f>
        <v>0</v>
      </c>
      <c r="L605" s="282" t="e">
        <f>#REF!</f>
        <v>#REF!</v>
      </c>
      <c r="M605" s="103" t="e">
        <f>#REF!</f>
        <v>#REF!</v>
      </c>
      <c r="N605" s="160"/>
      <c r="O605" s="104" t="e">
        <f>#REF!</f>
        <v>#REF!</v>
      </c>
      <c r="P605" s="283" t="e">
        <f>IF(#REF!=0,"",#REF!)</f>
        <v>#REF!</v>
      </c>
      <c r="Q605" s="284" t="e">
        <f>IF(#REF!=0,"",#REF!)</f>
        <v>#REF!</v>
      </c>
      <c r="R605" s="282" t="e">
        <f>IF(#REF!=0,"",#REF!)</f>
        <v>#REF!</v>
      </c>
      <c r="S605" s="282" t="e">
        <f>IF(#REF!=0,"",#REF!)</f>
        <v>#REF!</v>
      </c>
      <c r="T605" s="285"/>
      <c r="U605" s="285"/>
      <c r="V605" s="285"/>
    </row>
    <row r="606" ht="15" customHeight="1" spans="2:22">
      <c r="B606" s="6" t="e">
        <f t="shared" si="10"/>
        <v>#REF!</v>
      </c>
      <c r="C606" s="79">
        <f>'32'!M6</f>
        <v>0</v>
      </c>
      <c r="D606" s="62" t="str">
        <f>IF('32'!N6=0,"",'32'!N6)</f>
        <v>CAF</v>
      </c>
      <c r="E606" s="81">
        <f>IF('32'!O6=0,"",'32'!O6)</f>
        <v>32</v>
      </c>
      <c r="F606" s="81">
        <f>IF('32'!P6=0,"",'32'!P6)</f>
        <v>101</v>
      </c>
      <c r="G606" s="100" t="str">
        <f>'32'!Q6</f>
        <v>Quadre</v>
      </c>
      <c r="H606" s="159"/>
      <c r="I606" s="159"/>
      <c r="J606" s="159"/>
      <c r="K606" s="101"/>
      <c r="L606" s="81">
        <f>'32'!V6</f>
        <v>1</v>
      </c>
      <c r="M606" s="100">
        <f>'32'!W6</f>
        <v>4</v>
      </c>
      <c r="N606" s="159"/>
      <c r="O606" s="101"/>
      <c r="P606" s="102" t="str">
        <f>IF('32'!Z6=0,"",'32'!Z6)</f>
        <v/>
      </c>
      <c r="Q606" s="108" t="str">
        <f>IF('32'!AA6=0,"",'32'!AA6)</f>
        <v/>
      </c>
      <c r="R606" s="81" t="str">
        <f>IF('32'!AB6=0,"",'32'!AB6)</f>
        <v/>
      </c>
      <c r="S606" s="81" t="e">
        <f>IF('32'!AC6=0,"",'32'!AC6)</f>
        <v>#N/A</v>
      </c>
      <c r="T606" s="286"/>
      <c r="U606" s="286"/>
      <c r="V606" s="287"/>
    </row>
    <row r="607" ht="15" customHeight="1" spans="2:22">
      <c r="B607" s="9" t="e">
        <f t="shared" ref="B607:B654" si="11">COUNTA(C607)-IF(C607=0,1)+B606</f>
        <v>#REF!</v>
      </c>
      <c r="C607" s="31">
        <f>'32'!M7</f>
        <v>0</v>
      </c>
      <c r="D607" s="32" t="str">
        <f>IF('32'!N7=0,"",'32'!N7)</f>
        <v>CAF</v>
      </c>
      <c r="E607" s="36">
        <f>IF('32'!O7=0,"",'32'!O7)</f>
        <v>32</v>
      </c>
      <c r="F607" s="36">
        <f>IF('32'!P7=0,"",'32'!P7)</f>
        <v>101</v>
      </c>
      <c r="G607" s="103"/>
      <c r="H607" s="160"/>
      <c r="I607" s="160"/>
      <c r="J607" s="160"/>
      <c r="K607" s="104"/>
      <c r="L607" s="36">
        <f>'32'!V7</f>
        <v>2</v>
      </c>
      <c r="M607" s="103"/>
      <c r="N607" s="160"/>
      <c r="O607" s="104"/>
      <c r="P607" s="52" t="str">
        <f>IF('32'!Z7=0,"",'32'!Z7)</f>
        <v/>
      </c>
      <c r="Q607" s="109" t="str">
        <f>IF('32'!AA7=0,"",'32'!AA7)</f>
        <v/>
      </c>
      <c r="R607" s="36" t="str">
        <f>IF('32'!AB7=0,"",'32'!AB7)</f>
        <v/>
      </c>
      <c r="S607" s="36" t="e">
        <f>IF('32'!AC7=0,"",'32'!AC7)</f>
        <v>#N/A</v>
      </c>
      <c r="T607" s="268"/>
      <c r="U607" s="268"/>
      <c r="V607" s="269"/>
    </row>
    <row r="608" ht="15" customHeight="1" spans="2:22">
      <c r="B608" s="9" t="e">
        <f t="shared" si="11"/>
        <v>#REF!</v>
      </c>
      <c r="C608" s="31">
        <f>'32'!M8</f>
        <v>0</v>
      </c>
      <c r="D608" s="32" t="str">
        <f>IF('32'!N8=0,"",'32'!N8)</f>
        <v>CAF</v>
      </c>
      <c r="E608" s="36">
        <f>IF('32'!O8=0,"",'32'!O8)</f>
        <v>32</v>
      </c>
      <c r="F608" s="36">
        <f>IF('32'!P8=0,"",'32'!P8)</f>
        <v>101</v>
      </c>
      <c r="G608" s="103"/>
      <c r="H608" s="160"/>
      <c r="I608" s="160"/>
      <c r="J608" s="160"/>
      <c r="K608" s="104"/>
      <c r="L608" s="36">
        <f>'32'!V8</f>
        <v>3</v>
      </c>
      <c r="M608" s="103"/>
      <c r="N608" s="160"/>
      <c r="O608" s="104"/>
      <c r="P608" s="52" t="str">
        <f>IF('32'!Z8=0,"",'32'!Z8)</f>
        <v/>
      </c>
      <c r="Q608" s="109" t="str">
        <f>IF('32'!AA8=0,"",'32'!AA8)</f>
        <v/>
      </c>
      <c r="R608" s="36" t="str">
        <f>IF('32'!AB8=0,"",'32'!AB8)</f>
        <v/>
      </c>
      <c r="S608" s="36" t="e">
        <f>IF('32'!AC8=0,"",'32'!AC8)</f>
        <v>#N/A</v>
      </c>
      <c r="T608" s="268"/>
      <c r="U608" s="268"/>
      <c r="V608" s="269"/>
    </row>
    <row r="609" ht="15" customHeight="1" spans="2:22">
      <c r="B609" s="14" t="e">
        <f t="shared" si="11"/>
        <v>#REF!</v>
      </c>
      <c r="C609" s="83">
        <f>'32'!M9</f>
        <v>0</v>
      </c>
      <c r="D609" s="110" t="str">
        <f>IF('32'!N9=0,"",'32'!N9)</f>
        <v>CAF</v>
      </c>
      <c r="E609" s="85">
        <f>IF('32'!O9=0,"",'32'!O9)</f>
        <v>32</v>
      </c>
      <c r="F609" s="85">
        <f>IF('32'!P9=0,"",'32'!P9)</f>
        <v>101</v>
      </c>
      <c r="G609" s="105"/>
      <c r="H609" s="161"/>
      <c r="I609" s="161"/>
      <c r="J609" s="161"/>
      <c r="K609" s="106"/>
      <c r="L609" s="85">
        <f>'32'!V9</f>
        <v>4</v>
      </c>
      <c r="M609" s="105"/>
      <c r="N609" s="161"/>
      <c r="O609" s="106"/>
      <c r="P609" s="107" t="str">
        <f>IF('32'!Z9=0,"",'32'!Z9)</f>
        <v/>
      </c>
      <c r="Q609" s="111" t="str">
        <f>IF('32'!AA9=0,"",'32'!AA9)</f>
        <v/>
      </c>
      <c r="R609" s="85" t="str">
        <f>IF('32'!AB9=0,"",'32'!AB9)</f>
        <v/>
      </c>
      <c r="S609" s="85" t="e">
        <f>IF('32'!AC9=0,"",'32'!AC9)</f>
        <v>#N/A</v>
      </c>
      <c r="T609" s="273"/>
      <c r="U609" s="273"/>
      <c r="V609" s="274"/>
    </row>
    <row r="610" ht="15" customHeight="1" spans="2:22">
      <c r="B610" s="6" t="e">
        <f t="shared" si="11"/>
        <v>#REF!</v>
      </c>
      <c r="C610" s="79" t="str">
        <f>'32'!M10</f>
        <v>51401 Emilia </v>
      </c>
      <c r="D610" s="62" t="str">
        <f>IF('32'!N10=0,"",'32'!N10)</f>
        <v>CAF</v>
      </c>
      <c r="E610" s="81">
        <f>IF('32'!O10=0,"",'32'!O10)</f>
        <v>32</v>
      </c>
      <c r="F610" s="81">
        <f>IF('32'!P10=0,"",'32'!P10)</f>
        <v>102</v>
      </c>
      <c r="G610" s="100" t="e">
        <f>'32'!Q10</f>
        <v>#N/A</v>
      </c>
      <c r="H610" s="159">
        <f>'27'!R610</f>
        <v>0</v>
      </c>
      <c r="I610" s="159">
        <f>'27'!S610</f>
        <v>0</v>
      </c>
      <c r="J610" s="159"/>
      <c r="K610" s="101">
        <f>'27'!T610</f>
        <v>0</v>
      </c>
      <c r="L610" s="81">
        <f>'32'!V10</f>
        <v>1</v>
      </c>
      <c r="M610" s="100">
        <f>'32'!W10</f>
        <v>4</v>
      </c>
      <c r="N610" s="159"/>
      <c r="O610" s="101">
        <f>'32'!X10</f>
        <v>0</v>
      </c>
      <c r="P610" s="102" t="str">
        <f>IF('32'!Z10=0,"",'32'!Z10)</f>
        <v/>
      </c>
      <c r="Q610" s="108" t="str">
        <f>IF('32'!AA10=0,"",'32'!AA10)</f>
        <v/>
      </c>
      <c r="R610" s="81" t="str">
        <f>IF('32'!AB10=0,"",'32'!AB10)</f>
        <v/>
      </c>
      <c r="S610" s="81" t="e">
        <f>IF('32'!AC10=0,"",'32'!AC10)</f>
        <v>#N/A</v>
      </c>
      <c r="T610" s="286"/>
      <c r="U610" s="286"/>
      <c r="V610" s="287"/>
    </row>
    <row r="611" ht="15" customHeight="1" spans="2:22">
      <c r="B611" s="9" t="e">
        <f t="shared" si="11"/>
        <v>#REF!</v>
      </c>
      <c r="C611" s="31" t="str">
        <f>'32'!M11</f>
        <v>51203 Iza </v>
      </c>
      <c r="D611" s="32" t="str">
        <f>IF('32'!N11=0,"",'32'!N11)</f>
        <v>CAF</v>
      </c>
      <c r="E611" s="36">
        <f>IF('32'!O11=0,"",'32'!O11)</f>
        <v>32</v>
      </c>
      <c r="F611" s="36">
        <f>IF('32'!P11=0,"",'32'!P11)</f>
        <v>102</v>
      </c>
      <c r="G611" s="103">
        <f>'32'!Q11</f>
        <v>0</v>
      </c>
      <c r="H611" s="160">
        <f>'27'!R611</f>
        <v>0</v>
      </c>
      <c r="I611" s="160">
        <f>'27'!S611</f>
        <v>0</v>
      </c>
      <c r="J611" s="160"/>
      <c r="K611" s="104">
        <f>'27'!T611</f>
        <v>0</v>
      </c>
      <c r="L611" s="36">
        <f>'32'!V11</f>
        <v>2</v>
      </c>
      <c r="M611" s="103">
        <f>'32'!W11</f>
        <v>0</v>
      </c>
      <c r="N611" s="160"/>
      <c r="O611" s="104">
        <f>'32'!X11</f>
        <v>0</v>
      </c>
      <c r="P611" s="52" t="str">
        <f>IF('32'!Z11=0,"",'32'!Z11)</f>
        <v/>
      </c>
      <c r="Q611" s="109" t="str">
        <f>IF('32'!AA11=0,"",'32'!AA11)</f>
        <v/>
      </c>
      <c r="R611" s="36" t="str">
        <f>IF('32'!AB11=0,"",'32'!AB11)</f>
        <v/>
      </c>
      <c r="S611" s="36" t="e">
        <f>IF('32'!AC11=0,"",'32'!AC11)</f>
        <v>#N/A</v>
      </c>
      <c r="T611" s="268"/>
      <c r="U611" s="268"/>
      <c r="V611" s="269"/>
    </row>
    <row r="612" ht="15" customHeight="1" spans="2:22">
      <c r="B612" s="9" t="e">
        <f t="shared" si="11"/>
        <v>#REF!</v>
      </c>
      <c r="C612" s="31">
        <f>'32'!M12</f>
        <v>0</v>
      </c>
      <c r="D612" s="32" t="str">
        <f>IF('32'!N12=0,"",'32'!N12)</f>
        <v>CAF</v>
      </c>
      <c r="E612" s="36">
        <f>IF('32'!O12=0,"",'32'!O12)</f>
        <v>32</v>
      </c>
      <c r="F612" s="36">
        <f>IF('32'!P12=0,"",'32'!P12)</f>
        <v>102</v>
      </c>
      <c r="G612" s="103">
        <f>'32'!Q12</f>
        <v>0</v>
      </c>
      <c r="H612" s="160">
        <f>'27'!R612</f>
        <v>0</v>
      </c>
      <c r="I612" s="160">
        <f>'27'!S612</f>
        <v>0</v>
      </c>
      <c r="J612" s="160"/>
      <c r="K612" s="104">
        <f>'27'!T612</f>
        <v>0</v>
      </c>
      <c r="L612" s="36">
        <f>'32'!V12</f>
        <v>3</v>
      </c>
      <c r="M612" s="103">
        <f>'32'!W12</f>
        <v>0</v>
      </c>
      <c r="N612" s="160"/>
      <c r="O612" s="104">
        <f>'32'!X12</f>
        <v>0</v>
      </c>
      <c r="P612" s="52" t="str">
        <f>IF('32'!Z12=0,"",'32'!Z12)</f>
        <v/>
      </c>
      <c r="Q612" s="109" t="str">
        <f>IF('32'!AA12=0,"",'32'!AA12)</f>
        <v/>
      </c>
      <c r="R612" s="36" t="str">
        <f>IF('32'!AB12=0,"",'32'!AB12)</f>
        <v/>
      </c>
      <c r="S612" s="36" t="e">
        <f>IF('32'!AC12=0,"",'32'!AC12)</f>
        <v>#N/A</v>
      </c>
      <c r="T612" s="268"/>
      <c r="U612" s="268"/>
      <c r="V612" s="269"/>
    </row>
    <row r="613" ht="15" customHeight="1" spans="2:22">
      <c r="B613" s="14" t="e">
        <f t="shared" si="11"/>
        <v>#REF!</v>
      </c>
      <c r="C613" s="83">
        <f>'32'!M13</f>
        <v>0</v>
      </c>
      <c r="D613" s="110" t="str">
        <f>IF('32'!N13=0,"",'32'!N13)</f>
        <v>CAF</v>
      </c>
      <c r="E613" s="85">
        <f>IF('32'!O13=0,"",'32'!O13)</f>
        <v>32</v>
      </c>
      <c r="F613" s="85">
        <f>IF('32'!P13=0,"",'32'!P13)</f>
        <v>102</v>
      </c>
      <c r="G613" s="105">
        <f>'32'!Q13</f>
        <v>0</v>
      </c>
      <c r="H613" s="161">
        <f>'27'!R613</f>
        <v>0</v>
      </c>
      <c r="I613" s="161">
        <f>'27'!S613</f>
        <v>0</v>
      </c>
      <c r="J613" s="161"/>
      <c r="K613" s="106">
        <f>'27'!T613</f>
        <v>0</v>
      </c>
      <c r="L613" s="85">
        <f>'32'!V13</f>
        <v>4</v>
      </c>
      <c r="M613" s="105">
        <f>'32'!W13</f>
        <v>0</v>
      </c>
      <c r="N613" s="161"/>
      <c r="O613" s="106">
        <f>'32'!X13</f>
        <v>0</v>
      </c>
      <c r="P613" s="107" t="str">
        <f>IF('32'!Z13=0,"",'32'!Z13)</f>
        <v/>
      </c>
      <c r="Q613" s="111" t="str">
        <f>IF('32'!AA13=0,"",'32'!AA13)</f>
        <v/>
      </c>
      <c r="R613" s="85" t="str">
        <f>IF('32'!AB13=0,"",'32'!AB13)</f>
        <v/>
      </c>
      <c r="S613" s="85" t="e">
        <f>IF('32'!AC13=0,"",'32'!AC13)</f>
        <v>#N/A</v>
      </c>
      <c r="T613" s="273"/>
      <c r="U613" s="273"/>
      <c r="V613" s="274"/>
    </row>
    <row r="614" ht="15" customHeight="1" spans="2:22">
      <c r="B614" s="6" t="e">
        <f t="shared" si="11"/>
        <v>#REF!</v>
      </c>
      <c r="C614" s="79" t="str">
        <f>'32'!M14</f>
        <v>51407 Jens </v>
      </c>
      <c r="D614" s="62" t="str">
        <f>IF('32'!N14=0,"",'32'!N14)</f>
        <v>CAF</v>
      </c>
      <c r="E614" s="81">
        <f>IF('32'!O14=0,"",'32'!O14)</f>
        <v>32</v>
      </c>
      <c r="F614" s="81">
        <f>IF('32'!P14=0,"",'32'!P14)</f>
        <v>103</v>
      </c>
      <c r="G614" s="100" t="e">
        <f>'32'!Q14</f>
        <v>#N/A</v>
      </c>
      <c r="H614" s="159">
        <f>'27'!R614</f>
        <v>0</v>
      </c>
      <c r="I614" s="159">
        <f>'27'!S614</f>
        <v>0</v>
      </c>
      <c r="J614" s="159"/>
      <c r="K614" s="101">
        <f>'27'!T614</f>
        <v>0</v>
      </c>
      <c r="L614" s="81">
        <f>'32'!V14</f>
        <v>1</v>
      </c>
      <c r="M614" s="100">
        <f>'32'!W14</f>
        <v>4</v>
      </c>
      <c r="N614" s="159"/>
      <c r="O614" s="101">
        <f>'32'!X14</f>
        <v>0</v>
      </c>
      <c r="P614" s="102" t="str">
        <f>IF('32'!Z14=0,"",'32'!Z14)</f>
        <v/>
      </c>
      <c r="Q614" s="108" t="str">
        <f>IF('32'!AA14=0,"",'32'!AA14)</f>
        <v/>
      </c>
      <c r="R614" s="81" t="str">
        <f>IF('32'!AB14=0,"",'32'!AB14)</f>
        <v/>
      </c>
      <c r="S614" s="81" t="e">
        <f>IF('32'!AC14=0,"",'32'!AC14)</f>
        <v>#N/A</v>
      </c>
      <c r="T614" s="286"/>
      <c r="U614" s="286"/>
      <c r="V614" s="287"/>
    </row>
    <row r="615" ht="15" customHeight="1" spans="2:22">
      <c r="B615" s="9" t="e">
        <f t="shared" si="11"/>
        <v>#REF!</v>
      </c>
      <c r="C615" s="31" t="str">
        <f>'32'!M15</f>
        <v>51501 Mattias </v>
      </c>
      <c r="D615" s="32" t="str">
        <f>IF('32'!N15=0,"",'32'!N15)</f>
        <v>CAF</v>
      </c>
      <c r="E615" s="36">
        <f>IF('32'!O15=0,"",'32'!O15)</f>
        <v>32</v>
      </c>
      <c r="F615" s="36">
        <f>IF('32'!P15=0,"",'32'!P15)</f>
        <v>103</v>
      </c>
      <c r="G615" s="103">
        <f>'32'!Q15</f>
        <v>0</v>
      </c>
      <c r="H615" s="160">
        <f>'27'!R615</f>
        <v>0</v>
      </c>
      <c r="I615" s="160">
        <f>'27'!S615</f>
        <v>0</v>
      </c>
      <c r="J615" s="160"/>
      <c r="K615" s="104">
        <f>'27'!T615</f>
        <v>0</v>
      </c>
      <c r="L615" s="36">
        <f>'32'!V15</f>
        <v>2</v>
      </c>
      <c r="M615" s="103">
        <f>'32'!W15</f>
        <v>0</v>
      </c>
      <c r="N615" s="160"/>
      <c r="O615" s="104">
        <f>'32'!X15</f>
        <v>0</v>
      </c>
      <c r="P615" s="52" t="str">
        <f>IF('32'!Z15=0,"",'32'!Z15)</f>
        <v/>
      </c>
      <c r="Q615" s="109" t="str">
        <f>IF('32'!AA15=0,"",'32'!AA15)</f>
        <v/>
      </c>
      <c r="R615" s="36" t="str">
        <f>IF('32'!AB15=0,"",'32'!AB15)</f>
        <v/>
      </c>
      <c r="S615" s="36" t="e">
        <f>IF('32'!AC15=0,"",'32'!AC15)</f>
        <v>#N/A</v>
      </c>
      <c r="T615" s="268"/>
      <c r="U615" s="268"/>
      <c r="V615" s="269"/>
    </row>
    <row r="616" ht="15" customHeight="1" spans="2:22">
      <c r="B616" s="9" t="e">
        <f t="shared" si="11"/>
        <v>#REF!</v>
      </c>
      <c r="C616" s="31">
        <f>'32'!M16</f>
        <v>0</v>
      </c>
      <c r="D616" s="32" t="str">
        <f>IF('32'!N16=0,"",'32'!N16)</f>
        <v>CAF</v>
      </c>
      <c r="E616" s="36">
        <f>IF('32'!O16=0,"",'32'!O16)</f>
        <v>32</v>
      </c>
      <c r="F616" s="36">
        <f>IF('32'!P16=0,"",'32'!P16)</f>
        <v>103</v>
      </c>
      <c r="G616" s="103">
        <f>'32'!Q16</f>
        <v>0</v>
      </c>
      <c r="H616" s="160">
        <f>'27'!R616</f>
        <v>0</v>
      </c>
      <c r="I616" s="160">
        <f>'27'!S616</f>
        <v>0</v>
      </c>
      <c r="J616" s="160"/>
      <c r="K616" s="104">
        <f>'27'!T616</f>
        <v>0</v>
      </c>
      <c r="L616" s="36">
        <f>'32'!V16</f>
        <v>3</v>
      </c>
      <c r="M616" s="103">
        <f>'32'!W16</f>
        <v>0</v>
      </c>
      <c r="N616" s="160"/>
      <c r="O616" s="104">
        <f>'32'!X16</f>
        <v>0</v>
      </c>
      <c r="P616" s="52" t="str">
        <f>IF('32'!Z16=0,"",'32'!Z16)</f>
        <v/>
      </c>
      <c r="Q616" s="109" t="str">
        <f>IF('32'!AA16=0,"",'32'!AA16)</f>
        <v/>
      </c>
      <c r="R616" s="36" t="str">
        <f>IF('32'!AB16=0,"",'32'!AB16)</f>
        <v/>
      </c>
      <c r="S616" s="36" t="e">
        <f>IF('32'!AC16=0,"",'32'!AC16)</f>
        <v>#N/A</v>
      </c>
      <c r="T616" s="268"/>
      <c r="U616" s="268"/>
      <c r="V616" s="269"/>
    </row>
    <row r="617" ht="15" customHeight="1" spans="2:22">
      <c r="B617" s="14" t="e">
        <f t="shared" si="11"/>
        <v>#REF!</v>
      </c>
      <c r="C617" s="83">
        <f>'32'!M17</f>
        <v>0</v>
      </c>
      <c r="D617" s="110" t="str">
        <f>IF('32'!N17=0,"",'32'!N17)</f>
        <v>CAF</v>
      </c>
      <c r="E617" s="85">
        <f>IF('32'!O17=0,"",'32'!O17)</f>
        <v>32</v>
      </c>
      <c r="F617" s="85">
        <f>IF('32'!P17=0,"",'32'!P17)</f>
        <v>103</v>
      </c>
      <c r="G617" s="105">
        <f>'32'!Q17</f>
        <v>0</v>
      </c>
      <c r="H617" s="161">
        <f>'27'!R617</f>
        <v>0</v>
      </c>
      <c r="I617" s="161">
        <f>'27'!S617</f>
        <v>0</v>
      </c>
      <c r="J617" s="161"/>
      <c r="K617" s="106">
        <f>'27'!T617</f>
        <v>0</v>
      </c>
      <c r="L617" s="85">
        <f>'32'!V17</f>
        <v>4</v>
      </c>
      <c r="M617" s="105">
        <f>'32'!W17</f>
        <v>0</v>
      </c>
      <c r="N617" s="161"/>
      <c r="O617" s="106">
        <f>'32'!X17</f>
        <v>0</v>
      </c>
      <c r="P617" s="107" t="str">
        <f>IF('32'!Z17=0,"",'32'!Z17)</f>
        <v/>
      </c>
      <c r="Q617" s="111" t="str">
        <f>IF('32'!AA17=0,"",'32'!AA17)</f>
        <v/>
      </c>
      <c r="R617" s="85" t="str">
        <f>IF('32'!AB17=0,"",'32'!AB17)</f>
        <v/>
      </c>
      <c r="S617" s="85" t="e">
        <f>IF('32'!AC17=0,"",'32'!AC17)</f>
        <v>#N/A</v>
      </c>
      <c r="T617" s="273"/>
      <c r="U617" s="273"/>
      <c r="V617" s="274"/>
    </row>
    <row r="618" ht="15" customHeight="1" spans="2:22">
      <c r="B618" s="6" t="e">
        <f t="shared" si="11"/>
        <v>#REF!</v>
      </c>
      <c r="C618" s="79" t="str">
        <f>'32'!M18</f>
        <v>51105 David </v>
      </c>
      <c r="D618" s="62" t="str">
        <f>IF('32'!N18=0,"",'32'!N18)</f>
        <v>CAF</v>
      </c>
      <c r="E618" s="81">
        <f>IF('32'!O18=0,"",'32'!O18)</f>
        <v>32</v>
      </c>
      <c r="F618" s="81">
        <f>IF('32'!P18=0,"",'32'!P18)</f>
        <v>104</v>
      </c>
      <c r="G618" s="100" t="str">
        <f>'32'!Q18</f>
        <v>Single</v>
      </c>
      <c r="H618" s="159">
        <f>'27'!R618</f>
        <v>0</v>
      </c>
      <c r="I618" s="159">
        <f>'27'!S618</f>
        <v>0</v>
      </c>
      <c r="J618" s="159"/>
      <c r="K618" s="101">
        <f>'27'!T618</f>
        <v>0</v>
      </c>
      <c r="L618" s="81">
        <f>'32'!V18</f>
        <v>0</v>
      </c>
      <c r="M618" s="100">
        <f>'32'!W18</f>
        <v>1</v>
      </c>
      <c r="N618" s="159"/>
      <c r="O618" s="101">
        <f>'32'!X18</f>
        <v>0</v>
      </c>
      <c r="P618" s="102" t="str">
        <f>IF('32'!Z18=0,"",'32'!Z18)</f>
        <v/>
      </c>
      <c r="Q618" s="108" t="str">
        <f>IF('32'!AA18=0,"",'32'!AA18)</f>
        <v/>
      </c>
      <c r="R618" s="81" t="str">
        <f>IF('32'!AB18=0,"",'32'!AB18)</f>
        <v/>
      </c>
      <c r="S618" s="81" t="e">
        <f>IF('32'!AC18=0,"",'32'!AC18)</f>
        <v>#N/A</v>
      </c>
      <c r="T618" s="286"/>
      <c r="U618" s="286"/>
      <c r="V618" s="287"/>
    </row>
    <row r="619" ht="15" customHeight="1" spans="2:22">
      <c r="B619" s="9" t="e">
        <f t="shared" si="11"/>
        <v>#REF!</v>
      </c>
      <c r="C619" s="31" t="str">
        <f>'32'!M19</f>
        <v>51108 Colin </v>
      </c>
      <c r="D619" s="32" t="str">
        <f>IF('32'!N19=0,"",'32'!N19)</f>
        <v>CAF</v>
      </c>
      <c r="E619" s="36">
        <f>IF('32'!O19=0,"",'32'!O19)</f>
        <v>32</v>
      </c>
      <c r="F619" s="36">
        <f>IF('32'!P19=0,"",'32'!P19)</f>
        <v>104</v>
      </c>
      <c r="G619" s="103">
        <f>'32'!Q19</f>
        <v>0</v>
      </c>
      <c r="H619" s="160">
        <f>'27'!R619</f>
        <v>0</v>
      </c>
      <c r="I619" s="160">
        <f>'27'!S619</f>
        <v>0</v>
      </c>
      <c r="J619" s="160"/>
      <c r="K619" s="104">
        <f>'27'!T619</f>
        <v>0</v>
      </c>
      <c r="L619" s="36">
        <f>'32'!V19</f>
        <v>0</v>
      </c>
      <c r="M619" s="103">
        <f>'32'!W19</f>
        <v>0</v>
      </c>
      <c r="N619" s="160"/>
      <c r="O619" s="104">
        <f>'32'!X19</f>
        <v>0</v>
      </c>
      <c r="P619" s="52" t="str">
        <f>IF('32'!Z19=0,"",'32'!Z19)</f>
        <v/>
      </c>
      <c r="Q619" s="109" t="str">
        <f>IF('32'!AA19=0,"",'32'!AA19)</f>
        <v/>
      </c>
      <c r="R619" s="36" t="str">
        <f>IF('32'!AB19=0,"",'32'!AB19)</f>
        <v/>
      </c>
      <c r="S619" s="36" t="e">
        <f>IF('32'!AC19=0,"",'32'!AC19)</f>
        <v>#N/A</v>
      </c>
      <c r="T619" s="268"/>
      <c r="U619" s="268"/>
      <c r="V619" s="269"/>
    </row>
    <row r="620" ht="15" customHeight="1" spans="2:22">
      <c r="B620" s="9" t="e">
        <f t="shared" si="11"/>
        <v>#REF!</v>
      </c>
      <c r="C620" s="31">
        <f>'32'!M20</f>
        <v>0</v>
      </c>
      <c r="D620" s="32" t="str">
        <f>IF('32'!N20=0,"",'32'!N20)</f>
        <v>CAF</v>
      </c>
      <c r="E620" s="36">
        <f>IF('32'!O20=0,"",'32'!O20)</f>
        <v>32</v>
      </c>
      <c r="F620" s="36">
        <f>IF('32'!P20=0,"",'32'!P20)</f>
        <v>104</v>
      </c>
      <c r="G620" s="103">
        <f>'32'!Q20</f>
        <v>0</v>
      </c>
      <c r="H620" s="160">
        <f>'27'!R620</f>
        <v>0</v>
      </c>
      <c r="I620" s="160">
        <f>'27'!S620</f>
        <v>0</v>
      </c>
      <c r="J620" s="160"/>
      <c r="K620" s="104">
        <f>'27'!T620</f>
        <v>0</v>
      </c>
      <c r="L620" s="36">
        <f>'32'!V20</f>
        <v>3</v>
      </c>
      <c r="M620" s="103">
        <f>'32'!W20</f>
        <v>0</v>
      </c>
      <c r="N620" s="160"/>
      <c r="O620" s="104">
        <f>'32'!X20</f>
        <v>0</v>
      </c>
      <c r="P620" s="52" t="str">
        <f>IF('32'!Z20=0,"",'32'!Z20)</f>
        <v/>
      </c>
      <c r="Q620" s="109" t="str">
        <f>IF('32'!AA20=0,"",'32'!AA20)</f>
        <v/>
      </c>
      <c r="R620" s="36" t="str">
        <f>IF('32'!AB20=0,"",'32'!AB20)</f>
        <v/>
      </c>
      <c r="S620" s="36" t="e">
        <f>IF('32'!AC20=0,"",'32'!AC20)</f>
        <v>#N/A</v>
      </c>
      <c r="T620" s="268"/>
      <c r="U620" s="268"/>
      <c r="V620" s="269"/>
    </row>
    <row r="621" ht="15" customHeight="1" spans="2:22">
      <c r="B621" s="14" t="e">
        <f t="shared" si="11"/>
        <v>#REF!</v>
      </c>
      <c r="C621" s="83">
        <f>'32'!M21</f>
        <v>0</v>
      </c>
      <c r="D621" s="110" t="str">
        <f>IF('32'!N21=0,"",'32'!N21)</f>
        <v>CAF</v>
      </c>
      <c r="E621" s="85">
        <f>IF('32'!O21=0,"",'32'!O21)</f>
        <v>32</v>
      </c>
      <c r="F621" s="85">
        <f>IF('32'!P21=0,"",'32'!P21)</f>
        <v>104</v>
      </c>
      <c r="G621" s="105">
        <f>'32'!Q21</f>
        <v>0</v>
      </c>
      <c r="H621" s="161">
        <f>'27'!R621</f>
        <v>0</v>
      </c>
      <c r="I621" s="161">
        <f>'27'!S621</f>
        <v>0</v>
      </c>
      <c r="J621" s="161"/>
      <c r="K621" s="106">
        <f>'27'!T621</f>
        <v>0</v>
      </c>
      <c r="L621" s="85">
        <f>'32'!V21</f>
        <v>0</v>
      </c>
      <c r="M621" s="105">
        <f>'32'!W21</f>
        <v>0</v>
      </c>
      <c r="N621" s="161"/>
      <c r="O621" s="106">
        <f>'32'!X21</f>
        <v>0</v>
      </c>
      <c r="P621" s="107" t="str">
        <f>IF('32'!Z21=0,"",'32'!Z21)</f>
        <v/>
      </c>
      <c r="Q621" s="111" t="str">
        <f>IF('32'!AA21=0,"",'32'!AA21)</f>
        <v/>
      </c>
      <c r="R621" s="85" t="str">
        <f>IF('32'!AB21=0,"",'32'!AB21)</f>
        <v/>
      </c>
      <c r="S621" s="85" t="e">
        <f>IF('32'!AC21=0,"",'32'!AC21)</f>
        <v>#N/A</v>
      </c>
      <c r="T621" s="273"/>
      <c r="U621" s="273"/>
      <c r="V621" s="274"/>
    </row>
    <row r="622" ht="15" customHeight="1" spans="2:22">
      <c r="B622" s="6" t="e">
        <f t="shared" si="11"/>
        <v>#REF!</v>
      </c>
      <c r="C622" s="79" t="str">
        <f>'32'!M22</f>
        <v>51305 Rex </v>
      </c>
      <c r="D622" s="62" t="str">
        <f>IF('32'!N22=0,"",'32'!N22)</f>
        <v>CAF</v>
      </c>
      <c r="E622" s="81">
        <f>IF('32'!O22=0,"",'32'!O22)</f>
        <v>32</v>
      </c>
      <c r="F622" s="81">
        <f>IF('32'!P22=0,"",'32'!P22)</f>
        <v>105</v>
      </c>
      <c r="G622" s="100" t="str">
        <f>'32'!Q22</f>
        <v>Double</v>
      </c>
      <c r="H622" s="159">
        <f>'27'!R622</f>
        <v>0</v>
      </c>
      <c r="I622" s="159">
        <f>'27'!S622</f>
        <v>0</v>
      </c>
      <c r="J622" s="159"/>
      <c r="K622" s="101">
        <f>'27'!T622</f>
        <v>0</v>
      </c>
      <c r="L622" s="81">
        <f>'32'!V22</f>
        <v>1</v>
      </c>
      <c r="M622" s="100">
        <f>'32'!W22</f>
        <v>2</v>
      </c>
      <c r="N622" s="159"/>
      <c r="O622" s="101">
        <f>'32'!X22</f>
        <v>0</v>
      </c>
      <c r="P622" s="102" t="str">
        <f>IF('32'!Z22=0,"",'32'!Z22)</f>
        <v/>
      </c>
      <c r="Q622" s="108" t="str">
        <f>IF('32'!AA22=0,"",'32'!AA22)</f>
        <v/>
      </c>
      <c r="R622" s="81" t="str">
        <f>IF('32'!AB22=0,"",'32'!AB22)</f>
        <v/>
      </c>
      <c r="S622" s="81" t="e">
        <f>IF('32'!AC22=0,"",'32'!AC22)</f>
        <v>#N/A</v>
      </c>
      <c r="T622" s="286"/>
      <c r="U622" s="286"/>
      <c r="V622" s="287"/>
    </row>
    <row r="623" ht="15" customHeight="1" spans="2:22">
      <c r="B623" s="9" t="e">
        <f t="shared" si="11"/>
        <v>#REF!</v>
      </c>
      <c r="C623" s="31" t="str">
        <f>'32'!M23</f>
        <v>51207 Tim </v>
      </c>
      <c r="D623" s="32" t="str">
        <f>IF('32'!N23=0,"",'32'!N23)</f>
        <v>CAF</v>
      </c>
      <c r="E623" s="36">
        <f>IF('32'!O23=0,"",'32'!O23)</f>
        <v>32</v>
      </c>
      <c r="F623" s="36">
        <f>IF('32'!P23=0,"",'32'!P23)</f>
        <v>105</v>
      </c>
      <c r="G623" s="103">
        <f>'32'!Q23</f>
        <v>0</v>
      </c>
      <c r="H623" s="160">
        <f>'27'!R623</f>
        <v>0</v>
      </c>
      <c r="I623" s="160">
        <f>'27'!S623</f>
        <v>0</v>
      </c>
      <c r="J623" s="160"/>
      <c r="K623" s="104">
        <f>'27'!T623</f>
        <v>0</v>
      </c>
      <c r="L623" s="36">
        <f>'32'!V23</f>
        <v>2</v>
      </c>
      <c r="M623" s="103">
        <f>'32'!W23</f>
        <v>0</v>
      </c>
      <c r="N623" s="160"/>
      <c r="O623" s="104">
        <f>'32'!X23</f>
        <v>0</v>
      </c>
      <c r="P623" s="52" t="str">
        <f>IF('32'!Z23=0,"",'32'!Z23)</f>
        <v/>
      </c>
      <c r="Q623" s="109" t="str">
        <f>IF('32'!AA23=0,"",'32'!AA23)</f>
        <v/>
      </c>
      <c r="R623" s="36" t="str">
        <f>IF('32'!AB23=0,"",'32'!AB23)</f>
        <v/>
      </c>
      <c r="S623" s="36" t="e">
        <f>IF('32'!AC23=0,"",'32'!AC23)</f>
        <v>#N/A</v>
      </c>
      <c r="T623" s="268"/>
      <c r="U623" s="268"/>
      <c r="V623" s="269"/>
    </row>
    <row r="624" ht="15" customHeight="1" spans="2:22">
      <c r="B624" s="9" t="e">
        <f t="shared" si="11"/>
        <v>#REF!</v>
      </c>
      <c r="C624" s="31">
        <f>'32'!M24</f>
        <v>0</v>
      </c>
      <c r="D624" s="32" t="str">
        <f>IF('32'!N24=0,"",'32'!N24)</f>
        <v>CAF</v>
      </c>
      <c r="E624" s="36">
        <f>IF('32'!O24=0,"",'32'!O24)</f>
        <v>32</v>
      </c>
      <c r="F624" s="36">
        <f>IF('32'!P24=0,"",'32'!P24)</f>
        <v>105</v>
      </c>
      <c r="G624" s="103">
        <f>'32'!Q24</f>
        <v>0</v>
      </c>
      <c r="H624" s="160">
        <f>'27'!R624</f>
        <v>0</v>
      </c>
      <c r="I624" s="160">
        <f>'27'!S624</f>
        <v>0</v>
      </c>
      <c r="J624" s="160"/>
      <c r="K624" s="104">
        <f>'27'!T624</f>
        <v>0</v>
      </c>
      <c r="L624" s="36">
        <f>'32'!V24</f>
        <v>0</v>
      </c>
      <c r="M624" s="103">
        <f>'32'!W24</f>
        <v>0</v>
      </c>
      <c r="N624" s="160"/>
      <c r="O624" s="104">
        <f>'32'!X24</f>
        <v>0</v>
      </c>
      <c r="P624" s="52" t="str">
        <f>IF('32'!Z24=0,"",'32'!Z24)</f>
        <v/>
      </c>
      <c r="Q624" s="109" t="str">
        <f>IF('32'!AA24=0,"",'32'!AA24)</f>
        <v/>
      </c>
      <c r="R624" s="36" t="str">
        <f>IF('32'!AB24=0,"",'32'!AB24)</f>
        <v/>
      </c>
      <c r="S624" s="36" t="e">
        <f>IF('32'!AC24=0,"",'32'!AC24)</f>
        <v>#N/A</v>
      </c>
      <c r="T624" s="268"/>
      <c r="U624" s="268"/>
      <c r="V624" s="269"/>
    </row>
    <row r="625" ht="15" customHeight="1" spans="2:22">
      <c r="B625" s="14" t="e">
        <f t="shared" si="11"/>
        <v>#REF!</v>
      </c>
      <c r="C625" s="83">
        <f>'32'!M25</f>
        <v>0</v>
      </c>
      <c r="D625" s="110" t="str">
        <f>IF('32'!N25=0,"",'32'!N25)</f>
        <v>CAF</v>
      </c>
      <c r="E625" s="85">
        <f>IF('32'!O25=0,"",'32'!O25)</f>
        <v>32</v>
      </c>
      <c r="F625" s="85">
        <f>IF('32'!P25=0,"",'32'!P25)</f>
        <v>105</v>
      </c>
      <c r="G625" s="105">
        <f>'32'!Q25</f>
        <v>0</v>
      </c>
      <c r="H625" s="161">
        <f>'27'!R625</f>
        <v>0</v>
      </c>
      <c r="I625" s="161">
        <f>'27'!S625</f>
        <v>0</v>
      </c>
      <c r="J625" s="161"/>
      <c r="K625" s="106">
        <f>'27'!T625</f>
        <v>0</v>
      </c>
      <c r="L625" s="85">
        <f>'32'!V25</f>
        <v>0</v>
      </c>
      <c r="M625" s="105">
        <f>'32'!W25</f>
        <v>0</v>
      </c>
      <c r="N625" s="161"/>
      <c r="O625" s="106">
        <f>'32'!X25</f>
        <v>0</v>
      </c>
      <c r="P625" s="107" t="str">
        <f>IF('32'!Z25=0,"",'32'!Z25)</f>
        <v/>
      </c>
      <c r="Q625" s="111" t="str">
        <f>IF('32'!AA25=0,"",'32'!AA25)</f>
        <v/>
      </c>
      <c r="R625" s="85" t="str">
        <f>IF('32'!AB25=0,"",'32'!AB25)</f>
        <v/>
      </c>
      <c r="S625" s="85" t="e">
        <f>IF('32'!AC25=0,"",'32'!AC25)</f>
        <v>#N/A</v>
      </c>
      <c r="T625" s="273"/>
      <c r="U625" s="273"/>
      <c r="V625" s="274"/>
    </row>
    <row r="626" ht="15" customHeight="1" spans="2:22">
      <c r="B626" s="6" t="e">
        <f t="shared" si="11"/>
        <v>#REF!</v>
      </c>
      <c r="C626" s="79" t="str">
        <f>'32'!M26</f>
        <v>51307 Christoffer </v>
      </c>
      <c r="D626" s="62" t="str">
        <f>IF('32'!N26=0,"",'32'!N26)</f>
        <v>CAF</v>
      </c>
      <c r="E626" s="81">
        <f>IF('32'!O26=0,"",'32'!O26)</f>
        <v>32</v>
      </c>
      <c r="F626" s="81">
        <f>IF('32'!P26=0,"",'32'!P26)</f>
        <v>106</v>
      </c>
      <c r="G626" s="100" t="str">
        <f>'32'!Q26</f>
        <v>Quadre</v>
      </c>
      <c r="H626" s="159">
        <f>'27'!R626</f>
        <v>0</v>
      </c>
      <c r="I626" s="159">
        <f>'27'!S626</f>
        <v>0</v>
      </c>
      <c r="J626" s="159"/>
      <c r="K626" s="101">
        <f>'27'!T626</f>
        <v>0</v>
      </c>
      <c r="L626" s="81">
        <f>'32'!V26</f>
        <v>1</v>
      </c>
      <c r="M626" s="100">
        <f>'32'!W26</f>
        <v>4</v>
      </c>
      <c r="N626" s="159"/>
      <c r="O626" s="101">
        <f>'32'!X26</f>
        <v>0</v>
      </c>
      <c r="P626" s="102" t="str">
        <f>IF('32'!Z26=0,"",'32'!Z26)</f>
        <v/>
      </c>
      <c r="Q626" s="108" t="str">
        <f>IF('32'!AA26=0,"",'32'!AA26)</f>
        <v/>
      </c>
      <c r="R626" s="81" t="str">
        <f>IF('32'!AB26=0,"",'32'!AB26)</f>
        <v/>
      </c>
      <c r="S626" s="81" t="e">
        <f>IF('32'!AC26=0,"",'32'!AC26)</f>
        <v>#N/A</v>
      </c>
      <c r="T626" s="286"/>
      <c r="U626" s="286"/>
      <c r="V626" s="287"/>
    </row>
    <row r="627" ht="15" customHeight="1" spans="2:22">
      <c r="B627" s="9" t="e">
        <f t="shared" si="11"/>
        <v>#REF!</v>
      </c>
      <c r="C627" s="31" t="str">
        <f>'32'!M27</f>
        <v>51308 Carl-Gustaf </v>
      </c>
      <c r="D627" s="32" t="str">
        <f>IF('32'!N27=0,"",'32'!N27)</f>
        <v>CAF</v>
      </c>
      <c r="E627" s="36">
        <f>IF('32'!O27=0,"",'32'!O27)</f>
        <v>32</v>
      </c>
      <c r="F627" s="36">
        <f>IF('32'!P27=0,"",'32'!P27)</f>
        <v>106</v>
      </c>
      <c r="G627" s="103">
        <f>'32'!Q27</f>
        <v>0</v>
      </c>
      <c r="H627" s="160">
        <f>'27'!R627</f>
        <v>0</v>
      </c>
      <c r="I627" s="160">
        <f>'27'!S627</f>
        <v>0</v>
      </c>
      <c r="J627" s="160"/>
      <c r="K627" s="104">
        <f>'27'!T627</f>
        <v>0</v>
      </c>
      <c r="L627" s="36">
        <f>'32'!V27</f>
        <v>2</v>
      </c>
      <c r="M627" s="103">
        <f>'32'!W27</f>
        <v>0</v>
      </c>
      <c r="N627" s="160"/>
      <c r="O627" s="104">
        <f>'32'!X27</f>
        <v>0</v>
      </c>
      <c r="P627" s="52" t="str">
        <f>IF('32'!Z27=0,"",'32'!Z27)</f>
        <v/>
      </c>
      <c r="Q627" s="109" t="str">
        <f>IF('32'!AA27=0,"",'32'!AA27)</f>
        <v/>
      </c>
      <c r="R627" s="36" t="str">
        <f>IF('32'!AB27=0,"",'32'!AB27)</f>
        <v/>
      </c>
      <c r="S627" s="36" t="e">
        <f>IF('32'!AC27=0,"",'32'!AC27)</f>
        <v>#N/A</v>
      </c>
      <c r="T627" s="268"/>
      <c r="U627" s="268"/>
      <c r="V627" s="269"/>
    </row>
    <row r="628" ht="15" customHeight="1" spans="2:22">
      <c r="B628" s="9" t="e">
        <f t="shared" si="11"/>
        <v>#REF!</v>
      </c>
      <c r="C628" s="31">
        <f>'32'!M28</f>
        <v>0</v>
      </c>
      <c r="D628" s="32" t="str">
        <f>IF('32'!N28=0,"",'32'!N28)</f>
        <v>CAF</v>
      </c>
      <c r="E628" s="36">
        <f>IF('32'!O28=0,"",'32'!O28)</f>
        <v>32</v>
      </c>
      <c r="F628" s="36">
        <f>IF('32'!P28=0,"",'32'!P28)</f>
        <v>106</v>
      </c>
      <c r="G628" s="103">
        <f>'32'!Q28</f>
        <v>0</v>
      </c>
      <c r="H628" s="160">
        <f>'27'!R628</f>
        <v>0</v>
      </c>
      <c r="I628" s="160">
        <f>'27'!S628</f>
        <v>0</v>
      </c>
      <c r="J628" s="160"/>
      <c r="K628" s="104">
        <f>'27'!T628</f>
        <v>0</v>
      </c>
      <c r="L628" s="36">
        <f>'32'!V28</f>
        <v>3</v>
      </c>
      <c r="M628" s="103">
        <f>'32'!W28</f>
        <v>0</v>
      </c>
      <c r="N628" s="160"/>
      <c r="O628" s="104">
        <f>'32'!X28</f>
        <v>0</v>
      </c>
      <c r="P628" s="52" t="str">
        <f>IF('32'!Z28=0,"",'32'!Z28)</f>
        <v/>
      </c>
      <c r="Q628" s="109" t="str">
        <f>IF('32'!AA28=0,"",'32'!AA28)</f>
        <v/>
      </c>
      <c r="R628" s="36" t="str">
        <f>IF('32'!AB28=0,"",'32'!AB28)</f>
        <v/>
      </c>
      <c r="S628" s="36" t="e">
        <f>IF('32'!AC28=0,"",'32'!AC28)</f>
        <v>#N/A</v>
      </c>
      <c r="T628" s="268"/>
      <c r="U628" s="268"/>
      <c r="V628" s="269"/>
    </row>
    <row r="629" ht="15" customHeight="1" spans="2:22">
      <c r="B629" s="14" t="e">
        <f t="shared" si="11"/>
        <v>#REF!</v>
      </c>
      <c r="C629" s="83">
        <f>'32'!M29</f>
        <v>0</v>
      </c>
      <c r="D629" s="110" t="str">
        <f>IF('32'!N29=0,"",'32'!N29)</f>
        <v>CAF</v>
      </c>
      <c r="E629" s="85">
        <f>IF('32'!O29=0,"",'32'!O29)</f>
        <v>32</v>
      </c>
      <c r="F629" s="85">
        <f>IF('32'!P29=0,"",'32'!P29)</f>
        <v>106</v>
      </c>
      <c r="G629" s="105">
        <f>'32'!Q29</f>
        <v>0</v>
      </c>
      <c r="H629" s="161">
        <f>'27'!R629</f>
        <v>0</v>
      </c>
      <c r="I629" s="161">
        <f>'27'!S629</f>
        <v>0</v>
      </c>
      <c r="J629" s="161"/>
      <c r="K629" s="106">
        <f>'27'!T629</f>
        <v>0</v>
      </c>
      <c r="L629" s="85">
        <f>'32'!V29</f>
        <v>4</v>
      </c>
      <c r="M629" s="105">
        <f>'32'!W29</f>
        <v>0</v>
      </c>
      <c r="N629" s="161"/>
      <c r="O629" s="106">
        <f>'32'!X29</f>
        <v>0</v>
      </c>
      <c r="P629" s="107" t="str">
        <f>IF('32'!Z29=0,"",'32'!Z29)</f>
        <v/>
      </c>
      <c r="Q629" s="111" t="str">
        <f>IF('32'!AA29=0,"",'32'!AA29)</f>
        <v/>
      </c>
      <c r="R629" s="85" t="str">
        <f>IF('32'!AB29=0,"",'32'!AB29)</f>
        <v/>
      </c>
      <c r="S629" s="85" t="e">
        <f>IF('32'!AC29=0,"",'32'!AC29)</f>
        <v>#N/A</v>
      </c>
      <c r="T629" s="273"/>
      <c r="U629" s="273"/>
      <c r="V629" s="274"/>
    </row>
    <row r="630" ht="15" customHeight="1" spans="2:22">
      <c r="B630" s="6" t="e">
        <f t="shared" si="11"/>
        <v>#REF!</v>
      </c>
      <c r="C630" s="79" t="str">
        <f>'32'!M30</f>
        <v>51001 Marcus </v>
      </c>
      <c r="D630" s="62" t="str">
        <f>IF('32'!N30=0,"",'32'!N30)</f>
        <v>CAF</v>
      </c>
      <c r="E630" s="81">
        <f>IF('32'!O30=0,"",'32'!O30)</f>
        <v>32</v>
      </c>
      <c r="F630" s="81">
        <f>IF('32'!P30=0,"",'32'!P30)</f>
        <v>107</v>
      </c>
      <c r="G630" s="100" t="str">
        <f>'32'!Q30</f>
        <v>Quadre</v>
      </c>
      <c r="H630" s="159">
        <f>'27'!R630</f>
        <v>0</v>
      </c>
      <c r="I630" s="159">
        <f>'27'!S630</f>
        <v>0</v>
      </c>
      <c r="J630" s="159"/>
      <c r="K630" s="101">
        <f>'27'!T630</f>
        <v>0</v>
      </c>
      <c r="L630" s="81">
        <f>'32'!V30</f>
        <v>1</v>
      </c>
      <c r="M630" s="100">
        <f>'32'!W30</f>
        <v>4</v>
      </c>
      <c r="N630" s="159"/>
      <c r="O630" s="101">
        <f>'32'!X30</f>
        <v>0</v>
      </c>
      <c r="P630" s="102" t="str">
        <f>IF('32'!Z30=0,"",'32'!Z30)</f>
        <v/>
      </c>
      <c r="Q630" s="108" t="str">
        <f>IF('32'!AA30=0,"",'32'!AA30)</f>
        <v/>
      </c>
      <c r="R630" s="81" t="str">
        <f>IF('32'!AB30=0,"",'32'!AB30)</f>
        <v/>
      </c>
      <c r="S630" s="81" t="e">
        <f>IF('32'!AC30=0,"",'32'!AC30)</f>
        <v>#N/A</v>
      </c>
      <c r="T630" s="286"/>
      <c r="U630" s="286"/>
      <c r="V630" s="287"/>
    </row>
    <row r="631" ht="15" customHeight="1" spans="2:22">
      <c r="B631" s="9" t="e">
        <f t="shared" si="11"/>
        <v>#REF!</v>
      </c>
      <c r="C631" s="31">
        <f>'32'!M31</f>
        <v>0</v>
      </c>
      <c r="D631" s="32" t="str">
        <f>IF('32'!N31=0,"",'32'!N31)</f>
        <v>CAF</v>
      </c>
      <c r="E631" s="36">
        <f>IF('32'!O31=0,"",'32'!O31)</f>
        <v>32</v>
      </c>
      <c r="F631" s="36">
        <f>IF('32'!P31=0,"",'32'!P31)</f>
        <v>107</v>
      </c>
      <c r="G631" s="103">
        <f>'32'!Q31</f>
        <v>0</v>
      </c>
      <c r="H631" s="160">
        <f>'27'!R631</f>
        <v>0</v>
      </c>
      <c r="I631" s="160">
        <f>'27'!S631</f>
        <v>0</v>
      </c>
      <c r="J631" s="160"/>
      <c r="K631" s="104">
        <f>'27'!T631</f>
        <v>0</v>
      </c>
      <c r="L631" s="36">
        <f>'32'!V31</f>
        <v>2</v>
      </c>
      <c r="M631" s="103">
        <f>'32'!W31</f>
        <v>0</v>
      </c>
      <c r="N631" s="160"/>
      <c r="O631" s="104">
        <f>'32'!X31</f>
        <v>0</v>
      </c>
      <c r="P631" s="52" t="str">
        <f>IF('32'!Z31=0,"",'32'!Z31)</f>
        <v/>
      </c>
      <c r="Q631" s="109" t="str">
        <f>IF('32'!AA31=0,"",'32'!AA31)</f>
        <v/>
      </c>
      <c r="R631" s="36" t="str">
        <f>IF('32'!AB31=0,"",'32'!AB31)</f>
        <v/>
      </c>
      <c r="S631" s="36" t="e">
        <f>IF('32'!AC31=0,"",'32'!AC31)</f>
        <v>#N/A</v>
      </c>
      <c r="T631" s="268"/>
      <c r="U631" s="268"/>
      <c r="V631" s="269"/>
    </row>
    <row r="632" ht="15" customHeight="1" spans="2:22">
      <c r="B632" s="9" t="e">
        <f t="shared" si="11"/>
        <v>#REF!</v>
      </c>
      <c r="C632" s="31">
        <f>'32'!M32</f>
        <v>0</v>
      </c>
      <c r="D632" s="32" t="str">
        <f>IF('32'!N32=0,"",'32'!N32)</f>
        <v>CAF</v>
      </c>
      <c r="E632" s="36">
        <f>IF('32'!O32=0,"",'32'!O32)</f>
        <v>32</v>
      </c>
      <c r="F632" s="36">
        <f>IF('32'!P32=0,"",'32'!P32)</f>
        <v>107</v>
      </c>
      <c r="G632" s="103">
        <f>'32'!Q32</f>
        <v>0</v>
      </c>
      <c r="H632" s="160">
        <f>'27'!R632</f>
        <v>0</v>
      </c>
      <c r="I632" s="160">
        <f>'27'!S632</f>
        <v>0</v>
      </c>
      <c r="J632" s="160"/>
      <c r="K632" s="104">
        <f>'27'!T632</f>
        <v>0</v>
      </c>
      <c r="L632" s="36">
        <f>'32'!V32</f>
        <v>3</v>
      </c>
      <c r="M632" s="103">
        <f>'32'!W32</f>
        <v>0</v>
      </c>
      <c r="N632" s="160"/>
      <c r="O632" s="104">
        <f>'32'!X32</f>
        <v>0</v>
      </c>
      <c r="P632" s="52" t="str">
        <f>IF('32'!Z32=0,"",'32'!Z32)</f>
        <v/>
      </c>
      <c r="Q632" s="109" t="str">
        <f>IF('32'!AA32=0,"",'32'!AA32)</f>
        <v/>
      </c>
      <c r="R632" s="36" t="str">
        <f>IF('32'!AB32=0,"",'32'!AB32)</f>
        <v/>
      </c>
      <c r="S632" s="36" t="e">
        <f>IF('32'!AC32=0,"",'32'!AC32)</f>
        <v>#N/A</v>
      </c>
      <c r="T632" s="268"/>
      <c r="U632" s="268"/>
      <c r="V632" s="269"/>
    </row>
    <row r="633" ht="15" customHeight="1" spans="2:22">
      <c r="B633" s="14" t="e">
        <f t="shared" si="11"/>
        <v>#REF!</v>
      </c>
      <c r="C633" s="83">
        <f>'32'!M33</f>
        <v>0</v>
      </c>
      <c r="D633" s="110" t="str">
        <f>IF('32'!N33=0,"",'32'!N33)</f>
        <v>CAF</v>
      </c>
      <c r="E633" s="85">
        <f>IF('32'!O33=0,"",'32'!O33)</f>
        <v>32</v>
      </c>
      <c r="F633" s="85">
        <f>IF('32'!P33=0,"",'32'!P33)</f>
        <v>107</v>
      </c>
      <c r="G633" s="105">
        <f>'32'!Q33</f>
        <v>0</v>
      </c>
      <c r="H633" s="161">
        <f>'27'!R633</f>
        <v>0</v>
      </c>
      <c r="I633" s="161">
        <f>'27'!S633</f>
        <v>0</v>
      </c>
      <c r="J633" s="161"/>
      <c r="K633" s="106">
        <f>'27'!T633</f>
        <v>0</v>
      </c>
      <c r="L633" s="85">
        <f>'32'!V33</f>
        <v>4</v>
      </c>
      <c r="M633" s="105">
        <f>'32'!W33</f>
        <v>0</v>
      </c>
      <c r="N633" s="161"/>
      <c r="O633" s="106">
        <f>'32'!X33</f>
        <v>0</v>
      </c>
      <c r="P633" s="107" t="str">
        <f>IF('32'!Z33=0,"",'32'!Z33)</f>
        <v/>
      </c>
      <c r="Q633" s="111" t="str">
        <f>IF('32'!AA33=0,"",'32'!AA33)</f>
        <v/>
      </c>
      <c r="R633" s="85" t="str">
        <f>IF('32'!AB33=0,"",'32'!AB33)</f>
        <v/>
      </c>
      <c r="S633" s="85" t="e">
        <f>IF('32'!AC33=0,"",'32'!AC33)</f>
        <v>#N/A</v>
      </c>
      <c r="T633" s="273"/>
      <c r="U633" s="273"/>
      <c r="V633" s="274"/>
    </row>
    <row r="634" ht="15" customHeight="1" spans="2:22">
      <c r="B634" s="6" t="e">
        <f t="shared" si="11"/>
        <v>#REF!</v>
      </c>
      <c r="C634" s="79" t="str">
        <f>'32'!M34</f>
        <v>51002 Hannah </v>
      </c>
      <c r="D634" s="62" t="str">
        <f>IF('32'!N34=0,"",'32'!N34)</f>
        <v>CAF</v>
      </c>
      <c r="E634" s="81">
        <f>IF('32'!O34=0,"",'32'!O34)</f>
        <v>32</v>
      </c>
      <c r="F634" s="81">
        <f>IF('32'!P34=0,"",'32'!P34)</f>
        <v>108</v>
      </c>
      <c r="G634" s="100" t="str">
        <f>'32'!Q34</f>
        <v>Quadre</v>
      </c>
      <c r="H634" s="159">
        <f>'27'!R634</f>
        <v>0</v>
      </c>
      <c r="I634" s="159">
        <f>'27'!S634</f>
        <v>0</v>
      </c>
      <c r="J634" s="159"/>
      <c r="K634" s="101">
        <f>'27'!T634</f>
        <v>0</v>
      </c>
      <c r="L634" s="81">
        <f>'32'!V34</f>
        <v>1</v>
      </c>
      <c r="M634" s="100">
        <f>'32'!W34</f>
        <v>4</v>
      </c>
      <c r="N634" s="159"/>
      <c r="O634" s="101">
        <f>'32'!X34</f>
        <v>0</v>
      </c>
      <c r="P634" s="102" t="str">
        <f>IF('32'!Z34=0,"",'32'!Z34)</f>
        <v/>
      </c>
      <c r="Q634" s="108" t="str">
        <f>IF('32'!AA34=0,"",'32'!AA34)</f>
        <v/>
      </c>
      <c r="R634" s="81" t="str">
        <f>IF('32'!AB34=0,"",'32'!AB34)</f>
        <v/>
      </c>
      <c r="S634" s="81" t="e">
        <f>IF('32'!AC34=0,"",'32'!AC34)</f>
        <v>#N/A</v>
      </c>
      <c r="T634" s="286"/>
      <c r="U634" s="286"/>
      <c r="V634" s="287"/>
    </row>
    <row r="635" ht="15" customHeight="1" spans="2:22">
      <c r="B635" s="9" t="e">
        <f t="shared" si="11"/>
        <v>#REF!</v>
      </c>
      <c r="C635" s="31">
        <f>'32'!M35</f>
        <v>0</v>
      </c>
      <c r="D635" s="32" t="str">
        <f>IF('32'!N35=0,"",'32'!N35)</f>
        <v>CAF</v>
      </c>
      <c r="E635" s="36">
        <f>IF('32'!O35=0,"",'32'!O35)</f>
        <v>32</v>
      </c>
      <c r="F635" s="36">
        <f>IF('32'!P35=0,"",'32'!P35)</f>
        <v>108</v>
      </c>
      <c r="G635" s="103">
        <f>'32'!Q35</f>
        <v>0</v>
      </c>
      <c r="H635" s="160">
        <f>'27'!R635</f>
        <v>0</v>
      </c>
      <c r="I635" s="160">
        <f>'27'!S635</f>
        <v>0</v>
      </c>
      <c r="J635" s="160"/>
      <c r="K635" s="104">
        <f>'27'!T635</f>
        <v>0</v>
      </c>
      <c r="L635" s="36">
        <f>'32'!V35</f>
        <v>2</v>
      </c>
      <c r="M635" s="103">
        <f>'32'!W35</f>
        <v>0</v>
      </c>
      <c r="N635" s="160"/>
      <c r="O635" s="104">
        <f>'32'!X35</f>
        <v>0</v>
      </c>
      <c r="P635" s="52" t="str">
        <f>IF('32'!Z35=0,"",'32'!Z35)</f>
        <v/>
      </c>
      <c r="Q635" s="109" t="str">
        <f>IF('32'!AA35=0,"",'32'!AA35)</f>
        <v/>
      </c>
      <c r="R635" s="36" t="str">
        <f>IF('32'!AB35=0,"",'32'!AB35)</f>
        <v/>
      </c>
      <c r="S635" s="36" t="e">
        <f>IF('32'!AC35=0,"",'32'!AC35)</f>
        <v>#N/A</v>
      </c>
      <c r="T635" s="268"/>
      <c r="U635" s="268"/>
      <c r="V635" s="269"/>
    </row>
    <row r="636" ht="15" customHeight="1" spans="2:22">
      <c r="B636" s="9" t="e">
        <f t="shared" si="11"/>
        <v>#REF!</v>
      </c>
      <c r="C636" s="31">
        <f>'32'!M36</f>
        <v>0</v>
      </c>
      <c r="D636" s="32" t="str">
        <f>IF('32'!N36=0,"",'32'!N36)</f>
        <v>CAF</v>
      </c>
      <c r="E636" s="36">
        <f>IF('32'!O36=0,"",'32'!O36)</f>
        <v>32</v>
      </c>
      <c r="F636" s="36">
        <f>IF('32'!P36=0,"",'32'!P36)</f>
        <v>108</v>
      </c>
      <c r="G636" s="103">
        <f>'32'!Q36</f>
        <v>0</v>
      </c>
      <c r="H636" s="160">
        <f>'27'!R636</f>
        <v>0</v>
      </c>
      <c r="I636" s="160">
        <f>'27'!S636</f>
        <v>0</v>
      </c>
      <c r="J636" s="160"/>
      <c r="K636" s="104">
        <f>'27'!T636</f>
        <v>0</v>
      </c>
      <c r="L636" s="36">
        <f>'32'!V36</f>
        <v>3</v>
      </c>
      <c r="M636" s="103">
        <f>'32'!W36</f>
        <v>0</v>
      </c>
      <c r="N636" s="160"/>
      <c r="O636" s="104">
        <f>'32'!X36</f>
        <v>0</v>
      </c>
      <c r="P636" s="52" t="str">
        <f>IF('32'!Z36=0,"",'32'!Z36)</f>
        <v/>
      </c>
      <c r="Q636" s="109" t="str">
        <f>IF('32'!AA36=0,"",'32'!AA36)</f>
        <v/>
      </c>
      <c r="R636" s="36" t="str">
        <f>IF('32'!AB36=0,"",'32'!AB36)</f>
        <v/>
      </c>
      <c r="S636" s="36" t="e">
        <f>IF('32'!AC36=0,"",'32'!AC36)</f>
        <v>#N/A</v>
      </c>
      <c r="T636" s="268"/>
      <c r="U636" s="268"/>
      <c r="V636" s="269"/>
    </row>
    <row r="637" ht="15" customHeight="1" spans="2:22">
      <c r="B637" s="14" t="e">
        <f t="shared" si="11"/>
        <v>#REF!</v>
      </c>
      <c r="C637" s="83">
        <f>'32'!M37</f>
        <v>0</v>
      </c>
      <c r="D637" s="110" t="str">
        <f>IF('32'!N37=0,"",'32'!N37)</f>
        <v>CAF</v>
      </c>
      <c r="E637" s="85">
        <f>IF('32'!O37=0,"",'32'!O37)</f>
        <v>32</v>
      </c>
      <c r="F637" s="85">
        <f>IF('32'!P37=0,"",'32'!P37)</f>
        <v>108</v>
      </c>
      <c r="G637" s="105">
        <f>'32'!Q37</f>
        <v>0</v>
      </c>
      <c r="H637" s="161">
        <f>'27'!R637</f>
        <v>0</v>
      </c>
      <c r="I637" s="161">
        <f>'27'!S637</f>
        <v>0</v>
      </c>
      <c r="J637" s="161"/>
      <c r="K637" s="106">
        <f>'27'!T637</f>
        <v>0</v>
      </c>
      <c r="L637" s="85">
        <f>'32'!V37</f>
        <v>4</v>
      </c>
      <c r="M637" s="105">
        <f>'32'!W37</f>
        <v>0</v>
      </c>
      <c r="N637" s="161"/>
      <c r="O637" s="106">
        <f>'32'!X37</f>
        <v>0</v>
      </c>
      <c r="P637" s="107" t="str">
        <f>IF('32'!Z37=0,"",'32'!Z37)</f>
        <v/>
      </c>
      <c r="Q637" s="111" t="str">
        <f>IF('32'!AA37=0,"",'32'!AA37)</f>
        <v/>
      </c>
      <c r="R637" s="85" t="str">
        <f>IF('32'!AB37=0,"",'32'!AB37)</f>
        <v/>
      </c>
      <c r="S637" s="85" t="e">
        <f>IF('32'!AC37=0,"",'32'!AC37)</f>
        <v>#N/A</v>
      </c>
      <c r="T637" s="273"/>
      <c r="U637" s="273"/>
      <c r="V637" s="274"/>
    </row>
    <row r="638" ht="15" customHeight="1" spans="2:22">
      <c r="B638" s="6" t="e">
        <f t="shared" si="11"/>
        <v>#REF!</v>
      </c>
      <c r="C638" s="79">
        <f>'32'!M38</f>
        <v>0</v>
      </c>
      <c r="D638" s="62" t="str">
        <f>IF('32'!N38=0,"",'32'!N38)</f>
        <v>CAF</v>
      </c>
      <c r="E638" s="81">
        <f>IF('32'!O38=0,"",'32'!O38)</f>
        <v>32</v>
      </c>
      <c r="F638" s="81">
        <f>IF('32'!P38=0,"",'32'!P38)</f>
        <v>109</v>
      </c>
      <c r="G638" s="100" t="str">
        <f>'32'!Q38</f>
        <v>Quadre</v>
      </c>
      <c r="H638" s="159">
        <f>'27'!R638</f>
        <v>0</v>
      </c>
      <c r="I638" s="159">
        <f>'27'!S638</f>
        <v>0</v>
      </c>
      <c r="J638" s="159"/>
      <c r="K638" s="101">
        <f>'27'!T638</f>
        <v>0</v>
      </c>
      <c r="L638" s="81">
        <f>'32'!V38</f>
        <v>1</v>
      </c>
      <c r="M638" s="100">
        <f>'32'!W38</f>
        <v>4</v>
      </c>
      <c r="N638" s="159"/>
      <c r="O638" s="101">
        <f>'32'!X38</f>
        <v>0</v>
      </c>
      <c r="P638" s="102" t="str">
        <f>IF('32'!Z38=0,"",'32'!Z38)</f>
        <v/>
      </c>
      <c r="Q638" s="108" t="str">
        <f>IF('32'!AA38=0,"",'32'!AA38)</f>
        <v/>
      </c>
      <c r="R638" s="81" t="str">
        <f>IF('32'!AB38=0,"",'32'!AB38)</f>
        <v/>
      </c>
      <c r="S638" s="81" t="e">
        <f>IF('32'!AC38=0,"",'32'!AC38)</f>
        <v>#N/A</v>
      </c>
      <c r="T638" s="286"/>
      <c r="U638" s="286"/>
      <c r="V638" s="287"/>
    </row>
    <row r="639" ht="15" customHeight="1" spans="2:22">
      <c r="B639" s="9" t="e">
        <f t="shared" si="11"/>
        <v>#REF!</v>
      </c>
      <c r="C639" s="31">
        <f>'32'!M39</f>
        <v>0</v>
      </c>
      <c r="D639" s="32" t="str">
        <f>IF('32'!N39=0,"",'32'!N39)</f>
        <v>CAF</v>
      </c>
      <c r="E639" s="36">
        <f>IF('32'!O39=0,"",'32'!O39)</f>
        <v>32</v>
      </c>
      <c r="F639" s="36">
        <f>IF('32'!P39=0,"",'32'!P39)</f>
        <v>109</v>
      </c>
      <c r="G639" s="103">
        <f>'32'!Q39</f>
        <v>0</v>
      </c>
      <c r="H639" s="160">
        <f>'27'!R639</f>
        <v>0</v>
      </c>
      <c r="I639" s="160">
        <f>'27'!S639</f>
        <v>0</v>
      </c>
      <c r="J639" s="160"/>
      <c r="K639" s="104">
        <f>'27'!T639</f>
        <v>0</v>
      </c>
      <c r="L639" s="36">
        <f>'32'!V39</f>
        <v>2</v>
      </c>
      <c r="M639" s="103">
        <f>'32'!W39</f>
        <v>0</v>
      </c>
      <c r="N639" s="160"/>
      <c r="O639" s="104">
        <f>'32'!X39</f>
        <v>0</v>
      </c>
      <c r="P639" s="52" t="str">
        <f>IF('32'!Z39=0,"",'32'!Z39)</f>
        <v/>
      </c>
      <c r="Q639" s="109" t="str">
        <f>IF('32'!AA39=0,"",'32'!AA39)</f>
        <v/>
      </c>
      <c r="R639" s="36" t="str">
        <f>IF('32'!AB39=0,"",'32'!AB39)</f>
        <v/>
      </c>
      <c r="S639" s="36" t="e">
        <f>IF('32'!AC39=0,"",'32'!AC39)</f>
        <v>#N/A</v>
      </c>
      <c r="T639" s="268"/>
      <c r="U639" s="268"/>
      <c r="V639" s="269"/>
    </row>
    <row r="640" ht="15" customHeight="1" spans="2:22">
      <c r="B640" s="9" t="e">
        <f t="shared" si="11"/>
        <v>#REF!</v>
      </c>
      <c r="C640" s="31">
        <f>'32'!M40</f>
        <v>0</v>
      </c>
      <c r="D640" s="32" t="str">
        <f>IF('32'!N40=0,"",'32'!N40)</f>
        <v>CAF</v>
      </c>
      <c r="E640" s="36">
        <f>IF('32'!O40=0,"",'32'!O40)</f>
        <v>32</v>
      </c>
      <c r="F640" s="36">
        <f>IF('32'!P40=0,"",'32'!P40)</f>
        <v>109</v>
      </c>
      <c r="G640" s="103">
        <f>'32'!Q40</f>
        <v>0</v>
      </c>
      <c r="H640" s="160">
        <f>'27'!R640</f>
        <v>0</v>
      </c>
      <c r="I640" s="160">
        <f>'27'!S640</f>
        <v>0</v>
      </c>
      <c r="J640" s="160"/>
      <c r="K640" s="104">
        <f>'27'!T640</f>
        <v>0</v>
      </c>
      <c r="L640" s="36">
        <f>'32'!V40</f>
        <v>3</v>
      </c>
      <c r="M640" s="103">
        <f>'32'!W40</f>
        <v>0</v>
      </c>
      <c r="N640" s="160"/>
      <c r="O640" s="104">
        <f>'32'!X40</f>
        <v>0</v>
      </c>
      <c r="P640" s="52" t="str">
        <f>IF('32'!Z40=0,"",'32'!Z40)</f>
        <v/>
      </c>
      <c r="Q640" s="109" t="str">
        <f>IF('32'!AA40=0,"",'32'!AA40)</f>
        <v/>
      </c>
      <c r="R640" s="36" t="str">
        <f>IF('32'!AB40=0,"",'32'!AB40)</f>
        <v/>
      </c>
      <c r="S640" s="36" t="e">
        <f>IF('32'!AC40=0,"",'32'!AC40)</f>
        <v>#N/A</v>
      </c>
      <c r="T640" s="268"/>
      <c r="U640" s="268"/>
      <c r="V640" s="269"/>
    </row>
    <row r="641" ht="15" customHeight="1" spans="2:22">
      <c r="B641" s="14" t="e">
        <f t="shared" si="11"/>
        <v>#REF!</v>
      </c>
      <c r="C641" s="83">
        <f>'32'!M41</f>
        <v>0</v>
      </c>
      <c r="D641" s="110" t="str">
        <f>IF('32'!N41=0,"",'32'!N41)</f>
        <v>CAF</v>
      </c>
      <c r="E641" s="85">
        <f>IF('32'!O41=0,"",'32'!O41)</f>
        <v>32</v>
      </c>
      <c r="F641" s="85">
        <f>IF('32'!P41=0,"",'32'!P41)</f>
        <v>109</v>
      </c>
      <c r="G641" s="105">
        <f>'32'!Q41</f>
        <v>0</v>
      </c>
      <c r="H641" s="161">
        <f>'27'!R641</f>
        <v>0</v>
      </c>
      <c r="I641" s="161">
        <f>'27'!S641</f>
        <v>0</v>
      </c>
      <c r="J641" s="161"/>
      <c r="K641" s="106">
        <f>'27'!T641</f>
        <v>0</v>
      </c>
      <c r="L641" s="85">
        <f>'32'!V41</f>
        <v>4</v>
      </c>
      <c r="M641" s="105">
        <f>'32'!W41</f>
        <v>0</v>
      </c>
      <c r="N641" s="161"/>
      <c r="O641" s="106">
        <f>'32'!X41</f>
        <v>0</v>
      </c>
      <c r="P641" s="107" t="str">
        <f>IF('32'!Z41=0,"",'32'!Z41)</f>
        <v/>
      </c>
      <c r="Q641" s="111" t="str">
        <f>IF('32'!AA41=0,"",'32'!AA41)</f>
        <v/>
      </c>
      <c r="R641" s="85" t="str">
        <f>IF('32'!AB41=0,"",'32'!AB41)</f>
        <v/>
      </c>
      <c r="S641" s="85" t="e">
        <f>IF('32'!AC41=0,"",'32'!AC41)</f>
        <v>#N/A</v>
      </c>
      <c r="T641" s="273"/>
      <c r="U641" s="273"/>
      <c r="V641" s="274"/>
    </row>
    <row r="642" ht="15" customHeight="1" spans="2:22">
      <c r="B642" s="6" t="e">
        <f t="shared" si="11"/>
        <v>#REF!</v>
      </c>
      <c r="C642" s="79">
        <f>'32'!M42</f>
        <v>0</v>
      </c>
      <c r="D642" s="62" t="str">
        <f>IF('32'!N42=0,"",'32'!N42)</f>
        <v>CAF</v>
      </c>
      <c r="E642" s="81">
        <f>IF('32'!O42=0,"",'32'!O42)</f>
        <v>32</v>
      </c>
      <c r="F642" s="81">
        <f>IF('32'!P42=0,"",'32'!P42)</f>
        <v>110</v>
      </c>
      <c r="G642" s="100" t="str">
        <f>'32'!Q42</f>
        <v>Quadre</v>
      </c>
      <c r="H642" s="159">
        <f>'27'!R642</f>
        <v>0</v>
      </c>
      <c r="I642" s="159">
        <f>'27'!S642</f>
        <v>0</v>
      </c>
      <c r="J642" s="159"/>
      <c r="K642" s="101">
        <f>'27'!T642</f>
        <v>0</v>
      </c>
      <c r="L642" s="81">
        <f>'32'!V42</f>
        <v>1</v>
      </c>
      <c r="M642" s="100">
        <f>'32'!W42</f>
        <v>4</v>
      </c>
      <c r="N642" s="159"/>
      <c r="O642" s="101">
        <f>'32'!X42</f>
        <v>0</v>
      </c>
      <c r="P642" s="102" t="str">
        <f>IF('32'!Z42=0,"",'32'!Z42)</f>
        <v/>
      </c>
      <c r="Q642" s="108" t="str">
        <f>IF('32'!AA42=0,"",'32'!AA42)</f>
        <v/>
      </c>
      <c r="R642" s="81" t="str">
        <f>IF('32'!AB42=0,"",'32'!AB42)</f>
        <v/>
      </c>
      <c r="S642" s="81" t="e">
        <f>IF('32'!AC42=0,"",'32'!AC42)</f>
        <v>#N/A</v>
      </c>
      <c r="T642" s="286"/>
      <c r="U642" s="286"/>
      <c r="V642" s="287"/>
    </row>
    <row r="643" ht="15" customHeight="1" spans="2:22">
      <c r="B643" s="9" t="e">
        <f t="shared" si="11"/>
        <v>#REF!</v>
      </c>
      <c r="C643" s="31">
        <f>'32'!M43</f>
        <v>0</v>
      </c>
      <c r="D643" s="32" t="str">
        <f>IF('32'!N43=0,"",'32'!N43)</f>
        <v>CAF</v>
      </c>
      <c r="E643" s="36">
        <f>IF('32'!O43=0,"",'32'!O43)</f>
        <v>32</v>
      </c>
      <c r="F643" s="36">
        <f>IF('32'!P43=0,"",'32'!P43)</f>
        <v>110</v>
      </c>
      <c r="G643" s="103">
        <f>'32'!Q43</f>
        <v>0</v>
      </c>
      <c r="H643" s="160">
        <f>'27'!R643</f>
        <v>0</v>
      </c>
      <c r="I643" s="160">
        <f>'27'!S643</f>
        <v>0</v>
      </c>
      <c r="J643" s="160"/>
      <c r="K643" s="104">
        <f>'27'!T643</f>
        <v>0</v>
      </c>
      <c r="L643" s="36">
        <f>'32'!V43</f>
        <v>2</v>
      </c>
      <c r="M643" s="103">
        <f>'32'!W43</f>
        <v>0</v>
      </c>
      <c r="N643" s="160"/>
      <c r="O643" s="104">
        <f>'32'!X43</f>
        <v>0</v>
      </c>
      <c r="P643" s="52" t="str">
        <f>IF('32'!Z43=0,"",'32'!Z43)</f>
        <v/>
      </c>
      <c r="Q643" s="109" t="str">
        <f>IF('32'!AA43=0,"",'32'!AA43)</f>
        <v/>
      </c>
      <c r="R643" s="36" t="str">
        <f>IF('32'!AB43=0,"",'32'!AB43)</f>
        <v/>
      </c>
      <c r="S643" s="36" t="e">
        <f>IF('32'!AC43=0,"",'32'!AC43)</f>
        <v>#N/A</v>
      </c>
      <c r="T643" s="268"/>
      <c r="U643" s="268"/>
      <c r="V643" s="269"/>
    </row>
    <row r="644" ht="15" customHeight="1" spans="2:22">
      <c r="B644" s="9" t="e">
        <f t="shared" si="11"/>
        <v>#REF!</v>
      </c>
      <c r="C644" s="31">
        <f>'32'!M44</f>
        <v>0</v>
      </c>
      <c r="D644" s="32" t="str">
        <f>IF('32'!N44=0,"",'32'!N44)</f>
        <v>CAF</v>
      </c>
      <c r="E644" s="36">
        <f>IF('32'!O44=0,"",'32'!O44)</f>
        <v>32</v>
      </c>
      <c r="F644" s="36">
        <f>IF('32'!P44=0,"",'32'!P44)</f>
        <v>110</v>
      </c>
      <c r="G644" s="103">
        <f>'32'!Q44</f>
        <v>0</v>
      </c>
      <c r="H644" s="160">
        <f>'27'!R644</f>
        <v>0</v>
      </c>
      <c r="I644" s="160">
        <f>'27'!S644</f>
        <v>0</v>
      </c>
      <c r="J644" s="160"/>
      <c r="K644" s="104">
        <f>'27'!T644</f>
        <v>0</v>
      </c>
      <c r="L644" s="36">
        <f>'32'!V44</f>
        <v>3</v>
      </c>
      <c r="M644" s="103">
        <f>'32'!W44</f>
        <v>0</v>
      </c>
      <c r="N644" s="160"/>
      <c r="O644" s="104">
        <f>'32'!X44</f>
        <v>0</v>
      </c>
      <c r="P644" s="52" t="str">
        <f>IF('32'!Z44=0,"",'32'!Z44)</f>
        <v/>
      </c>
      <c r="Q644" s="109" t="str">
        <f>IF('32'!AA44=0,"",'32'!AA44)</f>
        <v/>
      </c>
      <c r="R644" s="36" t="str">
        <f>IF('32'!AB44=0,"",'32'!AB44)</f>
        <v/>
      </c>
      <c r="S644" s="36" t="e">
        <f>IF('32'!AC44=0,"",'32'!AC44)</f>
        <v>#N/A</v>
      </c>
      <c r="T644" s="268"/>
      <c r="U644" s="268"/>
      <c r="V644" s="269"/>
    </row>
    <row r="645" ht="15" customHeight="1" spans="2:22">
      <c r="B645" s="14" t="e">
        <f t="shared" si="11"/>
        <v>#REF!</v>
      </c>
      <c r="C645" s="83">
        <f>'32'!M45</f>
        <v>0</v>
      </c>
      <c r="D645" s="110" t="str">
        <f>IF('32'!N45=0,"",'32'!N45)</f>
        <v>CAF</v>
      </c>
      <c r="E645" s="85">
        <f>IF('32'!O45=0,"",'32'!O45)</f>
        <v>32</v>
      </c>
      <c r="F645" s="85">
        <f>IF('32'!P45=0,"",'32'!P45)</f>
        <v>110</v>
      </c>
      <c r="G645" s="105">
        <f>'32'!Q45</f>
        <v>0</v>
      </c>
      <c r="H645" s="161">
        <f>'27'!R645</f>
        <v>0</v>
      </c>
      <c r="I645" s="161">
        <f>'27'!S645</f>
        <v>0</v>
      </c>
      <c r="J645" s="161"/>
      <c r="K645" s="106">
        <f>'27'!T645</f>
        <v>0</v>
      </c>
      <c r="L645" s="85">
        <f>'32'!V45</f>
        <v>4</v>
      </c>
      <c r="M645" s="105">
        <f>'32'!W45</f>
        <v>0</v>
      </c>
      <c r="N645" s="161"/>
      <c r="O645" s="106">
        <f>'32'!X45</f>
        <v>0</v>
      </c>
      <c r="P645" s="107" t="str">
        <f>IF('32'!Z45=0,"",'32'!Z45)</f>
        <v/>
      </c>
      <c r="Q645" s="111" t="str">
        <f>IF('32'!AA45=0,"",'32'!AA45)</f>
        <v/>
      </c>
      <c r="R645" s="85" t="str">
        <f>IF('32'!AB45=0,"",'32'!AB45)</f>
        <v/>
      </c>
      <c r="S645" s="85" t="e">
        <f>IF('32'!AC45=0,"",'32'!AC45)</f>
        <v>#N/A</v>
      </c>
      <c r="T645" s="273"/>
      <c r="U645" s="273"/>
      <c r="V645" s="274"/>
    </row>
    <row r="646" ht="15" customHeight="1" spans="2:22">
      <c r="B646" s="6" t="e">
        <f t="shared" si="11"/>
        <v>#REF!</v>
      </c>
      <c r="C646" s="79">
        <f>'32'!M46</f>
        <v>0</v>
      </c>
      <c r="D646" s="62" t="str">
        <f>IF('32'!N46=0,"",'32'!N46)</f>
        <v>CAF</v>
      </c>
      <c r="E646" s="81">
        <f>IF('32'!O46=0,"",'32'!O46)</f>
        <v>32</v>
      </c>
      <c r="F646" s="81">
        <f>IF('32'!P46=0,"",'32'!P46)</f>
        <v>111</v>
      </c>
      <c r="G646" s="100" t="str">
        <f>'32'!Q46</f>
        <v>Quadre</v>
      </c>
      <c r="H646" s="159">
        <f>'27'!R646</f>
        <v>0</v>
      </c>
      <c r="I646" s="159">
        <f>'27'!S646</f>
        <v>0</v>
      </c>
      <c r="J646" s="159"/>
      <c r="K646" s="101">
        <f>'27'!T646</f>
        <v>0</v>
      </c>
      <c r="L646" s="81">
        <f>'32'!V46</f>
        <v>1</v>
      </c>
      <c r="M646" s="100">
        <f>'32'!W46</f>
        <v>4</v>
      </c>
      <c r="N646" s="159"/>
      <c r="O646" s="101">
        <f>'32'!X46</f>
        <v>0</v>
      </c>
      <c r="P646" s="102" t="str">
        <f>IF('32'!Z46=0,"",'32'!Z46)</f>
        <v/>
      </c>
      <c r="Q646" s="108" t="str">
        <f>IF('32'!AA46=0,"",'32'!AA46)</f>
        <v/>
      </c>
      <c r="R646" s="81" t="str">
        <f>IF('32'!AB46=0,"",'32'!AB46)</f>
        <v/>
      </c>
      <c r="S646" s="81" t="e">
        <f>IF('32'!AC46=0,"",'32'!AC46)</f>
        <v>#N/A</v>
      </c>
      <c r="T646" s="286"/>
      <c r="U646" s="286"/>
      <c r="V646" s="287"/>
    </row>
    <row r="647" ht="15" customHeight="1" spans="2:22">
      <c r="B647" s="9" t="e">
        <f t="shared" si="11"/>
        <v>#REF!</v>
      </c>
      <c r="C647" s="31">
        <f>'32'!M47</f>
        <v>0</v>
      </c>
      <c r="D647" s="32" t="str">
        <f>IF('32'!N47=0,"",'32'!N47)</f>
        <v>CAF</v>
      </c>
      <c r="E647" s="36">
        <f>IF('32'!O47=0,"",'32'!O47)</f>
        <v>32</v>
      </c>
      <c r="F647" s="36">
        <f>IF('32'!P47=0,"",'32'!P47)</f>
        <v>111</v>
      </c>
      <c r="G647" s="103">
        <f>'32'!Q47</f>
        <v>0</v>
      </c>
      <c r="H647" s="160">
        <f>'27'!R647</f>
        <v>0</v>
      </c>
      <c r="I647" s="160">
        <f>'27'!S647</f>
        <v>0</v>
      </c>
      <c r="J647" s="160"/>
      <c r="K647" s="104">
        <f>'27'!T647</f>
        <v>0</v>
      </c>
      <c r="L647" s="36">
        <f>'32'!V47</f>
        <v>2</v>
      </c>
      <c r="M647" s="103">
        <f>'32'!W47</f>
        <v>0</v>
      </c>
      <c r="N647" s="160"/>
      <c r="O647" s="104">
        <f>'32'!X47</f>
        <v>0</v>
      </c>
      <c r="P647" s="52" t="str">
        <f>IF('32'!Z47=0,"",'32'!Z47)</f>
        <v/>
      </c>
      <c r="Q647" s="109" t="str">
        <f>IF('32'!AA47=0,"",'32'!AA47)</f>
        <v/>
      </c>
      <c r="R647" s="36" t="str">
        <f>IF('32'!AB47=0,"",'32'!AB47)</f>
        <v/>
      </c>
      <c r="S647" s="36" t="e">
        <f>IF('32'!AC47=0,"",'32'!AC47)</f>
        <v>#N/A</v>
      </c>
      <c r="T647" s="268"/>
      <c r="U647" s="268"/>
      <c r="V647" s="269"/>
    </row>
    <row r="648" ht="15" customHeight="1" spans="2:22">
      <c r="B648" s="9" t="e">
        <f t="shared" si="11"/>
        <v>#REF!</v>
      </c>
      <c r="C648" s="31">
        <f>'32'!M48</f>
        <v>0</v>
      </c>
      <c r="D648" s="32" t="str">
        <f>IF('32'!N48=0,"",'32'!N48)</f>
        <v>CAF</v>
      </c>
      <c r="E648" s="36">
        <f>IF('32'!O48=0,"",'32'!O48)</f>
        <v>32</v>
      </c>
      <c r="F648" s="36">
        <f>IF('32'!P48=0,"",'32'!P48)</f>
        <v>111</v>
      </c>
      <c r="G648" s="103">
        <f>'32'!Q48</f>
        <v>0</v>
      </c>
      <c r="H648" s="160">
        <f>'27'!R648</f>
        <v>0</v>
      </c>
      <c r="I648" s="160">
        <f>'27'!S648</f>
        <v>0</v>
      </c>
      <c r="J648" s="160"/>
      <c r="K648" s="104">
        <f>'27'!T648</f>
        <v>0</v>
      </c>
      <c r="L648" s="36">
        <f>'32'!V48</f>
        <v>3</v>
      </c>
      <c r="M648" s="103">
        <f>'32'!W48</f>
        <v>0</v>
      </c>
      <c r="N648" s="160"/>
      <c r="O648" s="104">
        <f>'32'!X48</f>
        <v>0</v>
      </c>
      <c r="P648" s="52" t="str">
        <f>IF('32'!Z48=0,"",'32'!Z48)</f>
        <v/>
      </c>
      <c r="Q648" s="109" t="str">
        <f>IF('32'!AA48=0,"",'32'!AA48)</f>
        <v/>
      </c>
      <c r="R648" s="36" t="str">
        <f>IF('32'!AB48=0,"",'32'!AB48)</f>
        <v/>
      </c>
      <c r="S648" s="36" t="e">
        <f>IF('32'!AC48=0,"",'32'!AC48)</f>
        <v>#N/A</v>
      </c>
      <c r="T648" s="268"/>
      <c r="U648" s="268"/>
      <c r="V648" s="269"/>
    </row>
    <row r="649" ht="15" customHeight="1" spans="2:22">
      <c r="B649" s="14" t="e">
        <f t="shared" si="11"/>
        <v>#REF!</v>
      </c>
      <c r="C649" s="83">
        <f>'32'!M49</f>
        <v>0</v>
      </c>
      <c r="D649" s="110" t="str">
        <f>IF('32'!N49=0,"",'32'!N49)</f>
        <v>CAF</v>
      </c>
      <c r="E649" s="85">
        <f>IF('32'!O49=0,"",'32'!O49)</f>
        <v>32</v>
      </c>
      <c r="F649" s="85">
        <f>IF('32'!P49=0,"",'32'!P49)</f>
        <v>111</v>
      </c>
      <c r="G649" s="105">
        <f>'32'!Q49</f>
        <v>0</v>
      </c>
      <c r="H649" s="161">
        <f>'27'!R649</f>
        <v>0</v>
      </c>
      <c r="I649" s="161">
        <f>'27'!S649</f>
        <v>0</v>
      </c>
      <c r="J649" s="161"/>
      <c r="K649" s="106">
        <f>'27'!T649</f>
        <v>0</v>
      </c>
      <c r="L649" s="85">
        <f>'32'!V49</f>
        <v>4</v>
      </c>
      <c r="M649" s="105">
        <f>'32'!W49</f>
        <v>0</v>
      </c>
      <c r="N649" s="161"/>
      <c r="O649" s="106">
        <f>'32'!X49</f>
        <v>0</v>
      </c>
      <c r="P649" s="107" t="str">
        <f>IF('32'!Z49=0,"",'32'!Z49)</f>
        <v/>
      </c>
      <c r="Q649" s="111" t="str">
        <f>IF('32'!AA49=0,"",'32'!AA49)</f>
        <v/>
      </c>
      <c r="R649" s="85" t="str">
        <f>IF('32'!AB49=0,"",'32'!AB49)</f>
        <v/>
      </c>
      <c r="S649" s="85" t="e">
        <f>IF('32'!AC49=0,"",'32'!AC49)</f>
        <v>#N/A</v>
      </c>
      <c r="T649" s="273"/>
      <c r="U649" s="273"/>
      <c r="V649" s="274"/>
    </row>
    <row r="650" ht="15" customHeight="1" spans="2:22">
      <c r="B650" s="6" t="e">
        <f t="shared" si="11"/>
        <v>#REF!</v>
      </c>
      <c r="C650" s="79">
        <f>'32'!M50</f>
        <v>0</v>
      </c>
      <c r="D650" s="62" t="str">
        <f>IF('32'!N50=0,"",'32'!N50)</f>
        <v>CAF</v>
      </c>
      <c r="E650" s="81">
        <f>IF('32'!O50=0,"",'32'!O50)</f>
        <v>32</v>
      </c>
      <c r="F650" s="81">
        <f>IF('32'!P50=0,"",'32'!P50)</f>
        <v>112</v>
      </c>
      <c r="G650" s="100" t="str">
        <f>'32'!Q50</f>
        <v>Quadre</v>
      </c>
      <c r="H650" s="159">
        <f>'27'!R650</f>
        <v>0</v>
      </c>
      <c r="I650" s="159">
        <f>'27'!S650</f>
        <v>0</v>
      </c>
      <c r="J650" s="159"/>
      <c r="K650" s="101">
        <f>'27'!T650</f>
        <v>0</v>
      </c>
      <c r="L650" s="81">
        <f>'32'!V50</f>
        <v>1</v>
      </c>
      <c r="M650" s="100">
        <f>'32'!W50</f>
        <v>4</v>
      </c>
      <c r="N650" s="159"/>
      <c r="O650" s="101">
        <f>'32'!X50</f>
        <v>0</v>
      </c>
      <c r="P650" s="102" t="str">
        <f>IF('32'!Z50=0,"",'32'!Z50)</f>
        <v/>
      </c>
      <c r="Q650" s="108" t="str">
        <f>IF('32'!AA50=0,"",'32'!AA50)</f>
        <v/>
      </c>
      <c r="R650" s="81" t="str">
        <f>IF('32'!AB50=0,"",'32'!AB50)</f>
        <v/>
      </c>
      <c r="S650" s="81" t="e">
        <f>IF('32'!AC50=0,"",'32'!AC50)</f>
        <v>#N/A</v>
      </c>
      <c r="T650" s="286"/>
      <c r="U650" s="286"/>
      <c r="V650" s="287"/>
    </row>
    <row r="651" ht="15" customHeight="1" spans="2:22">
      <c r="B651" s="9" t="e">
        <f t="shared" si="11"/>
        <v>#REF!</v>
      </c>
      <c r="C651" s="31">
        <f>'32'!M51</f>
        <v>0</v>
      </c>
      <c r="D651" s="32" t="str">
        <f>IF('32'!N51=0,"",'32'!N51)</f>
        <v>CAF</v>
      </c>
      <c r="E651" s="36">
        <f>IF('32'!O51=0,"",'32'!O51)</f>
        <v>32</v>
      </c>
      <c r="F651" s="36">
        <f>IF('32'!P51=0,"",'32'!P51)</f>
        <v>112</v>
      </c>
      <c r="G651" s="103">
        <f>'32'!Q51</f>
        <v>0</v>
      </c>
      <c r="H651" s="160">
        <f>'27'!R651</f>
        <v>0</v>
      </c>
      <c r="I651" s="160">
        <f>'27'!S651</f>
        <v>0</v>
      </c>
      <c r="J651" s="160"/>
      <c r="K651" s="104">
        <f>'27'!T651</f>
        <v>0</v>
      </c>
      <c r="L651" s="36">
        <f>'32'!V51</f>
        <v>2</v>
      </c>
      <c r="M651" s="103">
        <f>'32'!W51</f>
        <v>0</v>
      </c>
      <c r="N651" s="160"/>
      <c r="O651" s="104">
        <f>'32'!X51</f>
        <v>0</v>
      </c>
      <c r="P651" s="52" t="str">
        <f>IF('32'!Z51=0,"",'32'!Z51)</f>
        <v/>
      </c>
      <c r="Q651" s="109" t="str">
        <f>IF('32'!AA51=0,"",'32'!AA51)</f>
        <v/>
      </c>
      <c r="R651" s="36" t="str">
        <f>IF('32'!AB51=0,"",'32'!AB51)</f>
        <v/>
      </c>
      <c r="S651" s="36" t="e">
        <f>IF('32'!AC51=0,"",'32'!AC51)</f>
        <v>#N/A</v>
      </c>
      <c r="T651" s="268"/>
      <c r="U651" s="268"/>
      <c r="V651" s="269"/>
    </row>
    <row r="652" ht="15" customHeight="1" spans="2:22">
      <c r="B652" s="9" t="e">
        <f t="shared" si="11"/>
        <v>#REF!</v>
      </c>
      <c r="C652" s="31">
        <f>'32'!M52</f>
        <v>0</v>
      </c>
      <c r="D652" s="32" t="str">
        <f>IF('32'!N52=0,"",'32'!N52)</f>
        <v>CAF</v>
      </c>
      <c r="E652" s="36">
        <f>IF('32'!O52=0,"",'32'!O52)</f>
        <v>32</v>
      </c>
      <c r="F652" s="36">
        <f>IF('32'!P52=0,"",'32'!P52)</f>
        <v>112</v>
      </c>
      <c r="G652" s="103">
        <f>'32'!Q52</f>
        <v>0</v>
      </c>
      <c r="H652" s="160">
        <f>'27'!R652</f>
        <v>0</v>
      </c>
      <c r="I652" s="160">
        <f>'27'!S652</f>
        <v>0</v>
      </c>
      <c r="J652" s="160"/>
      <c r="K652" s="104">
        <f>'27'!T652</f>
        <v>0</v>
      </c>
      <c r="L652" s="36">
        <f>'32'!V52</f>
        <v>3</v>
      </c>
      <c r="M652" s="103">
        <f>'32'!W52</f>
        <v>0</v>
      </c>
      <c r="N652" s="160"/>
      <c r="O652" s="104">
        <f>'32'!X52</f>
        <v>0</v>
      </c>
      <c r="P652" s="52" t="str">
        <f>IF('32'!Z52=0,"",'32'!Z52)</f>
        <v/>
      </c>
      <c r="Q652" s="109" t="str">
        <f>IF('32'!AA52=0,"",'32'!AA52)</f>
        <v/>
      </c>
      <c r="R652" s="36" t="str">
        <f>IF('32'!AB52=0,"",'32'!AB52)</f>
        <v/>
      </c>
      <c r="S652" s="36" t="e">
        <f>IF('32'!AC52=0,"",'32'!AC52)</f>
        <v>#N/A</v>
      </c>
      <c r="T652" s="268"/>
      <c r="U652" s="268"/>
      <c r="V652" s="269"/>
    </row>
    <row r="653" ht="15" customHeight="1" spans="2:22">
      <c r="B653" s="14" t="e">
        <f t="shared" si="11"/>
        <v>#REF!</v>
      </c>
      <c r="C653" s="83">
        <f>'32'!M53</f>
        <v>0</v>
      </c>
      <c r="D653" s="110" t="str">
        <f>IF('32'!N53=0,"",'32'!N53)</f>
        <v>CAF</v>
      </c>
      <c r="E653" s="85">
        <f>IF('32'!O53=0,"",'32'!O53)</f>
        <v>32</v>
      </c>
      <c r="F653" s="85">
        <f>IF('32'!P53=0,"",'32'!P53)</f>
        <v>112</v>
      </c>
      <c r="G653" s="105">
        <f>'32'!Q53</f>
        <v>0</v>
      </c>
      <c r="H653" s="161">
        <f>'27'!R653</f>
        <v>0</v>
      </c>
      <c r="I653" s="161">
        <f>'27'!S653</f>
        <v>0</v>
      </c>
      <c r="J653" s="161"/>
      <c r="K653" s="106">
        <f>'27'!T653</f>
        <v>0</v>
      </c>
      <c r="L653" s="85">
        <f>'32'!V53</f>
        <v>4</v>
      </c>
      <c r="M653" s="105">
        <f>'32'!W53</f>
        <v>0</v>
      </c>
      <c r="N653" s="161"/>
      <c r="O653" s="106">
        <f>'32'!X53</f>
        <v>0</v>
      </c>
      <c r="P653" s="107" t="str">
        <f>IF('32'!Z53=0,"",'32'!Z53)</f>
        <v/>
      </c>
      <c r="Q653" s="111" t="str">
        <f>IF('32'!AA53=0,"",'32'!AA53)</f>
        <v/>
      </c>
      <c r="R653" s="85" t="str">
        <f>IF('32'!AB53=0,"",'32'!AB53)</f>
        <v/>
      </c>
      <c r="S653" s="85" t="e">
        <f>IF('32'!AC53=0,"",'32'!AC53)</f>
        <v>#N/A</v>
      </c>
      <c r="T653" s="273"/>
      <c r="U653" s="273"/>
      <c r="V653" s="274"/>
    </row>
    <row r="654" ht="15" customHeight="1" spans="2:22">
      <c r="B654" s="6" t="e">
        <f t="shared" si="11"/>
        <v>#REF!</v>
      </c>
      <c r="C654" s="79">
        <f>'32'!M54</f>
        <v>0</v>
      </c>
      <c r="D654" s="62" t="str">
        <f>IF('32'!N54=0,"",'32'!N54)</f>
        <v>CAF</v>
      </c>
      <c r="E654" s="81">
        <f>IF('32'!O54=0,"",'32'!O54)</f>
        <v>32</v>
      </c>
      <c r="F654" s="81">
        <f>IF('32'!P54=0,"",'32'!P54)</f>
        <v>113</v>
      </c>
      <c r="G654" s="100" t="str">
        <f>'32'!Q54</f>
        <v>Quadre</v>
      </c>
      <c r="H654" s="159">
        <f>'27'!R654</f>
        <v>0</v>
      </c>
      <c r="I654" s="159">
        <f>'27'!S654</f>
        <v>0</v>
      </c>
      <c r="J654" s="159"/>
      <c r="K654" s="101">
        <f>'27'!T654</f>
        <v>0</v>
      </c>
      <c r="L654" s="81">
        <f>'32'!V54</f>
        <v>1</v>
      </c>
      <c r="M654" s="100">
        <f>'32'!W54</f>
        <v>4</v>
      </c>
      <c r="N654" s="159"/>
      <c r="O654" s="101">
        <f>'32'!X54</f>
        <v>0</v>
      </c>
      <c r="P654" s="102" t="str">
        <f>IF('32'!Z54=0,"",'32'!Z54)</f>
        <v/>
      </c>
      <c r="Q654" s="108" t="str">
        <f>IF('32'!AA54=0,"",'32'!AA54)</f>
        <v/>
      </c>
      <c r="R654" s="81" t="str">
        <f>IF('32'!AB54=0,"",'32'!AB54)</f>
        <v/>
      </c>
      <c r="S654" s="81" t="e">
        <f>IF('32'!AC54=0,"",'32'!AC54)</f>
        <v>#N/A</v>
      </c>
      <c r="T654" s="286"/>
      <c r="U654" s="286"/>
      <c r="V654" s="287"/>
    </row>
    <row r="655" ht="15" customHeight="1" spans="2:22">
      <c r="B655" s="9" t="e">
        <f t="shared" ref="B655:B718" si="12">COUNTA(C655)-IF(C655=0,1)+B654</f>
        <v>#REF!</v>
      </c>
      <c r="C655" s="31">
        <f>'32'!M55</f>
        <v>0</v>
      </c>
      <c r="D655" s="32" t="str">
        <f>IF('32'!N55=0,"",'32'!N55)</f>
        <v>CAF</v>
      </c>
      <c r="E655" s="36">
        <f>IF('32'!O55=0,"",'32'!O55)</f>
        <v>32</v>
      </c>
      <c r="F655" s="36">
        <f>IF('32'!P55=0,"",'32'!P55)</f>
        <v>113</v>
      </c>
      <c r="G655" s="103">
        <f>'32'!Q55</f>
        <v>0</v>
      </c>
      <c r="H655" s="160">
        <f>'27'!R655</f>
        <v>0</v>
      </c>
      <c r="I655" s="160">
        <f>'27'!S655</f>
        <v>0</v>
      </c>
      <c r="J655" s="160"/>
      <c r="K655" s="104">
        <f>'27'!T655</f>
        <v>0</v>
      </c>
      <c r="L655" s="36">
        <f>'32'!V55</f>
        <v>2</v>
      </c>
      <c r="M655" s="103">
        <f>'32'!W55</f>
        <v>0</v>
      </c>
      <c r="N655" s="160"/>
      <c r="O655" s="104">
        <f>'32'!X55</f>
        <v>0</v>
      </c>
      <c r="P655" s="52" t="str">
        <f>IF('32'!Z55=0,"",'32'!Z55)</f>
        <v/>
      </c>
      <c r="Q655" s="109" t="str">
        <f>IF('32'!AA55=0,"",'32'!AA55)</f>
        <v/>
      </c>
      <c r="R655" s="36" t="str">
        <f>IF('32'!AB55=0,"",'32'!AB55)</f>
        <v/>
      </c>
      <c r="S655" s="36" t="e">
        <f>IF('32'!AC55=0,"",'32'!AC55)</f>
        <v>#N/A</v>
      </c>
      <c r="T655" s="268"/>
      <c r="U655" s="268"/>
      <c r="V655" s="269"/>
    </row>
    <row r="656" ht="15" customHeight="1" spans="2:22">
      <c r="B656" s="9" t="e">
        <f t="shared" si="12"/>
        <v>#REF!</v>
      </c>
      <c r="C656" s="31">
        <f>'32'!M56</f>
        <v>0</v>
      </c>
      <c r="D656" s="32" t="str">
        <f>IF('32'!N56=0,"",'32'!N56)</f>
        <v>CAF</v>
      </c>
      <c r="E656" s="36">
        <f>IF('32'!O56=0,"",'32'!O56)</f>
        <v>32</v>
      </c>
      <c r="F656" s="36">
        <f>IF('32'!P56=0,"",'32'!P56)</f>
        <v>113</v>
      </c>
      <c r="G656" s="103">
        <f>'32'!Q56</f>
        <v>0</v>
      </c>
      <c r="H656" s="160">
        <f>'27'!R656</f>
        <v>0</v>
      </c>
      <c r="I656" s="160">
        <f>'27'!S656</f>
        <v>0</v>
      </c>
      <c r="J656" s="160"/>
      <c r="K656" s="104">
        <f>'27'!T656</f>
        <v>0</v>
      </c>
      <c r="L656" s="36">
        <f>'32'!V56</f>
        <v>3</v>
      </c>
      <c r="M656" s="103">
        <f>'32'!W56</f>
        <v>0</v>
      </c>
      <c r="N656" s="160"/>
      <c r="O656" s="104">
        <f>'32'!X56</f>
        <v>0</v>
      </c>
      <c r="P656" s="52" t="str">
        <f>IF('32'!Z56=0,"",'32'!Z56)</f>
        <v/>
      </c>
      <c r="Q656" s="109" t="str">
        <f>IF('32'!AA56=0,"",'32'!AA56)</f>
        <v/>
      </c>
      <c r="R656" s="36" t="str">
        <f>IF('32'!AB56=0,"",'32'!AB56)</f>
        <v/>
      </c>
      <c r="S656" s="36" t="e">
        <f>IF('32'!AC56=0,"",'32'!AC56)</f>
        <v>#N/A</v>
      </c>
      <c r="T656" s="268"/>
      <c r="U656" s="268"/>
      <c r="V656" s="269"/>
    </row>
    <row r="657" ht="15" customHeight="1" spans="2:22">
      <c r="B657" s="14" t="e">
        <f t="shared" si="12"/>
        <v>#REF!</v>
      </c>
      <c r="C657" s="83">
        <f>'32'!M57</f>
        <v>0</v>
      </c>
      <c r="D657" s="110" t="str">
        <f>IF('32'!N57=0,"",'32'!N57)</f>
        <v>CAF</v>
      </c>
      <c r="E657" s="85">
        <f>IF('32'!O57=0,"",'32'!O57)</f>
        <v>32</v>
      </c>
      <c r="F657" s="85">
        <f>IF('32'!P57=0,"",'32'!P57)</f>
        <v>113</v>
      </c>
      <c r="G657" s="105">
        <f>'32'!Q57</f>
        <v>0</v>
      </c>
      <c r="H657" s="161">
        <f>'27'!R657</f>
        <v>0</v>
      </c>
      <c r="I657" s="161">
        <f>'27'!S657</f>
        <v>0</v>
      </c>
      <c r="J657" s="161"/>
      <c r="K657" s="106">
        <f>'27'!T657</f>
        <v>0</v>
      </c>
      <c r="L657" s="85">
        <f>'32'!V57</f>
        <v>4</v>
      </c>
      <c r="M657" s="105">
        <f>'32'!W57</f>
        <v>0</v>
      </c>
      <c r="N657" s="161"/>
      <c r="O657" s="106">
        <f>'32'!X57</f>
        <v>0</v>
      </c>
      <c r="P657" s="107" t="str">
        <f>IF('32'!Z57=0,"",'32'!Z57)</f>
        <v/>
      </c>
      <c r="Q657" s="111" t="str">
        <f>IF('32'!AA57=0,"",'32'!AA57)</f>
        <v/>
      </c>
      <c r="R657" s="85" t="str">
        <f>IF('32'!AB57=0,"",'32'!AB57)</f>
        <v/>
      </c>
      <c r="S657" s="85" t="e">
        <f>IF('32'!AC57=0,"",'32'!AC57)</f>
        <v>#N/A</v>
      </c>
      <c r="T657" s="273"/>
      <c r="U657" s="273"/>
      <c r="V657" s="274"/>
    </row>
    <row r="658" ht="15" customHeight="1" spans="2:22">
      <c r="B658" s="6" t="e">
        <f t="shared" si="12"/>
        <v>#REF!</v>
      </c>
      <c r="C658" s="79">
        <f>'32'!M58</f>
        <v>0</v>
      </c>
      <c r="D658" s="62" t="str">
        <f>IF('32'!N58=0,"",'32'!N58)</f>
        <v>CAF</v>
      </c>
      <c r="E658" s="81">
        <f>IF('32'!O58=0,"",'32'!O58)</f>
        <v>32</v>
      </c>
      <c r="F658" s="81">
        <f>IF('32'!P58=0,"",'32'!P58)</f>
        <v>114</v>
      </c>
      <c r="G658" s="100" t="str">
        <f>'32'!Q58</f>
        <v>Quadre</v>
      </c>
      <c r="H658" s="159">
        <f>'27'!R658</f>
        <v>0</v>
      </c>
      <c r="I658" s="159">
        <f>'27'!S658</f>
        <v>0</v>
      </c>
      <c r="J658" s="159"/>
      <c r="K658" s="101">
        <f>'27'!T658</f>
        <v>0</v>
      </c>
      <c r="L658" s="81">
        <f>'32'!V58</f>
        <v>1</v>
      </c>
      <c r="M658" s="100">
        <f>'32'!W58</f>
        <v>4</v>
      </c>
      <c r="N658" s="159"/>
      <c r="O658" s="101">
        <f>'32'!X58</f>
        <v>0</v>
      </c>
      <c r="P658" s="102" t="str">
        <f>IF('32'!Z58=0,"",'32'!Z58)</f>
        <v/>
      </c>
      <c r="Q658" s="108" t="str">
        <f>IF('32'!AA58=0,"",'32'!AA58)</f>
        <v/>
      </c>
      <c r="R658" s="81" t="str">
        <f>IF('32'!AB58=0,"",'32'!AB58)</f>
        <v/>
      </c>
      <c r="S658" s="81" t="e">
        <f>IF('32'!AC58=0,"",'32'!AC58)</f>
        <v>#N/A</v>
      </c>
      <c r="T658" s="286"/>
      <c r="U658" s="286"/>
      <c r="V658" s="287"/>
    </row>
    <row r="659" ht="15" customHeight="1" spans="2:22">
      <c r="B659" s="9" t="e">
        <f t="shared" si="12"/>
        <v>#REF!</v>
      </c>
      <c r="C659" s="31">
        <f>'32'!M59</f>
        <v>0</v>
      </c>
      <c r="D659" s="32" t="str">
        <f>IF('32'!N59=0,"",'32'!N59)</f>
        <v>CAF</v>
      </c>
      <c r="E659" s="36">
        <f>IF('32'!O59=0,"",'32'!O59)</f>
        <v>32</v>
      </c>
      <c r="F659" s="36">
        <f>IF('32'!P59=0,"",'32'!P59)</f>
        <v>114</v>
      </c>
      <c r="G659" s="103">
        <f>'32'!Q59</f>
        <v>0</v>
      </c>
      <c r="H659" s="160">
        <f>'27'!R659</f>
        <v>0</v>
      </c>
      <c r="I659" s="160">
        <f>'27'!S659</f>
        <v>0</v>
      </c>
      <c r="J659" s="160"/>
      <c r="K659" s="104">
        <f>'27'!T659</f>
        <v>0</v>
      </c>
      <c r="L659" s="36">
        <f>'32'!V59</f>
        <v>2</v>
      </c>
      <c r="M659" s="103">
        <f>'32'!W59</f>
        <v>0</v>
      </c>
      <c r="N659" s="160"/>
      <c r="O659" s="104">
        <f>'32'!X59</f>
        <v>0</v>
      </c>
      <c r="P659" s="52" t="str">
        <f>IF('32'!Z59=0,"",'32'!Z59)</f>
        <v/>
      </c>
      <c r="Q659" s="109" t="str">
        <f>IF('32'!AA59=0,"",'32'!AA59)</f>
        <v/>
      </c>
      <c r="R659" s="36" t="str">
        <f>IF('32'!AB59=0,"",'32'!AB59)</f>
        <v/>
      </c>
      <c r="S659" s="36" t="e">
        <f>IF('32'!AC59=0,"",'32'!AC59)</f>
        <v>#N/A</v>
      </c>
      <c r="T659" s="268"/>
      <c r="U659" s="268"/>
      <c r="V659" s="269"/>
    </row>
    <row r="660" ht="15" customHeight="1" spans="2:22">
      <c r="B660" s="9" t="e">
        <f t="shared" si="12"/>
        <v>#REF!</v>
      </c>
      <c r="C660" s="31">
        <f>'32'!M60</f>
        <v>0</v>
      </c>
      <c r="D660" s="32" t="str">
        <f>IF('32'!N60=0,"",'32'!N60)</f>
        <v>CAF</v>
      </c>
      <c r="E660" s="36">
        <f>IF('32'!O60=0,"",'32'!O60)</f>
        <v>32</v>
      </c>
      <c r="F660" s="36">
        <f>IF('32'!P60=0,"",'32'!P60)</f>
        <v>114</v>
      </c>
      <c r="G660" s="103">
        <f>'32'!Q60</f>
        <v>0</v>
      </c>
      <c r="H660" s="160">
        <f>'27'!R660</f>
        <v>0</v>
      </c>
      <c r="I660" s="160">
        <f>'27'!S660</f>
        <v>0</v>
      </c>
      <c r="J660" s="160"/>
      <c r="K660" s="104">
        <f>'27'!T660</f>
        <v>0</v>
      </c>
      <c r="L660" s="36">
        <f>'32'!V60</f>
        <v>3</v>
      </c>
      <c r="M660" s="103">
        <f>'32'!W60</f>
        <v>0</v>
      </c>
      <c r="N660" s="160"/>
      <c r="O660" s="104">
        <f>'32'!X60</f>
        <v>0</v>
      </c>
      <c r="P660" s="52" t="str">
        <f>IF('32'!Z60=0,"",'32'!Z60)</f>
        <v/>
      </c>
      <c r="Q660" s="109" t="str">
        <f>IF('32'!AA60=0,"",'32'!AA60)</f>
        <v/>
      </c>
      <c r="R660" s="36" t="str">
        <f>IF('32'!AB60=0,"",'32'!AB60)</f>
        <v/>
      </c>
      <c r="S660" s="36" t="e">
        <f>IF('32'!AC60=0,"",'32'!AC60)</f>
        <v>#N/A</v>
      </c>
      <c r="T660" s="268"/>
      <c r="U660" s="268"/>
      <c r="V660" s="269"/>
    </row>
    <row r="661" ht="15" customHeight="1" spans="2:22">
      <c r="B661" s="14" t="e">
        <f t="shared" si="12"/>
        <v>#REF!</v>
      </c>
      <c r="C661" s="83">
        <f>'32'!M61</f>
        <v>0</v>
      </c>
      <c r="D661" s="110" t="str">
        <f>IF('32'!N61=0,"",'32'!N61)</f>
        <v>CAF</v>
      </c>
      <c r="E661" s="85">
        <f>IF('32'!O61=0,"",'32'!O61)</f>
        <v>32</v>
      </c>
      <c r="F661" s="85">
        <f>IF('32'!P61=0,"",'32'!P61)</f>
        <v>114</v>
      </c>
      <c r="G661" s="105">
        <f>'32'!Q61</f>
        <v>0</v>
      </c>
      <c r="H661" s="161">
        <f>'27'!R661</f>
        <v>0</v>
      </c>
      <c r="I661" s="161">
        <f>'27'!S661</f>
        <v>0</v>
      </c>
      <c r="J661" s="161"/>
      <c r="K661" s="106">
        <f>'27'!T661</f>
        <v>0</v>
      </c>
      <c r="L661" s="85">
        <f>'32'!V61</f>
        <v>4</v>
      </c>
      <c r="M661" s="105">
        <f>'32'!W61</f>
        <v>0</v>
      </c>
      <c r="N661" s="161"/>
      <c r="O661" s="106">
        <f>'32'!X61</f>
        <v>0</v>
      </c>
      <c r="P661" s="107" t="str">
        <f>IF('32'!Z61=0,"",'32'!Z61)</f>
        <v/>
      </c>
      <c r="Q661" s="111" t="str">
        <f>IF('32'!AA61=0,"",'32'!AA61)</f>
        <v/>
      </c>
      <c r="R661" s="85" t="str">
        <f>IF('32'!AB61=0,"",'32'!AB61)</f>
        <v/>
      </c>
      <c r="S661" s="85" t="e">
        <f>IF('32'!AC61=0,"",'32'!AC61)</f>
        <v>#N/A</v>
      </c>
      <c r="T661" s="273"/>
      <c r="U661" s="273"/>
      <c r="V661" s="274"/>
    </row>
    <row r="662" ht="15" customHeight="1" spans="2:22">
      <c r="B662" s="6" t="e">
        <f t="shared" si="12"/>
        <v>#REF!</v>
      </c>
      <c r="C662" s="79" t="str">
        <f>'32'!M62</f>
        <v>51205 Elias </v>
      </c>
      <c r="D662" s="62" t="str">
        <f>IF('32'!N62=0,"",'32'!N62)</f>
        <v>CAF</v>
      </c>
      <c r="E662" s="81">
        <f>IF('32'!O62=0,"",'32'!O62)</f>
        <v>32</v>
      </c>
      <c r="F662" s="81">
        <f>IF('32'!P62=0,"",'32'!P62)</f>
        <v>115</v>
      </c>
      <c r="G662" s="100" t="str">
        <f>'32'!Q62</f>
        <v>Quadre</v>
      </c>
      <c r="H662" s="159">
        <f>'27'!R662</f>
        <v>0</v>
      </c>
      <c r="I662" s="159">
        <f>'27'!S662</f>
        <v>0</v>
      </c>
      <c r="J662" s="159"/>
      <c r="K662" s="101">
        <f>'27'!T662</f>
        <v>0</v>
      </c>
      <c r="L662" s="81">
        <f>'32'!V62</f>
        <v>1</v>
      </c>
      <c r="M662" s="100">
        <f>'32'!W62</f>
        <v>4</v>
      </c>
      <c r="N662" s="159"/>
      <c r="O662" s="101">
        <f>'32'!X62</f>
        <v>0</v>
      </c>
      <c r="P662" s="102" t="str">
        <f>IF('32'!Z62=0,"",'32'!Z62)</f>
        <v/>
      </c>
      <c r="Q662" s="108" t="str">
        <f>IF('32'!AA62=0,"",'32'!AA62)</f>
        <v/>
      </c>
      <c r="R662" s="81" t="str">
        <f>IF('32'!AB62=0,"",'32'!AB62)</f>
        <v/>
      </c>
      <c r="S662" s="81" t="e">
        <f>IF('32'!AC62=0,"",'32'!AC62)</f>
        <v>#N/A</v>
      </c>
      <c r="T662" s="286"/>
      <c r="U662" s="286"/>
      <c r="V662" s="287"/>
    </row>
    <row r="663" ht="15" customHeight="1" spans="2:22">
      <c r="B663" s="9" t="e">
        <f t="shared" si="12"/>
        <v>#REF!</v>
      </c>
      <c r="C663" s="31">
        <f>'32'!M63</f>
        <v>0</v>
      </c>
      <c r="D663" s="32" t="str">
        <f>IF('32'!N63=0,"",'32'!N63)</f>
        <v>CAF</v>
      </c>
      <c r="E663" s="36">
        <f>IF('32'!O63=0,"",'32'!O63)</f>
        <v>32</v>
      </c>
      <c r="F663" s="36">
        <f>IF('32'!P63=0,"",'32'!P63)</f>
        <v>115</v>
      </c>
      <c r="G663" s="103">
        <f>'32'!Q63</f>
        <v>0</v>
      </c>
      <c r="H663" s="160">
        <f>'27'!R663</f>
        <v>0</v>
      </c>
      <c r="I663" s="160">
        <f>'27'!S663</f>
        <v>0</v>
      </c>
      <c r="J663" s="160"/>
      <c r="K663" s="104">
        <f>'27'!T663</f>
        <v>0</v>
      </c>
      <c r="L663" s="36">
        <f>'32'!V63</f>
        <v>2</v>
      </c>
      <c r="M663" s="103">
        <f>'32'!W63</f>
        <v>0</v>
      </c>
      <c r="N663" s="160"/>
      <c r="O663" s="104">
        <f>'32'!X63</f>
        <v>0</v>
      </c>
      <c r="P663" s="52" t="str">
        <f>IF('32'!Z63=0,"",'32'!Z63)</f>
        <v/>
      </c>
      <c r="Q663" s="109" t="str">
        <f>IF('32'!AA63=0,"",'32'!AA63)</f>
        <v/>
      </c>
      <c r="R663" s="36" t="str">
        <f>IF('32'!AB63=0,"",'32'!AB63)</f>
        <v/>
      </c>
      <c r="S663" s="36" t="e">
        <f>IF('32'!AC63=0,"",'32'!AC63)</f>
        <v>#N/A</v>
      </c>
      <c r="T663" s="268"/>
      <c r="U663" s="268"/>
      <c r="V663" s="269"/>
    </row>
    <row r="664" ht="15" customHeight="1" spans="2:22">
      <c r="B664" s="9" t="e">
        <f t="shared" si="12"/>
        <v>#REF!</v>
      </c>
      <c r="C664" s="31">
        <f>'32'!M64</f>
        <v>0</v>
      </c>
      <c r="D664" s="32" t="str">
        <f>IF('32'!N64=0,"",'32'!N64)</f>
        <v>CAF</v>
      </c>
      <c r="E664" s="36">
        <f>IF('32'!O64=0,"",'32'!O64)</f>
        <v>32</v>
      </c>
      <c r="F664" s="36">
        <f>IF('32'!P64=0,"",'32'!P64)</f>
        <v>115</v>
      </c>
      <c r="G664" s="103">
        <f>'32'!Q64</f>
        <v>0</v>
      </c>
      <c r="H664" s="160">
        <f>'27'!R664</f>
        <v>0</v>
      </c>
      <c r="I664" s="160">
        <f>'27'!S664</f>
        <v>0</v>
      </c>
      <c r="J664" s="160"/>
      <c r="K664" s="104">
        <f>'27'!T664</f>
        <v>0</v>
      </c>
      <c r="L664" s="36">
        <f>'32'!V64</f>
        <v>3</v>
      </c>
      <c r="M664" s="103">
        <f>'32'!W64</f>
        <v>0</v>
      </c>
      <c r="N664" s="160"/>
      <c r="O664" s="104">
        <f>'32'!X64</f>
        <v>0</v>
      </c>
      <c r="P664" s="52" t="str">
        <f>IF('32'!Z64=0,"",'32'!Z64)</f>
        <v/>
      </c>
      <c r="Q664" s="109" t="str">
        <f>IF('32'!AA64=0,"",'32'!AA64)</f>
        <v/>
      </c>
      <c r="R664" s="36" t="str">
        <f>IF('32'!AB64=0,"",'32'!AB64)</f>
        <v/>
      </c>
      <c r="S664" s="36" t="e">
        <f>IF('32'!AC64=0,"",'32'!AC64)</f>
        <v>#N/A</v>
      </c>
      <c r="T664" s="268"/>
      <c r="U664" s="268"/>
      <c r="V664" s="269"/>
    </row>
    <row r="665" ht="15" customHeight="1" spans="2:22">
      <c r="B665" s="14" t="e">
        <f t="shared" si="12"/>
        <v>#REF!</v>
      </c>
      <c r="C665" s="83">
        <f>'32'!M65</f>
        <v>0</v>
      </c>
      <c r="D665" s="110" t="str">
        <f>IF('32'!N65=0,"",'32'!N65)</f>
        <v>CAF</v>
      </c>
      <c r="E665" s="85">
        <f>IF('32'!O65=0,"",'32'!O65)</f>
        <v>32</v>
      </c>
      <c r="F665" s="85">
        <f>IF('32'!P65=0,"",'32'!P65)</f>
        <v>115</v>
      </c>
      <c r="G665" s="105">
        <f>'32'!Q65</f>
        <v>0</v>
      </c>
      <c r="H665" s="161">
        <f>'27'!R665</f>
        <v>0</v>
      </c>
      <c r="I665" s="161">
        <f>'27'!S665</f>
        <v>0</v>
      </c>
      <c r="J665" s="161"/>
      <c r="K665" s="106">
        <f>'27'!T665</f>
        <v>0</v>
      </c>
      <c r="L665" s="85">
        <f>'32'!V65</f>
        <v>4</v>
      </c>
      <c r="M665" s="105">
        <f>'32'!W65</f>
        <v>0</v>
      </c>
      <c r="N665" s="161"/>
      <c r="O665" s="106">
        <f>'32'!X65</f>
        <v>0</v>
      </c>
      <c r="P665" s="107" t="str">
        <f>IF('32'!Z65=0,"",'32'!Z65)</f>
        <v/>
      </c>
      <c r="Q665" s="111" t="str">
        <f>IF('32'!AA65=0,"",'32'!AA65)</f>
        <v/>
      </c>
      <c r="R665" s="85" t="str">
        <f>IF('32'!AB65=0,"",'32'!AB65)</f>
        <v/>
      </c>
      <c r="S665" s="85" t="e">
        <f>IF('32'!AC65=0,"",'32'!AC65)</f>
        <v>#N/A</v>
      </c>
      <c r="T665" s="273"/>
      <c r="U665" s="273"/>
      <c r="V665" s="274"/>
    </row>
    <row r="666" ht="15" customHeight="1" spans="2:22">
      <c r="B666" s="6" t="e">
        <f t="shared" si="12"/>
        <v>#REF!</v>
      </c>
      <c r="C666" s="79" t="str">
        <f>'32'!M66</f>
        <v>51208 Eric </v>
      </c>
      <c r="D666" s="62" t="str">
        <f>IF('32'!N66=0,"",'32'!N66)</f>
        <v>CAF</v>
      </c>
      <c r="E666" s="81">
        <f>IF('32'!O66=0,"",'32'!O66)</f>
        <v>32</v>
      </c>
      <c r="F666" s="81">
        <f>IF('32'!P66=0,"",'32'!P66)</f>
        <v>116</v>
      </c>
      <c r="G666" s="100" t="str">
        <f>'32'!Q66</f>
        <v>Double</v>
      </c>
      <c r="H666" s="159">
        <f>'27'!R666</f>
        <v>0</v>
      </c>
      <c r="I666" s="159">
        <f>'27'!S666</f>
        <v>0</v>
      </c>
      <c r="J666" s="159"/>
      <c r="K666" s="101">
        <f>'27'!T666</f>
        <v>0</v>
      </c>
      <c r="L666" s="81">
        <f>'32'!V66</f>
        <v>1</v>
      </c>
      <c r="M666" s="100">
        <f>'32'!W66</f>
        <v>2</v>
      </c>
      <c r="N666" s="159"/>
      <c r="O666" s="101">
        <f>'32'!X66</f>
        <v>0</v>
      </c>
      <c r="P666" s="102" t="str">
        <f>IF('32'!Z66=0,"",'32'!Z66)</f>
        <v/>
      </c>
      <c r="Q666" s="108" t="str">
        <f>IF('32'!AA66=0,"",'32'!AA66)</f>
        <v/>
      </c>
      <c r="R666" s="81" t="str">
        <f>IF('32'!AB66=0,"",'32'!AB66)</f>
        <v/>
      </c>
      <c r="S666" s="81" t="e">
        <f>IF('32'!AC66=0,"",'32'!AC66)</f>
        <v>#N/A</v>
      </c>
      <c r="T666" s="286"/>
      <c r="U666" s="286"/>
      <c r="V666" s="287"/>
    </row>
    <row r="667" ht="15" customHeight="1" spans="2:22">
      <c r="B667" s="9" t="e">
        <f t="shared" si="12"/>
        <v>#REF!</v>
      </c>
      <c r="C667" s="31" t="str">
        <f>'32'!M67</f>
        <v>51303 Figge </v>
      </c>
      <c r="D667" s="32" t="str">
        <f>IF('32'!N67=0,"",'32'!N67)</f>
        <v>CAF</v>
      </c>
      <c r="E667" s="36">
        <f>IF('32'!O67=0,"",'32'!O67)</f>
        <v>32</v>
      </c>
      <c r="F667" s="36">
        <f>IF('32'!P67=0,"",'32'!P67)</f>
        <v>116</v>
      </c>
      <c r="G667" s="103">
        <f>'32'!Q67</f>
        <v>0</v>
      </c>
      <c r="H667" s="160">
        <f>'27'!R667</f>
        <v>0</v>
      </c>
      <c r="I667" s="160">
        <f>'27'!S667</f>
        <v>0</v>
      </c>
      <c r="J667" s="160"/>
      <c r="K667" s="104">
        <f>'27'!T667</f>
        <v>0</v>
      </c>
      <c r="L667" s="36">
        <f>'32'!V67</f>
        <v>2</v>
      </c>
      <c r="M667" s="103">
        <f>'32'!W67</f>
        <v>0</v>
      </c>
      <c r="N667" s="160"/>
      <c r="O667" s="104">
        <f>'32'!X67</f>
        <v>0</v>
      </c>
      <c r="P667" s="52" t="str">
        <f>IF('32'!Z67=0,"",'32'!Z67)</f>
        <v/>
      </c>
      <c r="Q667" s="109" t="str">
        <f>IF('32'!AA67=0,"",'32'!AA67)</f>
        <v/>
      </c>
      <c r="R667" s="36" t="str">
        <f>IF('32'!AB67=0,"",'32'!AB67)</f>
        <v/>
      </c>
      <c r="S667" s="36" t="e">
        <f>IF('32'!AC67=0,"",'32'!AC67)</f>
        <v>#N/A</v>
      </c>
      <c r="T667" s="268"/>
      <c r="U667" s="268"/>
      <c r="V667" s="269"/>
    </row>
    <row r="668" ht="15" customHeight="1" spans="2:22">
      <c r="B668" s="9" t="e">
        <f t="shared" si="12"/>
        <v>#REF!</v>
      </c>
      <c r="C668" s="31">
        <f>'32'!M68</f>
        <v>0</v>
      </c>
      <c r="D668" s="32" t="str">
        <f>IF('32'!N68=0,"",'32'!N68)</f>
        <v>CAF</v>
      </c>
      <c r="E668" s="36">
        <f>IF('32'!O68=0,"",'32'!O68)</f>
        <v>32</v>
      </c>
      <c r="F668" s="36">
        <f>IF('32'!P68=0,"",'32'!P68)</f>
        <v>116</v>
      </c>
      <c r="G668" s="103">
        <f>'32'!Q68</f>
        <v>0</v>
      </c>
      <c r="H668" s="160">
        <f>'27'!R668</f>
        <v>0</v>
      </c>
      <c r="I668" s="160">
        <f>'27'!S668</f>
        <v>0</v>
      </c>
      <c r="J668" s="160"/>
      <c r="K668" s="104">
        <f>'27'!T668</f>
        <v>0</v>
      </c>
      <c r="L668" s="36">
        <f>'32'!V68</f>
        <v>0</v>
      </c>
      <c r="M668" s="103">
        <f>'32'!W68</f>
        <v>0</v>
      </c>
      <c r="N668" s="160"/>
      <c r="O668" s="104">
        <f>'32'!X68</f>
        <v>0</v>
      </c>
      <c r="P668" s="52" t="str">
        <f>IF('32'!Z68=0,"",'32'!Z68)</f>
        <v/>
      </c>
      <c r="Q668" s="109" t="str">
        <f>IF('32'!AA68=0,"",'32'!AA68)</f>
        <v/>
      </c>
      <c r="R668" s="36" t="str">
        <f>IF('32'!AB68=0,"",'32'!AB68)</f>
        <v/>
      </c>
      <c r="S668" s="36" t="e">
        <f>IF('32'!AC68=0,"",'32'!AC68)</f>
        <v>#N/A</v>
      </c>
      <c r="T668" s="268"/>
      <c r="U668" s="268"/>
      <c r="V668" s="269"/>
    </row>
    <row r="669" ht="15" customHeight="1" spans="2:22">
      <c r="B669" s="14" t="e">
        <f t="shared" si="12"/>
        <v>#REF!</v>
      </c>
      <c r="C669" s="83">
        <f>'32'!M69</f>
        <v>0</v>
      </c>
      <c r="D669" s="110" t="str">
        <f>IF('32'!N69=0,"",'32'!N69)</f>
        <v>CAF</v>
      </c>
      <c r="E669" s="85">
        <f>IF('32'!O69=0,"",'32'!O69)</f>
        <v>32</v>
      </c>
      <c r="F669" s="85">
        <f>IF('32'!P69=0,"",'32'!P69)</f>
        <v>116</v>
      </c>
      <c r="G669" s="105">
        <f>'32'!Q69</f>
        <v>0</v>
      </c>
      <c r="H669" s="161">
        <f>'27'!R669</f>
        <v>0</v>
      </c>
      <c r="I669" s="161">
        <f>'27'!S669</f>
        <v>0</v>
      </c>
      <c r="J669" s="161"/>
      <c r="K669" s="106">
        <f>'27'!T669</f>
        <v>0</v>
      </c>
      <c r="L669" s="85">
        <f>'32'!V69</f>
        <v>0</v>
      </c>
      <c r="M669" s="105">
        <f>'32'!W69</f>
        <v>0</v>
      </c>
      <c r="N669" s="161"/>
      <c r="O669" s="106">
        <f>'32'!X69</f>
        <v>0</v>
      </c>
      <c r="P669" s="107" t="str">
        <f>IF('32'!Z69=0,"",'32'!Z69)</f>
        <v/>
      </c>
      <c r="Q669" s="111" t="str">
        <f>IF('32'!AA69=0,"",'32'!AA69)</f>
        <v/>
      </c>
      <c r="R669" s="85" t="str">
        <f>IF('32'!AB69=0,"",'32'!AB69)</f>
        <v/>
      </c>
      <c r="S669" s="85" t="e">
        <f>IF('32'!AC69=0,"",'32'!AC69)</f>
        <v>#N/A</v>
      </c>
      <c r="T669" s="273"/>
      <c r="U669" s="273"/>
      <c r="V669" s="274"/>
    </row>
    <row r="670" ht="15" customHeight="1" spans="2:22">
      <c r="B670" s="6" t="e">
        <f t="shared" si="12"/>
        <v>#REF!</v>
      </c>
      <c r="C670" s="79" t="str">
        <f>'32'!M70</f>
        <v>51107 Dante </v>
      </c>
      <c r="D670" s="62" t="str">
        <f>IF('32'!N70=0,"",'32'!N70)</f>
        <v>CAF</v>
      </c>
      <c r="E670" s="81">
        <f>IF('32'!O70=0,"",'32'!O70)</f>
        <v>32</v>
      </c>
      <c r="F670" s="81">
        <f>IF('32'!P70=0,"",'32'!P70)</f>
        <v>117</v>
      </c>
      <c r="G670" s="100" t="str">
        <f>'32'!Q70</f>
        <v>Empty</v>
      </c>
      <c r="H670" s="159">
        <f>'27'!R670</f>
        <v>0</v>
      </c>
      <c r="I670" s="159">
        <f>'27'!S670</f>
        <v>0</v>
      </c>
      <c r="J670" s="159"/>
      <c r="K670" s="101">
        <f>'27'!T670</f>
        <v>0</v>
      </c>
      <c r="L670" s="81">
        <f>'32'!V70</f>
        <v>0</v>
      </c>
      <c r="M670" s="100">
        <f>'32'!W70</f>
        <v>0</v>
      </c>
      <c r="N670" s="159"/>
      <c r="O670" s="101">
        <f>'32'!X70</f>
        <v>0</v>
      </c>
      <c r="P670" s="102" t="str">
        <f>IF('32'!Z70=0,"",'32'!Z70)</f>
        <v/>
      </c>
      <c r="Q670" s="108" t="str">
        <f>IF('32'!AA70=0,"",'32'!AA70)</f>
        <v/>
      </c>
      <c r="R670" s="81" t="str">
        <f>IF('32'!AB70=0,"",'32'!AB70)</f>
        <v/>
      </c>
      <c r="S670" s="81" t="e">
        <f>IF('32'!AC70=0,"",'32'!AC70)</f>
        <v>#N/A</v>
      </c>
      <c r="T670" s="286"/>
      <c r="U670" s="286"/>
      <c r="V670" s="287"/>
    </row>
    <row r="671" ht="15" customHeight="1" spans="2:27">
      <c r="B671" s="9" t="e">
        <f t="shared" si="12"/>
        <v>#REF!</v>
      </c>
      <c r="C671" s="31" t="str">
        <f>'32'!M71</f>
        <v>51103 Pontus </v>
      </c>
      <c r="D671" s="32" t="str">
        <f>IF('32'!N71=0,"",'32'!N71)</f>
        <v>CAF</v>
      </c>
      <c r="E671" s="36">
        <f>IF('32'!O71=0,"",'32'!O71)</f>
        <v>32</v>
      </c>
      <c r="F671" s="36">
        <f>IF('32'!P71=0,"",'32'!P71)</f>
        <v>117</v>
      </c>
      <c r="G671" s="103">
        <f>'32'!Q71</f>
        <v>0</v>
      </c>
      <c r="H671" s="160">
        <f>'27'!R671</f>
        <v>0</v>
      </c>
      <c r="I671" s="160">
        <f>'27'!S671</f>
        <v>0</v>
      </c>
      <c r="J671" s="160"/>
      <c r="K671" s="104">
        <f>'27'!T671</f>
        <v>0</v>
      </c>
      <c r="L671" s="36">
        <f>'32'!V71</f>
        <v>0</v>
      </c>
      <c r="M671" s="103">
        <f>'32'!W71</f>
        <v>0</v>
      </c>
      <c r="N671" s="160"/>
      <c r="O671" s="104">
        <f>'32'!X71</f>
        <v>0</v>
      </c>
      <c r="P671" s="52" t="str">
        <f>IF('32'!Z71=0,"",'32'!Z71)</f>
        <v/>
      </c>
      <c r="Q671" s="109" t="str">
        <f>IF('32'!AA71=0,"",'32'!AA71)</f>
        <v/>
      </c>
      <c r="R671" s="36" t="str">
        <f>IF('32'!AB71=0,"",'32'!AB71)</f>
        <v/>
      </c>
      <c r="S671" s="36" t="e">
        <f>IF('32'!AC71=0,"",'32'!AC71)</f>
        <v>#N/A</v>
      </c>
      <c r="T671" s="268"/>
      <c r="U671" s="268"/>
      <c r="V671" s="269"/>
      <c r="AA671" s="36"/>
    </row>
    <row r="672" ht="15" customHeight="1" spans="2:27">
      <c r="B672" s="9" t="e">
        <f t="shared" si="12"/>
        <v>#REF!</v>
      </c>
      <c r="C672" s="31">
        <f>'32'!M72</f>
        <v>0</v>
      </c>
      <c r="D672" s="32" t="str">
        <f>IF('32'!N72=0,"",'32'!N72)</f>
        <v>CAF</v>
      </c>
      <c r="E672" s="36">
        <f>IF('32'!O72=0,"",'32'!O72)</f>
        <v>32</v>
      </c>
      <c r="F672" s="36">
        <f>IF('32'!P72=0,"",'32'!P72)</f>
        <v>117</v>
      </c>
      <c r="G672" s="103">
        <f>'32'!Q72</f>
        <v>0</v>
      </c>
      <c r="H672" s="160">
        <f>'27'!R672</f>
        <v>0</v>
      </c>
      <c r="I672" s="160">
        <f>'27'!S672</f>
        <v>0</v>
      </c>
      <c r="J672" s="160"/>
      <c r="K672" s="104">
        <f>'27'!T672</f>
        <v>0</v>
      </c>
      <c r="L672" s="36">
        <f>'32'!V72</f>
        <v>0</v>
      </c>
      <c r="M672" s="103">
        <f>'32'!W72</f>
        <v>0</v>
      </c>
      <c r="N672" s="160"/>
      <c r="O672" s="104">
        <f>'32'!X72</f>
        <v>0</v>
      </c>
      <c r="P672" s="52" t="str">
        <f>IF('32'!Z72=0,"",'32'!Z72)</f>
        <v/>
      </c>
      <c r="Q672" s="109" t="str">
        <f>IF('32'!AA72=0,"",'32'!AA72)</f>
        <v/>
      </c>
      <c r="R672" s="36" t="str">
        <f>IF('32'!AB72=0,"",'32'!AB72)</f>
        <v/>
      </c>
      <c r="S672" s="36" t="e">
        <f>IF('32'!AC72=0,"",'32'!AC72)</f>
        <v>#N/A</v>
      </c>
      <c r="T672" s="268"/>
      <c r="U672" s="268"/>
      <c r="V672" s="269"/>
      <c r="AA672" s="36"/>
    </row>
    <row r="673" ht="15" customHeight="1" spans="2:22">
      <c r="B673" s="14" t="e">
        <f t="shared" si="12"/>
        <v>#REF!</v>
      </c>
      <c r="C673" s="83">
        <f>'32'!M73</f>
        <v>0</v>
      </c>
      <c r="D673" s="110" t="str">
        <f>IF('32'!N73=0,"",'32'!N73)</f>
        <v>CAF</v>
      </c>
      <c r="E673" s="85">
        <f>IF('32'!O73=0,"",'32'!O73)</f>
        <v>32</v>
      </c>
      <c r="F673" s="85">
        <f>IF('32'!P73=0,"",'32'!P73)</f>
        <v>117</v>
      </c>
      <c r="G673" s="105">
        <f>'32'!Q73</f>
        <v>0</v>
      </c>
      <c r="H673" s="161">
        <f>'27'!R673</f>
        <v>0</v>
      </c>
      <c r="I673" s="161">
        <f>'27'!S673</f>
        <v>0</v>
      </c>
      <c r="J673" s="161"/>
      <c r="K673" s="106">
        <f>'27'!T673</f>
        <v>0</v>
      </c>
      <c r="L673" s="85">
        <f>'32'!V73</f>
        <v>0</v>
      </c>
      <c r="M673" s="105">
        <f>'32'!W73</f>
        <v>0</v>
      </c>
      <c r="N673" s="161"/>
      <c r="O673" s="106">
        <f>'32'!X73</f>
        <v>0</v>
      </c>
      <c r="P673" s="107" t="str">
        <f>IF('32'!Z73=0,"",'32'!Z73)</f>
        <v/>
      </c>
      <c r="Q673" s="111" t="str">
        <f>IF('32'!AA73=0,"",'32'!AA73)</f>
        <v/>
      </c>
      <c r="R673" s="85" t="str">
        <f>IF('32'!AB73=0,"",'32'!AB73)</f>
        <v/>
      </c>
      <c r="S673" s="85" t="e">
        <f>IF('32'!AC73=0,"",'32'!AC73)</f>
        <v>#N/A</v>
      </c>
      <c r="T673" s="273"/>
      <c r="U673" s="273"/>
      <c r="V673" s="274"/>
    </row>
    <row r="674" ht="15" customHeight="1" spans="2:22">
      <c r="B674" s="6" t="e">
        <f t="shared" si="12"/>
        <v>#REF!</v>
      </c>
      <c r="C674" s="79" t="str">
        <f>'32'!M74</f>
        <v>51505 Emil </v>
      </c>
      <c r="D674" s="62" t="str">
        <f>IF('32'!N74=0,"",'32'!N74)</f>
        <v>CAF</v>
      </c>
      <c r="E674" s="81">
        <f>IF('32'!O74=0,"",'32'!O74)</f>
        <v>32</v>
      </c>
      <c r="F674" s="81">
        <f>IF('32'!P74=0,"",'32'!P74)</f>
        <v>118</v>
      </c>
      <c r="G674" s="100" t="str">
        <f>'32'!Q74</f>
        <v>Triple</v>
      </c>
      <c r="H674" s="159">
        <f>'27'!R674</f>
        <v>0</v>
      </c>
      <c r="I674" s="159">
        <f>'27'!S674</f>
        <v>0</v>
      </c>
      <c r="J674" s="159"/>
      <c r="K674" s="101">
        <f>'27'!T674</f>
        <v>0</v>
      </c>
      <c r="L674" s="81">
        <f>'32'!V74</f>
        <v>1</v>
      </c>
      <c r="M674" s="100">
        <f>'32'!W74</f>
        <v>3</v>
      </c>
      <c r="N674" s="159"/>
      <c r="O674" s="101">
        <f>'32'!X74</f>
        <v>0</v>
      </c>
      <c r="P674" s="102" t="str">
        <f>IF('32'!Z74=0,"",'32'!Z74)</f>
        <v/>
      </c>
      <c r="Q674" s="108" t="str">
        <f>IF('32'!AA74=0,"",'32'!AA74)</f>
        <v/>
      </c>
      <c r="R674" s="81" t="str">
        <f>IF('32'!AB74=0,"",'32'!AB74)</f>
        <v/>
      </c>
      <c r="S674" s="81" t="e">
        <f>IF('32'!AC74=0,"",'32'!AC74)</f>
        <v>#N/A</v>
      </c>
      <c r="T674" s="286"/>
      <c r="U674" s="286"/>
      <c r="V674" s="287"/>
    </row>
    <row r="675" ht="15" customHeight="1" spans="2:22">
      <c r="B675" s="9" t="e">
        <f t="shared" si="12"/>
        <v>#REF!</v>
      </c>
      <c r="C675" s="31" t="str">
        <f>'32'!M75</f>
        <v>51515 Daniel </v>
      </c>
      <c r="D675" s="32" t="str">
        <f>IF('32'!N75=0,"",'32'!N75)</f>
        <v>CAF</v>
      </c>
      <c r="E675" s="36">
        <f>IF('32'!O75=0,"",'32'!O75)</f>
        <v>32</v>
      </c>
      <c r="F675" s="36">
        <f>IF('32'!P75=0,"",'32'!P75)</f>
        <v>118</v>
      </c>
      <c r="G675" s="103">
        <f>'32'!Q75</f>
        <v>0</v>
      </c>
      <c r="H675" s="160">
        <f>'27'!R675</f>
        <v>0</v>
      </c>
      <c r="I675" s="160">
        <f>'27'!S675</f>
        <v>0</v>
      </c>
      <c r="J675" s="160"/>
      <c r="K675" s="104">
        <f>'27'!T675</f>
        <v>0</v>
      </c>
      <c r="L675" s="36">
        <f>'32'!V75</f>
        <v>2</v>
      </c>
      <c r="M675" s="103">
        <f>'32'!W75</f>
        <v>0</v>
      </c>
      <c r="N675" s="160"/>
      <c r="O675" s="104">
        <f>'32'!X75</f>
        <v>0</v>
      </c>
      <c r="P675" s="52" t="str">
        <f>IF('32'!Z75=0,"",'32'!Z75)</f>
        <v/>
      </c>
      <c r="Q675" s="109" t="str">
        <f>IF('32'!AA75=0,"",'32'!AA75)</f>
        <v/>
      </c>
      <c r="R675" s="36" t="str">
        <f>IF('32'!AB75=0,"",'32'!AB75)</f>
        <v/>
      </c>
      <c r="S675" s="36" t="e">
        <f>IF('32'!AC75=0,"",'32'!AC75)</f>
        <v>#N/A</v>
      </c>
      <c r="T675" s="268"/>
      <c r="U675" s="268"/>
      <c r="V675" s="269"/>
    </row>
    <row r="676" ht="15" customHeight="1" spans="2:22">
      <c r="B676" s="9" t="e">
        <f t="shared" si="12"/>
        <v>#REF!</v>
      </c>
      <c r="C676" s="31">
        <f>'32'!M76</f>
        <v>0</v>
      </c>
      <c r="D676" s="32" t="str">
        <f>IF('32'!N76=0,"",'32'!N76)</f>
        <v>CAF</v>
      </c>
      <c r="E676" s="36">
        <f>IF('32'!O76=0,"",'32'!O76)</f>
        <v>32</v>
      </c>
      <c r="F676" s="36">
        <f>IF('32'!P76=0,"",'32'!P76)</f>
        <v>118</v>
      </c>
      <c r="G676" s="103">
        <f>'32'!Q76</f>
        <v>0</v>
      </c>
      <c r="H676" s="160">
        <f>'27'!R676</f>
        <v>0</v>
      </c>
      <c r="I676" s="160">
        <f>'27'!S676</f>
        <v>0</v>
      </c>
      <c r="J676" s="160"/>
      <c r="K676" s="104">
        <f>'27'!T676</f>
        <v>0</v>
      </c>
      <c r="L676" s="36">
        <f>'32'!V76</f>
        <v>0</v>
      </c>
      <c r="M676" s="103">
        <f>'32'!W76</f>
        <v>0</v>
      </c>
      <c r="N676" s="160"/>
      <c r="O676" s="104">
        <f>'32'!X76</f>
        <v>0</v>
      </c>
      <c r="P676" s="52" t="str">
        <f>IF('32'!Z76=0,"",'32'!Z76)</f>
        <v/>
      </c>
      <c r="Q676" s="109" t="str">
        <f>IF('32'!AA76=0,"",'32'!AA76)</f>
        <v/>
      </c>
      <c r="R676" s="36" t="str">
        <f>IF('32'!AB76=0,"",'32'!AB76)</f>
        <v/>
      </c>
      <c r="S676" s="36" t="e">
        <f>IF('32'!AC76=0,"",'32'!AC76)</f>
        <v>#N/A</v>
      </c>
      <c r="T676" s="268"/>
      <c r="U676" s="268"/>
      <c r="V676" s="269"/>
    </row>
    <row r="677" ht="15" customHeight="1" spans="2:22">
      <c r="B677" s="14" t="e">
        <f t="shared" si="12"/>
        <v>#REF!</v>
      </c>
      <c r="C677" s="83">
        <f>'32'!M77</f>
        <v>0</v>
      </c>
      <c r="D677" s="110" t="str">
        <f>IF('32'!N77=0,"",'32'!N77)</f>
        <v>CAF</v>
      </c>
      <c r="E677" s="85">
        <f>IF('32'!O77=0,"",'32'!O77)</f>
        <v>32</v>
      </c>
      <c r="F677" s="85">
        <f>IF('32'!P77=0,"",'32'!P77)</f>
        <v>118</v>
      </c>
      <c r="G677" s="105">
        <f>'32'!Q77</f>
        <v>0</v>
      </c>
      <c r="H677" s="161">
        <f>'27'!R677</f>
        <v>0</v>
      </c>
      <c r="I677" s="161">
        <f>'27'!S677</f>
        <v>0</v>
      </c>
      <c r="J677" s="161"/>
      <c r="K677" s="106">
        <f>'27'!T677</f>
        <v>0</v>
      </c>
      <c r="L677" s="85">
        <f>'32'!V77</f>
        <v>4</v>
      </c>
      <c r="M677" s="105">
        <f>'32'!W77</f>
        <v>0</v>
      </c>
      <c r="N677" s="161"/>
      <c r="O677" s="106">
        <f>'32'!X77</f>
        <v>0</v>
      </c>
      <c r="P677" s="107" t="str">
        <f>IF('32'!Z77=0,"",'32'!Z77)</f>
        <v/>
      </c>
      <c r="Q677" s="111" t="str">
        <f>IF('32'!AA77=0,"",'32'!AA77)</f>
        <v/>
      </c>
      <c r="R677" s="85" t="str">
        <f>IF('32'!AB77=0,"",'32'!AB77)</f>
        <v/>
      </c>
      <c r="S677" s="85" t="e">
        <f>IF('32'!AC77=0,"",'32'!AC77)</f>
        <v>#N/A</v>
      </c>
      <c r="T677" s="273"/>
      <c r="U677" s="273"/>
      <c r="V677" s="274"/>
    </row>
    <row r="678" ht="15" customHeight="1" spans="2:22">
      <c r="B678" s="6" t="e">
        <f t="shared" si="12"/>
        <v>#REF!</v>
      </c>
      <c r="C678" s="79" t="str">
        <f>'32'!M78</f>
        <v>51405 Jesper </v>
      </c>
      <c r="D678" s="62" t="str">
        <f>IF('32'!N78=0,"",'32'!N78)</f>
        <v>CAF</v>
      </c>
      <c r="E678" s="81">
        <f>IF('32'!O78=0,"",'32'!O78)</f>
        <v>32</v>
      </c>
      <c r="F678" s="81">
        <f>IF('32'!P78=0,"",'32'!P78)</f>
        <v>119</v>
      </c>
      <c r="G678" s="100" t="str">
        <f>'32'!Q78</f>
        <v>Quadre</v>
      </c>
      <c r="H678" s="159">
        <f>'27'!R678</f>
        <v>0</v>
      </c>
      <c r="I678" s="159">
        <f>'27'!S678</f>
        <v>0</v>
      </c>
      <c r="J678" s="159"/>
      <c r="K678" s="101">
        <f>'27'!T678</f>
        <v>0</v>
      </c>
      <c r="L678" s="81">
        <f>'32'!V78</f>
        <v>1</v>
      </c>
      <c r="M678" s="100">
        <f>'32'!W78</f>
        <v>4</v>
      </c>
      <c r="N678" s="159"/>
      <c r="O678" s="101">
        <f>'32'!X78</f>
        <v>0</v>
      </c>
      <c r="P678" s="102" t="str">
        <f>IF('32'!Z78=0,"",'32'!Z78)</f>
        <v/>
      </c>
      <c r="Q678" s="108" t="str">
        <f>IF('32'!AA78=0,"",'32'!AA78)</f>
        <v/>
      </c>
      <c r="R678" s="81" t="str">
        <f>IF('32'!AB78=0,"",'32'!AB78)</f>
        <v/>
      </c>
      <c r="S678" s="81" t="e">
        <f>IF('32'!AC78=0,"",'32'!AC78)</f>
        <v>#N/A</v>
      </c>
      <c r="T678" s="286"/>
      <c r="U678" s="286"/>
      <c r="V678" s="287"/>
    </row>
    <row r="679" ht="15" customHeight="1" spans="2:22">
      <c r="B679" s="9" t="e">
        <f t="shared" si="12"/>
        <v>#REF!</v>
      </c>
      <c r="C679" s="31" t="str">
        <f>'32'!M79</f>
        <v>51408 Vilgot </v>
      </c>
      <c r="D679" s="32" t="str">
        <f>IF('32'!N79=0,"",'32'!N79)</f>
        <v>CAF</v>
      </c>
      <c r="E679" s="36">
        <f>IF('32'!O79=0,"",'32'!O79)</f>
        <v>32</v>
      </c>
      <c r="F679" s="36">
        <f>IF('32'!P79=0,"",'32'!P79)</f>
        <v>119</v>
      </c>
      <c r="G679" s="103">
        <f>'32'!Q79</f>
        <v>0</v>
      </c>
      <c r="H679" s="160">
        <f>'27'!R679</f>
        <v>0</v>
      </c>
      <c r="I679" s="160">
        <f>'27'!S679</f>
        <v>0</v>
      </c>
      <c r="J679" s="160"/>
      <c r="K679" s="104">
        <f>'27'!T679</f>
        <v>0</v>
      </c>
      <c r="L679" s="36">
        <f>'32'!V79</f>
        <v>2</v>
      </c>
      <c r="M679" s="103">
        <f>'32'!W79</f>
        <v>0</v>
      </c>
      <c r="N679" s="160"/>
      <c r="O679" s="104">
        <f>'32'!X79</f>
        <v>0</v>
      </c>
      <c r="P679" s="52" t="str">
        <f>IF('32'!Z79=0,"",'32'!Z79)</f>
        <v/>
      </c>
      <c r="Q679" s="109" t="str">
        <f>IF('32'!AA79=0,"",'32'!AA79)</f>
        <v/>
      </c>
      <c r="R679" s="36" t="str">
        <f>IF('32'!AB79=0,"",'32'!AB79)</f>
        <v/>
      </c>
      <c r="S679" s="36" t="e">
        <f>IF('32'!AC79=0,"",'32'!AC79)</f>
        <v>#N/A</v>
      </c>
      <c r="T679" s="268"/>
      <c r="U679" s="268"/>
      <c r="V679" s="269"/>
    </row>
    <row r="680" ht="15" customHeight="1" spans="2:22">
      <c r="B680" s="9" t="e">
        <f t="shared" si="12"/>
        <v>#REF!</v>
      </c>
      <c r="C680" s="31">
        <f>'32'!M80</f>
        <v>0</v>
      </c>
      <c r="D680" s="32" t="str">
        <f>IF('32'!N80=0,"",'32'!N80)</f>
        <v>CAF</v>
      </c>
      <c r="E680" s="36">
        <f>IF('32'!O80=0,"",'32'!O80)</f>
        <v>32</v>
      </c>
      <c r="F680" s="36">
        <f>IF('32'!P80=0,"",'32'!P80)</f>
        <v>119</v>
      </c>
      <c r="G680" s="103">
        <f>'32'!Q80</f>
        <v>0</v>
      </c>
      <c r="H680" s="160">
        <f>'27'!R680</f>
        <v>0</v>
      </c>
      <c r="I680" s="160">
        <f>'27'!S680</f>
        <v>0</v>
      </c>
      <c r="J680" s="160"/>
      <c r="K680" s="104">
        <f>'27'!T680</f>
        <v>0</v>
      </c>
      <c r="L680" s="36">
        <f>'32'!V80</f>
        <v>3</v>
      </c>
      <c r="M680" s="103">
        <f>'32'!W80</f>
        <v>0</v>
      </c>
      <c r="N680" s="160"/>
      <c r="O680" s="104">
        <f>'32'!X80</f>
        <v>0</v>
      </c>
      <c r="P680" s="52" t="str">
        <f>IF('32'!Z80=0,"",'32'!Z80)</f>
        <v/>
      </c>
      <c r="Q680" s="109" t="str">
        <f>IF('32'!AA80=0,"",'32'!AA80)</f>
        <v/>
      </c>
      <c r="R680" s="36" t="str">
        <f>IF('32'!AB80=0,"",'32'!AB80)</f>
        <v/>
      </c>
      <c r="S680" s="36" t="e">
        <f>IF('32'!AC80=0,"",'32'!AC80)</f>
        <v>#N/A</v>
      </c>
      <c r="T680" s="268"/>
      <c r="U680" s="268"/>
      <c r="V680" s="269"/>
    </row>
    <row r="681" ht="15" customHeight="1" spans="2:22">
      <c r="B681" s="14" t="e">
        <f t="shared" si="12"/>
        <v>#REF!</v>
      </c>
      <c r="C681" s="83">
        <f>'32'!M81</f>
        <v>0</v>
      </c>
      <c r="D681" s="110" t="str">
        <f>IF('32'!N81=0,"",'32'!N81)</f>
        <v>CAF</v>
      </c>
      <c r="E681" s="85">
        <f>IF('32'!O81=0,"",'32'!O81)</f>
        <v>32</v>
      </c>
      <c r="F681" s="85">
        <f>IF('32'!P81=0,"",'32'!P81)</f>
        <v>119</v>
      </c>
      <c r="G681" s="105">
        <f>'32'!Q81</f>
        <v>0</v>
      </c>
      <c r="H681" s="161">
        <f>'27'!R681</f>
        <v>0</v>
      </c>
      <c r="I681" s="161">
        <f>'27'!S681</f>
        <v>0</v>
      </c>
      <c r="J681" s="161"/>
      <c r="K681" s="106">
        <f>'27'!T681</f>
        <v>0</v>
      </c>
      <c r="L681" s="85">
        <f>'32'!V81</f>
        <v>4</v>
      </c>
      <c r="M681" s="105">
        <f>'32'!W81</f>
        <v>0</v>
      </c>
      <c r="N681" s="161"/>
      <c r="O681" s="106">
        <f>'32'!X81</f>
        <v>0</v>
      </c>
      <c r="P681" s="107" t="str">
        <f>IF('32'!Z81=0,"",'32'!Z81)</f>
        <v/>
      </c>
      <c r="Q681" s="111" t="str">
        <f>IF('32'!AA81=0,"",'32'!AA81)</f>
        <v/>
      </c>
      <c r="R681" s="85" t="str">
        <f>IF('32'!AB81=0,"",'32'!AB81)</f>
        <v/>
      </c>
      <c r="S681" s="85" t="e">
        <f>IF('32'!AC81=0,"",'32'!AC81)</f>
        <v>#N/A</v>
      </c>
      <c r="T681" s="273"/>
      <c r="U681" s="273"/>
      <c r="V681" s="274"/>
    </row>
    <row r="682" ht="15" customHeight="1" spans="2:22">
      <c r="B682" s="6" t="e">
        <f t="shared" si="12"/>
        <v>#REF!</v>
      </c>
      <c r="C682" s="79">
        <f>'32'!M82</f>
        <v>0</v>
      </c>
      <c r="D682" s="62" t="str">
        <f>IF('32'!N82=0,"",'32'!N82)</f>
        <v>CAF</v>
      </c>
      <c r="E682" s="81">
        <f>IF('32'!O82=0,"",'32'!O82)</f>
        <v>32</v>
      </c>
      <c r="F682" s="81">
        <f>IF('32'!P82=0,"",'32'!P82)</f>
        <v>120</v>
      </c>
      <c r="G682" s="100" t="str">
        <f>'32'!Q82</f>
        <v>Triple</v>
      </c>
      <c r="H682" s="159">
        <f>'27'!R682</f>
        <v>0</v>
      </c>
      <c r="I682" s="159">
        <f>'27'!S682</f>
        <v>0</v>
      </c>
      <c r="J682" s="159"/>
      <c r="K682" s="101">
        <f>'27'!T682</f>
        <v>0</v>
      </c>
      <c r="L682" s="81">
        <f>'32'!V82</f>
        <v>1</v>
      </c>
      <c r="M682" s="100">
        <f>'32'!W82</f>
        <v>3</v>
      </c>
      <c r="N682" s="159"/>
      <c r="O682" s="101">
        <f>'32'!X82</f>
        <v>0</v>
      </c>
      <c r="P682" s="102" t="str">
        <f>IF('32'!Z82=0,"",'32'!Z82)</f>
        <v/>
      </c>
      <c r="Q682" s="108" t="str">
        <f>IF('32'!AA82=0,"",'32'!AA82)</f>
        <v/>
      </c>
      <c r="R682" s="81" t="str">
        <f>IF('32'!AB82=0,"",'32'!AB82)</f>
        <v/>
      </c>
      <c r="S682" s="81" t="e">
        <f>IF('32'!AC82=0,"",'32'!AC82)</f>
        <v>#N/A</v>
      </c>
      <c r="T682" s="286"/>
      <c r="U682" s="286"/>
      <c r="V682" s="287"/>
    </row>
    <row r="683" ht="15" customHeight="1" spans="2:22">
      <c r="B683" s="9" t="e">
        <f t="shared" si="12"/>
        <v>#REF!</v>
      </c>
      <c r="C683" s="31">
        <f>'32'!M83</f>
        <v>0</v>
      </c>
      <c r="D683" s="32" t="str">
        <f>IF('32'!N83=0,"",'32'!N83)</f>
        <v>CAF</v>
      </c>
      <c r="E683" s="36">
        <f>IF('32'!O83=0,"",'32'!O83)</f>
        <v>32</v>
      </c>
      <c r="F683" s="36">
        <f>IF('32'!P83=0,"",'32'!P83)</f>
        <v>120</v>
      </c>
      <c r="G683" s="103">
        <f>'32'!Q83</f>
        <v>0</v>
      </c>
      <c r="H683" s="160">
        <f>'27'!R683</f>
        <v>0</v>
      </c>
      <c r="I683" s="160">
        <f>'27'!S683</f>
        <v>0</v>
      </c>
      <c r="J683" s="160"/>
      <c r="K683" s="104">
        <f>'27'!T683</f>
        <v>0</v>
      </c>
      <c r="L683" s="36">
        <f>'32'!V83</f>
        <v>0</v>
      </c>
      <c r="M683" s="103">
        <f>'32'!W83</f>
        <v>0</v>
      </c>
      <c r="N683" s="160"/>
      <c r="O683" s="104">
        <f>'32'!X83</f>
        <v>0</v>
      </c>
      <c r="P683" s="52" t="str">
        <f>IF('32'!Z83=0,"",'32'!Z83)</f>
        <v/>
      </c>
      <c r="Q683" s="109" t="str">
        <f>IF('32'!AA83=0,"",'32'!AA83)</f>
        <v/>
      </c>
      <c r="R683" s="36" t="str">
        <f>IF('32'!AB83=0,"",'32'!AB83)</f>
        <v/>
      </c>
      <c r="S683" s="36" t="e">
        <f>IF('32'!AC83=0,"",'32'!AC83)</f>
        <v>#N/A</v>
      </c>
      <c r="T683" s="268"/>
      <c r="U683" s="268"/>
      <c r="V683" s="269"/>
    </row>
    <row r="684" ht="15" customHeight="1" spans="2:22">
      <c r="B684" s="9" t="e">
        <f t="shared" si="12"/>
        <v>#REF!</v>
      </c>
      <c r="C684" s="31">
        <f>'32'!M84</f>
        <v>0</v>
      </c>
      <c r="D684" s="32" t="str">
        <f>IF('32'!N84=0,"",'32'!N84)</f>
        <v>CAF</v>
      </c>
      <c r="E684" s="36">
        <f>IF('32'!O84=0,"",'32'!O84)</f>
        <v>32</v>
      </c>
      <c r="F684" s="36">
        <f>IF('32'!P84=0,"",'32'!P84)</f>
        <v>120</v>
      </c>
      <c r="G684" s="103">
        <f>'32'!Q84</f>
        <v>0</v>
      </c>
      <c r="H684" s="160">
        <f>'27'!R684</f>
        <v>0</v>
      </c>
      <c r="I684" s="160">
        <f>'27'!S684</f>
        <v>0</v>
      </c>
      <c r="J684" s="160"/>
      <c r="K684" s="104">
        <f>'27'!T684</f>
        <v>0</v>
      </c>
      <c r="L684" s="36">
        <f>'32'!V84</f>
        <v>3</v>
      </c>
      <c r="M684" s="103">
        <f>'32'!W84</f>
        <v>0</v>
      </c>
      <c r="N684" s="160"/>
      <c r="O684" s="104">
        <f>'32'!X84</f>
        <v>0</v>
      </c>
      <c r="P684" s="52" t="str">
        <f>IF('32'!Z84=0,"",'32'!Z84)</f>
        <v/>
      </c>
      <c r="Q684" s="109" t="str">
        <f>IF('32'!AA84=0,"",'32'!AA84)</f>
        <v/>
      </c>
      <c r="R684" s="36" t="str">
        <f>IF('32'!AB84=0,"",'32'!AB84)</f>
        <v/>
      </c>
      <c r="S684" s="36" t="e">
        <f>IF('32'!AC84=0,"",'32'!AC84)</f>
        <v>#N/A</v>
      </c>
      <c r="T684" s="268"/>
      <c r="U684" s="268"/>
      <c r="V684" s="269"/>
    </row>
    <row r="685" ht="15" customHeight="1" spans="2:22">
      <c r="B685" s="14" t="e">
        <f t="shared" si="12"/>
        <v>#REF!</v>
      </c>
      <c r="C685" s="83">
        <f>'32'!M85</f>
        <v>0</v>
      </c>
      <c r="D685" s="110" t="str">
        <f>IF('32'!N85=0,"",'32'!N85)</f>
        <v>CAF</v>
      </c>
      <c r="E685" s="85">
        <f>IF('32'!O85=0,"",'32'!O85)</f>
        <v>32</v>
      </c>
      <c r="F685" s="85">
        <f>IF('32'!P85=0,"",'32'!P85)</f>
        <v>120</v>
      </c>
      <c r="G685" s="105">
        <f>'32'!Q85</f>
        <v>0</v>
      </c>
      <c r="H685" s="161">
        <f>'27'!R685</f>
        <v>0</v>
      </c>
      <c r="I685" s="161">
        <f>'27'!S685</f>
        <v>0</v>
      </c>
      <c r="J685" s="161"/>
      <c r="K685" s="106">
        <f>'27'!T685</f>
        <v>0</v>
      </c>
      <c r="L685" s="85">
        <f>'32'!V85</f>
        <v>4</v>
      </c>
      <c r="M685" s="105">
        <f>'32'!W85</f>
        <v>0</v>
      </c>
      <c r="N685" s="161"/>
      <c r="O685" s="106">
        <f>'32'!X85</f>
        <v>0</v>
      </c>
      <c r="P685" s="107" t="str">
        <f>IF('32'!Z85=0,"",'32'!Z85)</f>
        <v/>
      </c>
      <c r="Q685" s="111" t="str">
        <f>IF('32'!AA85=0,"",'32'!AA85)</f>
        <v/>
      </c>
      <c r="R685" s="85" t="str">
        <f>IF('32'!AB85=0,"",'32'!AB85)</f>
        <v/>
      </c>
      <c r="S685" s="85" t="e">
        <f>IF('32'!AC85=0,"",'32'!AC85)</f>
        <v>#N/A</v>
      </c>
      <c r="T685" s="273"/>
      <c r="U685" s="273"/>
      <c r="V685" s="274"/>
    </row>
    <row r="686" ht="15" customHeight="1" spans="2:22">
      <c r="B686" s="6" t="e">
        <f t="shared" si="12"/>
        <v>#REF!</v>
      </c>
      <c r="C686" s="79">
        <f>'32'!M86</f>
        <v>0</v>
      </c>
      <c r="D686" s="62" t="str">
        <f>IF('32'!N86=0,"",'32'!N86)</f>
        <v>CAF</v>
      </c>
      <c r="E686" s="81">
        <f>IF('32'!O86=0,"",'32'!O86)</f>
        <v>32</v>
      </c>
      <c r="F686" s="81">
        <f>IF('32'!P86=0,"",'32'!P86)</f>
        <v>201</v>
      </c>
      <c r="G686" s="100" t="str">
        <f>'32'!Q86</f>
        <v>Single</v>
      </c>
      <c r="H686" s="159">
        <f>'27'!R686</f>
        <v>0</v>
      </c>
      <c r="I686" s="159">
        <f>'27'!S686</f>
        <v>0</v>
      </c>
      <c r="J686" s="159"/>
      <c r="K686" s="101">
        <f>'27'!T686</f>
        <v>0</v>
      </c>
      <c r="L686" s="81">
        <f>'32'!V86</f>
        <v>1</v>
      </c>
      <c r="M686" s="100">
        <f>'32'!W86</f>
        <v>1</v>
      </c>
      <c r="N686" s="159"/>
      <c r="O686" s="101">
        <f>'32'!X86</f>
        <v>0</v>
      </c>
      <c r="P686" s="102" t="str">
        <f>IF('32'!Z86=0,"",'32'!Z86)</f>
        <v/>
      </c>
      <c r="Q686" s="108" t="str">
        <f>IF('32'!AA86=0,"",'32'!AA86)</f>
        <v/>
      </c>
      <c r="R686" s="81" t="str">
        <f>IF('32'!AB86=0,"",'32'!AB86)</f>
        <v/>
      </c>
      <c r="S686" s="81" t="e">
        <f>IF('32'!AC86=0,"",'32'!AC86)</f>
        <v>#N/A</v>
      </c>
      <c r="T686" s="286"/>
      <c r="U686" s="286"/>
      <c r="V686" s="287"/>
    </row>
    <row r="687" ht="15" customHeight="1" spans="2:22">
      <c r="B687" s="9" t="e">
        <f t="shared" si="12"/>
        <v>#REF!</v>
      </c>
      <c r="C687" s="31">
        <f>'32'!M87</f>
        <v>0</v>
      </c>
      <c r="D687" s="32" t="str">
        <f>IF('32'!N87=0,"",'32'!N87)</f>
        <v>CAF</v>
      </c>
      <c r="E687" s="36">
        <f>IF('32'!O87=0,"",'32'!O87)</f>
        <v>32</v>
      </c>
      <c r="F687" s="36">
        <f>IF('32'!P87=0,"",'32'!P87)</f>
        <v>201</v>
      </c>
      <c r="G687" s="103">
        <f>'32'!Q87</f>
        <v>0</v>
      </c>
      <c r="H687" s="160">
        <f>'27'!R687</f>
        <v>0</v>
      </c>
      <c r="I687" s="160">
        <f>'27'!S687</f>
        <v>0</v>
      </c>
      <c r="J687" s="160"/>
      <c r="K687" s="104">
        <f>'27'!T687</f>
        <v>0</v>
      </c>
      <c r="L687" s="36">
        <f>'32'!V87</f>
        <v>0</v>
      </c>
      <c r="M687" s="103">
        <f>'32'!W87</f>
        <v>0</v>
      </c>
      <c r="N687" s="160"/>
      <c r="O687" s="104">
        <f>'32'!X87</f>
        <v>0</v>
      </c>
      <c r="P687" s="52" t="str">
        <f>IF('32'!Z87=0,"",'32'!Z87)</f>
        <v/>
      </c>
      <c r="Q687" s="109" t="str">
        <f>IF('32'!AA87=0,"",'32'!AA87)</f>
        <v/>
      </c>
      <c r="R687" s="36" t="str">
        <f>IF('32'!AB87=0,"",'32'!AB87)</f>
        <v/>
      </c>
      <c r="S687" s="36" t="e">
        <f>IF('32'!AC87=0,"",'32'!AC87)</f>
        <v>#N/A</v>
      </c>
      <c r="T687" s="268"/>
      <c r="U687" s="268"/>
      <c r="V687" s="269"/>
    </row>
    <row r="688" ht="15" customHeight="1" spans="2:22">
      <c r="B688" s="9" t="e">
        <f t="shared" si="12"/>
        <v>#REF!</v>
      </c>
      <c r="C688" s="31">
        <f>'32'!M88</f>
        <v>0</v>
      </c>
      <c r="D688" s="32" t="str">
        <f>IF('32'!N88=0,"",'32'!N88)</f>
        <v>CAF</v>
      </c>
      <c r="E688" s="36">
        <f>IF('32'!O88=0,"",'32'!O88)</f>
        <v>32</v>
      </c>
      <c r="F688" s="36">
        <f>IF('32'!P88=0,"",'32'!P88)</f>
        <v>201</v>
      </c>
      <c r="G688" s="103">
        <f>'32'!Q88</f>
        <v>0</v>
      </c>
      <c r="H688" s="160">
        <f>'27'!R688</f>
        <v>0</v>
      </c>
      <c r="I688" s="160">
        <f>'27'!S688</f>
        <v>0</v>
      </c>
      <c r="J688" s="160"/>
      <c r="K688" s="104">
        <f>'27'!T688</f>
        <v>0</v>
      </c>
      <c r="L688" s="36">
        <f>'32'!V88</f>
        <v>0</v>
      </c>
      <c r="M688" s="103">
        <f>'32'!W88</f>
        <v>0</v>
      </c>
      <c r="N688" s="160"/>
      <c r="O688" s="104">
        <f>'32'!X88</f>
        <v>0</v>
      </c>
      <c r="P688" s="52" t="str">
        <f>IF('32'!Z88=0,"",'32'!Z88)</f>
        <v/>
      </c>
      <c r="Q688" s="109" t="str">
        <f>IF('32'!AA88=0,"",'32'!AA88)</f>
        <v/>
      </c>
      <c r="R688" s="36" t="str">
        <f>IF('32'!AB88=0,"",'32'!AB88)</f>
        <v/>
      </c>
      <c r="S688" s="36" t="e">
        <f>IF('32'!AC88=0,"",'32'!AC88)</f>
        <v>#N/A</v>
      </c>
      <c r="T688" s="268"/>
      <c r="U688" s="268"/>
      <c r="V688" s="269"/>
    </row>
    <row r="689" ht="15" customHeight="1" spans="2:22">
      <c r="B689" s="14" t="e">
        <f t="shared" si="12"/>
        <v>#N/A</v>
      </c>
      <c r="C689" s="83" t="e">
        <f>'32'!M89</f>
        <v>#N/A</v>
      </c>
      <c r="D689" s="110" t="str">
        <f>IF('32'!N89=0,"",'32'!N89)</f>
        <v>CAF</v>
      </c>
      <c r="E689" s="85">
        <f>IF('32'!O89=0,"",'32'!O89)</f>
        <v>32</v>
      </c>
      <c r="F689" s="85">
        <f>IF('32'!P89=0,"",'32'!P89)</f>
        <v>201</v>
      </c>
      <c r="G689" s="105">
        <f>'32'!Q89</f>
        <v>0</v>
      </c>
      <c r="H689" s="161">
        <f>'27'!R689</f>
        <v>0</v>
      </c>
      <c r="I689" s="161">
        <f>'27'!S689</f>
        <v>0</v>
      </c>
      <c r="J689" s="161"/>
      <c r="K689" s="106">
        <f>'27'!T689</f>
        <v>0</v>
      </c>
      <c r="L689" s="85">
        <f>'32'!V89</f>
        <v>0</v>
      </c>
      <c r="M689" s="105">
        <f>'32'!W89</f>
        <v>0</v>
      </c>
      <c r="N689" s="161"/>
      <c r="O689" s="106">
        <f>'32'!X89</f>
        <v>0</v>
      </c>
      <c r="P689" s="107" t="str">
        <f>IF('32'!Z89=0,"",'32'!Z89)</f>
        <v/>
      </c>
      <c r="Q689" s="111" t="str">
        <f>IF('32'!AA89=0,"",'32'!AA89)</f>
        <v/>
      </c>
      <c r="R689" s="85" t="str">
        <f>IF('32'!AB89=0,"",'32'!AB89)</f>
        <v/>
      </c>
      <c r="S689" s="85" t="e">
        <f>IF('32'!AC89=0,"",'32'!AC89)</f>
        <v>#N/A</v>
      </c>
      <c r="T689" s="273"/>
      <c r="U689" s="273"/>
      <c r="V689" s="274"/>
    </row>
    <row r="690" ht="15" customHeight="1" spans="2:22">
      <c r="B690" s="6" t="e">
        <f t="shared" si="12"/>
        <v>#N/A</v>
      </c>
      <c r="C690" s="79">
        <f>'32'!M90</f>
        <v>0</v>
      </c>
      <c r="D690" s="62" t="str">
        <f>IF('32'!N90=0,"",'32'!N90)</f>
        <v>CAF</v>
      </c>
      <c r="E690" s="81">
        <f>IF('32'!O90=0,"",'32'!O90)</f>
        <v>32</v>
      </c>
      <c r="F690" s="81">
        <f>IF('32'!P90=0,"",'32'!P90)</f>
        <v>202</v>
      </c>
      <c r="G690" s="100" t="str">
        <f>'32'!Q90</f>
        <v>Single</v>
      </c>
      <c r="H690" s="159">
        <f>'27'!R690</f>
        <v>0</v>
      </c>
      <c r="I690" s="159">
        <f>'27'!S690</f>
        <v>0</v>
      </c>
      <c r="J690" s="159"/>
      <c r="K690" s="101">
        <f>'27'!T690</f>
        <v>0</v>
      </c>
      <c r="L690" s="81">
        <f>'32'!V90</f>
        <v>1</v>
      </c>
      <c r="M690" s="100">
        <f>'32'!W90</f>
        <v>1</v>
      </c>
      <c r="N690" s="159"/>
      <c r="O690" s="101">
        <f>'32'!X90</f>
        <v>0</v>
      </c>
      <c r="P690" s="102" t="str">
        <f>IF('32'!Z90=0,"",'32'!Z90)</f>
        <v/>
      </c>
      <c r="Q690" s="108" t="str">
        <f>IF('32'!AA90=0,"",'32'!AA90)</f>
        <v/>
      </c>
      <c r="R690" s="81" t="str">
        <f>IF('32'!AB90=0,"",'32'!AB90)</f>
        <v/>
      </c>
      <c r="S690" s="81" t="e">
        <f>IF('32'!AC90=0,"",'32'!AC90)</f>
        <v>#N/A</v>
      </c>
      <c r="T690" s="286"/>
      <c r="U690" s="286"/>
      <c r="V690" s="287"/>
    </row>
    <row r="691" ht="15" customHeight="1" spans="2:22">
      <c r="B691" s="9" t="e">
        <f t="shared" si="12"/>
        <v>#N/A</v>
      </c>
      <c r="C691" s="31">
        <f>'32'!M91</f>
        <v>0</v>
      </c>
      <c r="D691" s="32" t="str">
        <f>IF('32'!N91=0,"",'32'!N91)</f>
        <v>CAF</v>
      </c>
      <c r="E691" s="36">
        <f>IF('32'!O91=0,"",'32'!O91)</f>
        <v>32</v>
      </c>
      <c r="F691" s="36">
        <f>IF('32'!P91=0,"",'32'!P91)</f>
        <v>202</v>
      </c>
      <c r="G691" s="103">
        <f>'32'!Q91</f>
        <v>0</v>
      </c>
      <c r="H691" s="160">
        <f>'27'!R691</f>
        <v>0</v>
      </c>
      <c r="I691" s="160">
        <f>'27'!S691</f>
        <v>0</v>
      </c>
      <c r="J691" s="160"/>
      <c r="K691" s="104">
        <f>'27'!T691</f>
        <v>0</v>
      </c>
      <c r="L691" s="36">
        <f>'32'!V91</f>
        <v>0</v>
      </c>
      <c r="M691" s="103">
        <f>'32'!W91</f>
        <v>0</v>
      </c>
      <c r="N691" s="160"/>
      <c r="O691" s="104">
        <f>'32'!X91</f>
        <v>0</v>
      </c>
      <c r="P691" s="52" t="str">
        <f>IF('32'!Z91=0,"",'32'!Z91)</f>
        <v/>
      </c>
      <c r="Q691" s="109" t="str">
        <f>IF('32'!AA91=0,"",'32'!AA91)</f>
        <v/>
      </c>
      <c r="R691" s="36" t="str">
        <f>IF('32'!AB91=0,"",'32'!AB91)</f>
        <v/>
      </c>
      <c r="S691" s="36" t="e">
        <f>IF('32'!AC91=0,"",'32'!AC91)</f>
        <v>#N/A</v>
      </c>
      <c r="T691" s="268"/>
      <c r="U691" s="268"/>
      <c r="V691" s="269"/>
    </row>
    <row r="692" ht="15" customHeight="1" spans="2:22">
      <c r="B692" s="9" t="e">
        <f t="shared" si="12"/>
        <v>#N/A</v>
      </c>
      <c r="C692" s="31">
        <f>'32'!M92</f>
        <v>0</v>
      </c>
      <c r="D692" s="32" t="str">
        <f>IF('32'!N92=0,"",'32'!N92)</f>
        <v>CAF</v>
      </c>
      <c r="E692" s="36">
        <f>IF('32'!O92=0,"",'32'!O92)</f>
        <v>32</v>
      </c>
      <c r="F692" s="36">
        <f>IF('32'!P92=0,"",'32'!P92)</f>
        <v>202</v>
      </c>
      <c r="G692" s="103">
        <f>'32'!Q92</f>
        <v>0</v>
      </c>
      <c r="H692" s="160">
        <f>'27'!R692</f>
        <v>0</v>
      </c>
      <c r="I692" s="160">
        <f>'27'!S692</f>
        <v>0</v>
      </c>
      <c r="J692" s="160"/>
      <c r="K692" s="104">
        <f>'27'!T692</f>
        <v>0</v>
      </c>
      <c r="L692" s="36">
        <f>'32'!V92</f>
        <v>0</v>
      </c>
      <c r="M692" s="103">
        <f>'32'!W92</f>
        <v>0</v>
      </c>
      <c r="N692" s="160"/>
      <c r="O692" s="104">
        <f>'32'!X92</f>
        <v>0</v>
      </c>
      <c r="P692" s="52" t="str">
        <f>IF('32'!Z92=0,"",'32'!Z92)</f>
        <v/>
      </c>
      <c r="Q692" s="109" t="str">
        <f>IF('32'!AA92=0,"",'32'!AA92)</f>
        <v/>
      </c>
      <c r="R692" s="36" t="str">
        <f>IF('32'!AB92=0,"",'32'!AB92)</f>
        <v/>
      </c>
      <c r="S692" s="36" t="e">
        <f>IF('32'!AC92=0,"",'32'!AC92)</f>
        <v>#N/A</v>
      </c>
      <c r="T692" s="268"/>
      <c r="U692" s="268"/>
      <c r="V692" s="269"/>
    </row>
    <row r="693" ht="15" customHeight="1" spans="2:22">
      <c r="B693" s="14" t="e">
        <f t="shared" si="12"/>
        <v>#N/A</v>
      </c>
      <c r="C693" s="83" t="e">
        <f>'32'!M93</f>
        <v>#N/A</v>
      </c>
      <c r="D693" s="110" t="str">
        <f>IF('32'!N93=0,"",'32'!N93)</f>
        <v>CAF</v>
      </c>
      <c r="E693" s="85">
        <f>IF('32'!O93=0,"",'32'!O93)</f>
        <v>32</v>
      </c>
      <c r="F693" s="85">
        <f>IF('32'!P93=0,"",'32'!P93)</f>
        <v>202</v>
      </c>
      <c r="G693" s="105">
        <f>'32'!Q93</f>
        <v>0</v>
      </c>
      <c r="H693" s="161">
        <f>'27'!R693</f>
        <v>0</v>
      </c>
      <c r="I693" s="161">
        <f>'27'!S693</f>
        <v>0</v>
      </c>
      <c r="J693" s="161"/>
      <c r="K693" s="106">
        <f>'27'!T693</f>
        <v>0</v>
      </c>
      <c r="L693" s="85">
        <f>'32'!V93</f>
        <v>0</v>
      </c>
      <c r="M693" s="105">
        <f>'32'!W93</f>
        <v>0</v>
      </c>
      <c r="N693" s="161"/>
      <c r="O693" s="106">
        <f>'32'!X93</f>
        <v>0</v>
      </c>
      <c r="P693" s="107" t="str">
        <f>IF('32'!Z93=0,"",'32'!Z93)</f>
        <v/>
      </c>
      <c r="Q693" s="111" t="str">
        <f>IF('32'!AA93=0,"",'32'!AA93)</f>
        <v/>
      </c>
      <c r="R693" s="85" t="str">
        <f>IF('32'!AB93=0,"",'32'!AB93)</f>
        <v/>
      </c>
      <c r="S693" s="85" t="e">
        <f>IF('32'!AC93=0,"",'32'!AC93)</f>
        <v>#N/A</v>
      </c>
      <c r="T693" s="273"/>
      <c r="U693" s="273"/>
      <c r="V693" s="274"/>
    </row>
    <row r="694" ht="15" customHeight="1" spans="2:22">
      <c r="B694" s="6" t="e">
        <f t="shared" si="12"/>
        <v>#N/A</v>
      </c>
      <c r="C694" s="79" t="str">
        <f>'32'!M94</f>
        <v>201379 Nikolai Risvange</v>
      </c>
      <c r="D694" s="62" t="str">
        <f>IF('32'!N94=0,"",'32'!N94)</f>
        <v>CAF</v>
      </c>
      <c r="E694" s="81">
        <f>IF('32'!O94=0,"",'32'!O94)</f>
        <v>32</v>
      </c>
      <c r="F694" s="81">
        <f>IF('32'!P94=0,"",'32'!P94)</f>
        <v>203</v>
      </c>
      <c r="G694" s="100" t="str">
        <f>'32'!Q94</f>
        <v>Quadre</v>
      </c>
      <c r="H694" s="159">
        <f>'27'!R694</f>
        <v>0</v>
      </c>
      <c r="I694" s="159">
        <f>'27'!S694</f>
        <v>0</v>
      </c>
      <c r="J694" s="159"/>
      <c r="K694" s="101">
        <f>'27'!T694</f>
        <v>0</v>
      </c>
      <c r="L694" s="81">
        <f>'32'!V94</f>
        <v>1</v>
      </c>
      <c r="M694" s="100">
        <f>'32'!W94</f>
        <v>4</v>
      </c>
      <c r="N694" s="159"/>
      <c r="O694" s="101">
        <f>'32'!X94</f>
        <v>0</v>
      </c>
      <c r="P694" s="102" t="str">
        <f>IF('32'!Z94=0,"",'32'!Z94)</f>
        <v/>
      </c>
      <c r="Q694" s="108" t="str">
        <f>IF('32'!AA94=0,"",'32'!AA94)</f>
        <v/>
      </c>
      <c r="R694" s="81" t="str">
        <f>IF('32'!AB94=0,"",'32'!AB94)</f>
        <v/>
      </c>
      <c r="S694" s="81" t="e">
        <f>IF('32'!AC94=0,"",'32'!AC94)</f>
        <v>#N/A</v>
      </c>
      <c r="T694" s="286"/>
      <c r="U694" s="286"/>
      <c r="V694" s="287"/>
    </row>
    <row r="695" ht="15" customHeight="1" spans="2:22">
      <c r="B695" s="9" t="e">
        <f t="shared" si="12"/>
        <v>#N/A</v>
      </c>
      <c r="C695" s="31">
        <f>'32'!M95</f>
        <v>0</v>
      </c>
      <c r="D695" s="32" t="str">
        <f>IF('32'!N95=0,"",'32'!N95)</f>
        <v>CAF</v>
      </c>
      <c r="E695" s="36">
        <f>IF('32'!O95=0,"",'32'!O95)</f>
        <v>32</v>
      </c>
      <c r="F695" s="36">
        <f>IF('32'!P95=0,"",'32'!P95)</f>
        <v>203</v>
      </c>
      <c r="G695" s="103">
        <f>'32'!Q95</f>
        <v>0</v>
      </c>
      <c r="H695" s="160">
        <f>'27'!R695</f>
        <v>0</v>
      </c>
      <c r="I695" s="160">
        <f>'27'!S695</f>
        <v>0</v>
      </c>
      <c r="J695" s="160"/>
      <c r="K695" s="104">
        <f>'27'!T695</f>
        <v>0</v>
      </c>
      <c r="L695" s="36">
        <f>'32'!V95</f>
        <v>2</v>
      </c>
      <c r="M695" s="103">
        <f>'32'!W95</f>
        <v>0</v>
      </c>
      <c r="N695" s="160"/>
      <c r="O695" s="104">
        <f>'32'!X95</f>
        <v>0</v>
      </c>
      <c r="P695" s="52" t="str">
        <f>IF('32'!Z95=0,"",'32'!Z95)</f>
        <v/>
      </c>
      <c r="Q695" s="109" t="str">
        <f>IF('32'!AA95=0,"",'32'!AA95)</f>
        <v/>
      </c>
      <c r="R695" s="36" t="str">
        <f>IF('32'!AB95=0,"",'32'!AB95)</f>
        <v/>
      </c>
      <c r="S695" s="36" t="e">
        <f>IF('32'!AC95=0,"",'32'!AC95)</f>
        <v>#N/A</v>
      </c>
      <c r="T695" s="268"/>
      <c r="U695" s="268"/>
      <c r="V695" s="269"/>
    </row>
    <row r="696" ht="15" customHeight="1" spans="2:22">
      <c r="B696" s="9" t="e">
        <f t="shared" si="12"/>
        <v>#N/A</v>
      </c>
      <c r="C696" s="31">
        <f>'32'!M96</f>
        <v>0</v>
      </c>
      <c r="D696" s="32" t="str">
        <f>IF('32'!N96=0,"",'32'!N96)</f>
        <v>CAF</v>
      </c>
      <c r="E696" s="36">
        <f>IF('32'!O96=0,"",'32'!O96)</f>
        <v>32</v>
      </c>
      <c r="F696" s="36">
        <f>IF('32'!P96=0,"",'32'!P96)</f>
        <v>203</v>
      </c>
      <c r="G696" s="103">
        <f>'32'!Q96</f>
        <v>0</v>
      </c>
      <c r="H696" s="160">
        <f>'27'!R696</f>
        <v>0</v>
      </c>
      <c r="I696" s="160">
        <f>'27'!S696</f>
        <v>0</v>
      </c>
      <c r="J696" s="160"/>
      <c r="K696" s="104">
        <f>'27'!T696</f>
        <v>0</v>
      </c>
      <c r="L696" s="36">
        <f>'32'!V96</f>
        <v>3</v>
      </c>
      <c r="M696" s="103">
        <f>'32'!W96</f>
        <v>0</v>
      </c>
      <c r="N696" s="160"/>
      <c r="O696" s="104">
        <f>'32'!X96</f>
        <v>0</v>
      </c>
      <c r="P696" s="52" t="str">
        <f>IF('32'!Z96=0,"",'32'!Z96)</f>
        <v/>
      </c>
      <c r="Q696" s="109" t="str">
        <f>IF('32'!AA96=0,"",'32'!AA96)</f>
        <v/>
      </c>
      <c r="R696" s="36" t="str">
        <f>IF('32'!AB96=0,"",'32'!AB96)</f>
        <v/>
      </c>
      <c r="S696" s="36" t="e">
        <f>IF('32'!AC96=0,"",'32'!AC96)</f>
        <v>#N/A</v>
      </c>
      <c r="T696" s="268"/>
      <c r="U696" s="268"/>
      <c r="V696" s="269"/>
    </row>
    <row r="697" ht="15" customHeight="1" spans="2:22">
      <c r="B697" s="14" t="e">
        <f t="shared" si="12"/>
        <v>#N/A</v>
      </c>
      <c r="C697" s="83">
        <f>'32'!M97</f>
        <v>0</v>
      </c>
      <c r="D697" s="110" t="str">
        <f>IF('32'!N97=0,"",'32'!N97)</f>
        <v>CAF</v>
      </c>
      <c r="E697" s="85">
        <f>IF('32'!O97=0,"",'32'!O97)</f>
        <v>32</v>
      </c>
      <c r="F697" s="85">
        <f>IF('32'!P97=0,"",'32'!P97)</f>
        <v>203</v>
      </c>
      <c r="G697" s="105">
        <f>'32'!Q97</f>
        <v>0</v>
      </c>
      <c r="H697" s="161">
        <f>'27'!R697</f>
        <v>0</v>
      </c>
      <c r="I697" s="161">
        <f>'27'!S697</f>
        <v>0</v>
      </c>
      <c r="J697" s="161"/>
      <c r="K697" s="106">
        <f>'27'!T697</f>
        <v>0</v>
      </c>
      <c r="L697" s="85">
        <f>'32'!V97</f>
        <v>4</v>
      </c>
      <c r="M697" s="105">
        <f>'32'!W97</f>
        <v>0</v>
      </c>
      <c r="N697" s="161"/>
      <c r="O697" s="106">
        <f>'32'!X97</f>
        <v>0</v>
      </c>
      <c r="P697" s="107" t="str">
        <f>IF('32'!Z97=0,"",'32'!Z97)</f>
        <v/>
      </c>
      <c r="Q697" s="111" t="str">
        <f>IF('32'!AA97=0,"",'32'!AA97)</f>
        <v/>
      </c>
      <c r="R697" s="85" t="str">
        <f>IF('32'!AB97=0,"",'32'!AB97)</f>
        <v/>
      </c>
      <c r="S697" s="85" t="e">
        <f>IF('32'!AC97=0,"",'32'!AC97)</f>
        <v>#N/A</v>
      </c>
      <c r="T697" s="273"/>
      <c r="U697" s="273"/>
      <c r="V697" s="274"/>
    </row>
    <row r="698" ht="15" customHeight="1" spans="2:22">
      <c r="B698" s="6" t="e">
        <f t="shared" si="12"/>
        <v>#N/A</v>
      </c>
      <c r="C698" s="79" t="str">
        <f>'32'!M98</f>
        <v>485210 Kasper Thomsen</v>
      </c>
      <c r="D698" s="62" t="str">
        <f>IF('32'!N98=0,"",'32'!N98)</f>
        <v>CAF</v>
      </c>
      <c r="E698" s="81">
        <f>IF('32'!O98=0,"",'32'!O98)</f>
        <v>32</v>
      </c>
      <c r="F698" s="81">
        <f>IF('32'!P98=0,"",'32'!P98)</f>
        <v>204</v>
      </c>
      <c r="G698" s="100" t="str">
        <f>'32'!Q98</f>
        <v>Quadre</v>
      </c>
      <c r="H698" s="159">
        <f>'27'!R698</f>
        <v>0</v>
      </c>
      <c r="I698" s="159">
        <f>'27'!S698</f>
        <v>0</v>
      </c>
      <c r="J698" s="159"/>
      <c r="K698" s="101">
        <f>'27'!T698</f>
        <v>0</v>
      </c>
      <c r="L698" s="81">
        <f>'32'!V98</f>
        <v>1</v>
      </c>
      <c r="M698" s="100">
        <f>'32'!W98</f>
        <v>4</v>
      </c>
      <c r="N698" s="159"/>
      <c r="O698" s="101">
        <f>'32'!X98</f>
        <v>0</v>
      </c>
      <c r="P698" s="102" t="str">
        <f>IF('32'!Z98=0,"",'32'!Z98)</f>
        <v/>
      </c>
      <c r="Q698" s="108" t="str">
        <f>IF('32'!AA98=0,"",'32'!AA98)</f>
        <v/>
      </c>
      <c r="R698" s="81" t="str">
        <f>IF('32'!AB98=0,"",'32'!AB98)</f>
        <v/>
      </c>
      <c r="S698" s="81" t="e">
        <f>IF('32'!AC98=0,"",'32'!AC98)</f>
        <v>#N/A</v>
      </c>
      <c r="T698" s="286"/>
      <c r="U698" s="286"/>
      <c r="V698" s="287"/>
    </row>
    <row r="699" ht="15" customHeight="1" spans="2:22">
      <c r="B699" s="9" t="e">
        <f t="shared" si="12"/>
        <v>#N/A</v>
      </c>
      <c r="C699" s="31">
        <f>'32'!M99</f>
        <v>0</v>
      </c>
      <c r="D699" s="32" t="str">
        <f>IF('32'!N99=0,"",'32'!N99)</f>
        <v>CAF</v>
      </c>
      <c r="E699" s="36">
        <f>IF('32'!O99=0,"",'32'!O99)</f>
        <v>32</v>
      </c>
      <c r="F699" s="36">
        <f>IF('32'!P99=0,"",'32'!P99)</f>
        <v>204</v>
      </c>
      <c r="G699" s="103">
        <f>'32'!Q99</f>
        <v>0</v>
      </c>
      <c r="H699" s="160">
        <f>'27'!R699</f>
        <v>0</v>
      </c>
      <c r="I699" s="160">
        <f>'27'!S699</f>
        <v>0</v>
      </c>
      <c r="J699" s="160"/>
      <c r="K699" s="104">
        <f>'27'!T699</f>
        <v>0</v>
      </c>
      <c r="L699" s="36">
        <f>'32'!V99</f>
        <v>2</v>
      </c>
      <c r="M699" s="103">
        <f>'32'!W99</f>
        <v>0</v>
      </c>
      <c r="N699" s="160"/>
      <c r="O699" s="104">
        <f>'32'!X99</f>
        <v>0</v>
      </c>
      <c r="P699" s="52" t="str">
        <f>IF('32'!Z99=0,"",'32'!Z99)</f>
        <v/>
      </c>
      <c r="Q699" s="109" t="str">
        <f>IF('32'!AA99=0,"",'32'!AA99)</f>
        <v/>
      </c>
      <c r="R699" s="36" t="str">
        <f>IF('32'!AB99=0,"",'32'!AB99)</f>
        <v/>
      </c>
      <c r="S699" s="36" t="e">
        <f>IF('32'!AC99=0,"",'32'!AC99)</f>
        <v>#N/A</v>
      </c>
      <c r="T699" s="268"/>
      <c r="U699" s="268"/>
      <c r="V699" s="269"/>
    </row>
    <row r="700" ht="15" customHeight="1" spans="2:22">
      <c r="B700" s="9" t="e">
        <f t="shared" si="12"/>
        <v>#N/A</v>
      </c>
      <c r="C700" s="31">
        <f>'32'!M100</f>
        <v>0</v>
      </c>
      <c r="D700" s="32" t="str">
        <f>IF('32'!N100=0,"",'32'!N100)</f>
        <v>CAF</v>
      </c>
      <c r="E700" s="36">
        <f>IF('32'!O100=0,"",'32'!O100)</f>
        <v>32</v>
      </c>
      <c r="F700" s="36">
        <f>IF('32'!P100=0,"",'32'!P100)</f>
        <v>204</v>
      </c>
      <c r="G700" s="103">
        <f>'32'!Q100</f>
        <v>0</v>
      </c>
      <c r="H700" s="160">
        <f>'27'!R700</f>
        <v>0</v>
      </c>
      <c r="I700" s="160">
        <f>'27'!S700</f>
        <v>0</v>
      </c>
      <c r="J700" s="160"/>
      <c r="K700" s="104">
        <f>'27'!T700</f>
        <v>0</v>
      </c>
      <c r="L700" s="36">
        <f>'32'!V100</f>
        <v>3</v>
      </c>
      <c r="M700" s="103">
        <f>'32'!W100</f>
        <v>0</v>
      </c>
      <c r="N700" s="160"/>
      <c r="O700" s="104">
        <f>'32'!X100</f>
        <v>0</v>
      </c>
      <c r="P700" s="52" t="str">
        <f>IF('32'!Z100=0,"",'32'!Z100)</f>
        <v/>
      </c>
      <c r="Q700" s="109" t="str">
        <f>IF('32'!AA100=0,"",'32'!AA100)</f>
        <v/>
      </c>
      <c r="R700" s="36" t="str">
        <f>IF('32'!AB100=0,"",'32'!AB100)</f>
        <v/>
      </c>
      <c r="S700" s="36" t="e">
        <f>IF('32'!AC100=0,"",'32'!AC100)</f>
        <v>#N/A</v>
      </c>
      <c r="T700" s="268"/>
      <c r="U700" s="268"/>
      <c r="V700" s="269"/>
    </row>
    <row r="701" ht="15" customHeight="1" spans="2:22">
      <c r="B701" s="14" t="e">
        <f t="shared" si="12"/>
        <v>#N/A</v>
      </c>
      <c r="C701" s="83">
        <f>'32'!M101</f>
        <v>0</v>
      </c>
      <c r="D701" s="110" t="str">
        <f>IF('32'!N101=0,"",'32'!N101)</f>
        <v>CAF</v>
      </c>
      <c r="E701" s="85">
        <f>IF('32'!O101=0,"",'32'!O101)</f>
        <v>32</v>
      </c>
      <c r="F701" s="85">
        <f>IF('32'!P101=0,"",'32'!P101)</f>
        <v>204</v>
      </c>
      <c r="G701" s="105">
        <f>'32'!Q101</f>
        <v>0</v>
      </c>
      <c r="H701" s="161">
        <f>'27'!R701</f>
        <v>0</v>
      </c>
      <c r="I701" s="161">
        <f>'27'!S701</f>
        <v>0</v>
      </c>
      <c r="J701" s="161"/>
      <c r="K701" s="106">
        <f>'27'!T701</f>
        <v>0</v>
      </c>
      <c r="L701" s="85">
        <f>'32'!V101</f>
        <v>4</v>
      </c>
      <c r="M701" s="105">
        <f>'32'!W101</f>
        <v>0</v>
      </c>
      <c r="N701" s="161"/>
      <c r="O701" s="106">
        <f>'32'!X101</f>
        <v>0</v>
      </c>
      <c r="P701" s="107" t="str">
        <f>IF('32'!Z101=0,"",'32'!Z101)</f>
        <v/>
      </c>
      <c r="Q701" s="111" t="str">
        <f>IF('32'!AA101=0,"",'32'!AA101)</f>
        <v/>
      </c>
      <c r="R701" s="85" t="str">
        <f>IF('32'!AB101=0,"",'32'!AB101)</f>
        <v/>
      </c>
      <c r="S701" s="85" t="e">
        <f>IF('32'!AC101=0,"",'32'!AC101)</f>
        <v>#N/A</v>
      </c>
      <c r="T701" s="273"/>
      <c r="U701" s="273"/>
      <c r="V701" s="274"/>
    </row>
    <row r="702" ht="15" customHeight="1" spans="2:22">
      <c r="B702" s="6" t="e">
        <f t="shared" si="12"/>
        <v>#N/A</v>
      </c>
      <c r="C702" s="79" t="str">
        <f>'32'!M102</f>
        <v>167039 Jesper</v>
      </c>
      <c r="D702" s="62" t="str">
        <f>IF('32'!N102=0,"",'32'!N102)</f>
        <v>CAF</v>
      </c>
      <c r="E702" s="81">
        <f>IF('32'!O102=0,"",'32'!O102)</f>
        <v>32</v>
      </c>
      <c r="F702" s="81">
        <f>IF('32'!P102=0,"",'32'!P102)</f>
        <v>205</v>
      </c>
      <c r="G702" s="100" t="str">
        <f>'32'!Q102</f>
        <v>Quadre</v>
      </c>
      <c r="H702" s="159">
        <f>'27'!R702</f>
        <v>0</v>
      </c>
      <c r="I702" s="159">
        <f>'27'!S702</f>
        <v>0</v>
      </c>
      <c r="J702" s="159"/>
      <c r="K702" s="101">
        <f>'27'!T702</f>
        <v>0</v>
      </c>
      <c r="L702" s="81">
        <f>'32'!V102</f>
        <v>1</v>
      </c>
      <c r="M702" s="100">
        <f>'32'!W102</f>
        <v>4</v>
      </c>
      <c r="N702" s="159"/>
      <c r="O702" s="101">
        <f>'32'!X102</f>
        <v>0</v>
      </c>
      <c r="P702" s="102" t="str">
        <f>IF('32'!Z102=0,"",'32'!Z102)</f>
        <v/>
      </c>
      <c r="Q702" s="108" t="str">
        <f>IF('32'!AA102=0,"",'32'!AA102)</f>
        <v/>
      </c>
      <c r="R702" s="81" t="str">
        <f>IF('32'!AB102=0,"",'32'!AB102)</f>
        <v/>
      </c>
      <c r="S702" s="81" t="e">
        <f>IF('32'!AC102=0,"",'32'!AC102)</f>
        <v>#N/A</v>
      </c>
      <c r="T702" s="286"/>
      <c r="U702" s="286"/>
      <c r="V702" s="287"/>
    </row>
    <row r="703" ht="15" customHeight="1" spans="2:22">
      <c r="B703" s="9" t="e">
        <f t="shared" si="12"/>
        <v>#N/A</v>
      </c>
      <c r="C703" s="31">
        <f>'32'!M103</f>
        <v>0</v>
      </c>
      <c r="D703" s="32" t="str">
        <f>IF('32'!N103=0,"",'32'!N103)</f>
        <v>CAF</v>
      </c>
      <c r="E703" s="36">
        <f>IF('32'!O103=0,"",'32'!O103)</f>
        <v>32</v>
      </c>
      <c r="F703" s="36">
        <f>IF('32'!P103=0,"",'32'!P103)</f>
        <v>205</v>
      </c>
      <c r="G703" s="103">
        <f>'32'!Q103</f>
        <v>0</v>
      </c>
      <c r="H703" s="160">
        <f>'27'!R703</f>
        <v>0</v>
      </c>
      <c r="I703" s="160">
        <f>'27'!S703</f>
        <v>0</v>
      </c>
      <c r="J703" s="160"/>
      <c r="K703" s="104">
        <f>'27'!T703</f>
        <v>0</v>
      </c>
      <c r="L703" s="36">
        <f>'32'!V103</f>
        <v>2</v>
      </c>
      <c r="M703" s="103">
        <f>'32'!W103</f>
        <v>0</v>
      </c>
      <c r="N703" s="160"/>
      <c r="O703" s="104">
        <f>'32'!X103</f>
        <v>0</v>
      </c>
      <c r="P703" s="52" t="str">
        <f>IF('32'!Z103=0,"",'32'!Z103)</f>
        <v/>
      </c>
      <c r="Q703" s="109" t="str">
        <f>IF('32'!AA103=0,"",'32'!AA103)</f>
        <v/>
      </c>
      <c r="R703" s="36" t="str">
        <f>IF('32'!AB103=0,"",'32'!AB103)</f>
        <v/>
      </c>
      <c r="S703" s="36" t="e">
        <f>IF('32'!AC103=0,"",'32'!AC103)</f>
        <v>#N/A</v>
      </c>
      <c r="T703" s="268"/>
      <c r="U703" s="268"/>
      <c r="V703" s="269"/>
    </row>
    <row r="704" ht="15" customHeight="1" spans="2:22">
      <c r="B704" s="9" t="e">
        <f t="shared" si="12"/>
        <v>#N/A</v>
      </c>
      <c r="C704" s="31">
        <f>'32'!M104</f>
        <v>0</v>
      </c>
      <c r="D704" s="32" t="str">
        <f>IF('32'!N104=0,"",'32'!N104)</f>
        <v>CAF</v>
      </c>
      <c r="E704" s="36">
        <f>IF('32'!O104=0,"",'32'!O104)</f>
        <v>32</v>
      </c>
      <c r="F704" s="36">
        <f>IF('32'!P104=0,"",'32'!P104)</f>
        <v>205</v>
      </c>
      <c r="G704" s="103">
        <f>'32'!Q104</f>
        <v>0</v>
      </c>
      <c r="H704" s="160">
        <f>'27'!R704</f>
        <v>0</v>
      </c>
      <c r="I704" s="160">
        <f>'27'!S704</f>
        <v>0</v>
      </c>
      <c r="J704" s="160"/>
      <c r="K704" s="104">
        <f>'27'!T704</f>
        <v>0</v>
      </c>
      <c r="L704" s="36">
        <f>'32'!V104</f>
        <v>3</v>
      </c>
      <c r="M704" s="103">
        <f>'32'!W104</f>
        <v>0</v>
      </c>
      <c r="N704" s="160"/>
      <c r="O704" s="104">
        <f>'32'!X104</f>
        <v>0</v>
      </c>
      <c r="P704" s="52" t="str">
        <f>IF('32'!Z104=0,"",'32'!Z104)</f>
        <v/>
      </c>
      <c r="Q704" s="109" t="str">
        <f>IF('32'!AA104=0,"",'32'!AA104)</f>
        <v/>
      </c>
      <c r="R704" s="36" t="str">
        <f>IF('32'!AB104=0,"",'32'!AB104)</f>
        <v/>
      </c>
      <c r="S704" s="36" t="e">
        <f>IF('32'!AC104=0,"",'32'!AC104)</f>
        <v>#N/A</v>
      </c>
      <c r="T704" s="268"/>
      <c r="U704" s="268"/>
      <c r="V704" s="269"/>
    </row>
    <row r="705" ht="15" customHeight="1" spans="2:22">
      <c r="B705" s="14" t="e">
        <f t="shared" si="12"/>
        <v>#N/A</v>
      </c>
      <c r="C705" s="83">
        <f>'32'!M105</f>
        <v>0</v>
      </c>
      <c r="D705" s="110" t="str">
        <f>IF('32'!N105=0,"",'32'!N105)</f>
        <v>CAF</v>
      </c>
      <c r="E705" s="85">
        <f>IF('32'!O105=0,"",'32'!O105)</f>
        <v>32</v>
      </c>
      <c r="F705" s="85">
        <f>IF('32'!P105=0,"",'32'!P105)</f>
        <v>205</v>
      </c>
      <c r="G705" s="105">
        <f>'32'!Q105</f>
        <v>0</v>
      </c>
      <c r="H705" s="161">
        <f>'27'!R705</f>
        <v>0</v>
      </c>
      <c r="I705" s="161">
        <f>'27'!S705</f>
        <v>0</v>
      </c>
      <c r="J705" s="161"/>
      <c r="K705" s="106">
        <f>'27'!T705</f>
        <v>0</v>
      </c>
      <c r="L705" s="85">
        <f>'32'!V105</f>
        <v>4</v>
      </c>
      <c r="M705" s="105">
        <f>'32'!W105</f>
        <v>0</v>
      </c>
      <c r="N705" s="161"/>
      <c r="O705" s="106">
        <f>'32'!X105</f>
        <v>0</v>
      </c>
      <c r="P705" s="107" t="str">
        <f>IF('32'!Z105=0,"",'32'!Z105)</f>
        <v/>
      </c>
      <c r="Q705" s="111" t="str">
        <f>IF('32'!AA105=0,"",'32'!AA105)</f>
        <v/>
      </c>
      <c r="R705" s="85" t="str">
        <f>IF('32'!AB105=0,"",'32'!AB105)</f>
        <v/>
      </c>
      <c r="S705" s="85" t="e">
        <f>IF('32'!AC105=0,"",'32'!AC105)</f>
        <v>#N/A</v>
      </c>
      <c r="T705" s="273"/>
      <c r="U705" s="273"/>
      <c r="V705" s="274"/>
    </row>
    <row r="706" ht="15" customHeight="1" spans="2:22">
      <c r="B706" s="6" t="e">
        <f t="shared" si="12"/>
        <v>#N/A</v>
      </c>
      <c r="C706" s="79" t="str">
        <f>'32'!M106</f>
        <v>399105 Chris</v>
      </c>
      <c r="D706" s="62" t="str">
        <f>IF('32'!N106=0,"",'32'!N106)</f>
        <v>CAF</v>
      </c>
      <c r="E706" s="81">
        <f>IF('32'!O106=0,"",'32'!O106)</f>
        <v>32</v>
      </c>
      <c r="F706" s="81">
        <f>IF('32'!P106=0,"",'32'!P106)</f>
        <v>206</v>
      </c>
      <c r="G706" s="100" t="str">
        <f>'32'!Q106</f>
        <v>Quadre</v>
      </c>
      <c r="H706" s="159">
        <f>'27'!R706</f>
        <v>0</v>
      </c>
      <c r="I706" s="159">
        <f>'27'!S706</f>
        <v>0</v>
      </c>
      <c r="J706" s="159"/>
      <c r="K706" s="101">
        <f>'27'!T706</f>
        <v>0</v>
      </c>
      <c r="L706" s="81">
        <f>'32'!V106</f>
        <v>1</v>
      </c>
      <c r="M706" s="100">
        <f>'32'!W106</f>
        <v>4</v>
      </c>
      <c r="N706" s="159"/>
      <c r="O706" s="101">
        <f>'32'!X106</f>
        <v>0</v>
      </c>
      <c r="P706" s="102" t="str">
        <f>IF('32'!Z106=0,"",'32'!Z106)</f>
        <v/>
      </c>
      <c r="Q706" s="108" t="str">
        <f>IF('32'!AA106=0,"",'32'!AA106)</f>
        <v/>
      </c>
      <c r="R706" s="81" t="str">
        <f>IF('32'!AB106=0,"",'32'!AB106)</f>
        <v/>
      </c>
      <c r="S706" s="81" t="e">
        <f>IF('32'!AC106=0,"",'32'!AC106)</f>
        <v>#N/A</v>
      </c>
      <c r="T706" s="286"/>
      <c r="U706" s="286"/>
      <c r="V706" s="287"/>
    </row>
    <row r="707" ht="15" customHeight="1" spans="2:22">
      <c r="B707" s="9" t="e">
        <f t="shared" si="12"/>
        <v>#N/A</v>
      </c>
      <c r="C707" s="31">
        <f>'32'!M107</f>
        <v>0</v>
      </c>
      <c r="D707" s="32" t="str">
        <f>IF('32'!N107=0,"",'32'!N107)</f>
        <v>CAF</v>
      </c>
      <c r="E707" s="36">
        <f>IF('32'!O107=0,"",'32'!O107)</f>
        <v>32</v>
      </c>
      <c r="F707" s="36">
        <f>IF('32'!P107=0,"",'32'!P107)</f>
        <v>206</v>
      </c>
      <c r="G707" s="103">
        <f>'32'!Q107</f>
        <v>0</v>
      </c>
      <c r="H707" s="160">
        <f>'27'!R707</f>
        <v>0</v>
      </c>
      <c r="I707" s="160">
        <f>'27'!S707</f>
        <v>0</v>
      </c>
      <c r="J707" s="160"/>
      <c r="K707" s="104">
        <f>'27'!T707</f>
        <v>0</v>
      </c>
      <c r="L707" s="36">
        <f>'32'!V107</f>
        <v>2</v>
      </c>
      <c r="M707" s="103">
        <f>'32'!W107</f>
        <v>0</v>
      </c>
      <c r="N707" s="160"/>
      <c r="O707" s="104">
        <f>'32'!X107</f>
        <v>0</v>
      </c>
      <c r="P707" s="52" t="str">
        <f>IF('32'!Z107=0,"",'32'!Z107)</f>
        <v/>
      </c>
      <c r="Q707" s="109" t="str">
        <f>IF('32'!AA107=0,"",'32'!AA107)</f>
        <v/>
      </c>
      <c r="R707" s="36" t="str">
        <f>IF('32'!AB107=0,"",'32'!AB107)</f>
        <v/>
      </c>
      <c r="S707" s="36" t="e">
        <f>IF('32'!AC107=0,"",'32'!AC107)</f>
        <v>#N/A</v>
      </c>
      <c r="T707" s="268"/>
      <c r="U707" s="268"/>
      <c r="V707" s="269"/>
    </row>
    <row r="708" ht="15" customHeight="1" spans="2:22">
      <c r="B708" s="9" t="e">
        <f t="shared" si="12"/>
        <v>#N/A</v>
      </c>
      <c r="C708" s="31">
        <f>'32'!M108</f>
        <v>0</v>
      </c>
      <c r="D708" s="32" t="str">
        <f>IF('32'!N108=0,"",'32'!N108)</f>
        <v>CAF</v>
      </c>
      <c r="E708" s="36">
        <f>IF('32'!O108=0,"",'32'!O108)</f>
        <v>32</v>
      </c>
      <c r="F708" s="36">
        <f>IF('32'!P108=0,"",'32'!P108)</f>
        <v>206</v>
      </c>
      <c r="G708" s="103">
        <f>'32'!Q108</f>
        <v>0</v>
      </c>
      <c r="H708" s="160">
        <f>'27'!R708</f>
        <v>0</v>
      </c>
      <c r="I708" s="160">
        <f>'27'!S708</f>
        <v>0</v>
      </c>
      <c r="J708" s="160"/>
      <c r="K708" s="104">
        <f>'27'!T708</f>
        <v>0</v>
      </c>
      <c r="L708" s="36">
        <f>'32'!V108</f>
        <v>3</v>
      </c>
      <c r="M708" s="103">
        <f>'32'!W108</f>
        <v>0</v>
      </c>
      <c r="N708" s="160"/>
      <c r="O708" s="104">
        <f>'32'!X108</f>
        <v>0</v>
      </c>
      <c r="P708" s="52" t="str">
        <f>IF('32'!Z108=0,"",'32'!Z108)</f>
        <v/>
      </c>
      <c r="Q708" s="109" t="str">
        <f>IF('32'!AA108=0,"",'32'!AA108)</f>
        <v/>
      </c>
      <c r="R708" s="36" t="str">
        <f>IF('32'!AB108=0,"",'32'!AB108)</f>
        <v/>
      </c>
      <c r="S708" s="36" t="e">
        <f>IF('32'!AC108=0,"",'32'!AC108)</f>
        <v>#N/A</v>
      </c>
      <c r="T708" s="268"/>
      <c r="U708" s="268"/>
      <c r="V708" s="269"/>
    </row>
    <row r="709" ht="15" customHeight="1" spans="2:22">
      <c r="B709" s="14" t="e">
        <f t="shared" si="12"/>
        <v>#N/A</v>
      </c>
      <c r="C709" s="83">
        <f>'32'!M109</f>
        <v>0</v>
      </c>
      <c r="D709" s="110" t="str">
        <f>IF('32'!N109=0,"",'32'!N109)</f>
        <v>CAF</v>
      </c>
      <c r="E709" s="85">
        <f>IF('32'!O109=0,"",'32'!O109)</f>
        <v>32</v>
      </c>
      <c r="F709" s="85">
        <f>IF('32'!P109=0,"",'32'!P109)</f>
        <v>206</v>
      </c>
      <c r="G709" s="105">
        <f>'32'!Q109</f>
        <v>0</v>
      </c>
      <c r="H709" s="161">
        <f>'27'!R709</f>
        <v>0</v>
      </c>
      <c r="I709" s="161">
        <f>'27'!S709</f>
        <v>0</v>
      </c>
      <c r="J709" s="161"/>
      <c r="K709" s="106">
        <f>'27'!T709</f>
        <v>0</v>
      </c>
      <c r="L709" s="85">
        <f>'32'!V109</f>
        <v>4</v>
      </c>
      <c r="M709" s="105">
        <f>'32'!W109</f>
        <v>0</v>
      </c>
      <c r="N709" s="161"/>
      <c r="O709" s="106">
        <f>'32'!X109</f>
        <v>0</v>
      </c>
      <c r="P709" s="107" t="str">
        <f>IF('32'!Z109=0,"",'32'!Z109)</f>
        <v/>
      </c>
      <c r="Q709" s="111" t="str">
        <f>IF('32'!AA109=0,"",'32'!AA109)</f>
        <v/>
      </c>
      <c r="R709" s="85" t="str">
        <f>IF('32'!AB109=0,"",'32'!AB109)</f>
        <v/>
      </c>
      <c r="S709" s="85" t="e">
        <f>IF('32'!AC109=0,"",'32'!AC109)</f>
        <v>#N/A</v>
      </c>
      <c r="T709" s="273"/>
      <c r="U709" s="273"/>
      <c r="V709" s="274"/>
    </row>
    <row r="710" ht="15" customHeight="1" spans="2:22">
      <c r="B710" s="6" t="e">
        <f t="shared" si="12"/>
        <v>#N/A</v>
      </c>
      <c r="C710" s="79" t="str">
        <f>'32'!M110</f>
        <v>443003 Jesper</v>
      </c>
      <c r="D710" s="62" t="str">
        <f>IF('32'!N110=0,"",'32'!N110)</f>
        <v>CAF</v>
      </c>
      <c r="E710" s="81">
        <f>IF('32'!O110=0,"",'32'!O110)</f>
        <v>32</v>
      </c>
      <c r="F710" s="81">
        <f>IF('32'!P110=0,"",'32'!P110)</f>
        <v>207</v>
      </c>
      <c r="G710" s="100" t="str">
        <f>'32'!Q110</f>
        <v>Quadre</v>
      </c>
      <c r="H710" s="159">
        <f>'27'!R710</f>
        <v>0</v>
      </c>
      <c r="I710" s="159">
        <f>'27'!S710</f>
        <v>0</v>
      </c>
      <c r="J710" s="159"/>
      <c r="K710" s="101">
        <f>'27'!T710</f>
        <v>0</v>
      </c>
      <c r="L710" s="81">
        <f>'32'!V110</f>
        <v>1</v>
      </c>
      <c r="M710" s="100">
        <f>'32'!W110</f>
        <v>4</v>
      </c>
      <c r="N710" s="159"/>
      <c r="O710" s="101">
        <f>'32'!X110</f>
        <v>0</v>
      </c>
      <c r="P710" s="102" t="str">
        <f>IF('32'!Z110=0,"",'32'!Z110)</f>
        <v/>
      </c>
      <c r="Q710" s="108" t="str">
        <f>IF('32'!AA110=0,"",'32'!AA110)</f>
        <v/>
      </c>
      <c r="R710" s="81" t="str">
        <f>IF('32'!AB110=0,"",'32'!AB110)</f>
        <v/>
      </c>
      <c r="S710" s="81" t="str">
        <f>IF('32'!AC110=0,"",'32'!AC110)</f>
        <v>Bag 0677</v>
      </c>
      <c r="T710" s="286"/>
      <c r="U710" s="286"/>
      <c r="V710" s="287"/>
    </row>
    <row r="711" ht="15" customHeight="1" spans="2:22">
      <c r="B711" s="9" t="e">
        <f t="shared" si="12"/>
        <v>#N/A</v>
      </c>
      <c r="C711" s="31">
        <f>'32'!M111</f>
        <v>0</v>
      </c>
      <c r="D711" s="32" t="str">
        <f>IF('32'!N111=0,"",'32'!N111)</f>
        <v>CAF</v>
      </c>
      <c r="E711" s="36">
        <f>IF('32'!O111=0,"",'32'!O111)</f>
        <v>32</v>
      </c>
      <c r="F711" s="36">
        <f>IF('32'!P111=0,"",'32'!P111)</f>
        <v>207</v>
      </c>
      <c r="G711" s="103">
        <f>'32'!Q111</f>
        <v>0</v>
      </c>
      <c r="H711" s="160">
        <f>'27'!R711</f>
        <v>0</v>
      </c>
      <c r="I711" s="160">
        <f>'27'!S711</f>
        <v>0</v>
      </c>
      <c r="J711" s="160"/>
      <c r="K711" s="104">
        <f>'27'!T711</f>
        <v>0</v>
      </c>
      <c r="L711" s="36">
        <f>'32'!V111</f>
        <v>2</v>
      </c>
      <c r="M711" s="103">
        <f>'32'!W111</f>
        <v>0</v>
      </c>
      <c r="N711" s="160"/>
      <c r="O711" s="104">
        <f>'32'!X111</f>
        <v>0</v>
      </c>
      <c r="P711" s="52" t="str">
        <f>IF('32'!Z111=0,"",'32'!Z111)</f>
        <v/>
      </c>
      <c r="Q711" s="109" t="str">
        <f>IF('32'!AA111=0,"",'32'!AA111)</f>
        <v/>
      </c>
      <c r="R711" s="36" t="str">
        <f>IF('32'!AB111=0,"",'32'!AB111)</f>
        <v/>
      </c>
      <c r="S711" s="36" t="e">
        <f>IF('32'!AC111=0,"",'32'!AC111)</f>
        <v>#N/A</v>
      </c>
      <c r="T711" s="268"/>
      <c r="U711" s="268"/>
      <c r="V711" s="269"/>
    </row>
    <row r="712" ht="15" customHeight="1" spans="2:22">
      <c r="B712" s="9" t="e">
        <f t="shared" si="12"/>
        <v>#N/A</v>
      </c>
      <c r="C712" s="31">
        <f>'32'!M112</f>
        <v>0</v>
      </c>
      <c r="D712" s="32" t="str">
        <f>IF('32'!N112=0,"",'32'!N112)</f>
        <v>CAF</v>
      </c>
      <c r="E712" s="36">
        <f>IF('32'!O112=0,"",'32'!O112)</f>
        <v>32</v>
      </c>
      <c r="F712" s="36">
        <f>IF('32'!P112=0,"",'32'!P112)</f>
        <v>207</v>
      </c>
      <c r="G712" s="103">
        <f>'32'!Q112</f>
        <v>0</v>
      </c>
      <c r="H712" s="160">
        <f>'27'!R712</f>
        <v>0</v>
      </c>
      <c r="I712" s="160">
        <f>'27'!S712</f>
        <v>0</v>
      </c>
      <c r="J712" s="160"/>
      <c r="K712" s="104">
        <f>'27'!T712</f>
        <v>0</v>
      </c>
      <c r="L712" s="36">
        <f>'32'!V112</f>
        <v>3</v>
      </c>
      <c r="M712" s="103">
        <f>'32'!W112</f>
        <v>0</v>
      </c>
      <c r="N712" s="160"/>
      <c r="O712" s="104">
        <f>'32'!X112</f>
        <v>0</v>
      </c>
      <c r="P712" s="52" t="str">
        <f>IF('32'!Z112=0,"",'32'!Z112)</f>
        <v/>
      </c>
      <c r="Q712" s="109" t="str">
        <f>IF('32'!AA112=0,"",'32'!AA112)</f>
        <v/>
      </c>
      <c r="R712" s="36" t="str">
        <f>IF('32'!AB112=0,"",'32'!AB112)</f>
        <v/>
      </c>
      <c r="S712" s="36" t="e">
        <f>IF('32'!AC112=0,"",'32'!AC112)</f>
        <v>#N/A</v>
      </c>
      <c r="T712" s="268"/>
      <c r="U712" s="268"/>
      <c r="V712" s="269"/>
    </row>
    <row r="713" ht="15" customHeight="1" spans="2:22">
      <c r="B713" s="14" t="e">
        <f t="shared" si="12"/>
        <v>#N/A</v>
      </c>
      <c r="C713" s="83">
        <f>'32'!M113</f>
        <v>0</v>
      </c>
      <c r="D713" s="110" t="str">
        <f>IF('32'!N113=0,"",'32'!N113)</f>
        <v>CAF</v>
      </c>
      <c r="E713" s="85">
        <f>IF('32'!O113=0,"",'32'!O113)</f>
        <v>32</v>
      </c>
      <c r="F713" s="85">
        <f>IF('32'!P113=0,"",'32'!P113)</f>
        <v>207</v>
      </c>
      <c r="G713" s="105">
        <f>'32'!Q113</f>
        <v>0</v>
      </c>
      <c r="H713" s="161">
        <f>'27'!R713</f>
        <v>0</v>
      </c>
      <c r="I713" s="161">
        <f>'27'!S713</f>
        <v>0</v>
      </c>
      <c r="J713" s="161"/>
      <c r="K713" s="106">
        <f>'27'!T713</f>
        <v>0</v>
      </c>
      <c r="L713" s="85">
        <f>'32'!V113</f>
        <v>4</v>
      </c>
      <c r="M713" s="105">
        <f>'32'!W113</f>
        <v>0</v>
      </c>
      <c r="N713" s="161"/>
      <c r="O713" s="106">
        <f>'32'!X113</f>
        <v>0</v>
      </c>
      <c r="P713" s="107" t="str">
        <f>IF('32'!Z113=0,"",'32'!Z113)</f>
        <v/>
      </c>
      <c r="Q713" s="111" t="str">
        <f>IF('32'!AA113=0,"",'32'!AA113)</f>
        <v/>
      </c>
      <c r="R713" s="85" t="str">
        <f>IF('32'!AB113=0,"",'32'!AB113)</f>
        <v/>
      </c>
      <c r="S713" s="85" t="e">
        <f>IF('32'!AC113=0,"",'32'!AC113)</f>
        <v>#N/A</v>
      </c>
      <c r="T713" s="273"/>
      <c r="U713" s="273"/>
      <c r="V713" s="274"/>
    </row>
    <row r="714" ht="15" customHeight="1" spans="2:22">
      <c r="B714" s="6" t="e">
        <f t="shared" si="12"/>
        <v>#N/A</v>
      </c>
      <c r="C714" s="79" t="str">
        <f>'32'!M114</f>
        <v>514113 Abdul</v>
      </c>
      <c r="D714" s="62" t="str">
        <f>IF('32'!N114=0,"",'32'!N114)</f>
        <v>CAF</v>
      </c>
      <c r="E714" s="81">
        <f>IF('32'!O114=0,"",'32'!O114)</f>
        <v>32</v>
      </c>
      <c r="F714" s="81">
        <f>IF('32'!P114=0,"",'32'!P114)</f>
        <v>208</v>
      </c>
      <c r="G714" s="100" t="str">
        <f>'32'!Q114</f>
        <v>Quadre</v>
      </c>
      <c r="H714" s="159">
        <f>'27'!R714</f>
        <v>0</v>
      </c>
      <c r="I714" s="159">
        <f>'27'!S714</f>
        <v>0</v>
      </c>
      <c r="J714" s="159"/>
      <c r="K714" s="101">
        <f>'27'!T714</f>
        <v>0</v>
      </c>
      <c r="L714" s="81">
        <f>'32'!V114</f>
        <v>1</v>
      </c>
      <c r="M714" s="100">
        <f>'32'!W114</f>
        <v>4</v>
      </c>
      <c r="N714" s="159"/>
      <c r="O714" s="101">
        <f>'32'!X114</f>
        <v>0</v>
      </c>
      <c r="P714" s="102" t="str">
        <f>IF('32'!Z114=0,"",'32'!Z114)</f>
        <v/>
      </c>
      <c r="Q714" s="108" t="str">
        <f>IF('32'!AA114=0,"",'32'!AA114)</f>
        <v/>
      </c>
      <c r="R714" s="81" t="str">
        <f>IF('32'!AB114=0,"",'32'!AB114)</f>
        <v/>
      </c>
      <c r="S714" s="81" t="str">
        <f>IF('32'!AC114=0,"",'32'!AC114)</f>
        <v>Bag 0791</v>
      </c>
      <c r="T714" s="286"/>
      <c r="U714" s="286"/>
      <c r="V714" s="287"/>
    </row>
    <row r="715" ht="15" customHeight="1" spans="2:22">
      <c r="B715" s="9" t="e">
        <f t="shared" si="12"/>
        <v>#N/A</v>
      </c>
      <c r="C715" s="31">
        <f>'32'!M115</f>
        <v>0</v>
      </c>
      <c r="D715" s="32" t="str">
        <f>IF('32'!N115=0,"",'32'!N115)</f>
        <v>CAF</v>
      </c>
      <c r="E715" s="36">
        <f>IF('32'!O115=0,"",'32'!O115)</f>
        <v>32</v>
      </c>
      <c r="F715" s="36">
        <f>IF('32'!P115=0,"",'32'!P115)</f>
        <v>208</v>
      </c>
      <c r="G715" s="103">
        <f>'32'!Q115</f>
        <v>0</v>
      </c>
      <c r="H715" s="160">
        <f>'27'!R715</f>
        <v>0</v>
      </c>
      <c r="I715" s="160">
        <f>'27'!S715</f>
        <v>0</v>
      </c>
      <c r="J715" s="160"/>
      <c r="K715" s="104">
        <f>'27'!T715</f>
        <v>0</v>
      </c>
      <c r="L715" s="36">
        <f>'32'!V115</f>
        <v>2</v>
      </c>
      <c r="M715" s="103">
        <f>'32'!W115</f>
        <v>0</v>
      </c>
      <c r="N715" s="160"/>
      <c r="O715" s="104">
        <f>'32'!X115</f>
        <v>0</v>
      </c>
      <c r="P715" s="52" t="str">
        <f>IF('32'!Z115=0,"",'32'!Z115)</f>
        <v/>
      </c>
      <c r="Q715" s="109" t="str">
        <f>IF('32'!AA115=0,"",'32'!AA115)</f>
        <v/>
      </c>
      <c r="R715" s="36" t="str">
        <f>IF('32'!AB115=0,"",'32'!AB115)</f>
        <v/>
      </c>
      <c r="S715" s="36" t="e">
        <f>IF('32'!AC115=0,"",'32'!AC115)</f>
        <v>#N/A</v>
      </c>
      <c r="T715" s="268"/>
      <c r="U715" s="268"/>
      <c r="V715" s="269"/>
    </row>
    <row r="716" ht="15" customHeight="1" spans="2:22">
      <c r="B716" s="9" t="e">
        <f t="shared" si="12"/>
        <v>#N/A</v>
      </c>
      <c r="C716" s="31">
        <f>'32'!M116</f>
        <v>0</v>
      </c>
      <c r="D716" s="32" t="str">
        <f>IF('32'!N116=0,"",'32'!N116)</f>
        <v>CAF</v>
      </c>
      <c r="E716" s="36">
        <f>IF('32'!O116=0,"",'32'!O116)</f>
        <v>32</v>
      </c>
      <c r="F716" s="36">
        <f>IF('32'!P116=0,"",'32'!P116)</f>
        <v>208</v>
      </c>
      <c r="G716" s="103">
        <f>'32'!Q116</f>
        <v>0</v>
      </c>
      <c r="H716" s="160">
        <f>'27'!R716</f>
        <v>0</v>
      </c>
      <c r="I716" s="160">
        <f>'27'!S716</f>
        <v>0</v>
      </c>
      <c r="J716" s="160"/>
      <c r="K716" s="104">
        <f>'27'!T716</f>
        <v>0</v>
      </c>
      <c r="L716" s="36">
        <f>'32'!V116</f>
        <v>3</v>
      </c>
      <c r="M716" s="103">
        <f>'32'!W116</f>
        <v>0</v>
      </c>
      <c r="N716" s="160"/>
      <c r="O716" s="104">
        <f>'32'!X116</f>
        <v>0</v>
      </c>
      <c r="P716" s="52" t="str">
        <f>IF('32'!Z116=0,"",'32'!Z116)</f>
        <v/>
      </c>
      <c r="Q716" s="109" t="str">
        <f>IF('32'!AA116=0,"",'32'!AA116)</f>
        <v/>
      </c>
      <c r="R716" s="36" t="str">
        <f>IF('32'!AB116=0,"",'32'!AB116)</f>
        <v/>
      </c>
      <c r="S716" s="36" t="e">
        <f>IF('32'!AC116=0,"",'32'!AC116)</f>
        <v>#N/A</v>
      </c>
      <c r="T716" s="268"/>
      <c r="U716" s="268"/>
      <c r="V716" s="269"/>
    </row>
    <row r="717" ht="15" customHeight="1" spans="2:22">
      <c r="B717" s="14" t="e">
        <f t="shared" si="12"/>
        <v>#N/A</v>
      </c>
      <c r="C717" s="83">
        <f>'32'!M117</f>
        <v>0</v>
      </c>
      <c r="D717" s="110" t="str">
        <f>IF('32'!N117=0,"",'32'!N117)</f>
        <v>CAF</v>
      </c>
      <c r="E717" s="85">
        <f>IF('32'!O117=0,"",'32'!O117)</f>
        <v>32</v>
      </c>
      <c r="F717" s="85">
        <f>IF('32'!P117=0,"",'32'!P117)</f>
        <v>208</v>
      </c>
      <c r="G717" s="105">
        <f>'32'!Q117</f>
        <v>0</v>
      </c>
      <c r="H717" s="161">
        <f>'27'!R717</f>
        <v>0</v>
      </c>
      <c r="I717" s="161">
        <f>'27'!S717</f>
        <v>0</v>
      </c>
      <c r="J717" s="161"/>
      <c r="K717" s="106">
        <f>'27'!T717</f>
        <v>0</v>
      </c>
      <c r="L717" s="85">
        <f>'32'!V117</f>
        <v>4</v>
      </c>
      <c r="M717" s="105">
        <f>'32'!W117</f>
        <v>0</v>
      </c>
      <c r="N717" s="161"/>
      <c r="O717" s="106">
        <f>'32'!X117</f>
        <v>0</v>
      </c>
      <c r="P717" s="107" t="str">
        <f>IF('32'!Z117=0,"",'32'!Z117)</f>
        <v/>
      </c>
      <c r="Q717" s="111" t="str">
        <f>IF('32'!AA117=0,"",'32'!AA117)</f>
        <v/>
      </c>
      <c r="R717" s="85" t="str">
        <f>IF('32'!AB117=0,"",'32'!AB117)</f>
        <v/>
      </c>
      <c r="S717" s="85" t="e">
        <f>IF('32'!AC117=0,"",'32'!AC117)</f>
        <v>#N/A</v>
      </c>
      <c r="T717" s="273"/>
      <c r="U717" s="273"/>
      <c r="V717" s="274"/>
    </row>
    <row r="718" ht="15" customHeight="1" spans="2:22">
      <c r="B718" s="6" t="e">
        <f t="shared" si="12"/>
        <v>#N/A</v>
      </c>
      <c r="C718" s="79">
        <f>'32'!M118</f>
        <v>0</v>
      </c>
      <c r="D718" s="62" t="str">
        <f>IF('32'!N118=0,"",'32'!N118)</f>
        <v>CAF</v>
      </c>
      <c r="E718" s="81">
        <f>IF('32'!O118=0,"",'32'!O118)</f>
        <v>32</v>
      </c>
      <c r="F718" s="81">
        <f>IF('32'!P118=0,"",'32'!P118)</f>
        <v>209</v>
      </c>
      <c r="G718" s="100" t="str">
        <f>'32'!Q118</f>
        <v>Single</v>
      </c>
      <c r="H718" s="159">
        <f>'27'!R718</f>
        <v>0</v>
      </c>
      <c r="I718" s="159">
        <f>'27'!S718</f>
        <v>0</v>
      </c>
      <c r="J718" s="159"/>
      <c r="K718" s="101">
        <f>'27'!T718</f>
        <v>0</v>
      </c>
      <c r="L718" s="81">
        <f>'32'!V118</f>
        <v>0</v>
      </c>
      <c r="M718" s="100">
        <f>'32'!W118</f>
        <v>1</v>
      </c>
      <c r="N718" s="159"/>
      <c r="O718" s="101">
        <f>'32'!X118</f>
        <v>0</v>
      </c>
      <c r="P718" s="102" t="str">
        <f>IF('32'!Z118=0,"",'32'!Z118)</f>
        <v/>
      </c>
      <c r="Q718" s="108" t="str">
        <f>IF('32'!AA118=0,"",'32'!AA118)</f>
        <v/>
      </c>
      <c r="R718" s="81" t="str">
        <f>IF('32'!AB118=0,"",'32'!AB118)</f>
        <v/>
      </c>
      <c r="S718" s="81" t="e">
        <f>IF('32'!AC118=0,"",'32'!AC118)</f>
        <v>#N/A</v>
      </c>
      <c r="T718" s="286"/>
      <c r="U718" s="286"/>
      <c r="V718" s="287"/>
    </row>
    <row r="719" ht="15" customHeight="1" spans="2:22">
      <c r="B719" s="9" t="e">
        <f t="shared" ref="B719:B766" si="13">COUNTA(C719)-IF(C719=0,1)+B718</f>
        <v>#N/A</v>
      </c>
      <c r="C719" s="31">
        <f>'32'!M119</f>
        <v>0</v>
      </c>
      <c r="D719" s="32" t="str">
        <f>IF('32'!N119=0,"",'32'!N119)</f>
        <v>CAF</v>
      </c>
      <c r="E719" s="36">
        <f>IF('32'!O119=0,"",'32'!O119)</f>
        <v>32</v>
      </c>
      <c r="F719" s="36">
        <f>IF('32'!P119=0,"",'32'!P119)</f>
        <v>209</v>
      </c>
      <c r="G719" s="103">
        <f>'32'!Q119</f>
        <v>0</v>
      </c>
      <c r="H719" s="160">
        <f>'27'!R719</f>
        <v>0</v>
      </c>
      <c r="I719" s="160">
        <f>'27'!S719</f>
        <v>0</v>
      </c>
      <c r="J719" s="160"/>
      <c r="K719" s="104">
        <f>'27'!T719</f>
        <v>0</v>
      </c>
      <c r="L719" s="36">
        <f>'32'!V119</f>
        <v>2</v>
      </c>
      <c r="M719" s="103">
        <f>'32'!W119</f>
        <v>0</v>
      </c>
      <c r="N719" s="160"/>
      <c r="O719" s="104">
        <f>'32'!X119</f>
        <v>0</v>
      </c>
      <c r="P719" s="52" t="str">
        <f>IF('32'!Z119=0,"",'32'!Z119)</f>
        <v/>
      </c>
      <c r="Q719" s="109" t="str">
        <f>IF('32'!AA119=0,"",'32'!AA119)</f>
        <v/>
      </c>
      <c r="R719" s="36" t="str">
        <f>IF('32'!AB119=0,"",'32'!AB119)</f>
        <v/>
      </c>
      <c r="S719" s="36" t="e">
        <f>IF('32'!AC119=0,"",'32'!AC119)</f>
        <v>#N/A</v>
      </c>
      <c r="T719" s="268"/>
      <c r="U719" s="268"/>
      <c r="V719" s="269"/>
    </row>
    <row r="720" ht="15" customHeight="1" spans="2:22">
      <c r="B720" s="9" t="e">
        <f t="shared" si="13"/>
        <v>#N/A</v>
      </c>
      <c r="C720" s="31">
        <f>'32'!M120</f>
        <v>0</v>
      </c>
      <c r="D720" s="32" t="str">
        <f>IF('32'!N120=0,"",'32'!N120)</f>
        <v>CAF</v>
      </c>
      <c r="E720" s="36">
        <f>IF('32'!O120=0,"",'32'!O120)</f>
        <v>32</v>
      </c>
      <c r="F720" s="36">
        <f>IF('32'!P120=0,"",'32'!P120)</f>
        <v>209</v>
      </c>
      <c r="G720" s="103">
        <f>'32'!Q120</f>
        <v>0</v>
      </c>
      <c r="H720" s="160">
        <f>'27'!R720</f>
        <v>0</v>
      </c>
      <c r="I720" s="160">
        <f>'27'!S720</f>
        <v>0</v>
      </c>
      <c r="J720" s="160"/>
      <c r="K720" s="104">
        <f>'27'!T720</f>
        <v>0</v>
      </c>
      <c r="L720" s="36">
        <f>'32'!V120</f>
        <v>0</v>
      </c>
      <c r="M720" s="103">
        <f>'32'!W120</f>
        <v>0</v>
      </c>
      <c r="N720" s="160"/>
      <c r="O720" s="104">
        <f>'32'!X120</f>
        <v>0</v>
      </c>
      <c r="P720" s="52" t="str">
        <f>IF('32'!Z120=0,"",'32'!Z120)</f>
        <v/>
      </c>
      <c r="Q720" s="109" t="str">
        <f>IF('32'!AA120=0,"",'32'!AA120)</f>
        <v/>
      </c>
      <c r="R720" s="36" t="str">
        <f>IF('32'!AB120=0,"",'32'!AB120)</f>
        <v/>
      </c>
      <c r="S720" s="36" t="e">
        <f>IF('32'!AC120=0,"",'32'!AC120)</f>
        <v>#N/A</v>
      </c>
      <c r="T720" s="268"/>
      <c r="U720" s="268"/>
      <c r="V720" s="269"/>
    </row>
    <row r="721" ht="15" customHeight="1" spans="2:22">
      <c r="B721" s="14" t="e">
        <f t="shared" si="13"/>
        <v>#N/A</v>
      </c>
      <c r="C721" s="83">
        <f>'32'!M121</f>
        <v>0</v>
      </c>
      <c r="D721" s="110" t="str">
        <f>IF('32'!N121=0,"",'32'!N121)</f>
        <v>CAF</v>
      </c>
      <c r="E721" s="85">
        <f>IF('32'!O121=0,"",'32'!O121)</f>
        <v>32</v>
      </c>
      <c r="F721" s="85">
        <f>IF('32'!P121=0,"",'32'!P121)</f>
        <v>209</v>
      </c>
      <c r="G721" s="105">
        <f>'32'!Q121</f>
        <v>0</v>
      </c>
      <c r="H721" s="161">
        <f>'27'!R721</f>
        <v>0</v>
      </c>
      <c r="I721" s="161">
        <f>'27'!S721</f>
        <v>0</v>
      </c>
      <c r="J721" s="161"/>
      <c r="K721" s="106">
        <f>'27'!T721</f>
        <v>0</v>
      </c>
      <c r="L721" s="85">
        <f>'32'!V121</f>
        <v>0</v>
      </c>
      <c r="M721" s="105">
        <f>'32'!W121</f>
        <v>0</v>
      </c>
      <c r="N721" s="161"/>
      <c r="O721" s="106">
        <f>'32'!X121</f>
        <v>0</v>
      </c>
      <c r="P721" s="107" t="str">
        <f>IF('32'!Z121=0,"",'32'!Z121)</f>
        <v/>
      </c>
      <c r="Q721" s="111" t="str">
        <f>IF('32'!AA121=0,"",'32'!AA121)</f>
        <v/>
      </c>
      <c r="R721" s="85" t="str">
        <f>IF('32'!AB121=0,"",'32'!AB121)</f>
        <v/>
      </c>
      <c r="S721" s="85" t="e">
        <f>IF('32'!AC121=0,"",'32'!AC121)</f>
        <v>#N/A</v>
      </c>
      <c r="T721" s="273"/>
      <c r="U721" s="273"/>
      <c r="V721" s="274"/>
    </row>
    <row r="722" ht="15" customHeight="1" spans="2:22">
      <c r="B722" s="6" t="e">
        <f t="shared" si="13"/>
        <v>#N/A</v>
      </c>
      <c r="C722" s="79">
        <f>'32'!M122</f>
        <v>0</v>
      </c>
      <c r="D722" s="62" t="str">
        <f>IF('32'!N122=0,"",'32'!N122)</f>
        <v>CAF</v>
      </c>
      <c r="E722" s="81">
        <f>IF('32'!O122=0,"",'32'!O122)</f>
        <v>32</v>
      </c>
      <c r="F722" s="81">
        <f>IF('32'!P122=0,"",'32'!P122)</f>
        <v>210</v>
      </c>
      <c r="G722" s="100" t="str">
        <f>'32'!Q122</f>
        <v>Triple</v>
      </c>
      <c r="H722" s="159">
        <f>'27'!R722</f>
        <v>0</v>
      </c>
      <c r="I722" s="159">
        <f>'27'!S722</f>
        <v>0</v>
      </c>
      <c r="J722" s="159"/>
      <c r="K722" s="101">
        <f>'27'!T722</f>
        <v>0</v>
      </c>
      <c r="L722" s="81">
        <f>'32'!V122</f>
        <v>1</v>
      </c>
      <c r="M722" s="100">
        <f>'32'!W122</f>
        <v>3</v>
      </c>
      <c r="N722" s="159"/>
      <c r="O722" s="101">
        <f>'32'!X122</f>
        <v>0</v>
      </c>
      <c r="P722" s="102" t="str">
        <f>IF('32'!Z122=0,"",'32'!Z122)</f>
        <v/>
      </c>
      <c r="Q722" s="108" t="str">
        <f>IF('32'!AA122=0,"",'32'!AA122)</f>
        <v/>
      </c>
      <c r="R722" s="81" t="str">
        <f>IF('32'!AB122=0,"",'32'!AB122)</f>
        <v/>
      </c>
      <c r="S722" s="81" t="e">
        <f>IF('32'!AC122=0,"",'32'!AC122)</f>
        <v>#N/A</v>
      </c>
      <c r="T722" s="286"/>
      <c r="U722" s="286"/>
      <c r="V722" s="287"/>
    </row>
    <row r="723" ht="15" customHeight="1" spans="2:22">
      <c r="B723" s="9" t="e">
        <f t="shared" si="13"/>
        <v>#N/A</v>
      </c>
      <c r="C723" s="31">
        <f>'32'!M123</f>
        <v>0</v>
      </c>
      <c r="D723" s="32" t="str">
        <f>IF('32'!N123=0,"",'32'!N123)</f>
        <v>CAF</v>
      </c>
      <c r="E723" s="36">
        <f>IF('32'!O123=0,"",'32'!O123)</f>
        <v>32</v>
      </c>
      <c r="F723" s="36">
        <f>IF('32'!P123=0,"",'32'!P123)</f>
        <v>210</v>
      </c>
      <c r="G723" s="103">
        <f>'32'!Q123</f>
        <v>0</v>
      </c>
      <c r="H723" s="160">
        <f>'27'!R723</f>
        <v>0</v>
      </c>
      <c r="I723" s="160">
        <f>'27'!S723</f>
        <v>0</v>
      </c>
      <c r="J723" s="160"/>
      <c r="K723" s="104">
        <f>'27'!T723</f>
        <v>0</v>
      </c>
      <c r="L723" s="36">
        <f>'32'!V123</f>
        <v>2</v>
      </c>
      <c r="M723" s="103">
        <f>'32'!W123</f>
        <v>0</v>
      </c>
      <c r="N723" s="160"/>
      <c r="O723" s="104">
        <f>'32'!X123</f>
        <v>0</v>
      </c>
      <c r="P723" s="52" t="str">
        <f>IF('32'!Z123=0,"",'32'!Z123)</f>
        <v/>
      </c>
      <c r="Q723" s="109" t="str">
        <f>IF('32'!AA123=0,"",'32'!AA123)</f>
        <v/>
      </c>
      <c r="R723" s="36" t="str">
        <f>IF('32'!AB123=0,"",'32'!AB123)</f>
        <v/>
      </c>
      <c r="S723" s="36" t="e">
        <f>IF('32'!AC123=0,"",'32'!AC123)</f>
        <v>#N/A</v>
      </c>
      <c r="T723" s="268"/>
      <c r="U723" s="268"/>
      <c r="V723" s="269"/>
    </row>
    <row r="724" ht="15" customHeight="1" spans="2:22">
      <c r="B724" s="9" t="e">
        <f t="shared" si="13"/>
        <v>#N/A</v>
      </c>
      <c r="C724" s="31">
        <f>'32'!M124</f>
        <v>0</v>
      </c>
      <c r="D724" s="32" t="str">
        <f>IF('32'!N124=0,"",'32'!N124)</f>
        <v>CAF</v>
      </c>
      <c r="E724" s="36">
        <f>IF('32'!O124=0,"",'32'!O124)</f>
        <v>32</v>
      </c>
      <c r="F724" s="36">
        <f>IF('32'!P124=0,"",'32'!P124)</f>
        <v>210</v>
      </c>
      <c r="G724" s="103">
        <f>'32'!Q124</f>
        <v>0</v>
      </c>
      <c r="H724" s="160">
        <f>'27'!R724</f>
        <v>0</v>
      </c>
      <c r="I724" s="160">
        <f>'27'!S724</f>
        <v>0</v>
      </c>
      <c r="J724" s="160"/>
      <c r="K724" s="104">
        <f>'27'!T724</f>
        <v>0</v>
      </c>
      <c r="L724" s="36">
        <f>'32'!V124</f>
        <v>3</v>
      </c>
      <c r="M724" s="103">
        <f>'32'!W124</f>
        <v>0</v>
      </c>
      <c r="N724" s="160"/>
      <c r="O724" s="104">
        <f>'32'!X124</f>
        <v>0</v>
      </c>
      <c r="P724" s="52" t="str">
        <f>IF('32'!Z124=0,"",'32'!Z124)</f>
        <v/>
      </c>
      <c r="Q724" s="109" t="str">
        <f>IF('32'!AA124=0,"",'32'!AA124)</f>
        <v/>
      </c>
      <c r="R724" s="36" t="str">
        <f>IF('32'!AB124=0,"",'32'!AB124)</f>
        <v/>
      </c>
      <c r="S724" s="36" t="e">
        <f>IF('32'!AC124=0,"",'32'!AC124)</f>
        <v>#N/A</v>
      </c>
      <c r="T724" s="268"/>
      <c r="U724" s="268"/>
      <c r="V724" s="269"/>
    </row>
    <row r="725" ht="15" customHeight="1" spans="2:22">
      <c r="B725" s="14" t="e">
        <f t="shared" si="13"/>
        <v>#N/A</v>
      </c>
      <c r="C725" s="83">
        <f>'32'!M125</f>
        <v>0</v>
      </c>
      <c r="D725" s="110" t="str">
        <f>IF('32'!N125=0,"",'32'!N125)</f>
        <v>CAF</v>
      </c>
      <c r="E725" s="85">
        <f>IF('32'!O125=0,"",'32'!O125)</f>
        <v>32</v>
      </c>
      <c r="F725" s="85">
        <f>IF('32'!P125=0,"",'32'!P125)</f>
        <v>210</v>
      </c>
      <c r="G725" s="105">
        <f>'32'!Q125</f>
        <v>0</v>
      </c>
      <c r="H725" s="161">
        <f>'27'!R725</f>
        <v>0</v>
      </c>
      <c r="I725" s="161">
        <f>'27'!S725</f>
        <v>0</v>
      </c>
      <c r="J725" s="161"/>
      <c r="K725" s="106">
        <f>'27'!T725</f>
        <v>0</v>
      </c>
      <c r="L725" s="85">
        <f>'32'!V125</f>
        <v>0</v>
      </c>
      <c r="M725" s="105">
        <f>'32'!W125</f>
        <v>0</v>
      </c>
      <c r="N725" s="161"/>
      <c r="O725" s="106">
        <f>'32'!X125</f>
        <v>0</v>
      </c>
      <c r="P725" s="107" t="str">
        <f>IF('32'!Z125=0,"",'32'!Z125)</f>
        <v/>
      </c>
      <c r="Q725" s="111" t="str">
        <f>IF('32'!AA125=0,"",'32'!AA125)</f>
        <v/>
      </c>
      <c r="R725" s="85" t="str">
        <f>IF('32'!AB125=0,"",'32'!AB125)</f>
        <v/>
      </c>
      <c r="S725" s="85" t="e">
        <f>IF('32'!AC125=0,"",'32'!AC125)</f>
        <v>#N/A</v>
      </c>
      <c r="T725" s="273"/>
      <c r="U725" s="273"/>
      <c r="V725" s="274"/>
    </row>
    <row r="726" ht="15" customHeight="1" spans="2:22">
      <c r="B726" s="6" t="e">
        <f t="shared" si="13"/>
        <v>#N/A</v>
      </c>
      <c r="C726" s="79">
        <f>'32'!M126</f>
        <v>0</v>
      </c>
      <c r="D726" s="62" t="str">
        <f>IF('32'!N126=0,"",'32'!N126)</f>
        <v>CAF</v>
      </c>
      <c r="E726" s="81">
        <f>IF('32'!O126=0,"",'32'!O126)</f>
        <v>32</v>
      </c>
      <c r="F726" s="81">
        <f>IF('32'!P126=0,"",'32'!P126)</f>
        <v>211</v>
      </c>
      <c r="G726" s="100" t="str">
        <f>'32'!Q126</f>
        <v>Triple</v>
      </c>
      <c r="H726" s="159">
        <f>'27'!R726</f>
        <v>0</v>
      </c>
      <c r="I726" s="159">
        <f>'27'!S726</f>
        <v>0</v>
      </c>
      <c r="J726" s="159"/>
      <c r="K726" s="101">
        <f>'27'!T726</f>
        <v>0</v>
      </c>
      <c r="L726" s="81">
        <f>'32'!V126</f>
        <v>1</v>
      </c>
      <c r="M726" s="100">
        <f>'32'!W126</f>
        <v>3</v>
      </c>
      <c r="N726" s="159"/>
      <c r="O726" s="101">
        <f>'32'!X126</f>
        <v>0</v>
      </c>
      <c r="P726" s="102" t="str">
        <f>IF('32'!Z126=0,"",'32'!Z126)</f>
        <v/>
      </c>
      <c r="Q726" s="108" t="str">
        <f>IF('32'!AA126=0,"",'32'!AA126)</f>
        <v/>
      </c>
      <c r="R726" s="81" t="str">
        <f>IF('32'!AB126=0,"",'32'!AB126)</f>
        <v/>
      </c>
      <c r="S726" s="81" t="e">
        <f>IF('32'!AC126=0,"",'32'!AC126)</f>
        <v>#N/A</v>
      </c>
      <c r="T726" s="286"/>
      <c r="U726" s="286"/>
      <c r="V726" s="287"/>
    </row>
    <row r="727" ht="15" customHeight="1" spans="2:22">
      <c r="B727" s="9" t="e">
        <f t="shared" si="13"/>
        <v>#N/A</v>
      </c>
      <c r="C727" s="31">
        <f>'32'!M127</f>
        <v>0</v>
      </c>
      <c r="D727" s="32" t="str">
        <f>IF('32'!N127=0,"",'32'!N127)</f>
        <v>CAF</v>
      </c>
      <c r="E727" s="36">
        <f>IF('32'!O127=0,"",'32'!O127)</f>
        <v>32</v>
      </c>
      <c r="F727" s="36">
        <f>IF('32'!P127=0,"",'32'!P127)</f>
        <v>211</v>
      </c>
      <c r="G727" s="103">
        <f>'32'!Q127</f>
        <v>0</v>
      </c>
      <c r="H727" s="160">
        <f>'27'!R727</f>
        <v>0</v>
      </c>
      <c r="I727" s="160">
        <f>'27'!S727</f>
        <v>0</v>
      </c>
      <c r="J727" s="160"/>
      <c r="K727" s="104">
        <f>'27'!T727</f>
        <v>0</v>
      </c>
      <c r="L727" s="36">
        <f>'32'!V127</f>
        <v>2</v>
      </c>
      <c r="M727" s="103">
        <f>'32'!W127</f>
        <v>0</v>
      </c>
      <c r="N727" s="160"/>
      <c r="O727" s="104">
        <f>'32'!X127</f>
        <v>0</v>
      </c>
      <c r="P727" s="52" t="str">
        <f>IF('32'!Z127=0,"",'32'!Z127)</f>
        <v/>
      </c>
      <c r="Q727" s="109" t="str">
        <f>IF('32'!AA127=0,"",'32'!AA127)</f>
        <v/>
      </c>
      <c r="R727" s="36" t="str">
        <f>IF('32'!AB127=0,"",'32'!AB127)</f>
        <v/>
      </c>
      <c r="S727" s="36" t="e">
        <f>IF('32'!AC127=0,"",'32'!AC127)</f>
        <v>#N/A</v>
      </c>
      <c r="T727" s="268"/>
      <c r="U727" s="268"/>
      <c r="V727" s="269"/>
    </row>
    <row r="728" ht="15" customHeight="1" spans="2:22">
      <c r="B728" s="9" t="e">
        <f t="shared" si="13"/>
        <v>#N/A</v>
      </c>
      <c r="C728" s="31">
        <f>'32'!M128</f>
        <v>0</v>
      </c>
      <c r="D728" s="32" t="str">
        <f>IF('32'!N128=0,"",'32'!N128)</f>
        <v>CAF</v>
      </c>
      <c r="E728" s="36">
        <f>IF('32'!O128=0,"",'32'!O128)</f>
        <v>32</v>
      </c>
      <c r="F728" s="36">
        <f>IF('32'!P128=0,"",'32'!P128)</f>
        <v>211</v>
      </c>
      <c r="G728" s="103">
        <f>'32'!Q128</f>
        <v>0</v>
      </c>
      <c r="H728" s="160">
        <f>'27'!R728</f>
        <v>0</v>
      </c>
      <c r="I728" s="160">
        <f>'27'!S728</f>
        <v>0</v>
      </c>
      <c r="J728" s="160"/>
      <c r="K728" s="104">
        <f>'27'!T728</f>
        <v>0</v>
      </c>
      <c r="L728" s="36">
        <f>'32'!V128</f>
        <v>3</v>
      </c>
      <c r="M728" s="103">
        <f>'32'!W128</f>
        <v>0</v>
      </c>
      <c r="N728" s="160"/>
      <c r="O728" s="104">
        <f>'32'!X128</f>
        <v>0</v>
      </c>
      <c r="P728" s="52" t="str">
        <f>IF('32'!Z128=0,"",'32'!Z128)</f>
        <v/>
      </c>
      <c r="Q728" s="109" t="str">
        <f>IF('32'!AA128=0,"",'32'!AA128)</f>
        <v/>
      </c>
      <c r="R728" s="36" t="str">
        <f>IF('32'!AB128=0,"",'32'!AB128)</f>
        <v/>
      </c>
      <c r="S728" s="36" t="e">
        <f>IF('32'!AC128=0,"",'32'!AC128)</f>
        <v>#N/A</v>
      </c>
      <c r="T728" s="268"/>
      <c r="U728" s="268"/>
      <c r="V728" s="269"/>
    </row>
    <row r="729" ht="15" customHeight="1" spans="2:22">
      <c r="B729" s="14" t="e">
        <f t="shared" si="13"/>
        <v>#N/A</v>
      </c>
      <c r="C729" s="83">
        <f>'32'!M129</f>
        <v>0</v>
      </c>
      <c r="D729" s="110" t="str">
        <f>IF('32'!N129=0,"",'32'!N129)</f>
        <v>CAF</v>
      </c>
      <c r="E729" s="85">
        <f>IF('32'!O129=0,"",'32'!O129)</f>
        <v>32</v>
      </c>
      <c r="F729" s="85">
        <f>IF('32'!P129=0,"",'32'!P129)</f>
        <v>211</v>
      </c>
      <c r="G729" s="105">
        <f>'32'!Q129</f>
        <v>0</v>
      </c>
      <c r="H729" s="161">
        <f>'27'!R729</f>
        <v>0</v>
      </c>
      <c r="I729" s="161">
        <f>'27'!S729</f>
        <v>0</v>
      </c>
      <c r="J729" s="161"/>
      <c r="K729" s="106">
        <f>'27'!T729</f>
        <v>0</v>
      </c>
      <c r="L729" s="85">
        <f>'32'!V129</f>
        <v>0</v>
      </c>
      <c r="M729" s="105">
        <f>'32'!W129</f>
        <v>0</v>
      </c>
      <c r="N729" s="161"/>
      <c r="O729" s="106">
        <f>'32'!X129</f>
        <v>0</v>
      </c>
      <c r="P729" s="107" t="str">
        <f>IF('32'!Z129=0,"",'32'!Z129)</f>
        <v/>
      </c>
      <c r="Q729" s="111" t="str">
        <f>IF('32'!AA129=0,"",'32'!AA129)</f>
        <v/>
      </c>
      <c r="R729" s="85" t="str">
        <f>IF('32'!AB129=0,"",'32'!AB129)</f>
        <v/>
      </c>
      <c r="S729" s="85" t="e">
        <f>IF('32'!AC129=0,"",'32'!AC129)</f>
        <v>#N/A</v>
      </c>
      <c r="T729" s="273"/>
      <c r="U729" s="273"/>
      <c r="V729" s="274"/>
    </row>
    <row r="730" ht="15" customHeight="1" spans="2:22">
      <c r="B730" s="6" t="e">
        <f t="shared" si="13"/>
        <v>#N/A</v>
      </c>
      <c r="C730" s="79">
        <f>'32'!M130</f>
        <v>0</v>
      </c>
      <c r="D730" s="62" t="str">
        <f>IF('32'!N130=0,"",'32'!N130)</f>
        <v>CAF</v>
      </c>
      <c r="E730" s="81">
        <f>IF('32'!O130=0,"",'32'!O130)</f>
        <v>32</v>
      </c>
      <c r="F730" s="81">
        <f>IF('32'!P130=0,"",'32'!P130)</f>
        <v>212</v>
      </c>
      <c r="G730" s="100" t="str">
        <f>'32'!Q130</f>
        <v>Quadre</v>
      </c>
      <c r="H730" s="159">
        <f>'27'!R730</f>
        <v>0</v>
      </c>
      <c r="I730" s="159">
        <f>'27'!S730</f>
        <v>0</v>
      </c>
      <c r="J730" s="159"/>
      <c r="K730" s="101">
        <f>'27'!T730</f>
        <v>0</v>
      </c>
      <c r="L730" s="81">
        <f>'32'!V130</f>
        <v>1</v>
      </c>
      <c r="M730" s="100">
        <f>'32'!W130</f>
        <v>4</v>
      </c>
      <c r="N730" s="159"/>
      <c r="O730" s="101">
        <f>'32'!X130</f>
        <v>0</v>
      </c>
      <c r="P730" s="102" t="str">
        <f>IF('32'!Z130=0,"",'32'!Z130)</f>
        <v/>
      </c>
      <c r="Q730" s="108" t="str">
        <f>IF('32'!AA130=0,"",'32'!AA130)</f>
        <v/>
      </c>
      <c r="R730" s="81" t="str">
        <f>IF('32'!AB130=0,"",'32'!AB130)</f>
        <v/>
      </c>
      <c r="S730" s="81" t="e">
        <f>IF('32'!AC130=0,"",'32'!AC130)</f>
        <v>#N/A</v>
      </c>
      <c r="T730" s="286"/>
      <c r="U730" s="286"/>
      <c r="V730" s="287"/>
    </row>
    <row r="731" ht="15" customHeight="1" spans="2:22">
      <c r="B731" s="9" t="e">
        <f t="shared" si="13"/>
        <v>#N/A</v>
      </c>
      <c r="C731" s="31">
        <f>'32'!M131</f>
        <v>0</v>
      </c>
      <c r="D731" s="32" t="str">
        <f>IF('32'!N131=0,"",'32'!N131)</f>
        <v>CAF</v>
      </c>
      <c r="E731" s="36">
        <f>IF('32'!O131=0,"",'32'!O131)</f>
        <v>32</v>
      </c>
      <c r="F731" s="36">
        <f>IF('32'!P131=0,"",'32'!P131)</f>
        <v>212</v>
      </c>
      <c r="G731" s="103">
        <f>'32'!Q131</f>
        <v>0</v>
      </c>
      <c r="H731" s="160">
        <f>'27'!R731</f>
        <v>0</v>
      </c>
      <c r="I731" s="160">
        <f>'27'!S731</f>
        <v>0</v>
      </c>
      <c r="J731" s="160"/>
      <c r="K731" s="104">
        <f>'27'!T731</f>
        <v>0</v>
      </c>
      <c r="L731" s="36">
        <f>'32'!V131</f>
        <v>2</v>
      </c>
      <c r="M731" s="103">
        <f>'32'!W131</f>
        <v>0</v>
      </c>
      <c r="N731" s="160"/>
      <c r="O731" s="104">
        <f>'32'!X131</f>
        <v>0</v>
      </c>
      <c r="P731" s="52" t="str">
        <f>IF('32'!Z131=0,"",'32'!Z131)</f>
        <v/>
      </c>
      <c r="Q731" s="109" t="str">
        <f>IF('32'!AA131=0,"",'32'!AA131)</f>
        <v/>
      </c>
      <c r="R731" s="36" t="str">
        <f>IF('32'!AB131=0,"",'32'!AB131)</f>
        <v/>
      </c>
      <c r="S731" s="36" t="e">
        <f>IF('32'!AC131=0,"",'32'!AC131)</f>
        <v>#N/A</v>
      </c>
      <c r="T731" s="268"/>
      <c r="U731" s="268"/>
      <c r="V731" s="269"/>
    </row>
    <row r="732" ht="15" customHeight="1" spans="2:22">
      <c r="B732" s="9" t="e">
        <f t="shared" si="13"/>
        <v>#N/A</v>
      </c>
      <c r="C732" s="31">
        <f>'32'!M132</f>
        <v>0</v>
      </c>
      <c r="D732" s="32" t="str">
        <f>IF('32'!N132=0,"",'32'!N132)</f>
        <v>CAF</v>
      </c>
      <c r="E732" s="36">
        <f>IF('32'!O132=0,"",'32'!O132)</f>
        <v>32</v>
      </c>
      <c r="F732" s="36">
        <f>IF('32'!P132=0,"",'32'!P132)</f>
        <v>212</v>
      </c>
      <c r="G732" s="103">
        <f>'32'!Q132</f>
        <v>0</v>
      </c>
      <c r="H732" s="160">
        <f>'27'!R732</f>
        <v>0</v>
      </c>
      <c r="I732" s="160">
        <f>'27'!S732</f>
        <v>0</v>
      </c>
      <c r="J732" s="160"/>
      <c r="K732" s="104">
        <f>'27'!T732</f>
        <v>0</v>
      </c>
      <c r="L732" s="36">
        <f>'32'!V132</f>
        <v>3</v>
      </c>
      <c r="M732" s="103">
        <f>'32'!W132</f>
        <v>0</v>
      </c>
      <c r="N732" s="160"/>
      <c r="O732" s="104">
        <f>'32'!X132</f>
        <v>0</v>
      </c>
      <c r="P732" s="52" t="str">
        <f>IF('32'!Z132=0,"",'32'!Z132)</f>
        <v/>
      </c>
      <c r="Q732" s="109" t="str">
        <f>IF('32'!AA132=0,"",'32'!AA132)</f>
        <v/>
      </c>
      <c r="R732" s="36" t="str">
        <f>IF('32'!AB132=0,"",'32'!AB132)</f>
        <v/>
      </c>
      <c r="S732" s="36" t="e">
        <f>IF('32'!AC132=0,"",'32'!AC132)</f>
        <v>#N/A</v>
      </c>
      <c r="T732" s="268"/>
      <c r="U732" s="268"/>
      <c r="V732" s="269"/>
    </row>
    <row r="733" ht="15" customHeight="1" spans="2:22">
      <c r="B733" s="14" t="e">
        <f t="shared" si="13"/>
        <v>#N/A</v>
      </c>
      <c r="C733" s="83">
        <f>'32'!M133</f>
        <v>0</v>
      </c>
      <c r="D733" s="110" t="str">
        <f>IF('32'!N133=0,"",'32'!N133)</f>
        <v>CAF</v>
      </c>
      <c r="E733" s="85">
        <f>IF('32'!O133=0,"",'32'!O133)</f>
        <v>32</v>
      </c>
      <c r="F733" s="85">
        <f>IF('32'!P133=0,"",'32'!P133)</f>
        <v>212</v>
      </c>
      <c r="G733" s="105">
        <f>'32'!Q133</f>
        <v>0</v>
      </c>
      <c r="H733" s="161">
        <f>'27'!R733</f>
        <v>0</v>
      </c>
      <c r="I733" s="161">
        <f>'27'!S733</f>
        <v>0</v>
      </c>
      <c r="J733" s="161"/>
      <c r="K733" s="106">
        <f>'27'!T733</f>
        <v>0</v>
      </c>
      <c r="L733" s="85">
        <f>'32'!V133</f>
        <v>4</v>
      </c>
      <c r="M733" s="105">
        <f>'32'!W133</f>
        <v>0</v>
      </c>
      <c r="N733" s="161"/>
      <c r="O733" s="106">
        <f>'32'!X133</f>
        <v>0</v>
      </c>
      <c r="P733" s="107" t="str">
        <f>IF('32'!Z133=0,"",'32'!Z133)</f>
        <v/>
      </c>
      <c r="Q733" s="111" t="str">
        <f>IF('32'!AA133=0,"",'32'!AA133)</f>
        <v/>
      </c>
      <c r="R733" s="85" t="str">
        <f>IF('32'!AB133=0,"",'32'!AB133)</f>
        <v/>
      </c>
      <c r="S733" s="85" t="e">
        <f>IF('32'!AC133=0,"",'32'!AC133)</f>
        <v>#N/A</v>
      </c>
      <c r="T733" s="273"/>
      <c r="U733" s="273"/>
      <c r="V733" s="274"/>
    </row>
    <row r="734" ht="15" customHeight="1" spans="2:22">
      <c r="B734" s="6" t="e">
        <f t="shared" si="13"/>
        <v>#N/A</v>
      </c>
      <c r="C734" s="79">
        <f>'32'!M134</f>
        <v>0</v>
      </c>
      <c r="D734" s="62" t="str">
        <f>IF('32'!N134=0,"",'32'!N134)</f>
        <v>CAF</v>
      </c>
      <c r="E734" s="81">
        <f>IF('32'!O134=0,"",'32'!O134)</f>
        <v>32</v>
      </c>
      <c r="F734" s="81">
        <f>IF('32'!P134=0,"",'32'!P134)</f>
        <v>213</v>
      </c>
      <c r="G734" s="100" t="str">
        <f>'32'!Q134</f>
        <v>Quadre</v>
      </c>
      <c r="H734" s="159">
        <f>'27'!R734</f>
        <v>0</v>
      </c>
      <c r="I734" s="159">
        <f>'27'!S734</f>
        <v>0</v>
      </c>
      <c r="J734" s="159"/>
      <c r="K734" s="101">
        <f>'27'!T734</f>
        <v>0</v>
      </c>
      <c r="L734" s="81">
        <f>'32'!V134</f>
        <v>1</v>
      </c>
      <c r="M734" s="100">
        <f>'32'!W134</f>
        <v>4</v>
      </c>
      <c r="N734" s="159"/>
      <c r="O734" s="101">
        <f>'32'!X134</f>
        <v>0</v>
      </c>
      <c r="P734" s="102" t="str">
        <f>IF('32'!Z134=0,"",'32'!Z134)</f>
        <v/>
      </c>
      <c r="Q734" s="108" t="str">
        <f>IF('32'!AA134=0,"",'32'!AA134)</f>
        <v/>
      </c>
      <c r="R734" s="81" t="str">
        <f>IF('32'!AB134=0,"",'32'!AB134)</f>
        <v/>
      </c>
      <c r="S734" s="81" t="e">
        <f>IF('32'!AC134=0,"",'32'!AC134)</f>
        <v>#N/A</v>
      </c>
      <c r="T734" s="286"/>
      <c r="U734" s="286"/>
      <c r="V734" s="287"/>
    </row>
    <row r="735" ht="15" customHeight="1" spans="2:22">
      <c r="B735" s="9" t="e">
        <f t="shared" si="13"/>
        <v>#N/A</v>
      </c>
      <c r="C735" s="31">
        <f>'32'!M135</f>
        <v>0</v>
      </c>
      <c r="D735" s="32" t="str">
        <f>IF('32'!N135=0,"",'32'!N135)</f>
        <v>CAF</v>
      </c>
      <c r="E735" s="36">
        <f>IF('32'!O135=0,"",'32'!O135)</f>
        <v>32</v>
      </c>
      <c r="F735" s="36">
        <f>IF('32'!P135=0,"",'32'!P135)</f>
        <v>213</v>
      </c>
      <c r="G735" s="103">
        <f>'32'!Q135</f>
        <v>0</v>
      </c>
      <c r="H735" s="160">
        <f>'27'!R735</f>
        <v>0</v>
      </c>
      <c r="I735" s="160">
        <f>'27'!S735</f>
        <v>0</v>
      </c>
      <c r="J735" s="160"/>
      <c r="K735" s="104">
        <f>'27'!T735</f>
        <v>0</v>
      </c>
      <c r="L735" s="36">
        <f>'32'!V135</f>
        <v>2</v>
      </c>
      <c r="M735" s="103">
        <f>'32'!W135</f>
        <v>0</v>
      </c>
      <c r="N735" s="160"/>
      <c r="O735" s="104">
        <f>'32'!X135</f>
        <v>0</v>
      </c>
      <c r="P735" s="52" t="str">
        <f>IF('32'!Z135=0,"",'32'!Z135)</f>
        <v/>
      </c>
      <c r="Q735" s="109" t="str">
        <f>IF('32'!AA135=0,"",'32'!AA135)</f>
        <v/>
      </c>
      <c r="R735" s="36" t="str">
        <f>IF('32'!AB135=0,"",'32'!AB135)</f>
        <v/>
      </c>
      <c r="S735" s="36" t="e">
        <f>IF('32'!AC135=0,"",'32'!AC135)</f>
        <v>#N/A</v>
      </c>
      <c r="T735" s="268"/>
      <c r="U735" s="268"/>
      <c r="V735" s="269"/>
    </row>
    <row r="736" ht="15" customHeight="1" spans="2:22">
      <c r="B736" s="9" t="e">
        <f t="shared" si="13"/>
        <v>#N/A</v>
      </c>
      <c r="C736" s="31">
        <f>'32'!M136</f>
        <v>0</v>
      </c>
      <c r="D736" s="32" t="str">
        <f>IF('32'!N136=0,"",'32'!N136)</f>
        <v>CAF</v>
      </c>
      <c r="E736" s="36">
        <f>IF('32'!O136=0,"",'32'!O136)</f>
        <v>32</v>
      </c>
      <c r="F736" s="36">
        <f>IF('32'!P136=0,"",'32'!P136)</f>
        <v>213</v>
      </c>
      <c r="G736" s="103">
        <f>'32'!Q136</f>
        <v>0</v>
      </c>
      <c r="H736" s="160">
        <f>'27'!R736</f>
        <v>0</v>
      </c>
      <c r="I736" s="160">
        <f>'27'!S736</f>
        <v>0</v>
      </c>
      <c r="J736" s="160"/>
      <c r="K736" s="104">
        <f>'27'!T736</f>
        <v>0</v>
      </c>
      <c r="L736" s="36">
        <f>'32'!V136</f>
        <v>3</v>
      </c>
      <c r="M736" s="103">
        <f>'32'!W136</f>
        <v>0</v>
      </c>
      <c r="N736" s="160"/>
      <c r="O736" s="104">
        <f>'32'!X136</f>
        <v>0</v>
      </c>
      <c r="P736" s="52" t="str">
        <f>IF('32'!Z136=0,"",'32'!Z136)</f>
        <v/>
      </c>
      <c r="Q736" s="109" t="str">
        <f>IF('32'!AA136=0,"",'32'!AA136)</f>
        <v/>
      </c>
      <c r="R736" s="36" t="str">
        <f>IF('32'!AB136=0,"",'32'!AB136)</f>
        <v/>
      </c>
      <c r="S736" s="36" t="e">
        <f>IF('32'!AC136=0,"",'32'!AC136)</f>
        <v>#N/A</v>
      </c>
      <c r="T736" s="268"/>
      <c r="U736" s="268"/>
      <c r="V736" s="269"/>
    </row>
    <row r="737" ht="15" customHeight="1" spans="2:22">
      <c r="B737" s="14" t="e">
        <f t="shared" si="13"/>
        <v>#N/A</v>
      </c>
      <c r="C737" s="83">
        <f>'32'!M137</f>
        <v>0</v>
      </c>
      <c r="D737" s="110" t="str">
        <f>IF('32'!N137=0,"",'32'!N137)</f>
        <v>CAF</v>
      </c>
      <c r="E737" s="85">
        <f>IF('32'!O137=0,"",'32'!O137)</f>
        <v>32</v>
      </c>
      <c r="F737" s="85">
        <f>IF('32'!P137=0,"",'32'!P137)</f>
        <v>213</v>
      </c>
      <c r="G737" s="105">
        <f>'32'!Q137</f>
        <v>0</v>
      </c>
      <c r="H737" s="161">
        <f>'27'!R737</f>
        <v>0</v>
      </c>
      <c r="I737" s="161">
        <f>'27'!S737</f>
        <v>0</v>
      </c>
      <c r="J737" s="161"/>
      <c r="K737" s="106">
        <f>'27'!T737</f>
        <v>0</v>
      </c>
      <c r="L737" s="85">
        <f>'32'!V137</f>
        <v>4</v>
      </c>
      <c r="M737" s="105">
        <f>'32'!W137</f>
        <v>0</v>
      </c>
      <c r="N737" s="161"/>
      <c r="O737" s="106">
        <f>'32'!X137</f>
        <v>0</v>
      </c>
      <c r="P737" s="107" t="str">
        <f>IF('32'!Z137=0,"",'32'!Z137)</f>
        <v/>
      </c>
      <c r="Q737" s="111" t="str">
        <f>IF('32'!AA137=0,"",'32'!AA137)</f>
        <v/>
      </c>
      <c r="R737" s="85" t="str">
        <f>IF('32'!AB137=0,"",'32'!AB137)</f>
        <v/>
      </c>
      <c r="S737" s="85" t="e">
        <f>IF('32'!AC137=0,"",'32'!AC137)</f>
        <v>#N/A</v>
      </c>
      <c r="T737" s="273"/>
      <c r="U737" s="273"/>
      <c r="V737" s="274"/>
    </row>
    <row r="738" ht="15" customHeight="1" spans="2:22">
      <c r="B738" s="6" t="e">
        <f t="shared" si="13"/>
        <v>#N/A</v>
      </c>
      <c r="C738" s="79">
        <f>'32'!M138</f>
        <v>0</v>
      </c>
      <c r="D738" s="62" t="str">
        <f>IF('32'!N138=0,"",'32'!N138)</f>
        <v>CAF</v>
      </c>
      <c r="E738" s="81">
        <f>IF('32'!O138=0,"",'32'!O138)</f>
        <v>32</v>
      </c>
      <c r="F738" s="81">
        <f>IF('32'!P138=0,"",'32'!P138)</f>
        <v>214</v>
      </c>
      <c r="G738" s="100" t="str">
        <f>'32'!Q138</f>
        <v>Quadre</v>
      </c>
      <c r="H738" s="159">
        <f>'27'!R738</f>
        <v>0</v>
      </c>
      <c r="I738" s="159">
        <f>'27'!S738</f>
        <v>0</v>
      </c>
      <c r="J738" s="159"/>
      <c r="K738" s="101">
        <f>'27'!T738</f>
        <v>0</v>
      </c>
      <c r="L738" s="81">
        <f>'32'!V138</f>
        <v>1</v>
      </c>
      <c r="M738" s="100">
        <f>'32'!W138</f>
        <v>4</v>
      </c>
      <c r="N738" s="159"/>
      <c r="O738" s="101">
        <f>'32'!X138</f>
        <v>0</v>
      </c>
      <c r="P738" s="102" t="str">
        <f>IF('32'!Z138=0,"",'32'!Z138)</f>
        <v/>
      </c>
      <c r="Q738" s="108" t="str">
        <f>IF('32'!AA138=0,"",'32'!AA138)</f>
        <v/>
      </c>
      <c r="R738" s="81" t="str">
        <f>IF('32'!AB138=0,"",'32'!AB138)</f>
        <v/>
      </c>
      <c r="S738" s="81" t="e">
        <f>IF('32'!AC138=0,"",'32'!AC138)</f>
        <v>#N/A</v>
      </c>
      <c r="T738" s="286"/>
      <c r="U738" s="286"/>
      <c r="V738" s="287"/>
    </row>
    <row r="739" ht="15" customHeight="1" spans="2:22">
      <c r="B739" s="9" t="e">
        <f t="shared" si="13"/>
        <v>#N/A</v>
      </c>
      <c r="C739" s="31">
        <f>'32'!M139</f>
        <v>0</v>
      </c>
      <c r="D739" s="32" t="str">
        <f>IF('32'!N139=0,"",'32'!N139)</f>
        <v>CAF</v>
      </c>
      <c r="E739" s="36">
        <f>IF('32'!O139=0,"",'32'!O139)</f>
        <v>32</v>
      </c>
      <c r="F739" s="36">
        <f>IF('32'!P139=0,"",'32'!P139)</f>
        <v>214</v>
      </c>
      <c r="G739" s="103">
        <f>'32'!Q139</f>
        <v>0</v>
      </c>
      <c r="H739" s="160">
        <f>'27'!R739</f>
        <v>0</v>
      </c>
      <c r="I739" s="160">
        <f>'27'!S739</f>
        <v>0</v>
      </c>
      <c r="J739" s="160"/>
      <c r="K739" s="104">
        <f>'27'!T739</f>
        <v>0</v>
      </c>
      <c r="L739" s="36">
        <f>'32'!V139</f>
        <v>2</v>
      </c>
      <c r="M739" s="103">
        <f>'32'!W139</f>
        <v>0</v>
      </c>
      <c r="N739" s="160"/>
      <c r="O739" s="104">
        <f>'32'!X139</f>
        <v>0</v>
      </c>
      <c r="P739" s="52" t="str">
        <f>IF('32'!Z139=0,"",'32'!Z139)</f>
        <v/>
      </c>
      <c r="Q739" s="109" t="str">
        <f>IF('32'!AA139=0,"",'32'!AA139)</f>
        <v/>
      </c>
      <c r="R739" s="36" t="str">
        <f>IF('32'!AB139=0,"",'32'!AB139)</f>
        <v/>
      </c>
      <c r="S739" s="36" t="e">
        <f>IF('32'!AC139=0,"",'32'!AC139)</f>
        <v>#N/A</v>
      </c>
      <c r="T739" s="268"/>
      <c r="U739" s="268"/>
      <c r="V739" s="269"/>
    </row>
    <row r="740" ht="15" customHeight="1" spans="2:22">
      <c r="B740" s="9" t="e">
        <f t="shared" si="13"/>
        <v>#N/A</v>
      </c>
      <c r="C740" s="31">
        <f>'32'!M140</f>
        <v>0</v>
      </c>
      <c r="D740" s="32" t="str">
        <f>IF('32'!N140=0,"",'32'!N140)</f>
        <v>CAF</v>
      </c>
      <c r="E740" s="36">
        <f>IF('32'!O140=0,"",'32'!O140)</f>
        <v>32</v>
      </c>
      <c r="F740" s="36">
        <f>IF('32'!P140=0,"",'32'!P140)</f>
        <v>214</v>
      </c>
      <c r="G740" s="103">
        <f>'32'!Q140</f>
        <v>0</v>
      </c>
      <c r="H740" s="160">
        <f>'27'!R740</f>
        <v>0</v>
      </c>
      <c r="I740" s="160">
        <f>'27'!S740</f>
        <v>0</v>
      </c>
      <c r="J740" s="160"/>
      <c r="K740" s="104">
        <f>'27'!T740</f>
        <v>0</v>
      </c>
      <c r="L740" s="36">
        <f>'32'!V140</f>
        <v>3</v>
      </c>
      <c r="M740" s="103">
        <f>'32'!W140</f>
        <v>0</v>
      </c>
      <c r="N740" s="160"/>
      <c r="O740" s="104">
        <f>'32'!X140</f>
        <v>0</v>
      </c>
      <c r="P740" s="52" t="str">
        <f>IF('32'!Z140=0,"",'32'!Z140)</f>
        <v/>
      </c>
      <c r="Q740" s="109" t="str">
        <f>IF('32'!AA140=0,"",'32'!AA140)</f>
        <v/>
      </c>
      <c r="R740" s="36" t="str">
        <f>IF('32'!AB140=0,"",'32'!AB140)</f>
        <v/>
      </c>
      <c r="S740" s="36" t="e">
        <f>IF('32'!AC140=0,"",'32'!AC140)</f>
        <v>#N/A</v>
      </c>
      <c r="T740" s="268"/>
      <c r="U740" s="268"/>
      <c r="V740" s="269"/>
    </row>
    <row r="741" ht="15" customHeight="1" spans="2:22">
      <c r="B741" s="14" t="e">
        <f t="shared" si="13"/>
        <v>#N/A</v>
      </c>
      <c r="C741" s="83">
        <f>'32'!M141</f>
        <v>0</v>
      </c>
      <c r="D741" s="110" t="str">
        <f>IF('32'!N141=0,"",'32'!N141)</f>
        <v>CAF</v>
      </c>
      <c r="E741" s="85">
        <f>IF('32'!O141=0,"",'32'!O141)</f>
        <v>32</v>
      </c>
      <c r="F741" s="85">
        <f>IF('32'!P141=0,"",'32'!P141)</f>
        <v>214</v>
      </c>
      <c r="G741" s="105">
        <f>'32'!Q141</f>
        <v>0</v>
      </c>
      <c r="H741" s="161">
        <f>'27'!R741</f>
        <v>0</v>
      </c>
      <c r="I741" s="161">
        <f>'27'!S741</f>
        <v>0</v>
      </c>
      <c r="J741" s="161"/>
      <c r="K741" s="106">
        <f>'27'!T741</f>
        <v>0</v>
      </c>
      <c r="L741" s="85">
        <f>'32'!V141</f>
        <v>4</v>
      </c>
      <c r="M741" s="105">
        <f>'32'!W141</f>
        <v>0</v>
      </c>
      <c r="N741" s="161"/>
      <c r="O741" s="106">
        <f>'32'!X141</f>
        <v>0</v>
      </c>
      <c r="P741" s="107" t="str">
        <f>IF('32'!Z141=0,"",'32'!Z141)</f>
        <v/>
      </c>
      <c r="Q741" s="111" t="str">
        <f>IF('32'!AA141=0,"",'32'!AA141)</f>
        <v/>
      </c>
      <c r="R741" s="85" t="str">
        <f>IF('32'!AB141=0,"",'32'!AB141)</f>
        <v/>
      </c>
      <c r="S741" s="85" t="e">
        <f>IF('32'!AC141=0,"",'32'!AC141)</f>
        <v>#N/A</v>
      </c>
      <c r="T741" s="273"/>
      <c r="U741" s="273"/>
      <c r="V741" s="274"/>
    </row>
    <row r="742" ht="15" customHeight="1" spans="2:22">
      <c r="B742" s="6" t="e">
        <f t="shared" si="13"/>
        <v>#N/A</v>
      </c>
      <c r="C742" s="79" t="str">
        <f>'32'!M142</f>
        <v>500640 Philip</v>
      </c>
      <c r="D742" s="62" t="str">
        <f>IF('32'!N142=0,"",'32'!N142)</f>
        <v>CAF</v>
      </c>
      <c r="E742" s="81">
        <f>IF('32'!O142=0,"",'32'!O142)</f>
        <v>32</v>
      </c>
      <c r="F742" s="81">
        <f>IF('32'!P142=0,"",'32'!P142)</f>
        <v>215</v>
      </c>
      <c r="G742" s="100" t="str">
        <f>'32'!Q142</f>
        <v>Quadre</v>
      </c>
      <c r="H742" s="159">
        <f>'27'!R742</f>
        <v>0</v>
      </c>
      <c r="I742" s="159">
        <f>'27'!S742</f>
        <v>0</v>
      </c>
      <c r="J742" s="159"/>
      <c r="K742" s="101">
        <f>'27'!T742</f>
        <v>0</v>
      </c>
      <c r="L742" s="81">
        <f>'32'!V142</f>
        <v>1</v>
      </c>
      <c r="M742" s="100">
        <f>'32'!W142</f>
        <v>4</v>
      </c>
      <c r="N742" s="159"/>
      <c r="O742" s="101">
        <f>'32'!X142</f>
        <v>0</v>
      </c>
      <c r="P742" s="102" t="str">
        <f>IF('32'!Z142=0,"",'32'!Z142)</f>
        <v/>
      </c>
      <c r="Q742" s="108" t="str">
        <f>IF('32'!AA142=0,"",'32'!AA142)</f>
        <v/>
      </c>
      <c r="R742" s="81" t="str">
        <f>IF('32'!AB142=0,"",'32'!AB142)</f>
        <v/>
      </c>
      <c r="S742" s="81" t="str">
        <f>IF('32'!AC142=0,"",'32'!AC142)</f>
        <v>Bag 1041</v>
      </c>
      <c r="T742" s="286"/>
      <c r="U742" s="286"/>
      <c r="V742" s="287"/>
    </row>
    <row r="743" ht="15" customHeight="1" spans="2:22">
      <c r="B743" s="9" t="e">
        <f t="shared" si="13"/>
        <v>#N/A</v>
      </c>
      <c r="C743" s="31">
        <f>'32'!M143</f>
        <v>0</v>
      </c>
      <c r="D743" s="32" t="str">
        <f>IF('32'!N143=0,"",'32'!N143)</f>
        <v>CAF</v>
      </c>
      <c r="E743" s="36">
        <f>IF('32'!O143=0,"",'32'!O143)</f>
        <v>32</v>
      </c>
      <c r="F743" s="36">
        <f>IF('32'!P143=0,"",'32'!P143)</f>
        <v>215</v>
      </c>
      <c r="G743" s="103">
        <f>'32'!Q143</f>
        <v>0</v>
      </c>
      <c r="H743" s="160">
        <f>'27'!R743</f>
        <v>0</v>
      </c>
      <c r="I743" s="160">
        <f>'27'!S743</f>
        <v>0</v>
      </c>
      <c r="J743" s="160"/>
      <c r="K743" s="104">
        <f>'27'!T743</f>
        <v>0</v>
      </c>
      <c r="L743" s="36">
        <f>'32'!V143</f>
        <v>2</v>
      </c>
      <c r="M743" s="103">
        <f>'32'!W143</f>
        <v>0</v>
      </c>
      <c r="N743" s="160"/>
      <c r="O743" s="104">
        <f>'32'!X143</f>
        <v>0</v>
      </c>
      <c r="P743" s="52" t="str">
        <f>IF('32'!Z143=0,"",'32'!Z143)</f>
        <v/>
      </c>
      <c r="Q743" s="109" t="str">
        <f>IF('32'!AA143=0,"",'32'!AA143)</f>
        <v/>
      </c>
      <c r="R743" s="36" t="str">
        <f>IF('32'!AB143=0,"",'32'!AB143)</f>
        <v/>
      </c>
      <c r="S743" s="36" t="e">
        <f>IF('32'!AC143=0,"",'32'!AC143)</f>
        <v>#N/A</v>
      </c>
      <c r="T743" s="268"/>
      <c r="U743" s="268"/>
      <c r="V743" s="269"/>
    </row>
    <row r="744" ht="15" customHeight="1" spans="2:22">
      <c r="B744" s="9" t="e">
        <f t="shared" si="13"/>
        <v>#N/A</v>
      </c>
      <c r="C744" s="31">
        <f>'32'!M144</f>
        <v>0</v>
      </c>
      <c r="D744" s="32" t="str">
        <f>IF('32'!N144=0,"",'32'!N144)</f>
        <v>CAF</v>
      </c>
      <c r="E744" s="36">
        <f>IF('32'!O144=0,"",'32'!O144)</f>
        <v>32</v>
      </c>
      <c r="F744" s="36">
        <f>IF('32'!P144=0,"",'32'!P144)</f>
        <v>215</v>
      </c>
      <c r="G744" s="103">
        <f>'32'!Q144</f>
        <v>0</v>
      </c>
      <c r="H744" s="160">
        <f>'27'!R744</f>
        <v>0</v>
      </c>
      <c r="I744" s="160">
        <f>'27'!S744</f>
        <v>0</v>
      </c>
      <c r="J744" s="160"/>
      <c r="K744" s="104">
        <f>'27'!T744</f>
        <v>0</v>
      </c>
      <c r="L744" s="36">
        <f>'32'!V144</f>
        <v>3</v>
      </c>
      <c r="M744" s="103">
        <f>'32'!W144</f>
        <v>0</v>
      </c>
      <c r="N744" s="160"/>
      <c r="O744" s="104">
        <f>'32'!X144</f>
        <v>0</v>
      </c>
      <c r="P744" s="52" t="str">
        <f>IF('32'!Z144=0,"",'32'!Z144)</f>
        <v/>
      </c>
      <c r="Q744" s="109" t="str">
        <f>IF('32'!AA144=0,"",'32'!AA144)</f>
        <v/>
      </c>
      <c r="R744" s="36" t="str">
        <f>IF('32'!AB144=0,"",'32'!AB144)</f>
        <v/>
      </c>
      <c r="S744" s="36" t="e">
        <f>IF('32'!AC144=0,"",'32'!AC144)</f>
        <v>#N/A</v>
      </c>
      <c r="T744" s="268"/>
      <c r="U744" s="268"/>
      <c r="V744" s="269"/>
    </row>
    <row r="745" ht="15" customHeight="1" spans="2:22">
      <c r="B745" s="14" t="e">
        <f t="shared" si="13"/>
        <v>#N/A</v>
      </c>
      <c r="C745" s="83">
        <f>'32'!M145</f>
        <v>0</v>
      </c>
      <c r="D745" s="110" t="str">
        <f>IF('32'!N145=0,"",'32'!N145)</f>
        <v>CAF</v>
      </c>
      <c r="E745" s="85">
        <f>IF('32'!O145=0,"",'32'!O145)</f>
        <v>32</v>
      </c>
      <c r="F745" s="85">
        <f>IF('32'!P145=0,"",'32'!P145)</f>
        <v>215</v>
      </c>
      <c r="G745" s="105">
        <f>'32'!Q145</f>
        <v>0</v>
      </c>
      <c r="H745" s="161">
        <f>'27'!R745</f>
        <v>0</v>
      </c>
      <c r="I745" s="161">
        <f>'27'!S745</f>
        <v>0</v>
      </c>
      <c r="J745" s="161"/>
      <c r="K745" s="106">
        <f>'27'!T745</f>
        <v>0</v>
      </c>
      <c r="L745" s="85">
        <f>'32'!V145</f>
        <v>4</v>
      </c>
      <c r="M745" s="105">
        <f>'32'!W145</f>
        <v>0</v>
      </c>
      <c r="N745" s="161"/>
      <c r="O745" s="106">
        <f>'32'!X145</f>
        <v>0</v>
      </c>
      <c r="P745" s="107" t="str">
        <f>IF('32'!Z145=0,"",'32'!Z145)</f>
        <v/>
      </c>
      <c r="Q745" s="111" t="str">
        <f>IF('32'!AA145=0,"",'32'!AA145)</f>
        <v/>
      </c>
      <c r="R745" s="85" t="str">
        <f>IF('32'!AB145=0,"",'32'!AB145)</f>
        <v/>
      </c>
      <c r="S745" s="85" t="e">
        <f>IF('32'!AC145=0,"",'32'!AC145)</f>
        <v>#N/A</v>
      </c>
      <c r="T745" s="273"/>
      <c r="U745" s="273"/>
      <c r="V745" s="274"/>
    </row>
    <row r="746" ht="15" customHeight="1" spans="2:22">
      <c r="B746" s="6" t="e">
        <f t="shared" si="13"/>
        <v>#N/A</v>
      </c>
      <c r="C746" s="79" t="str">
        <f>'32'!M146</f>
        <v>171631 Bjarne S. Munk</v>
      </c>
      <c r="D746" s="62" t="str">
        <f>IF('32'!N146=0,"",'32'!N146)</f>
        <v>CAF</v>
      </c>
      <c r="E746" s="81">
        <f>IF('32'!O146=0,"",'32'!O146)</f>
        <v>32</v>
      </c>
      <c r="F746" s="81">
        <f>IF('32'!P146=0,"",'32'!P146)</f>
        <v>216</v>
      </c>
      <c r="G746" s="100" t="str">
        <f>'32'!Q146</f>
        <v>Quadre</v>
      </c>
      <c r="H746" s="159">
        <f>'27'!R746</f>
        <v>0</v>
      </c>
      <c r="I746" s="159">
        <f>'27'!S746</f>
        <v>0</v>
      </c>
      <c r="J746" s="159"/>
      <c r="K746" s="101">
        <f>'27'!T746</f>
        <v>0</v>
      </c>
      <c r="L746" s="81">
        <f>'32'!V146</f>
        <v>1</v>
      </c>
      <c r="M746" s="100">
        <f>'32'!W146</f>
        <v>4</v>
      </c>
      <c r="N746" s="159"/>
      <c r="O746" s="101">
        <f>'32'!X146</f>
        <v>0</v>
      </c>
      <c r="P746" s="102" t="str">
        <f>IF('32'!Z146=0,"",'32'!Z146)</f>
        <v/>
      </c>
      <c r="Q746" s="108" t="str">
        <f>IF('32'!AA146=0,"",'32'!AA146)</f>
        <v/>
      </c>
      <c r="R746" s="81" t="str">
        <f>IF('32'!AB146=0,"",'32'!AB146)</f>
        <v/>
      </c>
      <c r="S746" s="81" t="e">
        <f>IF('32'!AC146=0,"",'32'!AC146)</f>
        <v>#N/A</v>
      </c>
      <c r="T746" s="286"/>
      <c r="U746" s="286"/>
      <c r="V746" s="287"/>
    </row>
    <row r="747" ht="15" customHeight="1" spans="2:22">
      <c r="B747" s="9" t="e">
        <f t="shared" si="13"/>
        <v>#N/A</v>
      </c>
      <c r="C747" s="31">
        <f>'32'!M147</f>
        <v>0</v>
      </c>
      <c r="D747" s="32" t="str">
        <f>IF('32'!N147=0,"",'32'!N147)</f>
        <v>CAF</v>
      </c>
      <c r="E747" s="36">
        <f>IF('32'!O147=0,"",'32'!O147)</f>
        <v>32</v>
      </c>
      <c r="F747" s="36">
        <f>IF('32'!P147=0,"",'32'!P147)</f>
        <v>216</v>
      </c>
      <c r="G747" s="103">
        <f>'32'!Q147</f>
        <v>0</v>
      </c>
      <c r="H747" s="160">
        <f>'27'!R747</f>
        <v>0</v>
      </c>
      <c r="I747" s="160">
        <f>'27'!S747</f>
        <v>0</v>
      </c>
      <c r="J747" s="160"/>
      <c r="K747" s="104">
        <f>'27'!T747</f>
        <v>0</v>
      </c>
      <c r="L747" s="36">
        <f>'32'!V147</f>
        <v>2</v>
      </c>
      <c r="M747" s="103">
        <f>'32'!W147</f>
        <v>0</v>
      </c>
      <c r="N747" s="160"/>
      <c r="O747" s="104">
        <f>'32'!X147</f>
        <v>0</v>
      </c>
      <c r="P747" s="52" t="str">
        <f>IF('32'!Z147=0,"",'32'!Z147)</f>
        <v/>
      </c>
      <c r="Q747" s="109" t="str">
        <f>IF('32'!AA147=0,"",'32'!AA147)</f>
        <v/>
      </c>
      <c r="R747" s="36" t="str">
        <f>IF('32'!AB147=0,"",'32'!AB147)</f>
        <v/>
      </c>
      <c r="S747" s="36" t="e">
        <f>IF('32'!AC147=0,"",'32'!AC147)</f>
        <v>#N/A</v>
      </c>
      <c r="T747" s="268"/>
      <c r="U747" s="268"/>
      <c r="V747" s="269"/>
    </row>
    <row r="748" ht="15" customHeight="1" spans="2:22">
      <c r="B748" s="9" t="e">
        <f t="shared" si="13"/>
        <v>#N/A</v>
      </c>
      <c r="C748" s="31">
        <f>'32'!M148</f>
        <v>0</v>
      </c>
      <c r="D748" s="32" t="str">
        <f>IF('32'!N148=0,"",'32'!N148)</f>
        <v>CAF</v>
      </c>
      <c r="E748" s="36">
        <f>IF('32'!O148=0,"",'32'!O148)</f>
        <v>32</v>
      </c>
      <c r="F748" s="36">
        <f>IF('32'!P148=0,"",'32'!P148)</f>
        <v>216</v>
      </c>
      <c r="G748" s="103">
        <f>'32'!Q148</f>
        <v>0</v>
      </c>
      <c r="H748" s="160">
        <f>'27'!R748</f>
        <v>0</v>
      </c>
      <c r="I748" s="160">
        <f>'27'!S748</f>
        <v>0</v>
      </c>
      <c r="J748" s="160"/>
      <c r="K748" s="104">
        <f>'27'!T748</f>
        <v>0</v>
      </c>
      <c r="L748" s="36">
        <f>'32'!V148</f>
        <v>3</v>
      </c>
      <c r="M748" s="103">
        <f>'32'!W148</f>
        <v>0</v>
      </c>
      <c r="N748" s="160"/>
      <c r="O748" s="104">
        <f>'32'!X148</f>
        <v>0</v>
      </c>
      <c r="P748" s="52" t="str">
        <f>IF('32'!Z148=0,"",'32'!Z148)</f>
        <v/>
      </c>
      <c r="Q748" s="109" t="str">
        <f>IF('32'!AA148=0,"",'32'!AA148)</f>
        <v/>
      </c>
      <c r="R748" s="36" t="str">
        <f>IF('32'!AB148=0,"",'32'!AB148)</f>
        <v/>
      </c>
      <c r="S748" s="36" t="e">
        <f>IF('32'!AC148=0,"",'32'!AC148)</f>
        <v>#N/A</v>
      </c>
      <c r="T748" s="268"/>
      <c r="U748" s="268"/>
      <c r="V748" s="269"/>
    </row>
    <row r="749" ht="15" customHeight="1" spans="2:22">
      <c r="B749" s="14" t="e">
        <f t="shared" si="13"/>
        <v>#N/A</v>
      </c>
      <c r="C749" s="83">
        <f>'32'!M149</f>
        <v>0</v>
      </c>
      <c r="D749" s="110" t="str">
        <f>IF('32'!N149=0,"",'32'!N149)</f>
        <v>CAF</v>
      </c>
      <c r="E749" s="85">
        <f>IF('32'!O149=0,"",'32'!O149)</f>
        <v>32</v>
      </c>
      <c r="F749" s="85">
        <f>IF('32'!P149=0,"",'32'!P149)</f>
        <v>216</v>
      </c>
      <c r="G749" s="105">
        <f>'32'!Q149</f>
        <v>0</v>
      </c>
      <c r="H749" s="161">
        <f>'27'!R749</f>
        <v>0</v>
      </c>
      <c r="I749" s="161">
        <f>'27'!S749</f>
        <v>0</v>
      </c>
      <c r="J749" s="161"/>
      <c r="K749" s="106">
        <f>'27'!T749</f>
        <v>0</v>
      </c>
      <c r="L749" s="85">
        <f>'32'!V149</f>
        <v>4</v>
      </c>
      <c r="M749" s="105">
        <f>'32'!W149</f>
        <v>0</v>
      </c>
      <c r="N749" s="161"/>
      <c r="O749" s="106">
        <f>'32'!X149</f>
        <v>0</v>
      </c>
      <c r="P749" s="107" t="str">
        <f>IF('32'!Z149=0,"",'32'!Z149)</f>
        <v/>
      </c>
      <c r="Q749" s="111" t="str">
        <f>IF('32'!AA149=0,"",'32'!AA149)</f>
        <v/>
      </c>
      <c r="R749" s="85" t="str">
        <f>IF('32'!AB149=0,"",'32'!AB149)</f>
        <v/>
      </c>
      <c r="S749" s="85" t="e">
        <f>IF('32'!AC149=0,"",'32'!AC149)</f>
        <v>#N/A</v>
      </c>
      <c r="T749" s="273"/>
      <c r="U749" s="273"/>
      <c r="V749" s="274"/>
    </row>
    <row r="750" ht="15" customHeight="1" spans="2:22">
      <c r="B750" s="6" t="e">
        <f t="shared" si="13"/>
        <v>#N/A</v>
      </c>
      <c r="C750" s="79" t="str">
        <f>'32'!M150</f>
        <v>304794 Christian Andersen</v>
      </c>
      <c r="D750" s="62" t="str">
        <f>IF('32'!N150=0,"",'32'!N150)</f>
        <v>CAF</v>
      </c>
      <c r="E750" s="81">
        <f>IF('32'!O150=0,"",'32'!O150)</f>
        <v>32</v>
      </c>
      <c r="F750" s="81">
        <f>IF('32'!P150=0,"",'32'!P150)</f>
        <v>217</v>
      </c>
      <c r="G750" s="100" t="str">
        <f>'32'!Q150</f>
        <v>Quadre</v>
      </c>
      <c r="H750" s="159">
        <f>'27'!R750</f>
        <v>0</v>
      </c>
      <c r="I750" s="159">
        <f>'27'!S750</f>
        <v>0</v>
      </c>
      <c r="J750" s="159"/>
      <c r="K750" s="101">
        <f>'27'!T750</f>
        <v>0</v>
      </c>
      <c r="L750" s="81">
        <f>'32'!V150</f>
        <v>1</v>
      </c>
      <c r="M750" s="100">
        <f>'32'!W150</f>
        <v>4</v>
      </c>
      <c r="N750" s="159"/>
      <c r="O750" s="101">
        <f>'32'!X150</f>
        <v>0</v>
      </c>
      <c r="P750" s="102" t="str">
        <f>IF('32'!Z150=0,"",'32'!Z150)</f>
        <v/>
      </c>
      <c r="Q750" s="108" t="str">
        <f>IF('32'!AA150=0,"",'32'!AA150)</f>
        <v/>
      </c>
      <c r="R750" s="81" t="str">
        <f>IF('32'!AB150=0,"",'32'!AB150)</f>
        <v/>
      </c>
      <c r="S750" s="81" t="e">
        <f>IF('32'!AC150=0,"",'32'!AC150)</f>
        <v>#N/A</v>
      </c>
      <c r="T750" s="286"/>
      <c r="U750" s="286"/>
      <c r="V750" s="287"/>
    </row>
    <row r="751" ht="15" customHeight="1" spans="2:22">
      <c r="B751" s="9" t="e">
        <f t="shared" si="13"/>
        <v>#N/A</v>
      </c>
      <c r="C751" s="31">
        <f>'32'!M151</f>
        <v>0</v>
      </c>
      <c r="D751" s="32" t="str">
        <f>IF('32'!N151=0,"",'32'!N151)</f>
        <v>CAF</v>
      </c>
      <c r="E751" s="36">
        <f>IF('32'!O151=0,"",'32'!O151)</f>
        <v>32</v>
      </c>
      <c r="F751" s="36">
        <f>IF('32'!P151=0,"",'32'!P151)</f>
        <v>217</v>
      </c>
      <c r="G751" s="103">
        <f>'32'!Q151</f>
        <v>0</v>
      </c>
      <c r="H751" s="160">
        <f>'27'!R751</f>
        <v>0</v>
      </c>
      <c r="I751" s="160">
        <f>'27'!S751</f>
        <v>0</v>
      </c>
      <c r="J751" s="160"/>
      <c r="K751" s="104">
        <f>'27'!T751</f>
        <v>0</v>
      </c>
      <c r="L751" s="36">
        <f>'32'!V151</f>
        <v>2</v>
      </c>
      <c r="M751" s="103">
        <f>'32'!W151</f>
        <v>0</v>
      </c>
      <c r="N751" s="160"/>
      <c r="O751" s="104">
        <f>'32'!X151</f>
        <v>0</v>
      </c>
      <c r="P751" s="52" t="str">
        <f>IF('32'!Z151=0,"",'32'!Z151)</f>
        <v/>
      </c>
      <c r="Q751" s="109" t="str">
        <f>IF('32'!AA151=0,"",'32'!AA151)</f>
        <v/>
      </c>
      <c r="R751" s="36" t="str">
        <f>IF('32'!AB151=0,"",'32'!AB151)</f>
        <v/>
      </c>
      <c r="S751" s="36" t="e">
        <f>IF('32'!AC151=0,"",'32'!AC151)</f>
        <v>#N/A</v>
      </c>
      <c r="T751" s="268"/>
      <c r="U751" s="268"/>
      <c r="V751" s="269"/>
    </row>
    <row r="752" ht="15" customHeight="1" spans="2:22">
      <c r="B752" s="9" t="e">
        <f t="shared" si="13"/>
        <v>#N/A</v>
      </c>
      <c r="C752" s="31">
        <f>'32'!M152</f>
        <v>0</v>
      </c>
      <c r="D752" s="32" t="str">
        <f>IF('32'!N152=0,"",'32'!N152)</f>
        <v>CAF</v>
      </c>
      <c r="E752" s="36">
        <f>IF('32'!O152=0,"",'32'!O152)</f>
        <v>32</v>
      </c>
      <c r="F752" s="36">
        <f>IF('32'!P152=0,"",'32'!P152)</f>
        <v>217</v>
      </c>
      <c r="G752" s="103">
        <f>'32'!Q152</f>
        <v>0</v>
      </c>
      <c r="H752" s="160">
        <f>'27'!R752</f>
        <v>0</v>
      </c>
      <c r="I752" s="160">
        <f>'27'!S752</f>
        <v>0</v>
      </c>
      <c r="J752" s="160"/>
      <c r="K752" s="104">
        <f>'27'!T752</f>
        <v>0</v>
      </c>
      <c r="L752" s="36">
        <f>'32'!V152</f>
        <v>3</v>
      </c>
      <c r="M752" s="103">
        <f>'32'!W152</f>
        <v>0</v>
      </c>
      <c r="N752" s="160"/>
      <c r="O752" s="104">
        <f>'32'!X152</f>
        <v>0</v>
      </c>
      <c r="P752" s="52" t="str">
        <f>IF('32'!Z152=0,"",'32'!Z152)</f>
        <v/>
      </c>
      <c r="Q752" s="109" t="str">
        <f>IF('32'!AA152=0,"",'32'!AA152)</f>
        <v/>
      </c>
      <c r="R752" s="36" t="str">
        <f>IF('32'!AB152=0,"",'32'!AB152)</f>
        <v/>
      </c>
      <c r="S752" s="36" t="e">
        <f>IF('32'!AC152=0,"",'32'!AC152)</f>
        <v>#N/A</v>
      </c>
      <c r="T752" s="268"/>
      <c r="U752" s="268"/>
      <c r="V752" s="269"/>
    </row>
    <row r="753" ht="15" customHeight="1" spans="2:22">
      <c r="B753" s="14" t="e">
        <f t="shared" si="13"/>
        <v>#N/A</v>
      </c>
      <c r="C753" s="83">
        <f>'32'!M153</f>
        <v>0</v>
      </c>
      <c r="D753" s="110" t="str">
        <f>IF('32'!N153=0,"",'32'!N153)</f>
        <v>CAF</v>
      </c>
      <c r="E753" s="85">
        <f>IF('32'!O153=0,"",'32'!O153)</f>
        <v>32</v>
      </c>
      <c r="F753" s="85">
        <f>IF('32'!P153=0,"",'32'!P153)</f>
        <v>217</v>
      </c>
      <c r="G753" s="105">
        <f>'32'!Q153</f>
        <v>0</v>
      </c>
      <c r="H753" s="161">
        <f>'27'!R753</f>
        <v>0</v>
      </c>
      <c r="I753" s="161">
        <f>'27'!S753</f>
        <v>0</v>
      </c>
      <c r="J753" s="161"/>
      <c r="K753" s="106">
        <f>'27'!T753</f>
        <v>0</v>
      </c>
      <c r="L753" s="85">
        <f>'32'!V153</f>
        <v>4</v>
      </c>
      <c r="M753" s="105">
        <f>'32'!W153</f>
        <v>0</v>
      </c>
      <c r="N753" s="161"/>
      <c r="O753" s="106">
        <f>'32'!X153</f>
        <v>0</v>
      </c>
      <c r="P753" s="107" t="str">
        <f>IF('32'!Z153=0,"",'32'!Z153)</f>
        <v/>
      </c>
      <c r="Q753" s="111" t="str">
        <f>IF('32'!AA153=0,"",'32'!AA153)</f>
        <v/>
      </c>
      <c r="R753" s="85" t="str">
        <f>IF('32'!AB153=0,"",'32'!AB153)</f>
        <v/>
      </c>
      <c r="S753" s="85" t="e">
        <f>IF('32'!AC153=0,"",'32'!AC153)</f>
        <v>#N/A</v>
      </c>
      <c r="T753" s="273"/>
      <c r="U753" s="273"/>
      <c r="V753" s="274"/>
    </row>
    <row r="754" ht="15" customHeight="1" spans="2:22">
      <c r="B754" s="6" t="e">
        <f t="shared" si="13"/>
        <v>#N/A</v>
      </c>
      <c r="C754" s="79" t="str">
        <f>'32'!M154</f>
        <v>225018 Anders Tagge</v>
      </c>
      <c r="D754" s="62" t="str">
        <f>IF('32'!N154=0,"",'32'!N154)</f>
        <v>CAF</v>
      </c>
      <c r="E754" s="81">
        <f>IF('32'!O154=0,"",'32'!O154)</f>
        <v>32</v>
      </c>
      <c r="F754" s="81">
        <f>IF('32'!P154=0,"",'32'!P154)</f>
        <v>218</v>
      </c>
      <c r="G754" s="100" t="str">
        <f>'32'!Q154</f>
        <v>Quadre</v>
      </c>
      <c r="H754" s="159">
        <f>'27'!R754</f>
        <v>0</v>
      </c>
      <c r="I754" s="159">
        <f>'27'!S754</f>
        <v>0</v>
      </c>
      <c r="J754" s="159"/>
      <c r="K754" s="101">
        <f>'27'!T754</f>
        <v>0</v>
      </c>
      <c r="L754" s="81">
        <f>'32'!V154</f>
        <v>1</v>
      </c>
      <c r="M754" s="100">
        <f>'32'!W154</f>
        <v>4</v>
      </c>
      <c r="N754" s="159"/>
      <c r="O754" s="101">
        <f>'32'!X154</f>
        <v>0</v>
      </c>
      <c r="P754" s="102" t="str">
        <f>IF('32'!Z154=0,"",'32'!Z154)</f>
        <v/>
      </c>
      <c r="Q754" s="108" t="str">
        <f>IF('32'!AA154=0,"",'32'!AA154)</f>
        <v/>
      </c>
      <c r="R754" s="81" t="str">
        <f>IF('32'!AB154=0,"",'32'!AB154)</f>
        <v/>
      </c>
      <c r="S754" s="81" t="e">
        <f>IF('32'!AC154=0,"",'32'!AC154)</f>
        <v>#N/A</v>
      </c>
      <c r="T754" s="286"/>
      <c r="U754" s="286"/>
      <c r="V754" s="287"/>
    </row>
    <row r="755" ht="15" customHeight="1" spans="2:22">
      <c r="B755" s="9" t="e">
        <f t="shared" si="13"/>
        <v>#N/A</v>
      </c>
      <c r="C755" s="31">
        <f>'32'!M155</f>
        <v>0</v>
      </c>
      <c r="D755" s="32" t="str">
        <f>IF('32'!N155=0,"",'32'!N155)</f>
        <v>CAF</v>
      </c>
      <c r="E755" s="36">
        <f>IF('32'!O155=0,"",'32'!O155)</f>
        <v>32</v>
      </c>
      <c r="F755" s="36">
        <f>IF('32'!P155=0,"",'32'!P155)</f>
        <v>218</v>
      </c>
      <c r="G755" s="103">
        <f>'32'!Q155</f>
        <v>0</v>
      </c>
      <c r="H755" s="160">
        <f>'27'!R755</f>
        <v>0</v>
      </c>
      <c r="I755" s="160">
        <f>'27'!S755</f>
        <v>0</v>
      </c>
      <c r="J755" s="160"/>
      <c r="K755" s="104">
        <f>'27'!T755</f>
        <v>0</v>
      </c>
      <c r="L755" s="36">
        <f>'32'!V155</f>
        <v>2</v>
      </c>
      <c r="M755" s="103">
        <f>'32'!W155</f>
        <v>0</v>
      </c>
      <c r="N755" s="160"/>
      <c r="O755" s="104">
        <f>'32'!X155</f>
        <v>0</v>
      </c>
      <c r="P755" s="52" t="str">
        <f>IF('32'!Z155=0,"",'32'!Z155)</f>
        <v/>
      </c>
      <c r="Q755" s="109" t="str">
        <f>IF('32'!AA155=0,"",'32'!AA155)</f>
        <v/>
      </c>
      <c r="R755" s="36" t="str">
        <f>IF('32'!AB155=0,"",'32'!AB155)</f>
        <v/>
      </c>
      <c r="S755" s="36" t="e">
        <f>IF('32'!AC155=0,"",'32'!AC155)</f>
        <v>#N/A</v>
      </c>
      <c r="T755" s="268"/>
      <c r="U755" s="268"/>
      <c r="V755" s="269"/>
    </row>
    <row r="756" ht="15" customHeight="1" spans="2:22">
      <c r="B756" s="9" t="e">
        <f t="shared" si="13"/>
        <v>#N/A</v>
      </c>
      <c r="C756" s="31">
        <f>'32'!M156</f>
        <v>0</v>
      </c>
      <c r="D756" s="32" t="str">
        <f>IF('32'!N156=0,"",'32'!N156)</f>
        <v>CAF</v>
      </c>
      <c r="E756" s="36">
        <f>IF('32'!O156=0,"",'32'!O156)</f>
        <v>32</v>
      </c>
      <c r="F756" s="36">
        <f>IF('32'!P156=0,"",'32'!P156)</f>
        <v>218</v>
      </c>
      <c r="G756" s="103">
        <f>'32'!Q156</f>
        <v>0</v>
      </c>
      <c r="H756" s="160">
        <f>'27'!R756</f>
        <v>0</v>
      </c>
      <c r="I756" s="160">
        <f>'27'!S756</f>
        <v>0</v>
      </c>
      <c r="J756" s="160"/>
      <c r="K756" s="104">
        <f>'27'!T756</f>
        <v>0</v>
      </c>
      <c r="L756" s="36">
        <f>'32'!V156</f>
        <v>3</v>
      </c>
      <c r="M756" s="103">
        <f>'32'!W156</f>
        <v>0</v>
      </c>
      <c r="N756" s="160"/>
      <c r="O756" s="104">
        <f>'32'!X156</f>
        <v>0</v>
      </c>
      <c r="P756" s="52" t="str">
        <f>IF('32'!Z156=0,"",'32'!Z156)</f>
        <v/>
      </c>
      <c r="Q756" s="109" t="str">
        <f>IF('32'!AA156=0,"",'32'!AA156)</f>
        <v/>
      </c>
      <c r="R756" s="36" t="str">
        <f>IF('32'!AB156=0,"",'32'!AB156)</f>
        <v/>
      </c>
      <c r="S756" s="36" t="e">
        <f>IF('32'!AC156=0,"",'32'!AC156)</f>
        <v>#N/A</v>
      </c>
      <c r="T756" s="268"/>
      <c r="U756" s="268"/>
      <c r="V756" s="269"/>
    </row>
    <row r="757" ht="15" customHeight="1" spans="2:22">
      <c r="B757" s="14" t="e">
        <f t="shared" si="13"/>
        <v>#N/A</v>
      </c>
      <c r="C757" s="83">
        <f>'32'!M157</f>
        <v>0</v>
      </c>
      <c r="D757" s="110" t="str">
        <f>IF('32'!N157=0,"",'32'!N157)</f>
        <v>CAF</v>
      </c>
      <c r="E757" s="85">
        <f>IF('32'!O157=0,"",'32'!O157)</f>
        <v>32</v>
      </c>
      <c r="F757" s="85">
        <f>IF('32'!P157=0,"",'32'!P157)</f>
        <v>218</v>
      </c>
      <c r="G757" s="105">
        <f>'32'!Q157</f>
        <v>0</v>
      </c>
      <c r="H757" s="161">
        <f>'27'!R757</f>
        <v>0</v>
      </c>
      <c r="I757" s="161">
        <f>'27'!S757</f>
        <v>0</v>
      </c>
      <c r="J757" s="161"/>
      <c r="K757" s="106">
        <f>'27'!T757</f>
        <v>0</v>
      </c>
      <c r="L757" s="85">
        <f>'32'!V157</f>
        <v>4</v>
      </c>
      <c r="M757" s="105">
        <f>'32'!W157</f>
        <v>0</v>
      </c>
      <c r="N757" s="161"/>
      <c r="O757" s="106">
        <f>'32'!X157</f>
        <v>0</v>
      </c>
      <c r="P757" s="107" t="str">
        <f>IF('32'!Z157=0,"",'32'!Z157)</f>
        <v/>
      </c>
      <c r="Q757" s="111" t="str">
        <f>IF('32'!AA157=0,"",'32'!AA157)</f>
        <v/>
      </c>
      <c r="R757" s="85" t="str">
        <f>IF('32'!AB157=0,"",'32'!AB157)</f>
        <v/>
      </c>
      <c r="S757" s="85" t="e">
        <f>IF('32'!AC157=0,"",'32'!AC157)</f>
        <v>#N/A</v>
      </c>
      <c r="T757" s="273"/>
      <c r="U757" s="273"/>
      <c r="V757" s="274"/>
    </row>
    <row r="758" ht="15" customHeight="1" spans="2:22">
      <c r="B758" s="6" t="e">
        <f t="shared" si="13"/>
        <v>#N/A</v>
      </c>
      <c r="C758" s="79">
        <f>'32'!M158</f>
        <v>0</v>
      </c>
      <c r="D758" s="62" t="str">
        <f>IF('32'!N158=0,"",'32'!N158)</f>
        <v>CAF</v>
      </c>
      <c r="E758" s="81">
        <f>IF('32'!O158=0,"",'32'!O158)</f>
        <v>32</v>
      </c>
      <c r="F758" s="81">
        <f>IF('32'!P158=0,"",'32'!P158)</f>
        <v>219</v>
      </c>
      <c r="G758" s="100" t="str">
        <f>'32'!Q158</f>
        <v>Single</v>
      </c>
      <c r="H758" s="159">
        <f>'27'!R758</f>
        <v>0</v>
      </c>
      <c r="I758" s="159">
        <f>'27'!S758</f>
        <v>0</v>
      </c>
      <c r="J758" s="159"/>
      <c r="K758" s="101">
        <f>'27'!T758</f>
        <v>0</v>
      </c>
      <c r="L758" s="81">
        <f>'32'!V158</f>
        <v>0</v>
      </c>
      <c r="M758" s="100">
        <f>'32'!W158</f>
        <v>1</v>
      </c>
      <c r="N758" s="159"/>
      <c r="O758" s="101">
        <f>'32'!X158</f>
        <v>0</v>
      </c>
      <c r="P758" s="102" t="str">
        <f>IF('32'!Z158=0,"",'32'!Z158)</f>
        <v/>
      </c>
      <c r="Q758" s="108" t="str">
        <f>IF('32'!AA158=0,"",'32'!AA158)</f>
        <v/>
      </c>
      <c r="R758" s="81" t="str">
        <f>IF('32'!AB158=0,"",'32'!AB158)</f>
        <v/>
      </c>
      <c r="S758" s="81" t="e">
        <f>IF('32'!AC158=0,"",'32'!AC158)</f>
        <v>#N/A</v>
      </c>
      <c r="T758" s="286"/>
      <c r="U758" s="286"/>
      <c r="V758" s="287"/>
    </row>
    <row r="759" ht="15" customHeight="1" spans="2:22">
      <c r="B759" s="9" t="e">
        <f t="shared" si="13"/>
        <v>#N/A</v>
      </c>
      <c r="C759" s="31">
        <f>'32'!M159</f>
        <v>0</v>
      </c>
      <c r="D759" s="32" t="str">
        <f>IF('32'!N159=0,"",'32'!N159)</f>
        <v>CAF</v>
      </c>
      <c r="E759" s="36">
        <f>IF('32'!O159=0,"",'32'!O159)</f>
        <v>32</v>
      </c>
      <c r="F759" s="36">
        <f>IF('32'!P159=0,"",'32'!P159)</f>
        <v>219</v>
      </c>
      <c r="G759" s="103">
        <f>'32'!Q159</f>
        <v>0</v>
      </c>
      <c r="H759" s="160">
        <f>'27'!R759</f>
        <v>0</v>
      </c>
      <c r="I759" s="160">
        <f>'27'!S759</f>
        <v>0</v>
      </c>
      <c r="J759" s="160"/>
      <c r="K759" s="104">
        <f>'27'!T759</f>
        <v>0</v>
      </c>
      <c r="L759" s="36">
        <f>'32'!V159</f>
        <v>0</v>
      </c>
      <c r="M759" s="103">
        <f>'32'!W159</f>
        <v>0</v>
      </c>
      <c r="N759" s="160"/>
      <c r="O759" s="104">
        <f>'32'!X159</f>
        <v>0</v>
      </c>
      <c r="P759" s="52" t="str">
        <f>IF('32'!Z159=0,"",'32'!Z159)</f>
        <v/>
      </c>
      <c r="Q759" s="109" t="str">
        <f>IF('32'!AA159=0,"",'32'!AA159)</f>
        <v/>
      </c>
      <c r="R759" s="36" t="str">
        <f>IF('32'!AB159=0,"",'32'!AB159)</f>
        <v/>
      </c>
      <c r="S759" s="36" t="e">
        <f>IF('32'!AC159=0,"",'32'!AC159)</f>
        <v>#N/A</v>
      </c>
      <c r="T759" s="268"/>
      <c r="U759" s="268"/>
      <c r="V759" s="269"/>
    </row>
    <row r="760" ht="15" customHeight="1" spans="2:22">
      <c r="B760" s="9" t="e">
        <f t="shared" si="13"/>
        <v>#N/A</v>
      </c>
      <c r="C760" s="31">
        <f>'32'!M160</f>
        <v>0</v>
      </c>
      <c r="D760" s="32" t="str">
        <f>IF('32'!N160=0,"",'32'!N160)</f>
        <v>CAF</v>
      </c>
      <c r="E760" s="36">
        <f>IF('32'!O160=0,"",'32'!O160)</f>
        <v>32</v>
      </c>
      <c r="F760" s="36">
        <f>IF('32'!P160=0,"",'32'!P160)</f>
        <v>219</v>
      </c>
      <c r="G760" s="103">
        <f>'32'!Q160</f>
        <v>0</v>
      </c>
      <c r="H760" s="160">
        <f>'27'!R760</f>
        <v>0</v>
      </c>
      <c r="I760" s="160">
        <f>'27'!S760</f>
        <v>0</v>
      </c>
      <c r="J760" s="160"/>
      <c r="K760" s="104">
        <f>'27'!T760</f>
        <v>0</v>
      </c>
      <c r="L760" s="36">
        <f>'32'!V160</f>
        <v>3</v>
      </c>
      <c r="M760" s="103">
        <f>'32'!W160</f>
        <v>0</v>
      </c>
      <c r="N760" s="160"/>
      <c r="O760" s="104">
        <f>'32'!X160</f>
        <v>0</v>
      </c>
      <c r="P760" s="52" t="str">
        <f>IF('32'!Z160=0,"",'32'!Z160)</f>
        <v/>
      </c>
      <c r="Q760" s="109" t="str">
        <f>IF('32'!AA160=0,"",'32'!AA160)</f>
        <v/>
      </c>
      <c r="R760" s="36" t="str">
        <f>IF('32'!AB160=0,"",'32'!AB160)</f>
        <v/>
      </c>
      <c r="S760" s="36" t="e">
        <f>IF('32'!AC160=0,"",'32'!AC160)</f>
        <v>#N/A</v>
      </c>
      <c r="T760" s="268"/>
      <c r="U760" s="268"/>
      <c r="V760" s="269"/>
    </row>
    <row r="761" ht="15" customHeight="1" spans="2:22">
      <c r="B761" s="14" t="e">
        <f t="shared" si="13"/>
        <v>#N/A</v>
      </c>
      <c r="C761" s="83" t="e">
        <f>'32'!M161</f>
        <v>#N/A</v>
      </c>
      <c r="D761" s="110" t="str">
        <f>IF('32'!N161=0,"",'32'!N161)</f>
        <v>CAF</v>
      </c>
      <c r="E761" s="85">
        <f>IF('32'!O161=0,"",'32'!O161)</f>
        <v>32</v>
      </c>
      <c r="F761" s="85">
        <f>IF('32'!P161=0,"",'32'!P161)</f>
        <v>219</v>
      </c>
      <c r="G761" s="105">
        <f>'32'!Q161</f>
        <v>0</v>
      </c>
      <c r="H761" s="161">
        <f>'27'!R761</f>
        <v>0</v>
      </c>
      <c r="I761" s="161">
        <f>'27'!S761</f>
        <v>0</v>
      </c>
      <c r="J761" s="161"/>
      <c r="K761" s="106">
        <f>'27'!T761</f>
        <v>0</v>
      </c>
      <c r="L761" s="85">
        <f>'32'!V161</f>
        <v>0</v>
      </c>
      <c r="M761" s="105">
        <f>'32'!W161</f>
        <v>0</v>
      </c>
      <c r="N761" s="161"/>
      <c r="O761" s="106">
        <f>'32'!X161</f>
        <v>0</v>
      </c>
      <c r="P761" s="107" t="str">
        <f>IF('32'!Z161=0,"",'32'!Z161)</f>
        <v/>
      </c>
      <c r="Q761" s="111" t="str">
        <f>IF('32'!AA161=0,"",'32'!AA161)</f>
        <v/>
      </c>
      <c r="R761" s="85" t="str">
        <f>IF('32'!AB161=0,"",'32'!AB161)</f>
        <v/>
      </c>
      <c r="S761" s="85" t="e">
        <f>IF('32'!AC161=0,"",'32'!AC161)</f>
        <v>#N/A</v>
      </c>
      <c r="T761" s="273"/>
      <c r="U761" s="273"/>
      <c r="V761" s="274"/>
    </row>
    <row r="762" ht="15" customHeight="1" spans="2:22">
      <c r="B762" s="6" t="e">
        <f t="shared" si="13"/>
        <v>#N/A</v>
      </c>
      <c r="C762" s="79">
        <f>'32'!M162</f>
        <v>0</v>
      </c>
      <c r="D762" s="62" t="str">
        <f>IF('32'!N162=0,"",'32'!N162)</f>
        <v>CAF</v>
      </c>
      <c r="E762" s="81">
        <f>IF('32'!O162=0,"",'32'!O162)</f>
        <v>32</v>
      </c>
      <c r="F762" s="81">
        <f>IF('32'!P162=0,"",'32'!P162)</f>
        <v>220</v>
      </c>
      <c r="G762" s="100" t="str">
        <f>'32'!Q162</f>
        <v>Single</v>
      </c>
      <c r="H762" s="159">
        <f>'27'!R762</f>
        <v>0</v>
      </c>
      <c r="I762" s="159">
        <f>'27'!S762</f>
        <v>0</v>
      </c>
      <c r="J762" s="159"/>
      <c r="K762" s="101">
        <f>'27'!T762</f>
        <v>0</v>
      </c>
      <c r="L762" s="81">
        <f>'32'!V162</f>
        <v>1</v>
      </c>
      <c r="M762" s="100">
        <f>'32'!W162</f>
        <v>1</v>
      </c>
      <c r="N762" s="159"/>
      <c r="O762" s="101">
        <f>'32'!X162</f>
        <v>0</v>
      </c>
      <c r="P762" s="102" t="str">
        <f>IF('32'!Z162=0,"",'32'!Z162)</f>
        <v/>
      </c>
      <c r="Q762" s="108" t="str">
        <f>IF('32'!AA162=0,"",'32'!AA162)</f>
        <v/>
      </c>
      <c r="R762" s="81" t="str">
        <f>IF('32'!AB162=0,"",'32'!AB162)</f>
        <v/>
      </c>
      <c r="S762" s="81" t="e">
        <f>IF('32'!AC162=0,"",'32'!AC162)</f>
        <v>#N/A</v>
      </c>
      <c r="T762" s="286"/>
      <c r="U762" s="286"/>
      <c r="V762" s="287"/>
    </row>
    <row r="763" ht="15" customHeight="1" spans="2:22">
      <c r="B763" s="9" t="e">
        <f t="shared" si="13"/>
        <v>#N/A</v>
      </c>
      <c r="C763" s="31">
        <f>'32'!M163</f>
        <v>0</v>
      </c>
      <c r="D763" s="32" t="str">
        <f>IF('32'!N163=0,"",'32'!N163)</f>
        <v>CAF</v>
      </c>
      <c r="E763" s="36">
        <f>IF('32'!O163=0,"",'32'!O163)</f>
        <v>32</v>
      </c>
      <c r="F763" s="36">
        <f>IF('32'!P163=0,"",'32'!P163)</f>
        <v>220</v>
      </c>
      <c r="G763" s="103">
        <f>'32'!Q163</f>
        <v>0</v>
      </c>
      <c r="H763" s="160">
        <f>'27'!R763</f>
        <v>0</v>
      </c>
      <c r="I763" s="160">
        <f>'27'!S763</f>
        <v>0</v>
      </c>
      <c r="J763" s="160"/>
      <c r="K763" s="104">
        <f>'27'!T763</f>
        <v>0</v>
      </c>
      <c r="L763" s="36">
        <f>'32'!V163</f>
        <v>0</v>
      </c>
      <c r="M763" s="103">
        <f>'32'!W163</f>
        <v>0</v>
      </c>
      <c r="N763" s="160"/>
      <c r="O763" s="104">
        <f>'32'!X163</f>
        <v>0</v>
      </c>
      <c r="P763" s="52" t="str">
        <f>IF('32'!Z163=0,"",'32'!Z163)</f>
        <v/>
      </c>
      <c r="Q763" s="109" t="str">
        <f>IF('32'!AA163=0,"",'32'!AA163)</f>
        <v/>
      </c>
      <c r="R763" s="36" t="str">
        <f>IF('32'!AB163=0,"",'32'!AB163)</f>
        <v/>
      </c>
      <c r="S763" s="36" t="e">
        <f>IF('32'!AC163=0,"",'32'!AC163)</f>
        <v>#N/A</v>
      </c>
      <c r="T763" s="268"/>
      <c r="U763" s="268"/>
      <c r="V763" s="269"/>
    </row>
    <row r="764" ht="15" customHeight="1" spans="2:22">
      <c r="B764" s="9" t="e">
        <f t="shared" si="13"/>
        <v>#N/A</v>
      </c>
      <c r="C764" s="31">
        <f>'32'!M164</f>
        <v>0</v>
      </c>
      <c r="D764" s="32" t="str">
        <f>IF('32'!N164=0,"",'32'!N164)</f>
        <v>CAF</v>
      </c>
      <c r="E764" s="36">
        <f>IF('32'!O164=0,"",'32'!O164)</f>
        <v>32</v>
      </c>
      <c r="F764" s="36">
        <f>IF('32'!P164=0,"",'32'!P164)</f>
        <v>220</v>
      </c>
      <c r="G764" s="103">
        <f>'32'!Q164</f>
        <v>0</v>
      </c>
      <c r="H764" s="160">
        <f>'27'!R764</f>
        <v>0</v>
      </c>
      <c r="I764" s="160">
        <f>'27'!S764</f>
        <v>0</v>
      </c>
      <c r="J764" s="160"/>
      <c r="K764" s="104">
        <f>'27'!T764</f>
        <v>0</v>
      </c>
      <c r="L764" s="36">
        <f>'32'!V164</f>
        <v>0</v>
      </c>
      <c r="M764" s="103">
        <f>'32'!W164</f>
        <v>0</v>
      </c>
      <c r="N764" s="160"/>
      <c r="O764" s="104">
        <f>'32'!X164</f>
        <v>0</v>
      </c>
      <c r="P764" s="52" t="str">
        <f>IF('32'!Z164=0,"",'32'!Z164)</f>
        <v/>
      </c>
      <c r="Q764" s="109" t="str">
        <f>IF('32'!AA164=0,"",'32'!AA164)</f>
        <v/>
      </c>
      <c r="R764" s="36" t="str">
        <f>IF('32'!AB164=0,"",'32'!AB164)</f>
        <v/>
      </c>
      <c r="S764" s="36" t="e">
        <f>IF('32'!AC164=0,"",'32'!AC164)</f>
        <v>#N/A</v>
      </c>
      <c r="T764" s="268"/>
      <c r="U764" s="268"/>
      <c r="V764" s="269"/>
    </row>
    <row r="765" ht="15" customHeight="1" spans="2:22">
      <c r="B765" s="14" t="e">
        <f t="shared" si="13"/>
        <v>#N/A</v>
      </c>
      <c r="C765" s="83" t="e">
        <f>'32'!M165</f>
        <v>#N/A</v>
      </c>
      <c r="D765" s="110" t="str">
        <f>IF('32'!N165=0,"",'32'!N165)</f>
        <v>CAF</v>
      </c>
      <c r="E765" s="85">
        <f>IF('32'!O165=0,"",'32'!O165)</f>
        <v>32</v>
      </c>
      <c r="F765" s="85">
        <f>IF('32'!P165=0,"",'32'!P165)</f>
        <v>220</v>
      </c>
      <c r="G765" s="105">
        <f>'32'!Q165</f>
        <v>0</v>
      </c>
      <c r="H765" s="161">
        <f>'27'!R765</f>
        <v>0</v>
      </c>
      <c r="I765" s="161">
        <f>'27'!S765</f>
        <v>0</v>
      </c>
      <c r="J765" s="161"/>
      <c r="K765" s="106">
        <f>'27'!T765</f>
        <v>0</v>
      </c>
      <c r="L765" s="85">
        <f>'32'!V165</f>
        <v>0</v>
      </c>
      <c r="M765" s="105">
        <f>'32'!W165</f>
        <v>0</v>
      </c>
      <c r="N765" s="161"/>
      <c r="O765" s="106">
        <f>'32'!X165</f>
        <v>0</v>
      </c>
      <c r="P765" s="107" t="str">
        <f>IF('32'!Z165=0,"",'32'!Z165)</f>
        <v/>
      </c>
      <c r="Q765" s="111" t="str">
        <f>IF('32'!AA165=0,"",'32'!AA165)</f>
        <v/>
      </c>
      <c r="R765" s="85" t="str">
        <f>IF('32'!AB165=0,"",'32'!AB165)</f>
        <v/>
      </c>
      <c r="S765" s="85" t="e">
        <f>IF('32'!AC165=0,"",'32'!AC165)</f>
        <v>#N/A</v>
      </c>
      <c r="T765" s="273"/>
      <c r="U765" s="273"/>
      <c r="V765" s="274"/>
    </row>
    <row r="766" ht="15" customHeight="1" spans="2:22">
      <c r="B766" s="6" t="e">
        <f t="shared" si="13"/>
        <v>#REF!</v>
      </c>
      <c r="C766" s="79" t="e">
        <f>#REF!</f>
        <v>#REF!</v>
      </c>
      <c r="D766" s="62" t="e">
        <f>IF(#REF!=0,"",#REF!)</f>
        <v>#REF!</v>
      </c>
      <c r="E766" s="81" t="e">
        <f>IF(#REF!=0,"",#REF!)</f>
        <v>#REF!</v>
      </c>
      <c r="F766" s="81" t="e">
        <f>IF(#REF!=0,"",#REF!)</f>
        <v>#REF!</v>
      </c>
      <c r="G766" s="100" t="e">
        <f>#REF!</f>
        <v>#REF!</v>
      </c>
      <c r="H766" s="159">
        <f>'27'!R726</f>
        <v>0</v>
      </c>
      <c r="I766" s="159">
        <f>'27'!S726</f>
        <v>0</v>
      </c>
      <c r="J766" s="159"/>
      <c r="K766" s="101">
        <f>'27'!T726</f>
        <v>0</v>
      </c>
      <c r="L766" s="81" t="e">
        <f>#REF!</f>
        <v>#REF!</v>
      </c>
      <c r="M766" s="100" t="e">
        <f>#REF!</f>
        <v>#REF!</v>
      </c>
      <c r="N766" s="159"/>
      <c r="O766" s="101" t="e">
        <f>#REF!</f>
        <v>#REF!</v>
      </c>
      <c r="P766" s="102" t="e">
        <f>IF(#REF!=0,"",#REF!)</f>
        <v>#REF!</v>
      </c>
      <c r="Q766" s="108" t="e">
        <f>IF(#REF!=0,"",#REF!)</f>
        <v>#REF!</v>
      </c>
      <c r="R766" s="81" t="e">
        <f>IF(#REF!=0,"",#REF!)</f>
        <v>#REF!</v>
      </c>
      <c r="S766" s="81" t="e">
        <f>IF(#REF!=0,"",#REF!)</f>
        <v>#REF!</v>
      </c>
      <c r="T766" s="268"/>
      <c r="U766" s="268"/>
      <c r="V766" s="268"/>
    </row>
    <row r="767" ht="15" customHeight="1" spans="2:22">
      <c r="B767" s="6" t="e">
        <f t="shared" ref="B767:B807" si="14">COUNTA(C767)-IF(C767=0,1)+B766</f>
        <v>#REF!</v>
      </c>
      <c r="C767" s="31" t="e">
        <f>#REF!</f>
        <v>#REF!</v>
      </c>
      <c r="D767" s="32" t="e">
        <f>IF(#REF!=0,"",#REF!)</f>
        <v>#REF!</v>
      </c>
      <c r="E767" s="36" t="e">
        <f>IF(#REF!=0,"",#REF!)</f>
        <v>#REF!</v>
      </c>
      <c r="F767" s="36" t="e">
        <f>IF(#REF!=0,"",#REF!)</f>
        <v>#REF!</v>
      </c>
      <c r="G767" s="103">
        <f>'27'!Q727</f>
        <v>0</v>
      </c>
      <c r="H767" s="160">
        <f>'27'!R727</f>
        <v>0</v>
      </c>
      <c r="I767" s="160">
        <f>'27'!S727</f>
        <v>0</v>
      </c>
      <c r="J767" s="160"/>
      <c r="K767" s="104">
        <f>'27'!T727</f>
        <v>0</v>
      </c>
      <c r="L767" s="36" t="e">
        <f>#REF!</f>
        <v>#REF!</v>
      </c>
      <c r="M767" s="103" t="e">
        <f>#REF!</f>
        <v>#REF!</v>
      </c>
      <c r="N767" s="160"/>
      <c r="O767" s="104" t="e">
        <f>#REF!</f>
        <v>#REF!</v>
      </c>
      <c r="P767" s="52" t="e">
        <f>IF(#REF!=0,"",#REF!)</f>
        <v>#REF!</v>
      </c>
      <c r="Q767" s="109" t="e">
        <f>IF(#REF!=0,"",#REF!)</f>
        <v>#REF!</v>
      </c>
      <c r="R767" s="36" t="e">
        <f>IF(#REF!=0,"",#REF!)</f>
        <v>#REF!</v>
      </c>
      <c r="S767" s="36" t="e">
        <f>IF(#REF!=0,"",#REF!)</f>
        <v>#REF!</v>
      </c>
      <c r="T767" s="268"/>
      <c r="U767" s="268"/>
      <c r="V767" s="268"/>
    </row>
    <row r="768" ht="15" customHeight="1" spans="2:22">
      <c r="B768" s="6" t="e">
        <f t="shared" si="14"/>
        <v>#REF!</v>
      </c>
      <c r="C768" s="83" t="e">
        <f>#REF!</f>
        <v>#REF!</v>
      </c>
      <c r="D768" s="110" t="e">
        <f>IF(#REF!=0,"",#REF!)</f>
        <v>#REF!</v>
      </c>
      <c r="E768" s="85" t="e">
        <f>IF(#REF!=0,"",#REF!)</f>
        <v>#REF!</v>
      </c>
      <c r="F768" s="85" t="e">
        <f>IF(#REF!=0,"",#REF!)</f>
        <v>#REF!</v>
      </c>
      <c r="G768" s="105">
        <f>'27'!Q728</f>
        <v>0</v>
      </c>
      <c r="H768" s="161">
        <f>'27'!R728</f>
        <v>0</v>
      </c>
      <c r="I768" s="161">
        <f>'27'!S728</f>
        <v>0</v>
      </c>
      <c r="J768" s="161"/>
      <c r="K768" s="106">
        <f>'27'!T728</f>
        <v>0</v>
      </c>
      <c r="L768" s="85" t="e">
        <f>#REF!</f>
        <v>#REF!</v>
      </c>
      <c r="M768" s="105" t="e">
        <f>#REF!</f>
        <v>#REF!</v>
      </c>
      <c r="N768" s="161"/>
      <c r="O768" s="106" t="e">
        <f>#REF!</f>
        <v>#REF!</v>
      </c>
      <c r="P768" s="107" t="e">
        <f>IF(#REF!=0,"",#REF!)</f>
        <v>#REF!</v>
      </c>
      <c r="Q768" s="111" t="e">
        <f>IF(#REF!=0,"",#REF!)</f>
        <v>#REF!</v>
      </c>
      <c r="R768" s="85" t="e">
        <f>IF(#REF!=0,"",#REF!)</f>
        <v>#REF!</v>
      </c>
      <c r="S768" s="85" t="e">
        <f>IF(#REF!=0,"",#REF!)</f>
        <v>#REF!</v>
      </c>
      <c r="T768" s="268"/>
      <c r="U768" s="268"/>
      <c r="V768" s="268"/>
    </row>
    <row r="769" ht="15" customHeight="1" spans="2:22">
      <c r="B769" s="6" t="e">
        <f t="shared" si="14"/>
        <v>#REF!</v>
      </c>
      <c r="C769" s="79" t="e">
        <f>#REF!</f>
        <v>#REF!</v>
      </c>
      <c r="D769" s="62" t="e">
        <f>IF(#REF!=0,"",#REF!)</f>
        <v>#REF!</v>
      </c>
      <c r="E769" s="81" t="e">
        <f>IF(#REF!=0,"",#REF!)</f>
        <v>#REF!</v>
      </c>
      <c r="F769" s="81" t="e">
        <f>IF(#REF!=0,"",#REF!)</f>
        <v>#REF!</v>
      </c>
      <c r="G769" s="100" t="e">
        <f>#REF!</f>
        <v>#REF!</v>
      </c>
      <c r="H769" s="159">
        <f>'27'!R729</f>
        <v>0</v>
      </c>
      <c r="I769" s="159">
        <f>'27'!S729</f>
        <v>0</v>
      </c>
      <c r="J769" s="159"/>
      <c r="K769" s="101">
        <f>'27'!T729</f>
        <v>0</v>
      </c>
      <c r="L769" s="81" t="e">
        <f>#REF!</f>
        <v>#REF!</v>
      </c>
      <c r="M769" s="100" t="e">
        <f>#REF!</f>
        <v>#REF!</v>
      </c>
      <c r="N769" s="159"/>
      <c r="O769" s="101" t="e">
        <f>#REF!</f>
        <v>#REF!</v>
      </c>
      <c r="P769" s="102" t="e">
        <f>IF(#REF!=0,"",#REF!)</f>
        <v>#REF!</v>
      </c>
      <c r="Q769" s="108" t="e">
        <f>IF(#REF!=0,"",#REF!)</f>
        <v>#REF!</v>
      </c>
      <c r="R769" s="81" t="e">
        <f>IF(#REF!=0,"",#REF!)</f>
        <v>#REF!</v>
      </c>
      <c r="S769" s="81" t="e">
        <f>IF(#REF!=0,"",#REF!)</f>
        <v>#REF!</v>
      </c>
      <c r="T769" s="268"/>
      <c r="U769" s="268"/>
      <c r="V769" s="268"/>
    </row>
    <row r="770" ht="15" customHeight="1" spans="2:22">
      <c r="B770" s="6" t="e">
        <f t="shared" si="14"/>
        <v>#REF!</v>
      </c>
      <c r="C770" s="31" t="e">
        <f>#REF!</f>
        <v>#REF!</v>
      </c>
      <c r="D770" s="32" t="e">
        <f>IF(#REF!=0,"",#REF!)</f>
        <v>#REF!</v>
      </c>
      <c r="E770" s="36" t="e">
        <f>IF(#REF!=0,"",#REF!)</f>
        <v>#REF!</v>
      </c>
      <c r="F770" s="36" t="e">
        <f>IF(#REF!=0,"",#REF!)</f>
        <v>#REF!</v>
      </c>
      <c r="G770" s="103">
        <f>'27'!Q730</f>
        <v>0</v>
      </c>
      <c r="H770" s="160">
        <f>'27'!R730</f>
        <v>0</v>
      </c>
      <c r="I770" s="160">
        <f>'27'!S730</f>
        <v>0</v>
      </c>
      <c r="J770" s="160"/>
      <c r="K770" s="104">
        <f>'27'!T730</f>
        <v>0</v>
      </c>
      <c r="L770" s="36" t="e">
        <f>#REF!</f>
        <v>#REF!</v>
      </c>
      <c r="M770" s="103" t="e">
        <f>#REF!</f>
        <v>#REF!</v>
      </c>
      <c r="N770" s="160"/>
      <c r="O770" s="104" t="e">
        <f>#REF!</f>
        <v>#REF!</v>
      </c>
      <c r="P770" s="52" t="e">
        <f>IF(#REF!=0,"",#REF!)</f>
        <v>#REF!</v>
      </c>
      <c r="Q770" s="109" t="e">
        <f>IF(#REF!=0,"",#REF!)</f>
        <v>#REF!</v>
      </c>
      <c r="R770" s="36" t="e">
        <f>IF(#REF!=0,"",#REF!)</f>
        <v>#REF!</v>
      </c>
      <c r="S770" s="36" t="e">
        <f>IF(#REF!=0,"",#REF!)</f>
        <v>#REF!</v>
      </c>
      <c r="T770" s="268"/>
      <c r="U770" s="268"/>
      <c r="V770" s="268"/>
    </row>
    <row r="771" ht="15" customHeight="1" spans="2:22">
      <c r="B771" s="6" t="e">
        <f t="shared" si="14"/>
        <v>#REF!</v>
      </c>
      <c r="C771" s="83" t="e">
        <f>#REF!</f>
        <v>#REF!</v>
      </c>
      <c r="D771" s="110" t="e">
        <f>IF(#REF!=0,"",#REF!)</f>
        <v>#REF!</v>
      </c>
      <c r="E771" s="85" t="e">
        <f>IF(#REF!=0,"",#REF!)</f>
        <v>#REF!</v>
      </c>
      <c r="F771" s="85" t="e">
        <f>IF(#REF!=0,"",#REF!)</f>
        <v>#REF!</v>
      </c>
      <c r="G771" s="105">
        <f>'27'!Q731</f>
        <v>0</v>
      </c>
      <c r="H771" s="161">
        <f>'27'!R731</f>
        <v>0</v>
      </c>
      <c r="I771" s="161">
        <f>'27'!S731</f>
        <v>0</v>
      </c>
      <c r="J771" s="161"/>
      <c r="K771" s="106">
        <f>'27'!T731</f>
        <v>0</v>
      </c>
      <c r="L771" s="85" t="e">
        <f>#REF!</f>
        <v>#REF!</v>
      </c>
      <c r="M771" s="105" t="e">
        <f>#REF!</f>
        <v>#REF!</v>
      </c>
      <c r="N771" s="161"/>
      <c r="O771" s="106" t="e">
        <f>#REF!</f>
        <v>#REF!</v>
      </c>
      <c r="P771" s="107" t="e">
        <f>IF(#REF!=0,"",#REF!)</f>
        <v>#REF!</v>
      </c>
      <c r="Q771" s="111" t="e">
        <f>IF(#REF!=0,"",#REF!)</f>
        <v>#REF!</v>
      </c>
      <c r="R771" s="85" t="e">
        <f>IF(#REF!=0,"",#REF!)</f>
        <v>#REF!</v>
      </c>
      <c r="S771" s="85" t="e">
        <f>IF(#REF!=0,"",#REF!)</f>
        <v>#REF!</v>
      </c>
      <c r="T771" s="268"/>
      <c r="U771" s="268"/>
      <c r="V771" s="268"/>
    </row>
    <row r="772" ht="15" customHeight="1" spans="2:22">
      <c r="B772" s="6" t="e">
        <f t="shared" si="14"/>
        <v>#REF!</v>
      </c>
      <c r="C772" s="79" t="e">
        <f>#REF!</f>
        <v>#REF!</v>
      </c>
      <c r="D772" s="62" t="e">
        <f>IF(#REF!=0,"",#REF!)</f>
        <v>#REF!</v>
      </c>
      <c r="E772" s="81" t="e">
        <f>IF(#REF!=0,"",#REF!)</f>
        <v>#REF!</v>
      </c>
      <c r="F772" s="81" t="e">
        <f>IF(#REF!=0,"",#REF!)</f>
        <v>#REF!</v>
      </c>
      <c r="G772" s="100" t="e">
        <f>#REF!</f>
        <v>#REF!</v>
      </c>
      <c r="H772" s="159">
        <f>'27'!R732</f>
        <v>0</v>
      </c>
      <c r="I772" s="159">
        <f>'27'!S732</f>
        <v>0</v>
      </c>
      <c r="J772" s="159"/>
      <c r="K772" s="101">
        <f>'27'!T732</f>
        <v>0</v>
      </c>
      <c r="L772" s="81" t="e">
        <f>#REF!</f>
        <v>#REF!</v>
      </c>
      <c r="M772" s="100" t="e">
        <f>#REF!</f>
        <v>#REF!</v>
      </c>
      <c r="N772" s="159"/>
      <c r="O772" s="101" t="e">
        <f>#REF!</f>
        <v>#REF!</v>
      </c>
      <c r="P772" s="102" t="e">
        <f>IF(#REF!=0,"",#REF!)</f>
        <v>#REF!</v>
      </c>
      <c r="Q772" s="108" t="e">
        <f>IF(#REF!=0,"",#REF!)</f>
        <v>#REF!</v>
      </c>
      <c r="R772" s="81" t="e">
        <f>IF(#REF!=0,"",#REF!)</f>
        <v>#REF!</v>
      </c>
      <c r="S772" s="81" t="e">
        <f>IF(#REF!=0,"",#REF!)</f>
        <v>#REF!</v>
      </c>
      <c r="T772" s="268"/>
      <c r="U772" s="268"/>
      <c r="V772" s="268"/>
    </row>
    <row r="773" ht="15" customHeight="1" spans="2:22">
      <c r="B773" s="6" t="e">
        <f t="shared" si="14"/>
        <v>#REF!</v>
      </c>
      <c r="C773" s="31" t="e">
        <f>#REF!</f>
        <v>#REF!</v>
      </c>
      <c r="D773" s="32" t="e">
        <f>IF(#REF!=0,"",#REF!)</f>
        <v>#REF!</v>
      </c>
      <c r="E773" s="36" t="e">
        <f>IF(#REF!=0,"",#REF!)</f>
        <v>#REF!</v>
      </c>
      <c r="F773" s="36" t="e">
        <f>IF(#REF!=0,"",#REF!)</f>
        <v>#REF!</v>
      </c>
      <c r="G773" s="103">
        <f>'27'!Q733</f>
        <v>0</v>
      </c>
      <c r="H773" s="160">
        <f>'27'!R733</f>
        <v>0</v>
      </c>
      <c r="I773" s="160">
        <f>'27'!S733</f>
        <v>0</v>
      </c>
      <c r="J773" s="160"/>
      <c r="K773" s="104">
        <f>'27'!T733</f>
        <v>0</v>
      </c>
      <c r="L773" s="36" t="e">
        <f>#REF!</f>
        <v>#REF!</v>
      </c>
      <c r="M773" s="103" t="e">
        <f>#REF!</f>
        <v>#REF!</v>
      </c>
      <c r="N773" s="160"/>
      <c r="O773" s="104" t="e">
        <f>#REF!</f>
        <v>#REF!</v>
      </c>
      <c r="P773" s="52" t="e">
        <f>IF(#REF!=0,"",#REF!)</f>
        <v>#REF!</v>
      </c>
      <c r="Q773" s="109" t="e">
        <f>IF(#REF!=0,"",#REF!)</f>
        <v>#REF!</v>
      </c>
      <c r="R773" s="36" t="e">
        <f>IF(#REF!=0,"",#REF!)</f>
        <v>#REF!</v>
      </c>
      <c r="S773" s="36" t="e">
        <f>IF(#REF!=0,"",#REF!)</f>
        <v>#REF!</v>
      </c>
      <c r="T773" s="268"/>
      <c r="U773" s="268"/>
      <c r="V773" s="268"/>
    </row>
    <row r="774" ht="15" customHeight="1" spans="2:22">
      <c r="B774" s="6" t="e">
        <f t="shared" si="14"/>
        <v>#REF!</v>
      </c>
      <c r="C774" s="83" t="e">
        <f>#REF!</f>
        <v>#REF!</v>
      </c>
      <c r="D774" s="110" t="e">
        <f>IF(#REF!=0,"",#REF!)</f>
        <v>#REF!</v>
      </c>
      <c r="E774" s="85" t="e">
        <f>IF(#REF!=0,"",#REF!)</f>
        <v>#REF!</v>
      </c>
      <c r="F774" s="85" t="e">
        <f>IF(#REF!=0,"",#REF!)</f>
        <v>#REF!</v>
      </c>
      <c r="G774" s="105">
        <f>'27'!Q734</f>
        <v>0</v>
      </c>
      <c r="H774" s="161">
        <f>'27'!R734</f>
        <v>0</v>
      </c>
      <c r="I774" s="161">
        <f>'27'!S734</f>
        <v>0</v>
      </c>
      <c r="J774" s="161"/>
      <c r="K774" s="106">
        <f>'27'!T734</f>
        <v>0</v>
      </c>
      <c r="L774" s="85" t="e">
        <f>#REF!</f>
        <v>#REF!</v>
      </c>
      <c r="M774" s="105" t="e">
        <f>#REF!</f>
        <v>#REF!</v>
      </c>
      <c r="N774" s="161"/>
      <c r="O774" s="106" t="e">
        <f>#REF!</f>
        <v>#REF!</v>
      </c>
      <c r="P774" s="107" t="e">
        <f>IF(#REF!=0,"",#REF!)</f>
        <v>#REF!</v>
      </c>
      <c r="Q774" s="111" t="e">
        <f>IF(#REF!=0,"",#REF!)</f>
        <v>#REF!</v>
      </c>
      <c r="R774" s="85" t="e">
        <f>IF(#REF!=0,"",#REF!)</f>
        <v>#REF!</v>
      </c>
      <c r="S774" s="85" t="e">
        <f>IF(#REF!=0,"",#REF!)</f>
        <v>#REF!</v>
      </c>
      <c r="T774" s="268"/>
      <c r="U774" s="268"/>
      <c r="V774" s="268"/>
    </row>
    <row r="775" ht="15" customHeight="1" spans="2:22">
      <c r="B775" s="6" t="e">
        <f t="shared" si="14"/>
        <v>#REF!</v>
      </c>
      <c r="C775" s="79" t="e">
        <f>#REF!</f>
        <v>#REF!</v>
      </c>
      <c r="D775" s="62" t="e">
        <f>IF(#REF!=0,"",#REF!)</f>
        <v>#REF!</v>
      </c>
      <c r="E775" s="81" t="e">
        <f>IF(#REF!=0,"",#REF!)</f>
        <v>#REF!</v>
      </c>
      <c r="F775" s="81" t="e">
        <f>IF(#REF!=0,"",#REF!)</f>
        <v>#REF!</v>
      </c>
      <c r="G775" s="100" t="e">
        <f>#REF!</f>
        <v>#REF!</v>
      </c>
      <c r="H775" s="159">
        <f>'27'!R735</f>
        <v>0</v>
      </c>
      <c r="I775" s="159">
        <f>'27'!S735</f>
        <v>0</v>
      </c>
      <c r="J775" s="159"/>
      <c r="K775" s="101">
        <f>'27'!T735</f>
        <v>0</v>
      </c>
      <c r="L775" s="81" t="e">
        <f>#REF!</f>
        <v>#REF!</v>
      </c>
      <c r="M775" s="100" t="e">
        <f>#REF!</f>
        <v>#REF!</v>
      </c>
      <c r="N775" s="159"/>
      <c r="O775" s="101" t="e">
        <f>#REF!</f>
        <v>#REF!</v>
      </c>
      <c r="P775" s="102" t="e">
        <f>IF(#REF!=0,"",#REF!)</f>
        <v>#REF!</v>
      </c>
      <c r="Q775" s="108" t="e">
        <f>IF(#REF!=0,"",#REF!)</f>
        <v>#REF!</v>
      </c>
      <c r="R775" s="81" t="e">
        <f>IF(#REF!=0,"",#REF!)</f>
        <v>#REF!</v>
      </c>
      <c r="S775" s="81" t="e">
        <f>IF(#REF!=0,"",#REF!)</f>
        <v>#REF!</v>
      </c>
      <c r="T775" s="268"/>
      <c r="U775" s="268"/>
      <c r="V775" s="268"/>
    </row>
    <row r="776" ht="15" customHeight="1" spans="2:22">
      <c r="B776" s="6" t="e">
        <f t="shared" si="14"/>
        <v>#REF!</v>
      </c>
      <c r="C776" s="31" t="e">
        <f>#REF!</f>
        <v>#REF!</v>
      </c>
      <c r="D776" s="32" t="e">
        <f>IF(#REF!=0,"",#REF!)</f>
        <v>#REF!</v>
      </c>
      <c r="E776" s="36" t="e">
        <f>IF(#REF!=0,"",#REF!)</f>
        <v>#REF!</v>
      </c>
      <c r="F776" s="36" t="e">
        <f>IF(#REF!=0,"",#REF!)</f>
        <v>#REF!</v>
      </c>
      <c r="G776" s="103">
        <f>'27'!Q736</f>
        <v>0</v>
      </c>
      <c r="H776" s="160">
        <f>'27'!R736</f>
        <v>0</v>
      </c>
      <c r="I776" s="160">
        <f>'27'!S736</f>
        <v>0</v>
      </c>
      <c r="J776" s="160"/>
      <c r="K776" s="104">
        <f>'27'!T736</f>
        <v>0</v>
      </c>
      <c r="L776" s="36" t="e">
        <f>#REF!</f>
        <v>#REF!</v>
      </c>
      <c r="M776" s="103" t="e">
        <f>#REF!</f>
        <v>#REF!</v>
      </c>
      <c r="N776" s="160"/>
      <c r="O776" s="104" t="e">
        <f>#REF!</f>
        <v>#REF!</v>
      </c>
      <c r="P776" s="52" t="e">
        <f>IF(#REF!=0,"",#REF!)</f>
        <v>#REF!</v>
      </c>
      <c r="Q776" s="109" t="e">
        <f>IF(#REF!=0,"",#REF!)</f>
        <v>#REF!</v>
      </c>
      <c r="R776" s="36" t="e">
        <f>IF(#REF!=0,"",#REF!)</f>
        <v>#REF!</v>
      </c>
      <c r="S776" s="36" t="e">
        <f>IF(#REF!=0,"",#REF!)</f>
        <v>#REF!</v>
      </c>
      <c r="T776" s="268"/>
      <c r="U776" s="268"/>
      <c r="V776" s="268"/>
    </row>
    <row r="777" ht="15" customHeight="1" spans="2:22">
      <c r="B777" s="6" t="e">
        <f t="shared" si="14"/>
        <v>#REF!</v>
      </c>
      <c r="C777" s="83" t="e">
        <f>#REF!</f>
        <v>#REF!</v>
      </c>
      <c r="D777" s="110" t="e">
        <f>IF(#REF!=0,"",#REF!)</f>
        <v>#REF!</v>
      </c>
      <c r="E777" s="85" t="e">
        <f>IF(#REF!=0,"",#REF!)</f>
        <v>#REF!</v>
      </c>
      <c r="F777" s="85" t="e">
        <f>IF(#REF!=0,"",#REF!)</f>
        <v>#REF!</v>
      </c>
      <c r="G777" s="105">
        <f>'27'!Q737</f>
        <v>0</v>
      </c>
      <c r="H777" s="161">
        <f>'27'!R737</f>
        <v>0</v>
      </c>
      <c r="I777" s="161">
        <f>'27'!S737</f>
        <v>0</v>
      </c>
      <c r="J777" s="161"/>
      <c r="K777" s="106">
        <f>'27'!T737</f>
        <v>0</v>
      </c>
      <c r="L777" s="85" t="e">
        <f>#REF!</f>
        <v>#REF!</v>
      </c>
      <c r="M777" s="105" t="e">
        <f>#REF!</f>
        <v>#REF!</v>
      </c>
      <c r="N777" s="161"/>
      <c r="O777" s="106" t="e">
        <f>#REF!</f>
        <v>#REF!</v>
      </c>
      <c r="P777" s="107" t="e">
        <f>IF(#REF!=0,"",#REF!)</f>
        <v>#REF!</v>
      </c>
      <c r="Q777" s="111" t="e">
        <f>IF(#REF!=0,"",#REF!)</f>
        <v>#REF!</v>
      </c>
      <c r="R777" s="85" t="e">
        <f>IF(#REF!=0,"",#REF!)</f>
        <v>#REF!</v>
      </c>
      <c r="S777" s="85" t="e">
        <f>IF(#REF!=0,"",#REF!)</f>
        <v>#REF!</v>
      </c>
      <c r="T777" s="268"/>
      <c r="U777" s="268"/>
      <c r="V777" s="268"/>
    </row>
    <row r="778" ht="15" customHeight="1" spans="2:22">
      <c r="B778" s="6" t="e">
        <f t="shared" si="14"/>
        <v>#REF!</v>
      </c>
      <c r="C778" s="79" t="e">
        <f>#REF!</f>
        <v>#REF!</v>
      </c>
      <c r="D778" s="62" t="e">
        <f>IF(#REF!=0,"",#REF!)</f>
        <v>#REF!</v>
      </c>
      <c r="E778" s="81" t="e">
        <f>IF(#REF!=0,"",#REF!)</f>
        <v>#REF!</v>
      </c>
      <c r="F778" s="81" t="e">
        <f>IF(#REF!=0,"",#REF!)</f>
        <v>#REF!</v>
      </c>
      <c r="G778" s="100" t="e">
        <f>#REF!</f>
        <v>#REF!</v>
      </c>
      <c r="H778" s="159">
        <f>'27'!R738</f>
        <v>0</v>
      </c>
      <c r="I778" s="159">
        <f>'27'!S738</f>
        <v>0</v>
      </c>
      <c r="J778" s="159"/>
      <c r="K778" s="101">
        <f>'27'!T738</f>
        <v>0</v>
      </c>
      <c r="L778" s="81" t="e">
        <f>#REF!</f>
        <v>#REF!</v>
      </c>
      <c r="M778" s="100" t="e">
        <f>#REF!</f>
        <v>#REF!</v>
      </c>
      <c r="N778" s="159"/>
      <c r="O778" s="101" t="e">
        <f>#REF!</f>
        <v>#REF!</v>
      </c>
      <c r="P778" s="102" t="e">
        <f>IF(#REF!=0,"",#REF!)</f>
        <v>#REF!</v>
      </c>
      <c r="Q778" s="108" t="e">
        <f>IF(#REF!=0,"",#REF!)</f>
        <v>#REF!</v>
      </c>
      <c r="R778" s="81" t="e">
        <f>IF(#REF!=0,"",#REF!)</f>
        <v>#REF!</v>
      </c>
      <c r="S778" s="81" t="e">
        <f>IF(#REF!=0,"",#REF!)</f>
        <v>#REF!</v>
      </c>
      <c r="T778" s="268"/>
      <c r="U778" s="268"/>
      <c r="V778" s="268"/>
    </row>
    <row r="779" ht="15" customHeight="1" spans="2:22">
      <c r="B779" s="6" t="e">
        <f t="shared" si="14"/>
        <v>#REF!</v>
      </c>
      <c r="C779" s="31" t="e">
        <f>#REF!</f>
        <v>#REF!</v>
      </c>
      <c r="D779" s="32" t="e">
        <f>IF(#REF!=0,"",#REF!)</f>
        <v>#REF!</v>
      </c>
      <c r="E779" s="36" t="e">
        <f>IF(#REF!=0,"",#REF!)</f>
        <v>#REF!</v>
      </c>
      <c r="F779" s="36" t="e">
        <f>IF(#REF!=0,"",#REF!)</f>
        <v>#REF!</v>
      </c>
      <c r="G779" s="103">
        <f>'27'!Q739</f>
        <v>0</v>
      </c>
      <c r="H779" s="160">
        <f>'27'!R739</f>
        <v>0</v>
      </c>
      <c r="I779" s="160">
        <f>'27'!S739</f>
        <v>0</v>
      </c>
      <c r="J779" s="160"/>
      <c r="K779" s="104">
        <f>'27'!T739</f>
        <v>0</v>
      </c>
      <c r="L779" s="36" t="e">
        <f>#REF!</f>
        <v>#REF!</v>
      </c>
      <c r="M779" s="103" t="e">
        <f>#REF!</f>
        <v>#REF!</v>
      </c>
      <c r="N779" s="160"/>
      <c r="O779" s="104" t="e">
        <f>#REF!</f>
        <v>#REF!</v>
      </c>
      <c r="P779" s="52" t="e">
        <f>IF(#REF!=0,"",#REF!)</f>
        <v>#REF!</v>
      </c>
      <c r="Q779" s="109" t="e">
        <f>IF(#REF!=0,"",#REF!)</f>
        <v>#REF!</v>
      </c>
      <c r="R779" s="36" t="e">
        <f>IF(#REF!=0,"",#REF!)</f>
        <v>#REF!</v>
      </c>
      <c r="S779" s="36" t="e">
        <f>IF(#REF!=0,"",#REF!)</f>
        <v>#REF!</v>
      </c>
      <c r="T779" s="268"/>
      <c r="U779" s="268"/>
      <c r="V779" s="268"/>
    </row>
    <row r="780" ht="15" customHeight="1" spans="2:22">
      <c r="B780" s="6" t="e">
        <f t="shared" si="14"/>
        <v>#REF!</v>
      </c>
      <c r="C780" s="83" t="e">
        <f>#REF!</f>
        <v>#REF!</v>
      </c>
      <c r="D780" s="110" t="e">
        <f>IF(#REF!=0,"",#REF!)</f>
        <v>#REF!</v>
      </c>
      <c r="E780" s="85" t="e">
        <f>IF(#REF!=0,"",#REF!)</f>
        <v>#REF!</v>
      </c>
      <c r="F780" s="85" t="e">
        <f>IF(#REF!=0,"",#REF!)</f>
        <v>#REF!</v>
      </c>
      <c r="G780" s="105">
        <f>'27'!Q740</f>
        <v>0</v>
      </c>
      <c r="H780" s="161">
        <f>'27'!R740</f>
        <v>0</v>
      </c>
      <c r="I780" s="161">
        <f>'27'!S740</f>
        <v>0</v>
      </c>
      <c r="J780" s="161"/>
      <c r="K780" s="106">
        <f>'27'!T740</f>
        <v>0</v>
      </c>
      <c r="L780" s="85" t="e">
        <f>#REF!</f>
        <v>#REF!</v>
      </c>
      <c r="M780" s="105" t="e">
        <f>#REF!</f>
        <v>#REF!</v>
      </c>
      <c r="N780" s="161"/>
      <c r="O780" s="106" t="e">
        <f>#REF!</f>
        <v>#REF!</v>
      </c>
      <c r="P780" s="107" t="e">
        <f>IF(#REF!=0,"",#REF!)</f>
        <v>#REF!</v>
      </c>
      <c r="Q780" s="111" t="e">
        <f>IF(#REF!=0,"",#REF!)</f>
        <v>#REF!</v>
      </c>
      <c r="R780" s="85" t="e">
        <f>IF(#REF!=0,"",#REF!)</f>
        <v>#REF!</v>
      </c>
      <c r="S780" s="85" t="e">
        <f>IF(#REF!=0,"",#REF!)</f>
        <v>#REF!</v>
      </c>
      <c r="T780" s="268"/>
      <c r="U780" s="268"/>
      <c r="V780" s="268"/>
    </row>
    <row r="781" ht="15" customHeight="1" spans="2:22">
      <c r="B781" s="6" t="e">
        <f t="shared" si="14"/>
        <v>#REF!</v>
      </c>
      <c r="C781" s="79" t="e">
        <f>#REF!</f>
        <v>#REF!</v>
      </c>
      <c r="D781" s="62" t="e">
        <f>IF(#REF!=0,"",#REF!)</f>
        <v>#REF!</v>
      </c>
      <c r="E781" s="81" t="e">
        <f>IF(#REF!=0,"",#REF!)</f>
        <v>#REF!</v>
      </c>
      <c r="F781" s="81" t="e">
        <f>IF(#REF!=0,"",#REF!)</f>
        <v>#REF!</v>
      </c>
      <c r="G781" s="100" t="e">
        <f>#REF!</f>
        <v>#REF!</v>
      </c>
      <c r="H781" s="159">
        <f>'27'!R741</f>
        <v>0</v>
      </c>
      <c r="I781" s="159">
        <f>'27'!S741</f>
        <v>0</v>
      </c>
      <c r="J781" s="159"/>
      <c r="K781" s="101">
        <f>'27'!T741</f>
        <v>0</v>
      </c>
      <c r="L781" s="81" t="e">
        <f>#REF!</f>
        <v>#REF!</v>
      </c>
      <c r="M781" s="100" t="e">
        <f>#REF!</f>
        <v>#REF!</v>
      </c>
      <c r="N781" s="159"/>
      <c r="O781" s="101" t="e">
        <f>#REF!</f>
        <v>#REF!</v>
      </c>
      <c r="P781" s="102" t="e">
        <f>IF(#REF!=0,"",#REF!)</f>
        <v>#REF!</v>
      </c>
      <c r="Q781" s="108" t="e">
        <f>IF(#REF!=0,"",#REF!)</f>
        <v>#REF!</v>
      </c>
      <c r="R781" s="81" t="e">
        <f>IF(#REF!=0,"",#REF!)</f>
        <v>#REF!</v>
      </c>
      <c r="S781" s="81" t="e">
        <f>IF(#REF!=0,"",#REF!)</f>
        <v>#REF!</v>
      </c>
      <c r="T781" s="268"/>
      <c r="U781" s="268"/>
      <c r="V781" s="268"/>
    </row>
    <row r="782" ht="15" customHeight="1" spans="2:22">
      <c r="B782" s="6" t="e">
        <f t="shared" si="14"/>
        <v>#REF!</v>
      </c>
      <c r="C782" s="31" t="e">
        <f>#REF!</f>
        <v>#REF!</v>
      </c>
      <c r="D782" s="32" t="e">
        <f>IF(#REF!=0,"",#REF!)</f>
        <v>#REF!</v>
      </c>
      <c r="E782" s="36" t="e">
        <f>IF(#REF!=0,"",#REF!)</f>
        <v>#REF!</v>
      </c>
      <c r="F782" s="36" t="e">
        <f>IF(#REF!=0,"",#REF!)</f>
        <v>#REF!</v>
      </c>
      <c r="G782" s="103">
        <f>'27'!Q742</f>
        <v>0</v>
      </c>
      <c r="H782" s="160">
        <f>'27'!R742</f>
        <v>0</v>
      </c>
      <c r="I782" s="160">
        <f>'27'!S742</f>
        <v>0</v>
      </c>
      <c r="J782" s="160"/>
      <c r="K782" s="104">
        <f>'27'!T742</f>
        <v>0</v>
      </c>
      <c r="L782" s="36" t="e">
        <f>#REF!</f>
        <v>#REF!</v>
      </c>
      <c r="M782" s="103" t="e">
        <f>#REF!</f>
        <v>#REF!</v>
      </c>
      <c r="N782" s="160"/>
      <c r="O782" s="104" t="e">
        <f>#REF!</f>
        <v>#REF!</v>
      </c>
      <c r="P782" s="52" t="e">
        <f>IF(#REF!=0,"",#REF!)</f>
        <v>#REF!</v>
      </c>
      <c r="Q782" s="109" t="e">
        <f>IF(#REF!=0,"",#REF!)</f>
        <v>#REF!</v>
      </c>
      <c r="R782" s="36" t="e">
        <f>IF(#REF!=0,"",#REF!)</f>
        <v>#REF!</v>
      </c>
      <c r="S782" s="36" t="e">
        <f>IF(#REF!=0,"",#REF!)</f>
        <v>#REF!</v>
      </c>
      <c r="T782" s="268"/>
      <c r="U782" s="268"/>
      <c r="V782" s="268"/>
    </row>
    <row r="783" ht="15" customHeight="1" spans="2:22">
      <c r="B783" s="6" t="e">
        <f t="shared" si="14"/>
        <v>#REF!</v>
      </c>
      <c r="C783" s="83" t="e">
        <f>#REF!</f>
        <v>#REF!</v>
      </c>
      <c r="D783" s="110" t="e">
        <f>IF(#REF!=0,"",#REF!)</f>
        <v>#REF!</v>
      </c>
      <c r="E783" s="85" t="e">
        <f>IF(#REF!=0,"",#REF!)</f>
        <v>#REF!</v>
      </c>
      <c r="F783" s="85" t="e">
        <f>IF(#REF!=0,"",#REF!)</f>
        <v>#REF!</v>
      </c>
      <c r="G783" s="105">
        <f>'27'!Q743</f>
        <v>0</v>
      </c>
      <c r="H783" s="161">
        <f>'27'!R743</f>
        <v>0</v>
      </c>
      <c r="I783" s="161">
        <f>'27'!S743</f>
        <v>0</v>
      </c>
      <c r="J783" s="161"/>
      <c r="K783" s="106">
        <f>'27'!T743</f>
        <v>0</v>
      </c>
      <c r="L783" s="85" t="e">
        <f>#REF!</f>
        <v>#REF!</v>
      </c>
      <c r="M783" s="105" t="e">
        <f>#REF!</f>
        <v>#REF!</v>
      </c>
      <c r="N783" s="161"/>
      <c r="O783" s="106" t="e">
        <f>#REF!</f>
        <v>#REF!</v>
      </c>
      <c r="P783" s="107" t="e">
        <f>IF(#REF!=0,"",#REF!)</f>
        <v>#REF!</v>
      </c>
      <c r="Q783" s="111" t="e">
        <f>IF(#REF!=0,"",#REF!)</f>
        <v>#REF!</v>
      </c>
      <c r="R783" s="85" t="e">
        <f>IF(#REF!=0,"",#REF!)</f>
        <v>#REF!</v>
      </c>
      <c r="S783" s="85" t="e">
        <f>IF(#REF!=0,"",#REF!)</f>
        <v>#REF!</v>
      </c>
      <c r="T783" s="268"/>
      <c r="U783" s="268"/>
      <c r="V783" s="268"/>
    </row>
    <row r="784" ht="15" customHeight="1" spans="2:22">
      <c r="B784" s="6" t="e">
        <f t="shared" si="14"/>
        <v>#REF!</v>
      </c>
      <c r="C784" s="79" t="e">
        <f>#REF!</f>
        <v>#REF!</v>
      </c>
      <c r="D784" s="62" t="e">
        <f>IF(#REF!=0,"",#REF!)</f>
        <v>#REF!</v>
      </c>
      <c r="E784" s="81" t="e">
        <f>IF(#REF!=0,"",#REF!)</f>
        <v>#REF!</v>
      </c>
      <c r="F784" s="81" t="e">
        <f>IF(#REF!=0,"",#REF!)</f>
        <v>#REF!</v>
      </c>
      <c r="G784" s="100" t="e">
        <f>#REF!</f>
        <v>#REF!</v>
      </c>
      <c r="H784" s="159">
        <f>'27'!R744</f>
        <v>0</v>
      </c>
      <c r="I784" s="159">
        <f>'27'!S744</f>
        <v>0</v>
      </c>
      <c r="J784" s="159"/>
      <c r="K784" s="101">
        <f>'27'!T744</f>
        <v>0</v>
      </c>
      <c r="L784" s="81" t="e">
        <f>#REF!</f>
        <v>#REF!</v>
      </c>
      <c r="M784" s="100" t="e">
        <f>#REF!</f>
        <v>#REF!</v>
      </c>
      <c r="N784" s="159"/>
      <c r="O784" s="101" t="e">
        <f>#REF!</f>
        <v>#REF!</v>
      </c>
      <c r="P784" s="102" t="e">
        <f>IF(#REF!=0,"",#REF!)</f>
        <v>#REF!</v>
      </c>
      <c r="Q784" s="108" t="e">
        <f>IF(#REF!=0,"",#REF!)</f>
        <v>#REF!</v>
      </c>
      <c r="R784" s="81" t="e">
        <f>IF(#REF!=0,"",#REF!)</f>
        <v>#REF!</v>
      </c>
      <c r="S784" s="81" t="e">
        <f>IF(#REF!=0,"",#REF!)</f>
        <v>#REF!</v>
      </c>
      <c r="T784" s="268"/>
      <c r="U784" s="268"/>
      <c r="V784" s="268"/>
    </row>
    <row r="785" ht="15" customHeight="1" spans="2:22">
      <c r="B785" s="6" t="e">
        <f t="shared" si="14"/>
        <v>#REF!</v>
      </c>
      <c r="C785" s="31" t="e">
        <f>#REF!</f>
        <v>#REF!</v>
      </c>
      <c r="D785" s="32" t="e">
        <f>IF(#REF!=0,"",#REF!)</f>
        <v>#REF!</v>
      </c>
      <c r="E785" s="36" t="e">
        <f>IF(#REF!=0,"",#REF!)</f>
        <v>#REF!</v>
      </c>
      <c r="F785" s="36" t="e">
        <f>IF(#REF!=0,"",#REF!)</f>
        <v>#REF!</v>
      </c>
      <c r="G785" s="103">
        <f>'27'!Q745</f>
        <v>0</v>
      </c>
      <c r="H785" s="160">
        <f>'27'!R745</f>
        <v>0</v>
      </c>
      <c r="I785" s="160">
        <f>'27'!S745</f>
        <v>0</v>
      </c>
      <c r="J785" s="160"/>
      <c r="K785" s="104">
        <f>'27'!T745</f>
        <v>0</v>
      </c>
      <c r="L785" s="36" t="e">
        <f>#REF!</f>
        <v>#REF!</v>
      </c>
      <c r="M785" s="103" t="e">
        <f>#REF!</f>
        <v>#REF!</v>
      </c>
      <c r="N785" s="160"/>
      <c r="O785" s="104" t="e">
        <f>#REF!</f>
        <v>#REF!</v>
      </c>
      <c r="P785" s="52" t="e">
        <f>IF(#REF!=0,"",#REF!)</f>
        <v>#REF!</v>
      </c>
      <c r="Q785" s="109" t="e">
        <f>IF(#REF!=0,"",#REF!)</f>
        <v>#REF!</v>
      </c>
      <c r="R785" s="36" t="e">
        <f>IF(#REF!=0,"",#REF!)</f>
        <v>#REF!</v>
      </c>
      <c r="S785" s="36" t="e">
        <f>IF(#REF!=0,"",#REF!)</f>
        <v>#REF!</v>
      </c>
      <c r="T785" s="268" t="s">
        <v>6591</v>
      </c>
      <c r="U785" s="268"/>
      <c r="V785" s="268"/>
    </row>
    <row r="786" ht="15" customHeight="1" spans="2:22">
      <c r="B786" s="6" t="e">
        <f t="shared" si="14"/>
        <v>#REF!</v>
      </c>
      <c r="C786" s="83" t="e">
        <f>#REF!</f>
        <v>#REF!</v>
      </c>
      <c r="D786" s="110" t="e">
        <f>IF(#REF!=0,"",#REF!)</f>
        <v>#REF!</v>
      </c>
      <c r="E786" s="85" t="e">
        <f>IF(#REF!=0,"",#REF!)</f>
        <v>#REF!</v>
      </c>
      <c r="F786" s="85" t="e">
        <f>IF(#REF!=0,"",#REF!)</f>
        <v>#REF!</v>
      </c>
      <c r="G786" s="105">
        <f>'27'!Q746</f>
        <v>0</v>
      </c>
      <c r="H786" s="161">
        <f>'27'!R746</f>
        <v>0</v>
      </c>
      <c r="I786" s="161">
        <f>'27'!S746</f>
        <v>0</v>
      </c>
      <c r="J786" s="161"/>
      <c r="K786" s="106">
        <f>'27'!T746</f>
        <v>0</v>
      </c>
      <c r="L786" s="85" t="e">
        <f>#REF!</f>
        <v>#REF!</v>
      </c>
      <c r="M786" s="105" t="e">
        <f>#REF!</f>
        <v>#REF!</v>
      </c>
      <c r="N786" s="161"/>
      <c r="O786" s="106" t="e">
        <f>#REF!</f>
        <v>#REF!</v>
      </c>
      <c r="P786" s="107" t="e">
        <f>IF(#REF!=0,"",#REF!)</f>
        <v>#REF!</v>
      </c>
      <c r="Q786" s="111" t="e">
        <f>IF(#REF!=0,"",#REF!)</f>
        <v>#REF!</v>
      </c>
      <c r="R786" s="85" t="e">
        <f>IF(#REF!=0,"",#REF!)</f>
        <v>#REF!</v>
      </c>
      <c r="S786" s="85" t="e">
        <f>IF(#REF!=0,"",#REF!)</f>
        <v>#REF!</v>
      </c>
      <c r="T786" s="268"/>
      <c r="U786" s="268"/>
      <c r="V786" s="268"/>
    </row>
    <row r="787" ht="15" customHeight="1" spans="2:22">
      <c r="B787" s="6" t="e">
        <f t="shared" si="14"/>
        <v>#REF!</v>
      </c>
      <c r="C787" s="79" t="e">
        <f>#REF!</f>
        <v>#REF!</v>
      </c>
      <c r="D787" s="62" t="e">
        <f>IF(#REF!=0,"",#REF!)</f>
        <v>#REF!</v>
      </c>
      <c r="E787" s="81" t="e">
        <f>IF(#REF!=0,"",#REF!)</f>
        <v>#REF!</v>
      </c>
      <c r="F787" s="81" t="e">
        <f>IF(#REF!=0,"",#REF!)</f>
        <v>#REF!</v>
      </c>
      <c r="G787" s="100" t="e">
        <f>#REF!</f>
        <v>#REF!</v>
      </c>
      <c r="H787" s="159">
        <f>'27'!R747</f>
        <v>0</v>
      </c>
      <c r="I787" s="159">
        <f>'27'!S747</f>
        <v>0</v>
      </c>
      <c r="J787" s="159"/>
      <c r="K787" s="101">
        <f>'27'!T747</f>
        <v>0</v>
      </c>
      <c r="L787" s="81" t="e">
        <f>#REF!</f>
        <v>#REF!</v>
      </c>
      <c r="M787" s="100" t="e">
        <f>#REF!</f>
        <v>#REF!</v>
      </c>
      <c r="N787" s="159"/>
      <c r="O787" s="101" t="e">
        <f>#REF!</f>
        <v>#REF!</v>
      </c>
      <c r="P787" s="102" t="e">
        <f>IF(#REF!=0,"",#REF!)</f>
        <v>#REF!</v>
      </c>
      <c r="Q787" s="108" t="e">
        <f>IF(#REF!=0,"",#REF!)</f>
        <v>#REF!</v>
      </c>
      <c r="R787" s="81" t="e">
        <f>IF(#REF!=0,"",#REF!)</f>
        <v>#REF!</v>
      </c>
      <c r="S787" s="81" t="e">
        <f>IF(#REF!=0,"",#REF!)</f>
        <v>#REF!</v>
      </c>
      <c r="T787" s="268"/>
      <c r="U787" s="268"/>
      <c r="V787" s="268"/>
    </row>
    <row r="788" ht="15" customHeight="1" spans="2:22">
      <c r="B788" s="6" t="e">
        <f t="shared" si="14"/>
        <v>#REF!</v>
      </c>
      <c r="C788" s="31" t="e">
        <f>#REF!</f>
        <v>#REF!</v>
      </c>
      <c r="D788" s="32" t="e">
        <f>IF(#REF!=0,"",#REF!)</f>
        <v>#REF!</v>
      </c>
      <c r="E788" s="36" t="e">
        <f>IF(#REF!=0,"",#REF!)</f>
        <v>#REF!</v>
      </c>
      <c r="F788" s="36" t="e">
        <f>IF(#REF!=0,"",#REF!)</f>
        <v>#REF!</v>
      </c>
      <c r="G788" s="103">
        <f>'27'!Q748</f>
        <v>0</v>
      </c>
      <c r="H788" s="160">
        <f>'27'!R748</f>
        <v>0</v>
      </c>
      <c r="I788" s="160">
        <f>'27'!S748</f>
        <v>0</v>
      </c>
      <c r="J788" s="160"/>
      <c r="K788" s="104">
        <f>'27'!T748</f>
        <v>0</v>
      </c>
      <c r="L788" s="36" t="e">
        <f>#REF!</f>
        <v>#REF!</v>
      </c>
      <c r="M788" s="103" t="e">
        <f>#REF!</f>
        <v>#REF!</v>
      </c>
      <c r="N788" s="160"/>
      <c r="O788" s="104" t="e">
        <f>#REF!</f>
        <v>#REF!</v>
      </c>
      <c r="P788" s="52" t="e">
        <f>IF(#REF!=0,"",#REF!)</f>
        <v>#REF!</v>
      </c>
      <c r="Q788" s="109" t="e">
        <f>IF(#REF!=0,"",#REF!)</f>
        <v>#REF!</v>
      </c>
      <c r="R788" s="36" t="e">
        <f>IF(#REF!=0,"",#REF!)</f>
        <v>#REF!</v>
      </c>
      <c r="S788" s="36" t="e">
        <f>IF(#REF!=0,"",#REF!)</f>
        <v>#REF!</v>
      </c>
      <c r="T788" s="268"/>
      <c r="U788" s="268"/>
      <c r="V788" s="268"/>
    </row>
    <row r="789" ht="15" customHeight="1" spans="2:22">
      <c r="B789" s="6" t="e">
        <f t="shared" si="14"/>
        <v>#REF!</v>
      </c>
      <c r="C789" s="83" t="e">
        <f>#REF!</f>
        <v>#REF!</v>
      </c>
      <c r="D789" s="110" t="e">
        <f>IF(#REF!=0,"",#REF!)</f>
        <v>#REF!</v>
      </c>
      <c r="E789" s="85" t="e">
        <f>IF(#REF!=0,"",#REF!)</f>
        <v>#REF!</v>
      </c>
      <c r="F789" s="85" t="e">
        <f>IF(#REF!=0,"",#REF!)</f>
        <v>#REF!</v>
      </c>
      <c r="G789" s="105">
        <f>'27'!Q749</f>
        <v>0</v>
      </c>
      <c r="H789" s="161">
        <f>'27'!R749</f>
        <v>0</v>
      </c>
      <c r="I789" s="161">
        <f>'27'!S749</f>
        <v>0</v>
      </c>
      <c r="J789" s="161"/>
      <c r="K789" s="106">
        <f>'27'!T749</f>
        <v>0</v>
      </c>
      <c r="L789" s="85" t="e">
        <f>#REF!</f>
        <v>#REF!</v>
      </c>
      <c r="M789" s="105" t="e">
        <f>#REF!</f>
        <v>#REF!</v>
      </c>
      <c r="N789" s="161"/>
      <c r="O789" s="106" t="e">
        <f>#REF!</f>
        <v>#REF!</v>
      </c>
      <c r="P789" s="107" t="e">
        <f>IF(#REF!=0,"",#REF!)</f>
        <v>#REF!</v>
      </c>
      <c r="Q789" s="111" t="e">
        <f>IF(#REF!=0,"",#REF!)</f>
        <v>#REF!</v>
      </c>
      <c r="R789" s="85" t="e">
        <f>IF(#REF!=0,"",#REF!)</f>
        <v>#REF!</v>
      </c>
      <c r="S789" s="85" t="e">
        <f>IF(#REF!=0,"",#REF!)</f>
        <v>#REF!</v>
      </c>
      <c r="T789" s="268"/>
      <c r="U789" s="268"/>
      <c r="V789" s="268"/>
    </row>
    <row r="790" ht="15" customHeight="1" spans="2:22">
      <c r="B790" s="6" t="e">
        <f t="shared" si="14"/>
        <v>#REF!</v>
      </c>
      <c r="C790" s="79" t="e">
        <f>#REF!</f>
        <v>#REF!</v>
      </c>
      <c r="D790" s="62" t="e">
        <f>IF(#REF!=0,"",#REF!)</f>
        <v>#REF!</v>
      </c>
      <c r="E790" s="81" t="e">
        <f>IF(#REF!=0,"",#REF!)</f>
        <v>#REF!</v>
      </c>
      <c r="F790" s="81" t="e">
        <f>IF(#REF!=0,"",#REF!)</f>
        <v>#REF!</v>
      </c>
      <c r="G790" s="100" t="e">
        <f>#REF!</f>
        <v>#REF!</v>
      </c>
      <c r="H790" s="159">
        <f>'27'!R750</f>
        <v>0</v>
      </c>
      <c r="I790" s="159">
        <f>'27'!S750</f>
        <v>0</v>
      </c>
      <c r="J790" s="159"/>
      <c r="K790" s="101">
        <f>'27'!T750</f>
        <v>0</v>
      </c>
      <c r="L790" s="81" t="e">
        <f>#REF!</f>
        <v>#REF!</v>
      </c>
      <c r="M790" s="100" t="e">
        <f>#REF!</f>
        <v>#REF!</v>
      </c>
      <c r="N790" s="159"/>
      <c r="O790" s="101" t="e">
        <f>#REF!</f>
        <v>#REF!</v>
      </c>
      <c r="P790" s="102" t="e">
        <f>IF(#REF!=0,"",#REF!)</f>
        <v>#REF!</v>
      </c>
      <c r="Q790" s="108" t="e">
        <f>IF(#REF!=0,"",#REF!)</f>
        <v>#REF!</v>
      </c>
      <c r="R790" s="81" t="e">
        <f>IF(#REF!=0,"",#REF!)</f>
        <v>#REF!</v>
      </c>
      <c r="S790" s="81" t="e">
        <f>IF(#REF!=0,"",#REF!)</f>
        <v>#REF!</v>
      </c>
      <c r="T790" s="268"/>
      <c r="U790" s="268"/>
      <c r="V790" s="268"/>
    </row>
    <row r="791" ht="15" customHeight="1" spans="2:22">
      <c r="B791" s="6" t="e">
        <f t="shared" si="14"/>
        <v>#REF!</v>
      </c>
      <c r="C791" s="31" t="e">
        <f>#REF!</f>
        <v>#REF!</v>
      </c>
      <c r="D791" s="32" t="e">
        <f>IF(#REF!=0,"",#REF!)</f>
        <v>#REF!</v>
      </c>
      <c r="E791" s="36" t="e">
        <f>IF(#REF!=0,"",#REF!)</f>
        <v>#REF!</v>
      </c>
      <c r="F791" s="36" t="e">
        <f>IF(#REF!=0,"",#REF!)</f>
        <v>#REF!</v>
      </c>
      <c r="G791" s="103">
        <f>'27'!Q751</f>
        <v>0</v>
      </c>
      <c r="H791" s="160">
        <f>'27'!R751</f>
        <v>0</v>
      </c>
      <c r="I791" s="160">
        <f>'27'!S751</f>
        <v>0</v>
      </c>
      <c r="J791" s="160"/>
      <c r="K791" s="104">
        <f>'27'!T751</f>
        <v>0</v>
      </c>
      <c r="L791" s="36" t="e">
        <f>#REF!</f>
        <v>#REF!</v>
      </c>
      <c r="M791" s="103" t="e">
        <f>#REF!</f>
        <v>#REF!</v>
      </c>
      <c r="N791" s="160"/>
      <c r="O791" s="104" t="e">
        <f>#REF!</f>
        <v>#REF!</v>
      </c>
      <c r="P791" s="52" t="e">
        <f>IF(#REF!=0,"",#REF!)</f>
        <v>#REF!</v>
      </c>
      <c r="Q791" s="109" t="e">
        <f>IF(#REF!=0,"",#REF!)</f>
        <v>#REF!</v>
      </c>
      <c r="R791" s="36" t="e">
        <f>IF(#REF!=0,"",#REF!)</f>
        <v>#REF!</v>
      </c>
      <c r="S791" s="36" t="e">
        <f>IF(#REF!=0,"",#REF!)</f>
        <v>#REF!</v>
      </c>
      <c r="T791" s="268"/>
      <c r="U791" s="268"/>
      <c r="V791" s="268"/>
    </row>
    <row r="792" ht="15" customHeight="1" spans="2:22">
      <c r="B792" s="6" t="e">
        <f t="shared" si="14"/>
        <v>#REF!</v>
      </c>
      <c r="C792" s="83" t="e">
        <f>#REF!</f>
        <v>#REF!</v>
      </c>
      <c r="D792" s="110" t="e">
        <f>IF(#REF!=0,"",#REF!)</f>
        <v>#REF!</v>
      </c>
      <c r="E792" s="85" t="e">
        <f>IF(#REF!=0,"",#REF!)</f>
        <v>#REF!</v>
      </c>
      <c r="F792" s="85" t="e">
        <f>IF(#REF!=0,"",#REF!)</f>
        <v>#REF!</v>
      </c>
      <c r="G792" s="105">
        <f>'27'!Q752</f>
        <v>0</v>
      </c>
      <c r="H792" s="161">
        <f>'27'!R752</f>
        <v>0</v>
      </c>
      <c r="I792" s="161">
        <f>'27'!S752</f>
        <v>0</v>
      </c>
      <c r="J792" s="161"/>
      <c r="K792" s="106">
        <f>'27'!T752</f>
        <v>0</v>
      </c>
      <c r="L792" s="85" t="e">
        <f>#REF!</f>
        <v>#REF!</v>
      </c>
      <c r="M792" s="105" t="e">
        <f>#REF!</f>
        <v>#REF!</v>
      </c>
      <c r="N792" s="161"/>
      <c r="O792" s="106" t="e">
        <f>#REF!</f>
        <v>#REF!</v>
      </c>
      <c r="P792" s="107" t="e">
        <f>IF(#REF!=0,"",#REF!)</f>
        <v>#REF!</v>
      </c>
      <c r="Q792" s="111" t="e">
        <f>IF(#REF!=0,"",#REF!)</f>
        <v>#REF!</v>
      </c>
      <c r="R792" s="85" t="e">
        <f>IF(#REF!=0,"",#REF!)</f>
        <v>#REF!</v>
      </c>
      <c r="S792" s="85" t="e">
        <f>IF(#REF!=0,"",#REF!)</f>
        <v>#REF!</v>
      </c>
      <c r="T792" s="268"/>
      <c r="U792" s="268"/>
      <c r="V792" s="268"/>
    </row>
    <row r="793" ht="15" customHeight="1" spans="2:22">
      <c r="B793" s="6" t="e">
        <f t="shared" si="14"/>
        <v>#REF!</v>
      </c>
      <c r="C793" s="79" t="e">
        <f>#REF!</f>
        <v>#REF!</v>
      </c>
      <c r="D793" s="62" t="e">
        <f>IF(#REF!=0,"",#REF!)</f>
        <v>#REF!</v>
      </c>
      <c r="E793" s="81" t="e">
        <f>IF(#REF!=0,"",#REF!)</f>
        <v>#REF!</v>
      </c>
      <c r="F793" s="81" t="e">
        <f>IF(#REF!=0,"",#REF!)</f>
        <v>#REF!</v>
      </c>
      <c r="G793" s="100" t="e">
        <f>#REF!</f>
        <v>#REF!</v>
      </c>
      <c r="H793" s="159">
        <f>'27'!R753</f>
        <v>0</v>
      </c>
      <c r="I793" s="159">
        <f>'27'!S753</f>
        <v>0</v>
      </c>
      <c r="J793" s="159"/>
      <c r="K793" s="101">
        <f>'27'!T753</f>
        <v>0</v>
      </c>
      <c r="L793" s="81" t="e">
        <f>#REF!</f>
        <v>#REF!</v>
      </c>
      <c r="M793" s="100" t="e">
        <f>#REF!</f>
        <v>#REF!</v>
      </c>
      <c r="N793" s="159"/>
      <c r="O793" s="101" t="e">
        <f>#REF!</f>
        <v>#REF!</v>
      </c>
      <c r="P793" s="102" t="e">
        <f>IF(#REF!=0,"",#REF!)</f>
        <v>#REF!</v>
      </c>
      <c r="Q793" s="108" t="e">
        <f>IF(#REF!=0,"",#REF!)</f>
        <v>#REF!</v>
      </c>
      <c r="R793" s="81" t="e">
        <f>IF(#REF!=0,"",#REF!)</f>
        <v>#REF!</v>
      </c>
      <c r="S793" s="81" t="e">
        <f>IF(#REF!=0,"",#REF!)</f>
        <v>#REF!</v>
      </c>
      <c r="T793" s="268"/>
      <c r="U793" s="268"/>
      <c r="V793" s="268"/>
    </row>
    <row r="794" ht="15" customHeight="1" spans="2:22">
      <c r="B794" s="6" t="e">
        <f t="shared" si="14"/>
        <v>#REF!</v>
      </c>
      <c r="C794" s="31" t="e">
        <f>#REF!</f>
        <v>#REF!</v>
      </c>
      <c r="D794" s="32" t="e">
        <f>IF(#REF!=0,"",#REF!)</f>
        <v>#REF!</v>
      </c>
      <c r="E794" s="36" t="e">
        <f>IF(#REF!=0,"",#REF!)</f>
        <v>#REF!</v>
      </c>
      <c r="F794" s="36" t="e">
        <f>IF(#REF!=0,"",#REF!)</f>
        <v>#REF!</v>
      </c>
      <c r="G794" s="103">
        <f>'27'!Q754</f>
        <v>0</v>
      </c>
      <c r="H794" s="160">
        <f>'27'!R754</f>
        <v>0</v>
      </c>
      <c r="I794" s="160">
        <f>'27'!S754</f>
        <v>0</v>
      </c>
      <c r="J794" s="160"/>
      <c r="K794" s="104">
        <f>'27'!T754</f>
        <v>0</v>
      </c>
      <c r="L794" s="36" t="e">
        <f>#REF!</f>
        <v>#REF!</v>
      </c>
      <c r="M794" s="103" t="e">
        <f>#REF!</f>
        <v>#REF!</v>
      </c>
      <c r="N794" s="160"/>
      <c r="O794" s="104" t="e">
        <f>#REF!</f>
        <v>#REF!</v>
      </c>
      <c r="P794" s="52" t="e">
        <f>IF(#REF!=0,"",#REF!)</f>
        <v>#REF!</v>
      </c>
      <c r="Q794" s="109" t="e">
        <f>IF(#REF!=0,"",#REF!)</f>
        <v>#REF!</v>
      </c>
      <c r="R794" s="36" t="e">
        <f>IF(#REF!=0,"",#REF!)</f>
        <v>#REF!</v>
      </c>
      <c r="S794" s="36" t="e">
        <f>IF(#REF!=0,"",#REF!)</f>
        <v>#REF!</v>
      </c>
      <c r="T794" s="268"/>
      <c r="U794" s="268"/>
      <c r="V794" s="268"/>
    </row>
    <row r="795" ht="15" customHeight="1" spans="2:22">
      <c r="B795" s="6" t="e">
        <f t="shared" si="14"/>
        <v>#REF!</v>
      </c>
      <c r="C795" s="83" t="e">
        <f>#REF!</f>
        <v>#REF!</v>
      </c>
      <c r="D795" s="110" t="e">
        <f>IF(#REF!=0,"",#REF!)</f>
        <v>#REF!</v>
      </c>
      <c r="E795" s="85" t="e">
        <f>IF(#REF!=0,"",#REF!)</f>
        <v>#REF!</v>
      </c>
      <c r="F795" s="85" t="e">
        <f>IF(#REF!=0,"",#REF!)</f>
        <v>#REF!</v>
      </c>
      <c r="G795" s="105">
        <f>'27'!Q755</f>
        <v>0</v>
      </c>
      <c r="H795" s="161">
        <f>'27'!R755</f>
        <v>0</v>
      </c>
      <c r="I795" s="161">
        <f>'27'!S755</f>
        <v>0</v>
      </c>
      <c r="J795" s="161"/>
      <c r="K795" s="106">
        <f>'27'!T755</f>
        <v>0</v>
      </c>
      <c r="L795" s="85" t="e">
        <f>#REF!</f>
        <v>#REF!</v>
      </c>
      <c r="M795" s="105" t="e">
        <f>#REF!</f>
        <v>#REF!</v>
      </c>
      <c r="N795" s="161"/>
      <c r="O795" s="106" t="e">
        <f>#REF!</f>
        <v>#REF!</v>
      </c>
      <c r="P795" s="107" t="e">
        <f>IF(#REF!=0,"",#REF!)</f>
        <v>#REF!</v>
      </c>
      <c r="Q795" s="111" t="e">
        <f>IF(#REF!=0,"",#REF!)</f>
        <v>#REF!</v>
      </c>
      <c r="R795" s="85" t="e">
        <f>IF(#REF!=0,"",#REF!)</f>
        <v>#REF!</v>
      </c>
      <c r="S795" s="85" t="e">
        <f>IF(#REF!=0,"",#REF!)</f>
        <v>#REF!</v>
      </c>
      <c r="T795" s="268"/>
      <c r="U795" s="268"/>
      <c r="V795" s="268"/>
    </row>
    <row r="796" ht="15" customHeight="1" spans="2:22">
      <c r="B796" s="6" t="e">
        <f t="shared" si="14"/>
        <v>#REF!</v>
      </c>
      <c r="C796" s="79" t="e">
        <f>#REF!</f>
        <v>#REF!</v>
      </c>
      <c r="D796" s="62" t="e">
        <f>IF(#REF!=0,"",#REF!)</f>
        <v>#REF!</v>
      </c>
      <c r="E796" s="81" t="e">
        <f>IF(#REF!=0,"",#REF!)</f>
        <v>#REF!</v>
      </c>
      <c r="F796" s="81" t="e">
        <f>IF(#REF!=0,"",#REF!)</f>
        <v>#REF!</v>
      </c>
      <c r="G796" s="100" t="e">
        <f>#REF!</f>
        <v>#REF!</v>
      </c>
      <c r="H796" s="159">
        <f>'27'!R756</f>
        <v>0</v>
      </c>
      <c r="I796" s="159">
        <f>'27'!S756</f>
        <v>0</v>
      </c>
      <c r="J796" s="159"/>
      <c r="K796" s="101">
        <f>'27'!T756</f>
        <v>0</v>
      </c>
      <c r="L796" s="81" t="e">
        <f>#REF!</f>
        <v>#REF!</v>
      </c>
      <c r="M796" s="100" t="e">
        <f>#REF!</f>
        <v>#REF!</v>
      </c>
      <c r="N796" s="159"/>
      <c r="O796" s="101" t="e">
        <f>#REF!</f>
        <v>#REF!</v>
      </c>
      <c r="P796" s="102" t="e">
        <f>IF(#REF!=0,"",#REF!)</f>
        <v>#REF!</v>
      </c>
      <c r="Q796" s="108" t="e">
        <f>IF(#REF!=0,"",#REF!)</f>
        <v>#REF!</v>
      </c>
      <c r="R796" s="81" t="e">
        <f>IF(#REF!=0,"",#REF!)</f>
        <v>#REF!</v>
      </c>
      <c r="S796" s="81" t="e">
        <f>IF(#REF!=0,"",#REF!)</f>
        <v>#REF!</v>
      </c>
      <c r="T796" s="268"/>
      <c r="U796" s="268"/>
      <c r="V796" s="268"/>
    </row>
    <row r="797" ht="15" customHeight="1" spans="2:22">
      <c r="B797" s="6" t="e">
        <f t="shared" si="14"/>
        <v>#REF!</v>
      </c>
      <c r="C797" s="31" t="e">
        <f>#REF!</f>
        <v>#REF!</v>
      </c>
      <c r="D797" s="32" t="e">
        <f>IF(#REF!=0,"",#REF!)</f>
        <v>#REF!</v>
      </c>
      <c r="E797" s="36" t="e">
        <f>IF(#REF!=0,"",#REF!)</f>
        <v>#REF!</v>
      </c>
      <c r="F797" s="36" t="e">
        <f>IF(#REF!=0,"",#REF!)</f>
        <v>#REF!</v>
      </c>
      <c r="G797" s="103">
        <f>'27'!Q757</f>
        <v>0</v>
      </c>
      <c r="H797" s="160">
        <f>'27'!R757</f>
        <v>0</v>
      </c>
      <c r="I797" s="160">
        <f>'27'!S757</f>
        <v>0</v>
      </c>
      <c r="J797" s="160"/>
      <c r="K797" s="104">
        <f>'27'!T757</f>
        <v>0</v>
      </c>
      <c r="L797" s="36" t="e">
        <f>#REF!</f>
        <v>#REF!</v>
      </c>
      <c r="M797" s="103" t="e">
        <f>#REF!</f>
        <v>#REF!</v>
      </c>
      <c r="N797" s="160"/>
      <c r="O797" s="104" t="e">
        <f>#REF!</f>
        <v>#REF!</v>
      </c>
      <c r="P797" s="52" t="e">
        <f>IF(#REF!=0,"",#REF!)</f>
        <v>#REF!</v>
      </c>
      <c r="Q797" s="109" t="e">
        <f>IF(#REF!=0,"",#REF!)</f>
        <v>#REF!</v>
      </c>
      <c r="R797" s="36" t="e">
        <f>IF(#REF!=0,"",#REF!)</f>
        <v>#REF!</v>
      </c>
      <c r="S797" s="36" t="e">
        <f>IF(#REF!=0,"",#REF!)</f>
        <v>#REF!</v>
      </c>
      <c r="T797" s="268"/>
      <c r="U797" s="268"/>
      <c r="V797" s="268"/>
    </row>
    <row r="798" ht="15" customHeight="1" spans="2:22">
      <c r="B798" s="6" t="e">
        <f t="shared" si="14"/>
        <v>#REF!</v>
      </c>
      <c r="C798" s="83" t="e">
        <f>#REF!</f>
        <v>#REF!</v>
      </c>
      <c r="D798" s="110" t="e">
        <f>IF(#REF!=0,"",#REF!)</f>
        <v>#REF!</v>
      </c>
      <c r="E798" s="85" t="e">
        <f>IF(#REF!=0,"",#REF!)</f>
        <v>#REF!</v>
      </c>
      <c r="F798" s="85" t="e">
        <f>IF(#REF!=0,"",#REF!)</f>
        <v>#REF!</v>
      </c>
      <c r="G798" s="105">
        <f>'27'!Q758</f>
        <v>0</v>
      </c>
      <c r="H798" s="161">
        <f>'27'!R758</f>
        <v>0</v>
      </c>
      <c r="I798" s="161">
        <f>'27'!S758</f>
        <v>0</v>
      </c>
      <c r="J798" s="161"/>
      <c r="K798" s="106">
        <f>'27'!T758</f>
        <v>0</v>
      </c>
      <c r="L798" s="85" t="e">
        <f>#REF!</f>
        <v>#REF!</v>
      </c>
      <c r="M798" s="105" t="e">
        <f>#REF!</f>
        <v>#REF!</v>
      </c>
      <c r="N798" s="161"/>
      <c r="O798" s="106" t="e">
        <f>#REF!</f>
        <v>#REF!</v>
      </c>
      <c r="P798" s="107" t="e">
        <f>IF(#REF!=0,"",#REF!)</f>
        <v>#REF!</v>
      </c>
      <c r="Q798" s="111" t="e">
        <f>IF(#REF!=0,"",#REF!)</f>
        <v>#REF!</v>
      </c>
      <c r="R798" s="85" t="e">
        <f>IF(#REF!=0,"",#REF!)</f>
        <v>#REF!</v>
      </c>
      <c r="S798" s="85" t="e">
        <f>IF(#REF!=0,"",#REF!)</f>
        <v>#REF!</v>
      </c>
      <c r="T798" s="268"/>
      <c r="U798" s="268"/>
      <c r="V798" s="268"/>
    </row>
    <row r="799" ht="15" customHeight="1" spans="2:22">
      <c r="B799" s="6" t="e">
        <f t="shared" si="14"/>
        <v>#REF!</v>
      </c>
      <c r="C799" s="79" t="e">
        <f>#REF!</f>
        <v>#REF!</v>
      </c>
      <c r="D799" s="62" t="e">
        <f>IF(#REF!=0,"",#REF!)</f>
        <v>#REF!</v>
      </c>
      <c r="E799" s="81" t="e">
        <f>IF(#REF!=0,"",#REF!)</f>
        <v>#REF!</v>
      </c>
      <c r="F799" s="81" t="e">
        <f>IF(#REF!=0,"",#REF!)</f>
        <v>#REF!</v>
      </c>
      <c r="G799" s="100" t="e">
        <f>#REF!</f>
        <v>#REF!</v>
      </c>
      <c r="H799" s="159">
        <f>'27'!R759</f>
        <v>0</v>
      </c>
      <c r="I799" s="159">
        <f>'27'!S759</f>
        <v>0</v>
      </c>
      <c r="J799" s="159"/>
      <c r="K799" s="101">
        <f>'27'!T759</f>
        <v>0</v>
      </c>
      <c r="L799" s="81" t="e">
        <f>#REF!</f>
        <v>#REF!</v>
      </c>
      <c r="M799" s="100" t="e">
        <f>#REF!</f>
        <v>#REF!</v>
      </c>
      <c r="N799" s="159"/>
      <c r="O799" s="101" t="e">
        <f>#REF!</f>
        <v>#REF!</v>
      </c>
      <c r="P799" s="102" t="e">
        <f>IF(#REF!=0,"",#REF!)</f>
        <v>#REF!</v>
      </c>
      <c r="Q799" s="108" t="e">
        <f>IF(#REF!=0,"",#REF!)</f>
        <v>#REF!</v>
      </c>
      <c r="R799" s="81" t="e">
        <f>IF(#REF!=0,"",#REF!)</f>
        <v>#REF!</v>
      </c>
      <c r="S799" s="81" t="e">
        <f>IF(#REF!=0,"",#REF!)</f>
        <v>#REF!</v>
      </c>
      <c r="T799" s="268"/>
      <c r="U799" s="268"/>
      <c r="V799" s="268"/>
    </row>
    <row r="800" ht="15" customHeight="1" spans="2:22">
      <c r="B800" s="6" t="e">
        <f t="shared" si="14"/>
        <v>#REF!</v>
      </c>
      <c r="C800" s="31" t="e">
        <f>#REF!</f>
        <v>#REF!</v>
      </c>
      <c r="D800" s="32" t="e">
        <f>IF(#REF!=0,"",#REF!)</f>
        <v>#REF!</v>
      </c>
      <c r="E800" s="36" t="e">
        <f>IF(#REF!=0,"",#REF!)</f>
        <v>#REF!</v>
      </c>
      <c r="F800" s="36" t="e">
        <f>IF(#REF!=0,"",#REF!)</f>
        <v>#REF!</v>
      </c>
      <c r="G800" s="103">
        <f>'27'!Q760</f>
        <v>0</v>
      </c>
      <c r="H800" s="160">
        <f>'27'!R760</f>
        <v>0</v>
      </c>
      <c r="I800" s="160">
        <f>'27'!S760</f>
        <v>0</v>
      </c>
      <c r="J800" s="160"/>
      <c r="K800" s="104">
        <f>'27'!T760</f>
        <v>0</v>
      </c>
      <c r="L800" s="36" t="e">
        <f>#REF!</f>
        <v>#REF!</v>
      </c>
      <c r="M800" s="103" t="e">
        <f>#REF!</f>
        <v>#REF!</v>
      </c>
      <c r="N800" s="160"/>
      <c r="O800" s="104" t="e">
        <f>#REF!</f>
        <v>#REF!</v>
      </c>
      <c r="P800" s="52" t="e">
        <f>IF(#REF!=0,"",#REF!)</f>
        <v>#REF!</v>
      </c>
      <c r="Q800" s="109" t="e">
        <f>IF(#REF!=0,"",#REF!)</f>
        <v>#REF!</v>
      </c>
      <c r="R800" s="36" t="e">
        <f>IF(#REF!=0,"",#REF!)</f>
        <v>#REF!</v>
      </c>
      <c r="S800" s="36" t="e">
        <f>IF(#REF!=0,"",#REF!)</f>
        <v>#REF!</v>
      </c>
      <c r="T800" s="268"/>
      <c r="U800" s="268"/>
      <c r="V800" s="268"/>
    </row>
    <row r="801" ht="15" customHeight="1" spans="2:22">
      <c r="B801" s="6" t="e">
        <f t="shared" si="14"/>
        <v>#REF!</v>
      </c>
      <c r="C801" s="83" t="e">
        <f>#REF!</f>
        <v>#REF!</v>
      </c>
      <c r="D801" s="110" t="e">
        <f>IF(#REF!=0,"",#REF!)</f>
        <v>#REF!</v>
      </c>
      <c r="E801" s="85" t="e">
        <f>IF(#REF!=0,"",#REF!)</f>
        <v>#REF!</v>
      </c>
      <c r="F801" s="85" t="e">
        <f>IF(#REF!=0,"",#REF!)</f>
        <v>#REF!</v>
      </c>
      <c r="G801" s="105">
        <f>'27'!Q761</f>
        <v>0</v>
      </c>
      <c r="H801" s="161">
        <f>'27'!R761</f>
        <v>0</v>
      </c>
      <c r="I801" s="161">
        <f>'27'!S761</f>
        <v>0</v>
      </c>
      <c r="J801" s="161"/>
      <c r="K801" s="106">
        <f>'27'!T761</f>
        <v>0</v>
      </c>
      <c r="L801" s="85" t="e">
        <f>#REF!</f>
        <v>#REF!</v>
      </c>
      <c r="M801" s="105" t="e">
        <f>#REF!</f>
        <v>#REF!</v>
      </c>
      <c r="N801" s="161"/>
      <c r="O801" s="106" t="e">
        <f>#REF!</f>
        <v>#REF!</v>
      </c>
      <c r="P801" s="107" t="e">
        <f>IF(#REF!=0,"",#REF!)</f>
        <v>#REF!</v>
      </c>
      <c r="Q801" s="111" t="e">
        <f>IF(#REF!=0,"",#REF!)</f>
        <v>#REF!</v>
      </c>
      <c r="R801" s="85" t="e">
        <f>IF(#REF!=0,"",#REF!)</f>
        <v>#REF!</v>
      </c>
      <c r="S801" s="85" t="e">
        <f>IF(#REF!=0,"",#REF!)</f>
        <v>#REF!</v>
      </c>
      <c r="T801" s="268"/>
      <c r="U801" s="268"/>
      <c r="V801" s="268"/>
    </row>
    <row r="802" ht="15" customHeight="1" spans="2:22">
      <c r="B802" s="6" t="e">
        <f t="shared" si="14"/>
        <v>#REF!</v>
      </c>
      <c r="C802" s="79" t="e">
        <f>#REF!</f>
        <v>#REF!</v>
      </c>
      <c r="D802" s="62" t="e">
        <f>IF(#REF!=0,"",#REF!)</f>
        <v>#REF!</v>
      </c>
      <c r="E802" s="81" t="e">
        <f>IF(#REF!=0,"",#REF!)</f>
        <v>#REF!</v>
      </c>
      <c r="F802" s="81" t="e">
        <f>IF(#REF!=0,"",#REF!)</f>
        <v>#REF!</v>
      </c>
      <c r="G802" s="100" t="e">
        <f>#REF!</f>
        <v>#REF!</v>
      </c>
      <c r="H802" s="159">
        <f>'27'!R762</f>
        <v>0</v>
      </c>
      <c r="I802" s="159">
        <f>'27'!S762</f>
        <v>0</v>
      </c>
      <c r="J802" s="159"/>
      <c r="K802" s="101">
        <f>'27'!T762</f>
        <v>0</v>
      </c>
      <c r="L802" s="81" t="e">
        <f>#REF!</f>
        <v>#REF!</v>
      </c>
      <c r="M802" s="100" t="e">
        <f>#REF!</f>
        <v>#REF!</v>
      </c>
      <c r="N802" s="159"/>
      <c r="O802" s="101" t="e">
        <f>#REF!</f>
        <v>#REF!</v>
      </c>
      <c r="P802" s="102" t="e">
        <f>IF(#REF!=0,"",#REF!)</f>
        <v>#REF!</v>
      </c>
      <c r="Q802" s="108" t="e">
        <f>IF(#REF!=0,"",#REF!)</f>
        <v>#REF!</v>
      </c>
      <c r="R802" s="81" t="e">
        <f>IF(#REF!=0,"",#REF!)</f>
        <v>#REF!</v>
      </c>
      <c r="S802" s="81" t="e">
        <f>IF(#REF!=0,"",#REF!)</f>
        <v>#REF!</v>
      </c>
      <c r="T802" s="268" t="s">
        <v>6592</v>
      </c>
      <c r="U802" s="268"/>
      <c r="V802" s="268"/>
    </row>
    <row r="803" ht="15" customHeight="1" spans="2:22">
      <c r="B803" s="6" t="e">
        <f t="shared" si="14"/>
        <v>#REF!</v>
      </c>
      <c r="C803" s="31" t="e">
        <f>#REF!</f>
        <v>#REF!</v>
      </c>
      <c r="D803" s="32" t="e">
        <f>IF(#REF!=0,"",#REF!)</f>
        <v>#REF!</v>
      </c>
      <c r="E803" s="36" t="e">
        <f>IF(#REF!=0,"",#REF!)</f>
        <v>#REF!</v>
      </c>
      <c r="F803" s="36" t="e">
        <f>IF(#REF!=0,"",#REF!)</f>
        <v>#REF!</v>
      </c>
      <c r="G803" s="103">
        <f>'27'!Q763</f>
        <v>0</v>
      </c>
      <c r="H803" s="160">
        <f>'27'!R763</f>
        <v>0</v>
      </c>
      <c r="I803" s="160">
        <f>'27'!S763</f>
        <v>0</v>
      </c>
      <c r="J803" s="160"/>
      <c r="K803" s="104">
        <f>'27'!T763</f>
        <v>0</v>
      </c>
      <c r="L803" s="36" t="e">
        <f>#REF!</f>
        <v>#REF!</v>
      </c>
      <c r="M803" s="103" t="e">
        <f>#REF!</f>
        <v>#REF!</v>
      </c>
      <c r="N803" s="160"/>
      <c r="O803" s="104" t="e">
        <f>#REF!</f>
        <v>#REF!</v>
      </c>
      <c r="P803" s="52" t="e">
        <f>IF(#REF!=0,"",#REF!)</f>
        <v>#REF!</v>
      </c>
      <c r="Q803" s="109" t="e">
        <f>IF(#REF!=0,"",#REF!)</f>
        <v>#REF!</v>
      </c>
      <c r="R803" s="36" t="e">
        <f>IF(#REF!=0,"",#REF!)</f>
        <v>#REF!</v>
      </c>
      <c r="S803" s="36" t="e">
        <f>IF(#REF!=0,"",#REF!)</f>
        <v>#REF!</v>
      </c>
      <c r="T803" s="268"/>
      <c r="U803" s="268"/>
      <c r="V803" s="268"/>
    </row>
    <row r="804" ht="15" customHeight="1" spans="2:22">
      <c r="B804" s="6" t="e">
        <f t="shared" si="14"/>
        <v>#REF!</v>
      </c>
      <c r="C804" s="83" t="e">
        <f>#REF!</f>
        <v>#REF!</v>
      </c>
      <c r="D804" s="110" t="e">
        <f>IF(#REF!=0,"",#REF!)</f>
        <v>#REF!</v>
      </c>
      <c r="E804" s="85" t="e">
        <f>IF(#REF!=0,"",#REF!)</f>
        <v>#REF!</v>
      </c>
      <c r="F804" s="85" t="e">
        <f>IF(#REF!=0,"",#REF!)</f>
        <v>#REF!</v>
      </c>
      <c r="G804" s="105">
        <f>'27'!Q764</f>
        <v>0</v>
      </c>
      <c r="H804" s="161">
        <f>'27'!R764</f>
        <v>0</v>
      </c>
      <c r="I804" s="161">
        <f>'27'!S764</f>
        <v>0</v>
      </c>
      <c r="J804" s="161"/>
      <c r="K804" s="106">
        <f>'27'!T764</f>
        <v>0</v>
      </c>
      <c r="L804" s="85" t="e">
        <f>#REF!</f>
        <v>#REF!</v>
      </c>
      <c r="M804" s="105" t="e">
        <f>#REF!</f>
        <v>#REF!</v>
      </c>
      <c r="N804" s="161"/>
      <c r="O804" s="106" t="e">
        <f>#REF!</f>
        <v>#REF!</v>
      </c>
      <c r="P804" s="107" t="e">
        <f>IF(#REF!=0,"",#REF!)</f>
        <v>#REF!</v>
      </c>
      <c r="Q804" s="111" t="e">
        <f>IF(#REF!=0,"",#REF!)</f>
        <v>#REF!</v>
      </c>
      <c r="R804" s="85" t="e">
        <f>IF(#REF!=0,"",#REF!)</f>
        <v>#REF!</v>
      </c>
      <c r="S804" s="85" t="e">
        <f>IF(#REF!=0,"",#REF!)</f>
        <v>#REF!</v>
      </c>
      <c r="T804" s="268"/>
      <c r="U804" s="268"/>
      <c r="V804" s="268"/>
    </row>
    <row r="805" ht="15" customHeight="1" spans="2:22">
      <c r="B805" s="6" t="e">
        <f t="shared" si="14"/>
        <v>#REF!</v>
      </c>
      <c r="C805" s="79" t="e">
        <f>#REF!</f>
        <v>#REF!</v>
      </c>
      <c r="D805" s="62" t="e">
        <f>IF(#REF!=0,"",#REF!)</f>
        <v>#REF!</v>
      </c>
      <c r="E805" s="81" t="e">
        <f>IF(#REF!=0,"",#REF!)</f>
        <v>#REF!</v>
      </c>
      <c r="F805" s="81" t="e">
        <f>IF(#REF!=0,"",#REF!)</f>
        <v>#REF!</v>
      </c>
      <c r="G805" s="100" t="e">
        <f>#REF!</f>
        <v>#REF!</v>
      </c>
      <c r="H805" s="159">
        <f>'27'!R765</f>
        <v>0</v>
      </c>
      <c r="I805" s="159">
        <f>'27'!S765</f>
        <v>0</v>
      </c>
      <c r="J805" s="159"/>
      <c r="K805" s="101">
        <f>'27'!T765</f>
        <v>0</v>
      </c>
      <c r="L805" s="81" t="e">
        <f>#REF!</f>
        <v>#REF!</v>
      </c>
      <c r="M805" s="100" t="e">
        <f>#REF!</f>
        <v>#REF!</v>
      </c>
      <c r="N805" s="159"/>
      <c r="O805" s="101" t="e">
        <f>#REF!</f>
        <v>#REF!</v>
      </c>
      <c r="P805" s="102" t="e">
        <f>IF(#REF!=0,"",#REF!)</f>
        <v>#REF!</v>
      </c>
      <c r="Q805" s="108" t="e">
        <f>IF(#REF!=0,"",#REF!)</f>
        <v>#REF!</v>
      </c>
      <c r="R805" s="81" t="e">
        <f>IF(#REF!=0,"",#REF!)</f>
        <v>#REF!</v>
      </c>
      <c r="S805" s="81" t="e">
        <f>IF(#REF!=0,"",#REF!)</f>
        <v>#REF!</v>
      </c>
      <c r="T805" s="268"/>
      <c r="U805" s="268"/>
      <c r="V805" s="268"/>
    </row>
    <row r="806" ht="15" customHeight="1" spans="2:22">
      <c r="B806" s="6" t="e">
        <f t="shared" si="14"/>
        <v>#REF!</v>
      </c>
      <c r="C806" s="31" t="e">
        <f>#REF!</f>
        <v>#REF!</v>
      </c>
      <c r="D806" s="32" t="e">
        <f>IF(#REF!=0,"",#REF!)</f>
        <v>#REF!</v>
      </c>
      <c r="E806" s="36" t="e">
        <f>IF(#REF!=0,"",#REF!)</f>
        <v>#REF!</v>
      </c>
      <c r="F806" s="36" t="e">
        <f>IF(#REF!=0,"",#REF!)</f>
        <v>#REF!</v>
      </c>
      <c r="G806" s="103">
        <f>'27'!Q766</f>
        <v>0</v>
      </c>
      <c r="H806" s="160">
        <f>'27'!R766</f>
        <v>0</v>
      </c>
      <c r="I806" s="160">
        <f>'27'!S766</f>
        <v>0</v>
      </c>
      <c r="J806" s="160"/>
      <c r="K806" s="104">
        <f>'27'!T766</f>
        <v>0</v>
      </c>
      <c r="L806" s="36" t="e">
        <f>#REF!</f>
        <v>#REF!</v>
      </c>
      <c r="M806" s="103" t="e">
        <f>#REF!</f>
        <v>#REF!</v>
      </c>
      <c r="N806" s="160"/>
      <c r="O806" s="104" t="e">
        <f>#REF!</f>
        <v>#REF!</v>
      </c>
      <c r="P806" s="52" t="e">
        <f>IF(#REF!=0,"",#REF!)</f>
        <v>#REF!</v>
      </c>
      <c r="Q806" s="109" t="e">
        <f>IF(#REF!=0,"",#REF!)</f>
        <v>#REF!</v>
      </c>
      <c r="R806" s="36" t="e">
        <f>IF(#REF!=0,"",#REF!)</f>
        <v>#REF!</v>
      </c>
      <c r="S806" s="36" t="e">
        <f>IF(#REF!=0,"",#REF!)</f>
        <v>#REF!</v>
      </c>
      <c r="T806" s="268"/>
      <c r="U806" s="268"/>
      <c r="V806" s="268"/>
    </row>
    <row r="807" ht="15" customHeight="1" spans="2:22">
      <c r="B807" s="6" t="e">
        <f t="shared" si="14"/>
        <v>#REF!</v>
      </c>
      <c r="C807" s="83" t="e">
        <f>#REF!</f>
        <v>#REF!</v>
      </c>
      <c r="D807" s="110" t="e">
        <f>IF(#REF!=0,"",#REF!)</f>
        <v>#REF!</v>
      </c>
      <c r="E807" s="85" t="e">
        <f>IF(#REF!=0,"",#REF!)</f>
        <v>#REF!</v>
      </c>
      <c r="F807" s="85" t="e">
        <f>IF(#REF!=0,"",#REF!)</f>
        <v>#REF!</v>
      </c>
      <c r="G807" s="105">
        <f>'27'!Q767</f>
        <v>0</v>
      </c>
      <c r="H807" s="161">
        <f>'27'!R767</f>
        <v>0</v>
      </c>
      <c r="I807" s="161">
        <f>'27'!S767</f>
        <v>0</v>
      </c>
      <c r="J807" s="161"/>
      <c r="K807" s="106">
        <f>'27'!T767</f>
        <v>0</v>
      </c>
      <c r="L807" s="85" t="e">
        <f>#REF!</f>
        <v>#REF!</v>
      </c>
      <c r="M807" s="105" t="e">
        <f>#REF!</f>
        <v>#REF!</v>
      </c>
      <c r="N807" s="161"/>
      <c r="O807" s="106" t="e">
        <f>#REF!</f>
        <v>#REF!</v>
      </c>
      <c r="P807" s="107" t="e">
        <f>IF(#REF!=0,"",#REF!)</f>
        <v>#REF!</v>
      </c>
      <c r="Q807" s="111" t="e">
        <f>IF(#REF!=0,"",#REF!)</f>
        <v>#REF!</v>
      </c>
      <c r="R807" s="85" t="e">
        <f>IF(#REF!=0,"",#REF!)</f>
        <v>#REF!</v>
      </c>
      <c r="S807" s="85" t="e">
        <f>IF(#REF!=0,"",#REF!)</f>
        <v>#REF!</v>
      </c>
      <c r="T807" s="268"/>
      <c r="U807" s="268"/>
      <c r="V807" s="268"/>
    </row>
    <row r="808" ht="15" customHeight="1" spans="2:22">
      <c r="B808" s="6" t="e">
        <f t="shared" ref="B808:B871" si="15">COUNTA(C808)-IF(C808=0,1)+B807</f>
        <v>#REF!</v>
      </c>
      <c r="C808" s="79" t="e">
        <f>#REF!</f>
        <v>#REF!</v>
      </c>
      <c r="D808" s="62" t="e">
        <f>IF(#REF!=0,"",#REF!)</f>
        <v>#REF!</v>
      </c>
      <c r="E808" s="81" t="e">
        <f>IF(#REF!=0,"",#REF!)</f>
        <v>#REF!</v>
      </c>
      <c r="F808" s="81" t="e">
        <f>IF(#REF!=0,"",#REF!)</f>
        <v>#REF!</v>
      </c>
      <c r="G808" s="100" t="e">
        <f>#REF!</f>
        <v>#REF!</v>
      </c>
      <c r="H808" s="159">
        <f>'27'!R768</f>
        <v>0</v>
      </c>
      <c r="I808" s="159">
        <f>'27'!S768</f>
        <v>0</v>
      </c>
      <c r="J808" s="159"/>
      <c r="K808" s="101">
        <f>'27'!T768</f>
        <v>0</v>
      </c>
      <c r="L808" s="81" t="e">
        <f>#REF!</f>
        <v>#REF!</v>
      </c>
      <c r="M808" s="100" t="e">
        <f>#REF!</f>
        <v>#REF!</v>
      </c>
      <c r="N808" s="159"/>
      <c r="O808" s="101" t="e">
        <f>#REF!</f>
        <v>#REF!</v>
      </c>
      <c r="P808" s="102" t="e">
        <f>IF(#REF!=0,"",#REF!)</f>
        <v>#REF!</v>
      </c>
      <c r="Q808" s="108" t="e">
        <f>IF(#REF!=0,"",#REF!)</f>
        <v>#REF!</v>
      </c>
      <c r="R808" s="81" t="e">
        <f>IF(#REF!=0,"",#REF!)</f>
        <v>#REF!</v>
      </c>
      <c r="S808" s="81" t="e">
        <f>IF(#REF!=0,"",#REF!)</f>
        <v>#REF!</v>
      </c>
      <c r="T808" s="268"/>
      <c r="U808" s="268"/>
      <c r="V808" s="268"/>
    </row>
    <row r="809" ht="15" customHeight="1" spans="2:22">
      <c r="B809" s="6" t="e">
        <f t="shared" si="15"/>
        <v>#REF!</v>
      </c>
      <c r="C809" s="31" t="e">
        <f>#REF!</f>
        <v>#REF!</v>
      </c>
      <c r="D809" s="32" t="e">
        <f>IF(#REF!=0,"",#REF!)</f>
        <v>#REF!</v>
      </c>
      <c r="E809" s="36" t="e">
        <f>IF(#REF!=0,"",#REF!)</f>
        <v>#REF!</v>
      </c>
      <c r="F809" s="36" t="e">
        <f>IF(#REF!=0,"",#REF!)</f>
        <v>#REF!</v>
      </c>
      <c r="G809" s="103">
        <f>'27'!Q769</f>
        <v>0</v>
      </c>
      <c r="H809" s="160">
        <f>'27'!R769</f>
        <v>0</v>
      </c>
      <c r="I809" s="160">
        <f>'27'!S769</f>
        <v>0</v>
      </c>
      <c r="J809" s="160"/>
      <c r="K809" s="104">
        <f>'27'!T769</f>
        <v>0</v>
      </c>
      <c r="L809" s="36" t="e">
        <f>#REF!</f>
        <v>#REF!</v>
      </c>
      <c r="M809" s="103" t="e">
        <f>#REF!</f>
        <v>#REF!</v>
      </c>
      <c r="N809" s="160"/>
      <c r="O809" s="104" t="e">
        <f>#REF!</f>
        <v>#REF!</v>
      </c>
      <c r="P809" s="52" t="e">
        <f>IF(#REF!=0,"",#REF!)</f>
        <v>#REF!</v>
      </c>
      <c r="Q809" s="109" t="e">
        <f>IF(#REF!=0,"",#REF!)</f>
        <v>#REF!</v>
      </c>
      <c r="R809" s="36" t="e">
        <f>IF(#REF!=0,"",#REF!)</f>
        <v>#REF!</v>
      </c>
      <c r="S809" s="36" t="e">
        <f>IF(#REF!=0,"",#REF!)</f>
        <v>#REF!</v>
      </c>
      <c r="T809" s="268"/>
      <c r="U809" s="268"/>
      <c r="V809" s="268"/>
    </row>
    <row r="810" ht="15" customHeight="1" spans="2:22">
      <c r="B810" s="6" t="e">
        <f t="shared" si="15"/>
        <v>#REF!</v>
      </c>
      <c r="C810" s="83" t="e">
        <f>#REF!</f>
        <v>#REF!</v>
      </c>
      <c r="D810" s="110" t="e">
        <f>IF(#REF!=0,"",#REF!)</f>
        <v>#REF!</v>
      </c>
      <c r="E810" s="85" t="e">
        <f>IF(#REF!=0,"",#REF!)</f>
        <v>#REF!</v>
      </c>
      <c r="F810" s="85" t="e">
        <f>IF(#REF!=0,"",#REF!)</f>
        <v>#REF!</v>
      </c>
      <c r="G810" s="105">
        <f>'27'!Q770</f>
        <v>0</v>
      </c>
      <c r="H810" s="161">
        <f>'27'!R770</f>
        <v>0</v>
      </c>
      <c r="I810" s="161">
        <f>'27'!S770</f>
        <v>0</v>
      </c>
      <c r="J810" s="161"/>
      <c r="K810" s="106">
        <f>'27'!T770</f>
        <v>0</v>
      </c>
      <c r="L810" s="85" t="e">
        <f>#REF!</f>
        <v>#REF!</v>
      </c>
      <c r="M810" s="105" t="e">
        <f>#REF!</f>
        <v>#REF!</v>
      </c>
      <c r="N810" s="161"/>
      <c r="O810" s="106" t="e">
        <f>#REF!</f>
        <v>#REF!</v>
      </c>
      <c r="P810" s="107" t="e">
        <f>IF(#REF!=0,"",#REF!)</f>
        <v>#REF!</v>
      </c>
      <c r="Q810" s="111" t="e">
        <f>IF(#REF!=0,"",#REF!)</f>
        <v>#REF!</v>
      </c>
      <c r="R810" s="85" t="e">
        <f>IF(#REF!=0,"",#REF!)</f>
        <v>#REF!</v>
      </c>
      <c r="S810" s="85" t="e">
        <f>IF(#REF!=0,"",#REF!)</f>
        <v>#REF!</v>
      </c>
      <c r="T810" s="268"/>
      <c r="U810" s="268"/>
      <c r="V810" s="268"/>
    </row>
    <row r="811" ht="15" customHeight="1" spans="2:22">
      <c r="B811" s="6" t="e">
        <f t="shared" si="15"/>
        <v>#REF!</v>
      </c>
      <c r="C811" s="79" t="e">
        <f>#REF!</f>
        <v>#REF!</v>
      </c>
      <c r="D811" s="62" t="e">
        <f>IF(#REF!=0,"",#REF!)</f>
        <v>#REF!</v>
      </c>
      <c r="E811" s="81" t="e">
        <f>IF(#REF!=0,"",#REF!)</f>
        <v>#REF!</v>
      </c>
      <c r="F811" s="81" t="e">
        <f>IF(#REF!=0,"",#REF!)</f>
        <v>#REF!</v>
      </c>
      <c r="G811" s="100" t="e">
        <f>#REF!</f>
        <v>#REF!</v>
      </c>
      <c r="H811" s="159">
        <f>'27'!R771</f>
        <v>0</v>
      </c>
      <c r="I811" s="159">
        <f>'27'!S771</f>
        <v>0</v>
      </c>
      <c r="J811" s="159"/>
      <c r="K811" s="101">
        <f>'27'!T771</f>
        <v>0</v>
      </c>
      <c r="L811" s="81" t="e">
        <f>#REF!</f>
        <v>#REF!</v>
      </c>
      <c r="M811" s="100" t="e">
        <f>#REF!</f>
        <v>#REF!</v>
      </c>
      <c r="N811" s="159"/>
      <c r="O811" s="101" t="e">
        <f>#REF!</f>
        <v>#REF!</v>
      </c>
      <c r="P811" s="102" t="e">
        <f>IF(#REF!=0,"",#REF!)</f>
        <v>#REF!</v>
      </c>
      <c r="Q811" s="108" t="e">
        <f>IF(#REF!=0,"",#REF!)</f>
        <v>#REF!</v>
      </c>
      <c r="R811" s="81" t="e">
        <f>IF(#REF!=0,"",#REF!)</f>
        <v>#REF!</v>
      </c>
      <c r="S811" s="81" t="e">
        <f>IF(#REF!=0,"",#REF!)</f>
        <v>#REF!</v>
      </c>
      <c r="T811" s="268"/>
      <c r="U811" s="268"/>
      <c r="V811" s="268"/>
    </row>
    <row r="812" ht="15" customHeight="1" spans="2:22">
      <c r="B812" s="6" t="e">
        <f t="shared" si="15"/>
        <v>#REF!</v>
      </c>
      <c r="C812" s="31" t="e">
        <f>#REF!</f>
        <v>#REF!</v>
      </c>
      <c r="D812" s="32" t="e">
        <f>IF(#REF!=0,"",#REF!)</f>
        <v>#REF!</v>
      </c>
      <c r="E812" s="36" t="e">
        <f>IF(#REF!=0,"",#REF!)</f>
        <v>#REF!</v>
      </c>
      <c r="F812" s="36" t="e">
        <f>IF(#REF!=0,"",#REF!)</f>
        <v>#REF!</v>
      </c>
      <c r="G812" s="103">
        <f>'27'!Q772</f>
        <v>0</v>
      </c>
      <c r="H812" s="160">
        <f>'27'!R772</f>
        <v>0</v>
      </c>
      <c r="I812" s="160">
        <f>'27'!S772</f>
        <v>0</v>
      </c>
      <c r="J812" s="160"/>
      <c r="K812" s="104">
        <f>'27'!T772</f>
        <v>0</v>
      </c>
      <c r="L812" s="36" t="e">
        <f>#REF!</f>
        <v>#REF!</v>
      </c>
      <c r="M812" s="103" t="e">
        <f>#REF!</f>
        <v>#REF!</v>
      </c>
      <c r="N812" s="160"/>
      <c r="O812" s="104" t="e">
        <f>#REF!</f>
        <v>#REF!</v>
      </c>
      <c r="P812" s="52" t="e">
        <f>IF(#REF!=0,"",#REF!)</f>
        <v>#REF!</v>
      </c>
      <c r="Q812" s="109" t="e">
        <f>IF(#REF!=0,"",#REF!)</f>
        <v>#REF!</v>
      </c>
      <c r="R812" s="36" t="e">
        <f>IF(#REF!=0,"",#REF!)</f>
        <v>#REF!</v>
      </c>
      <c r="S812" s="36" t="e">
        <f>IF(#REF!=0,"",#REF!)</f>
        <v>#REF!</v>
      </c>
      <c r="T812" s="268"/>
      <c r="U812" s="268"/>
      <c r="V812" s="268"/>
    </row>
    <row r="813" ht="15" customHeight="1" spans="2:22">
      <c r="B813" s="6" t="e">
        <f t="shared" si="15"/>
        <v>#REF!</v>
      </c>
      <c r="C813" s="83" t="e">
        <f>#REF!</f>
        <v>#REF!</v>
      </c>
      <c r="D813" s="110" t="e">
        <f>IF(#REF!=0,"",#REF!)</f>
        <v>#REF!</v>
      </c>
      <c r="E813" s="85" t="e">
        <f>IF(#REF!=0,"",#REF!)</f>
        <v>#REF!</v>
      </c>
      <c r="F813" s="85" t="e">
        <f>IF(#REF!=0,"",#REF!)</f>
        <v>#REF!</v>
      </c>
      <c r="G813" s="105">
        <f>'27'!Q773</f>
        <v>0</v>
      </c>
      <c r="H813" s="161">
        <f>'27'!R773</f>
        <v>0</v>
      </c>
      <c r="I813" s="161">
        <f>'27'!S773</f>
        <v>0</v>
      </c>
      <c r="J813" s="161"/>
      <c r="K813" s="106">
        <f>'27'!T773</f>
        <v>0</v>
      </c>
      <c r="L813" s="85" t="e">
        <f>#REF!</f>
        <v>#REF!</v>
      </c>
      <c r="M813" s="105" t="e">
        <f>#REF!</f>
        <v>#REF!</v>
      </c>
      <c r="N813" s="161"/>
      <c r="O813" s="106" t="e">
        <f>#REF!</f>
        <v>#REF!</v>
      </c>
      <c r="P813" s="107" t="e">
        <f>IF(#REF!=0,"",#REF!)</f>
        <v>#REF!</v>
      </c>
      <c r="Q813" s="111" t="e">
        <f>IF(#REF!=0,"",#REF!)</f>
        <v>#REF!</v>
      </c>
      <c r="R813" s="85" t="e">
        <f>IF(#REF!=0,"",#REF!)</f>
        <v>#REF!</v>
      </c>
      <c r="S813" s="85" t="e">
        <f>IF(#REF!=0,"",#REF!)</f>
        <v>#REF!</v>
      </c>
      <c r="T813" s="268"/>
      <c r="U813" s="268"/>
      <c r="V813" s="268"/>
    </row>
    <row r="814" ht="15" customHeight="1" spans="2:22">
      <c r="B814" s="6" t="e">
        <f t="shared" si="15"/>
        <v>#REF!</v>
      </c>
      <c r="C814" s="79" t="e">
        <f>#REF!</f>
        <v>#REF!</v>
      </c>
      <c r="D814" s="62" t="e">
        <f>IF(#REF!=0,"",#REF!)</f>
        <v>#REF!</v>
      </c>
      <c r="E814" s="81" t="e">
        <f>IF(#REF!=0,"",#REF!)</f>
        <v>#REF!</v>
      </c>
      <c r="F814" s="81" t="e">
        <f>IF(#REF!=0,"",#REF!)</f>
        <v>#REF!</v>
      </c>
      <c r="G814" s="100" t="e">
        <f>#REF!</f>
        <v>#REF!</v>
      </c>
      <c r="H814" s="159">
        <f>'27'!R774</f>
        <v>0</v>
      </c>
      <c r="I814" s="159">
        <f>'27'!S774</f>
        <v>0</v>
      </c>
      <c r="J814" s="159"/>
      <c r="K814" s="101">
        <f>'27'!T774</f>
        <v>0</v>
      </c>
      <c r="L814" s="81" t="e">
        <f>#REF!</f>
        <v>#REF!</v>
      </c>
      <c r="M814" s="100" t="e">
        <f>#REF!</f>
        <v>#REF!</v>
      </c>
      <c r="N814" s="159"/>
      <c r="O814" s="101" t="e">
        <f>#REF!</f>
        <v>#REF!</v>
      </c>
      <c r="P814" s="102" t="e">
        <f>IF(#REF!=0,"",#REF!)</f>
        <v>#REF!</v>
      </c>
      <c r="Q814" s="108" t="e">
        <f>IF(#REF!=0,"",#REF!)</f>
        <v>#REF!</v>
      </c>
      <c r="R814" s="81" t="e">
        <f>IF(#REF!=0,"",#REF!)</f>
        <v>#REF!</v>
      </c>
      <c r="S814" s="81" t="e">
        <f>IF(#REF!=0,"",#REF!)</f>
        <v>#REF!</v>
      </c>
      <c r="T814" s="268"/>
      <c r="U814" s="268"/>
      <c r="V814" s="268"/>
    </row>
    <row r="815" ht="15" customHeight="1" spans="2:22">
      <c r="B815" s="6" t="e">
        <f t="shared" si="15"/>
        <v>#REF!</v>
      </c>
      <c r="C815" s="31" t="e">
        <f>#REF!</f>
        <v>#REF!</v>
      </c>
      <c r="D815" s="32" t="e">
        <f>IF(#REF!=0,"",#REF!)</f>
        <v>#REF!</v>
      </c>
      <c r="E815" s="36" t="e">
        <f>IF(#REF!=0,"",#REF!)</f>
        <v>#REF!</v>
      </c>
      <c r="F815" s="36" t="e">
        <f>IF(#REF!=0,"",#REF!)</f>
        <v>#REF!</v>
      </c>
      <c r="G815" s="103">
        <f>'27'!Q775</f>
        <v>0</v>
      </c>
      <c r="H815" s="160">
        <f>'27'!R775</f>
        <v>0</v>
      </c>
      <c r="I815" s="160">
        <f>'27'!S775</f>
        <v>0</v>
      </c>
      <c r="J815" s="160"/>
      <c r="K815" s="104">
        <f>'27'!T775</f>
        <v>0</v>
      </c>
      <c r="L815" s="36" t="e">
        <f>#REF!</f>
        <v>#REF!</v>
      </c>
      <c r="M815" s="103" t="e">
        <f>#REF!</f>
        <v>#REF!</v>
      </c>
      <c r="N815" s="160"/>
      <c r="O815" s="104" t="e">
        <f>#REF!</f>
        <v>#REF!</v>
      </c>
      <c r="P815" s="52" t="e">
        <f>IF(#REF!=0,"",#REF!)</f>
        <v>#REF!</v>
      </c>
      <c r="Q815" s="109" t="e">
        <f>IF(#REF!=0,"",#REF!)</f>
        <v>#REF!</v>
      </c>
      <c r="R815" s="36" t="e">
        <f>IF(#REF!=0,"",#REF!)</f>
        <v>#REF!</v>
      </c>
      <c r="S815" s="36" t="e">
        <f>IF(#REF!=0,"",#REF!)</f>
        <v>#REF!</v>
      </c>
      <c r="T815" s="268"/>
      <c r="U815" s="268"/>
      <c r="V815" s="268"/>
    </row>
    <row r="816" ht="15" customHeight="1" spans="2:22">
      <c r="B816" s="6" t="e">
        <f t="shared" si="15"/>
        <v>#REF!</v>
      </c>
      <c r="C816" s="83" t="e">
        <f>#REF!</f>
        <v>#REF!</v>
      </c>
      <c r="D816" s="110" t="e">
        <f>IF(#REF!=0,"",#REF!)</f>
        <v>#REF!</v>
      </c>
      <c r="E816" s="85" t="e">
        <f>IF(#REF!=0,"",#REF!)</f>
        <v>#REF!</v>
      </c>
      <c r="F816" s="85" t="e">
        <f>IF(#REF!=0,"",#REF!)</f>
        <v>#REF!</v>
      </c>
      <c r="G816" s="105">
        <f>'27'!Q776</f>
        <v>0</v>
      </c>
      <c r="H816" s="161">
        <f>'27'!R776</f>
        <v>0</v>
      </c>
      <c r="I816" s="161">
        <f>'27'!S776</f>
        <v>0</v>
      </c>
      <c r="J816" s="161"/>
      <c r="K816" s="106">
        <f>'27'!T776</f>
        <v>0</v>
      </c>
      <c r="L816" s="85" t="e">
        <f>#REF!</f>
        <v>#REF!</v>
      </c>
      <c r="M816" s="105" t="e">
        <f>#REF!</f>
        <v>#REF!</v>
      </c>
      <c r="N816" s="161"/>
      <c r="O816" s="106" t="e">
        <f>#REF!</f>
        <v>#REF!</v>
      </c>
      <c r="P816" s="107" t="e">
        <f>IF(#REF!=0,"",#REF!)</f>
        <v>#REF!</v>
      </c>
      <c r="Q816" s="111" t="e">
        <f>IF(#REF!=0,"",#REF!)</f>
        <v>#REF!</v>
      </c>
      <c r="R816" s="85" t="e">
        <f>IF(#REF!=0,"",#REF!)</f>
        <v>#REF!</v>
      </c>
      <c r="S816" s="85" t="e">
        <f>IF(#REF!=0,"",#REF!)</f>
        <v>#REF!</v>
      </c>
      <c r="T816" s="268"/>
      <c r="U816" s="268"/>
      <c r="V816" s="268"/>
    </row>
    <row r="817" ht="15" customHeight="1" spans="2:22">
      <c r="B817" s="6" t="e">
        <f t="shared" si="15"/>
        <v>#REF!</v>
      </c>
      <c r="C817" s="79" t="e">
        <f>#REF!</f>
        <v>#REF!</v>
      </c>
      <c r="D817" s="62" t="e">
        <f>IF(#REF!=0,"",#REF!)</f>
        <v>#REF!</v>
      </c>
      <c r="E817" s="81" t="e">
        <f>IF(#REF!=0,"",#REF!)</f>
        <v>#REF!</v>
      </c>
      <c r="F817" s="81" t="e">
        <f>IF(#REF!=0,"",#REF!)</f>
        <v>#REF!</v>
      </c>
      <c r="G817" s="100" t="e">
        <f>#REF!</f>
        <v>#REF!</v>
      </c>
      <c r="H817" s="159">
        <f>'27'!R777</f>
        <v>0</v>
      </c>
      <c r="I817" s="159">
        <f>'27'!S777</f>
        <v>0</v>
      </c>
      <c r="J817" s="159"/>
      <c r="K817" s="101">
        <f>'27'!T777</f>
        <v>0</v>
      </c>
      <c r="L817" s="81" t="e">
        <f>#REF!</f>
        <v>#REF!</v>
      </c>
      <c r="M817" s="100" t="e">
        <f>#REF!</f>
        <v>#REF!</v>
      </c>
      <c r="N817" s="159"/>
      <c r="O817" s="101" t="e">
        <f>#REF!</f>
        <v>#REF!</v>
      </c>
      <c r="P817" s="102" t="e">
        <f>IF(#REF!=0,"",#REF!)</f>
        <v>#REF!</v>
      </c>
      <c r="Q817" s="108" t="e">
        <f>IF(#REF!=0,"",#REF!)</f>
        <v>#REF!</v>
      </c>
      <c r="R817" s="81" t="e">
        <f>IF(#REF!=0,"",#REF!)</f>
        <v>#REF!</v>
      </c>
      <c r="S817" s="81" t="e">
        <f>IF(#REF!=0,"",#REF!)</f>
        <v>#REF!</v>
      </c>
      <c r="T817" s="268"/>
      <c r="U817" s="268"/>
      <c r="V817" s="268"/>
    </row>
    <row r="818" ht="15" customHeight="1" spans="2:22">
      <c r="B818" s="6" t="e">
        <f t="shared" si="15"/>
        <v>#REF!</v>
      </c>
      <c r="C818" s="31" t="e">
        <f>#REF!</f>
        <v>#REF!</v>
      </c>
      <c r="D818" s="32" t="e">
        <f>IF(#REF!=0,"",#REF!)</f>
        <v>#REF!</v>
      </c>
      <c r="E818" s="36" t="e">
        <f>IF(#REF!=0,"",#REF!)</f>
        <v>#REF!</v>
      </c>
      <c r="F818" s="36" t="e">
        <f>IF(#REF!=0,"",#REF!)</f>
        <v>#REF!</v>
      </c>
      <c r="G818" s="103">
        <f>'27'!Q778</f>
        <v>0</v>
      </c>
      <c r="H818" s="160">
        <f>'27'!R778</f>
        <v>0</v>
      </c>
      <c r="I818" s="160">
        <f>'27'!S778</f>
        <v>0</v>
      </c>
      <c r="J818" s="160"/>
      <c r="K818" s="104">
        <f>'27'!T778</f>
        <v>0</v>
      </c>
      <c r="L818" s="36" t="e">
        <f>#REF!</f>
        <v>#REF!</v>
      </c>
      <c r="M818" s="103" t="e">
        <f>#REF!</f>
        <v>#REF!</v>
      </c>
      <c r="N818" s="160"/>
      <c r="O818" s="104" t="e">
        <f>#REF!</f>
        <v>#REF!</v>
      </c>
      <c r="P818" s="52" t="e">
        <f>IF(#REF!=0,"",#REF!)</f>
        <v>#REF!</v>
      </c>
      <c r="Q818" s="109" t="e">
        <f>IF(#REF!=0,"",#REF!)</f>
        <v>#REF!</v>
      </c>
      <c r="R818" s="36" t="e">
        <f>IF(#REF!=0,"",#REF!)</f>
        <v>#REF!</v>
      </c>
      <c r="S818" s="36" t="e">
        <f>IF(#REF!=0,"",#REF!)</f>
        <v>#REF!</v>
      </c>
      <c r="T818" s="268"/>
      <c r="U818" s="268"/>
      <c r="V818" s="268"/>
    </row>
    <row r="819" ht="15" customHeight="1" spans="2:22">
      <c r="B819" s="6" t="e">
        <f t="shared" si="15"/>
        <v>#REF!</v>
      </c>
      <c r="C819" s="83" t="e">
        <f>#REF!</f>
        <v>#REF!</v>
      </c>
      <c r="D819" s="110" t="e">
        <f>IF(#REF!=0,"",#REF!)</f>
        <v>#REF!</v>
      </c>
      <c r="E819" s="85" t="e">
        <f>IF(#REF!=0,"",#REF!)</f>
        <v>#REF!</v>
      </c>
      <c r="F819" s="85" t="e">
        <f>IF(#REF!=0,"",#REF!)</f>
        <v>#REF!</v>
      </c>
      <c r="G819" s="105">
        <f>'27'!Q779</f>
        <v>0</v>
      </c>
      <c r="H819" s="161">
        <f>'27'!R779</f>
        <v>0</v>
      </c>
      <c r="I819" s="161">
        <f>'27'!S779</f>
        <v>0</v>
      </c>
      <c r="J819" s="161"/>
      <c r="K819" s="106">
        <f>'27'!T779</f>
        <v>0</v>
      </c>
      <c r="L819" s="85" t="e">
        <f>#REF!</f>
        <v>#REF!</v>
      </c>
      <c r="M819" s="105" t="e">
        <f>#REF!</f>
        <v>#REF!</v>
      </c>
      <c r="N819" s="161"/>
      <c r="O819" s="106" t="e">
        <f>#REF!</f>
        <v>#REF!</v>
      </c>
      <c r="P819" s="107" t="e">
        <f>IF(#REF!=0,"",#REF!)</f>
        <v>#REF!</v>
      </c>
      <c r="Q819" s="111" t="e">
        <f>IF(#REF!=0,"",#REF!)</f>
        <v>#REF!</v>
      </c>
      <c r="R819" s="85" t="e">
        <f>IF(#REF!=0,"",#REF!)</f>
        <v>#REF!</v>
      </c>
      <c r="S819" s="85" t="e">
        <f>IF(#REF!=0,"",#REF!)</f>
        <v>#REF!</v>
      </c>
      <c r="T819" s="268"/>
      <c r="U819" s="268"/>
      <c r="V819" s="268"/>
    </row>
    <row r="820" ht="15" customHeight="1" spans="2:22">
      <c r="B820" s="6" t="e">
        <f t="shared" si="15"/>
        <v>#REF!</v>
      </c>
      <c r="C820" s="79" t="e">
        <f>#REF!</f>
        <v>#REF!</v>
      </c>
      <c r="D820" s="62" t="e">
        <f>IF(#REF!=0,"",#REF!)</f>
        <v>#REF!</v>
      </c>
      <c r="E820" s="81" t="e">
        <f>IF(#REF!=0,"",#REF!)</f>
        <v>#REF!</v>
      </c>
      <c r="F820" s="81" t="e">
        <f>IF(#REF!=0,"",#REF!)</f>
        <v>#REF!</v>
      </c>
      <c r="G820" s="100" t="e">
        <f>#REF!</f>
        <v>#REF!</v>
      </c>
      <c r="H820" s="159">
        <f>'27'!R780</f>
        <v>0</v>
      </c>
      <c r="I820" s="159">
        <f>'27'!S780</f>
        <v>0</v>
      </c>
      <c r="J820" s="159"/>
      <c r="K820" s="101">
        <f>'27'!T780</f>
        <v>0</v>
      </c>
      <c r="L820" s="81" t="e">
        <f>#REF!</f>
        <v>#REF!</v>
      </c>
      <c r="M820" s="100" t="e">
        <f>#REF!</f>
        <v>#REF!</v>
      </c>
      <c r="N820" s="159"/>
      <c r="O820" s="101" t="e">
        <f>#REF!</f>
        <v>#REF!</v>
      </c>
      <c r="P820" s="102" t="e">
        <f>IF(#REF!=0,"",#REF!)</f>
        <v>#REF!</v>
      </c>
      <c r="Q820" s="108" t="e">
        <f>IF(#REF!=0,"",#REF!)</f>
        <v>#REF!</v>
      </c>
      <c r="R820" s="81" t="e">
        <f>IF(#REF!=0,"",#REF!)</f>
        <v>#REF!</v>
      </c>
      <c r="S820" s="81" t="e">
        <f>IF(#REF!=0,"",#REF!)</f>
        <v>#REF!</v>
      </c>
      <c r="T820" s="268"/>
      <c r="U820" s="268"/>
      <c r="V820" s="268"/>
    </row>
    <row r="821" ht="15" customHeight="1" spans="2:22">
      <c r="B821" s="6" t="e">
        <f t="shared" si="15"/>
        <v>#REF!</v>
      </c>
      <c r="C821" s="31" t="e">
        <f>#REF!</f>
        <v>#REF!</v>
      </c>
      <c r="D821" s="32" t="e">
        <f>IF(#REF!=0,"",#REF!)</f>
        <v>#REF!</v>
      </c>
      <c r="E821" s="36" t="e">
        <f>IF(#REF!=0,"",#REF!)</f>
        <v>#REF!</v>
      </c>
      <c r="F821" s="36" t="e">
        <f>IF(#REF!=0,"",#REF!)</f>
        <v>#REF!</v>
      </c>
      <c r="G821" s="103">
        <f>'27'!Q781</f>
        <v>0</v>
      </c>
      <c r="H821" s="160">
        <f>'27'!R781</f>
        <v>0</v>
      </c>
      <c r="I821" s="160">
        <f>'27'!S781</f>
        <v>0</v>
      </c>
      <c r="J821" s="160"/>
      <c r="K821" s="104">
        <f>'27'!T781</f>
        <v>0</v>
      </c>
      <c r="L821" s="36" t="e">
        <f>#REF!</f>
        <v>#REF!</v>
      </c>
      <c r="M821" s="103" t="e">
        <f>#REF!</f>
        <v>#REF!</v>
      </c>
      <c r="N821" s="160"/>
      <c r="O821" s="104" t="e">
        <f>#REF!</f>
        <v>#REF!</v>
      </c>
      <c r="P821" s="52" t="e">
        <f>IF(#REF!=0,"",#REF!)</f>
        <v>#REF!</v>
      </c>
      <c r="Q821" s="109" t="e">
        <f>IF(#REF!=0,"",#REF!)</f>
        <v>#REF!</v>
      </c>
      <c r="R821" s="36" t="e">
        <f>IF(#REF!=0,"",#REF!)</f>
        <v>#REF!</v>
      </c>
      <c r="S821" s="36" t="e">
        <f>IF(#REF!=0,"",#REF!)</f>
        <v>#REF!</v>
      </c>
      <c r="T821" s="268"/>
      <c r="U821" s="268"/>
      <c r="V821" s="268"/>
    </row>
    <row r="822" ht="15" customHeight="1" spans="2:22">
      <c r="B822" s="6" t="e">
        <f t="shared" si="15"/>
        <v>#REF!</v>
      </c>
      <c r="C822" s="83" t="e">
        <f>#REF!</f>
        <v>#REF!</v>
      </c>
      <c r="D822" s="110" t="e">
        <f>IF(#REF!=0,"",#REF!)</f>
        <v>#REF!</v>
      </c>
      <c r="E822" s="85" t="e">
        <f>IF(#REF!=0,"",#REF!)</f>
        <v>#REF!</v>
      </c>
      <c r="F822" s="85" t="e">
        <f>IF(#REF!=0,"",#REF!)</f>
        <v>#REF!</v>
      </c>
      <c r="G822" s="105">
        <f>'27'!Q782</f>
        <v>0</v>
      </c>
      <c r="H822" s="161">
        <f>'27'!R782</f>
        <v>0</v>
      </c>
      <c r="I822" s="161">
        <f>'27'!S782</f>
        <v>0</v>
      </c>
      <c r="J822" s="161"/>
      <c r="K822" s="106">
        <f>'27'!T782</f>
        <v>0</v>
      </c>
      <c r="L822" s="85" t="e">
        <f>#REF!</f>
        <v>#REF!</v>
      </c>
      <c r="M822" s="105" t="e">
        <f>#REF!</f>
        <v>#REF!</v>
      </c>
      <c r="N822" s="161"/>
      <c r="O822" s="106" t="e">
        <f>#REF!</f>
        <v>#REF!</v>
      </c>
      <c r="P822" s="107" t="e">
        <f>IF(#REF!=0,"",#REF!)</f>
        <v>#REF!</v>
      </c>
      <c r="Q822" s="111" t="e">
        <f>IF(#REF!=0,"",#REF!)</f>
        <v>#REF!</v>
      </c>
      <c r="R822" s="85" t="e">
        <f>IF(#REF!=0,"",#REF!)</f>
        <v>#REF!</v>
      </c>
      <c r="S822" s="85" t="e">
        <f>IF(#REF!=0,"",#REF!)</f>
        <v>#REF!</v>
      </c>
      <c r="T822" s="268"/>
      <c r="U822" s="268"/>
      <c r="V822" s="268"/>
    </row>
    <row r="823" ht="15" customHeight="1" spans="2:22">
      <c r="B823" s="6" t="e">
        <f t="shared" si="15"/>
        <v>#REF!</v>
      </c>
      <c r="C823" s="79" t="e">
        <f>#REF!</f>
        <v>#REF!</v>
      </c>
      <c r="D823" s="62" t="e">
        <f>IF(#REF!=0,"",#REF!)</f>
        <v>#REF!</v>
      </c>
      <c r="E823" s="81" t="e">
        <f>IF(#REF!=0,"",#REF!)</f>
        <v>#REF!</v>
      </c>
      <c r="F823" s="81" t="e">
        <f>IF(#REF!=0,"",#REF!)</f>
        <v>#REF!</v>
      </c>
      <c r="G823" s="100" t="e">
        <f>#REF!</f>
        <v>#REF!</v>
      </c>
      <c r="H823" s="159">
        <f>'27'!R783</f>
        <v>0</v>
      </c>
      <c r="I823" s="159">
        <f>'27'!S783</f>
        <v>0</v>
      </c>
      <c r="J823" s="159"/>
      <c r="K823" s="101">
        <f>'27'!T783</f>
        <v>0</v>
      </c>
      <c r="L823" s="81" t="e">
        <f>#REF!</f>
        <v>#REF!</v>
      </c>
      <c r="M823" s="100" t="e">
        <f>#REF!</f>
        <v>#REF!</v>
      </c>
      <c r="N823" s="159"/>
      <c r="O823" s="101" t="e">
        <f>#REF!</f>
        <v>#REF!</v>
      </c>
      <c r="P823" s="102" t="e">
        <f>IF(#REF!=0,"",#REF!)</f>
        <v>#REF!</v>
      </c>
      <c r="Q823" s="108" t="e">
        <f>IF(#REF!=0,"",#REF!)</f>
        <v>#REF!</v>
      </c>
      <c r="R823" s="81" t="e">
        <f>IF(#REF!=0,"",#REF!)</f>
        <v>#REF!</v>
      </c>
      <c r="S823" s="81" t="e">
        <f>IF(#REF!=0,"",#REF!)</f>
        <v>#REF!</v>
      </c>
      <c r="T823" s="268"/>
      <c r="U823" s="268"/>
      <c r="V823" s="268"/>
    </row>
    <row r="824" ht="15" customHeight="1" spans="2:22">
      <c r="B824" s="6" t="e">
        <f t="shared" si="15"/>
        <v>#REF!</v>
      </c>
      <c r="C824" s="31" t="e">
        <f>#REF!</f>
        <v>#REF!</v>
      </c>
      <c r="D824" s="32" t="e">
        <f>IF(#REF!=0,"",#REF!)</f>
        <v>#REF!</v>
      </c>
      <c r="E824" s="36" t="e">
        <f>IF(#REF!=0,"",#REF!)</f>
        <v>#REF!</v>
      </c>
      <c r="F824" s="36" t="e">
        <f>IF(#REF!=0,"",#REF!)</f>
        <v>#REF!</v>
      </c>
      <c r="G824" s="103">
        <f>'27'!Q784</f>
        <v>0</v>
      </c>
      <c r="H824" s="160">
        <f>'27'!R784</f>
        <v>0</v>
      </c>
      <c r="I824" s="160">
        <f>'27'!S784</f>
        <v>0</v>
      </c>
      <c r="J824" s="160"/>
      <c r="K824" s="104">
        <f>'27'!T784</f>
        <v>0</v>
      </c>
      <c r="L824" s="36" t="e">
        <f>#REF!</f>
        <v>#REF!</v>
      </c>
      <c r="M824" s="103" t="e">
        <f>#REF!</f>
        <v>#REF!</v>
      </c>
      <c r="N824" s="160"/>
      <c r="O824" s="104" t="e">
        <f>#REF!</f>
        <v>#REF!</v>
      </c>
      <c r="P824" s="52" t="e">
        <f>IF(#REF!=0,"",#REF!)</f>
        <v>#REF!</v>
      </c>
      <c r="Q824" s="109" t="e">
        <f>IF(#REF!=0,"",#REF!)</f>
        <v>#REF!</v>
      </c>
      <c r="R824" s="36" t="e">
        <f>IF(#REF!=0,"",#REF!)</f>
        <v>#REF!</v>
      </c>
      <c r="S824" s="36" t="e">
        <f>IF(#REF!=0,"",#REF!)</f>
        <v>#REF!</v>
      </c>
      <c r="T824" s="268"/>
      <c r="U824" s="268"/>
      <c r="V824" s="268"/>
    </row>
    <row r="825" ht="15" customHeight="1" spans="2:22">
      <c r="B825" s="6" t="e">
        <f t="shared" si="15"/>
        <v>#REF!</v>
      </c>
      <c r="C825" s="83" t="e">
        <f>#REF!</f>
        <v>#REF!</v>
      </c>
      <c r="D825" s="110" t="e">
        <f>IF(#REF!=0,"",#REF!)</f>
        <v>#REF!</v>
      </c>
      <c r="E825" s="85" t="e">
        <f>IF(#REF!=0,"",#REF!)</f>
        <v>#REF!</v>
      </c>
      <c r="F825" s="85" t="e">
        <f>IF(#REF!=0,"",#REF!)</f>
        <v>#REF!</v>
      </c>
      <c r="G825" s="105">
        <f>'27'!Q785</f>
        <v>0</v>
      </c>
      <c r="H825" s="161">
        <f>'27'!R785</f>
        <v>0</v>
      </c>
      <c r="I825" s="161">
        <f>'27'!S785</f>
        <v>0</v>
      </c>
      <c r="J825" s="161"/>
      <c r="K825" s="106">
        <f>'27'!T785</f>
        <v>0</v>
      </c>
      <c r="L825" s="85" t="e">
        <f>#REF!</f>
        <v>#REF!</v>
      </c>
      <c r="M825" s="105" t="e">
        <f>#REF!</f>
        <v>#REF!</v>
      </c>
      <c r="N825" s="161"/>
      <c r="O825" s="106" t="e">
        <f>#REF!</f>
        <v>#REF!</v>
      </c>
      <c r="P825" s="107" t="e">
        <f>IF(#REF!=0,"",#REF!)</f>
        <v>#REF!</v>
      </c>
      <c r="Q825" s="111" t="e">
        <f>IF(#REF!=0,"",#REF!)</f>
        <v>#REF!</v>
      </c>
      <c r="R825" s="85" t="e">
        <f>IF(#REF!=0,"",#REF!)</f>
        <v>#REF!</v>
      </c>
      <c r="S825" s="85" t="e">
        <f>IF(#REF!=0,"",#REF!)</f>
        <v>#REF!</v>
      </c>
      <c r="T825" s="268"/>
      <c r="U825" s="268"/>
      <c r="V825" s="268"/>
    </row>
    <row r="826" ht="15" customHeight="1" spans="2:22">
      <c r="B826" s="6" t="e">
        <f t="shared" si="15"/>
        <v>#REF!</v>
      </c>
      <c r="C826" s="79" t="e">
        <f>#REF!</f>
        <v>#REF!</v>
      </c>
      <c r="D826" s="62" t="e">
        <f>IF(#REF!=0,"",#REF!)</f>
        <v>#REF!</v>
      </c>
      <c r="E826" s="81" t="e">
        <f>IF(#REF!=0,"",#REF!)</f>
        <v>#REF!</v>
      </c>
      <c r="F826" s="81" t="e">
        <f>IF(#REF!=0,"",#REF!)</f>
        <v>#REF!</v>
      </c>
      <c r="G826" s="100" t="e">
        <f>#REF!</f>
        <v>#REF!</v>
      </c>
      <c r="H826" s="159">
        <f>'27'!R786</f>
        <v>0</v>
      </c>
      <c r="I826" s="159">
        <f>'27'!S786</f>
        <v>0</v>
      </c>
      <c r="J826" s="159"/>
      <c r="K826" s="101">
        <f>'27'!T786</f>
        <v>0</v>
      </c>
      <c r="L826" s="81" t="e">
        <f>#REF!</f>
        <v>#REF!</v>
      </c>
      <c r="M826" s="100" t="e">
        <f>#REF!</f>
        <v>#REF!</v>
      </c>
      <c r="N826" s="159"/>
      <c r="O826" s="101" t="e">
        <f>#REF!</f>
        <v>#REF!</v>
      </c>
      <c r="P826" s="102" t="e">
        <f>IF(#REF!=0,"",#REF!)</f>
        <v>#REF!</v>
      </c>
      <c r="Q826" s="108" t="e">
        <f>IF(#REF!=0,"",#REF!)</f>
        <v>#REF!</v>
      </c>
      <c r="R826" s="81" t="e">
        <f>IF(#REF!=0,"",#REF!)</f>
        <v>#REF!</v>
      </c>
      <c r="S826" s="81" t="e">
        <f>IF(#REF!=0,"",#REF!)</f>
        <v>#REF!</v>
      </c>
      <c r="T826" s="268"/>
      <c r="U826" s="268"/>
      <c r="V826" s="268"/>
    </row>
    <row r="827" ht="15" customHeight="1" spans="2:22">
      <c r="B827" s="6" t="e">
        <f t="shared" si="15"/>
        <v>#REF!</v>
      </c>
      <c r="C827" s="31" t="e">
        <f>#REF!</f>
        <v>#REF!</v>
      </c>
      <c r="D827" s="32" t="e">
        <f>IF(#REF!=0,"",#REF!)</f>
        <v>#REF!</v>
      </c>
      <c r="E827" s="36" t="e">
        <f>IF(#REF!=0,"",#REF!)</f>
        <v>#REF!</v>
      </c>
      <c r="F827" s="36" t="e">
        <f>IF(#REF!=0,"",#REF!)</f>
        <v>#REF!</v>
      </c>
      <c r="G827" s="103">
        <f>'27'!Q787</f>
        <v>0</v>
      </c>
      <c r="H827" s="160">
        <f>'27'!R787</f>
        <v>0</v>
      </c>
      <c r="I827" s="160">
        <f>'27'!S787</f>
        <v>0</v>
      </c>
      <c r="J827" s="160"/>
      <c r="K827" s="104">
        <f>'27'!T787</f>
        <v>0</v>
      </c>
      <c r="L827" s="36" t="e">
        <f>#REF!</f>
        <v>#REF!</v>
      </c>
      <c r="M827" s="103" t="e">
        <f>#REF!</f>
        <v>#REF!</v>
      </c>
      <c r="N827" s="160"/>
      <c r="O827" s="104" t="e">
        <f>#REF!</f>
        <v>#REF!</v>
      </c>
      <c r="P827" s="52" t="e">
        <f>IF(#REF!=0,"",#REF!)</f>
        <v>#REF!</v>
      </c>
      <c r="Q827" s="109" t="e">
        <f>IF(#REF!=0,"",#REF!)</f>
        <v>#REF!</v>
      </c>
      <c r="R827" s="36" t="e">
        <f>IF(#REF!=0,"",#REF!)</f>
        <v>#REF!</v>
      </c>
      <c r="S827" s="36" t="e">
        <f>IF(#REF!=0,"",#REF!)</f>
        <v>#REF!</v>
      </c>
      <c r="T827" s="268"/>
      <c r="U827" s="268"/>
      <c r="V827" s="268"/>
    </row>
    <row r="828" ht="15" customHeight="1" spans="2:22">
      <c r="B828" s="6" t="e">
        <f t="shared" si="15"/>
        <v>#REF!</v>
      </c>
      <c r="C828" s="83" t="e">
        <f>#REF!</f>
        <v>#REF!</v>
      </c>
      <c r="D828" s="110" t="e">
        <f>IF(#REF!=0,"",#REF!)</f>
        <v>#REF!</v>
      </c>
      <c r="E828" s="85" t="e">
        <f>IF(#REF!=0,"",#REF!)</f>
        <v>#REF!</v>
      </c>
      <c r="F828" s="85" t="e">
        <f>IF(#REF!=0,"",#REF!)</f>
        <v>#REF!</v>
      </c>
      <c r="G828" s="105">
        <f>'27'!Q788</f>
        <v>0</v>
      </c>
      <c r="H828" s="161">
        <f>'27'!R788</f>
        <v>0</v>
      </c>
      <c r="I828" s="161">
        <f>'27'!S788</f>
        <v>0</v>
      </c>
      <c r="J828" s="161"/>
      <c r="K828" s="106">
        <f>'27'!T788</f>
        <v>0</v>
      </c>
      <c r="L828" s="85" t="e">
        <f>#REF!</f>
        <v>#REF!</v>
      </c>
      <c r="M828" s="105" t="e">
        <f>#REF!</f>
        <v>#REF!</v>
      </c>
      <c r="N828" s="161"/>
      <c r="O828" s="106" t="e">
        <f>#REF!</f>
        <v>#REF!</v>
      </c>
      <c r="P828" s="107" t="e">
        <f>IF(#REF!=0,"",#REF!)</f>
        <v>#REF!</v>
      </c>
      <c r="Q828" s="111" t="e">
        <f>IF(#REF!=0,"",#REF!)</f>
        <v>#REF!</v>
      </c>
      <c r="R828" s="85" t="e">
        <f>IF(#REF!=0,"",#REF!)</f>
        <v>#REF!</v>
      </c>
      <c r="S828" s="85" t="e">
        <f>IF(#REF!=0,"",#REF!)</f>
        <v>#REF!</v>
      </c>
      <c r="T828" s="268"/>
      <c r="U828" s="268"/>
      <c r="V828" s="268"/>
    </row>
    <row r="829" ht="15" customHeight="1" spans="2:22">
      <c r="B829" s="6" t="e">
        <f t="shared" si="15"/>
        <v>#REF!</v>
      </c>
      <c r="C829" s="79" t="e">
        <f>#REF!</f>
        <v>#REF!</v>
      </c>
      <c r="D829" s="62" t="e">
        <f>IF(#REF!=0,"",#REF!)</f>
        <v>#REF!</v>
      </c>
      <c r="E829" s="81" t="e">
        <f>IF(#REF!=0,"",#REF!)</f>
        <v>#REF!</v>
      </c>
      <c r="F829" s="81" t="e">
        <f>IF(#REF!=0,"",#REF!)</f>
        <v>#REF!</v>
      </c>
      <c r="G829" s="100" t="e">
        <f>#REF!</f>
        <v>#REF!</v>
      </c>
      <c r="H829" s="159">
        <f>'27'!R789</f>
        <v>0</v>
      </c>
      <c r="I829" s="159">
        <f>'27'!S789</f>
        <v>0</v>
      </c>
      <c r="J829" s="159"/>
      <c r="K829" s="101">
        <f>'27'!T789</f>
        <v>0</v>
      </c>
      <c r="L829" s="81" t="e">
        <f>#REF!</f>
        <v>#REF!</v>
      </c>
      <c r="M829" s="100" t="e">
        <f>#REF!</f>
        <v>#REF!</v>
      </c>
      <c r="N829" s="159"/>
      <c r="O829" s="101" t="e">
        <f>#REF!</f>
        <v>#REF!</v>
      </c>
      <c r="P829" s="102" t="e">
        <f>IF(#REF!=0,"",#REF!)</f>
        <v>#REF!</v>
      </c>
      <c r="Q829" s="108" t="e">
        <f>IF(#REF!=0,"",#REF!)</f>
        <v>#REF!</v>
      </c>
      <c r="R829" s="81" t="e">
        <f>IF(#REF!=0,"",#REF!)</f>
        <v>#REF!</v>
      </c>
      <c r="S829" s="81" t="e">
        <f>IF(#REF!=0,"",#REF!)</f>
        <v>#REF!</v>
      </c>
      <c r="T829" s="268"/>
      <c r="U829" s="268"/>
      <c r="V829" s="268"/>
    </row>
    <row r="830" ht="15" customHeight="1" spans="2:22">
      <c r="B830" s="6" t="e">
        <f t="shared" si="15"/>
        <v>#REF!</v>
      </c>
      <c r="C830" s="31" t="e">
        <f>#REF!</f>
        <v>#REF!</v>
      </c>
      <c r="D830" s="32" t="e">
        <f>IF(#REF!=0,"",#REF!)</f>
        <v>#REF!</v>
      </c>
      <c r="E830" s="36" t="e">
        <f>IF(#REF!=0,"",#REF!)</f>
        <v>#REF!</v>
      </c>
      <c r="F830" s="36" t="e">
        <f>IF(#REF!=0,"",#REF!)</f>
        <v>#REF!</v>
      </c>
      <c r="G830" s="103">
        <f>'27'!Q790</f>
        <v>0</v>
      </c>
      <c r="H830" s="160">
        <f>'27'!R790</f>
        <v>0</v>
      </c>
      <c r="I830" s="160">
        <f>'27'!S790</f>
        <v>0</v>
      </c>
      <c r="J830" s="160"/>
      <c r="K830" s="104">
        <f>'27'!T790</f>
        <v>0</v>
      </c>
      <c r="L830" s="36" t="e">
        <f>#REF!</f>
        <v>#REF!</v>
      </c>
      <c r="M830" s="103" t="e">
        <f>#REF!</f>
        <v>#REF!</v>
      </c>
      <c r="N830" s="160"/>
      <c r="O830" s="104" t="e">
        <f>#REF!</f>
        <v>#REF!</v>
      </c>
      <c r="P830" s="52" t="e">
        <f>IF(#REF!=0,"",#REF!)</f>
        <v>#REF!</v>
      </c>
      <c r="Q830" s="109" t="e">
        <f>IF(#REF!=0,"",#REF!)</f>
        <v>#REF!</v>
      </c>
      <c r="R830" s="36" t="e">
        <f>IF(#REF!=0,"",#REF!)</f>
        <v>#REF!</v>
      </c>
      <c r="S830" s="36" t="e">
        <f>IF(#REF!=0,"",#REF!)</f>
        <v>#REF!</v>
      </c>
      <c r="T830" s="268"/>
      <c r="U830" s="268"/>
      <c r="V830" s="268"/>
    </row>
    <row r="831" ht="15" customHeight="1" spans="2:22">
      <c r="B831" s="6" t="e">
        <f t="shared" si="15"/>
        <v>#REF!</v>
      </c>
      <c r="C831" s="83" t="e">
        <f>#REF!</f>
        <v>#REF!</v>
      </c>
      <c r="D831" s="110" t="e">
        <f>IF(#REF!=0,"",#REF!)</f>
        <v>#REF!</v>
      </c>
      <c r="E831" s="85" t="e">
        <f>IF(#REF!=0,"",#REF!)</f>
        <v>#REF!</v>
      </c>
      <c r="F831" s="85" t="e">
        <f>IF(#REF!=0,"",#REF!)</f>
        <v>#REF!</v>
      </c>
      <c r="G831" s="105">
        <f>'27'!Q791</f>
        <v>0</v>
      </c>
      <c r="H831" s="161">
        <f>'27'!R791</f>
        <v>0</v>
      </c>
      <c r="I831" s="161">
        <f>'27'!S791</f>
        <v>0</v>
      </c>
      <c r="J831" s="161"/>
      <c r="K831" s="106">
        <f>'27'!T791</f>
        <v>0</v>
      </c>
      <c r="L831" s="85" t="e">
        <f>#REF!</f>
        <v>#REF!</v>
      </c>
      <c r="M831" s="105" t="e">
        <f>#REF!</f>
        <v>#REF!</v>
      </c>
      <c r="N831" s="161"/>
      <c r="O831" s="106" t="e">
        <f>#REF!</f>
        <v>#REF!</v>
      </c>
      <c r="P831" s="107" t="e">
        <f>IF(#REF!=0,"",#REF!)</f>
        <v>#REF!</v>
      </c>
      <c r="Q831" s="111" t="e">
        <f>IF(#REF!=0,"",#REF!)</f>
        <v>#REF!</v>
      </c>
      <c r="R831" s="85" t="e">
        <f>IF(#REF!=0,"",#REF!)</f>
        <v>#REF!</v>
      </c>
      <c r="S831" s="85" t="e">
        <f>IF(#REF!=0,"",#REF!)</f>
        <v>#REF!</v>
      </c>
      <c r="T831" s="268"/>
      <c r="U831" s="268"/>
      <c r="V831" s="268"/>
    </row>
    <row r="832" ht="15" customHeight="1" spans="2:22">
      <c r="B832" s="6" t="e">
        <f t="shared" si="15"/>
        <v>#REF!</v>
      </c>
      <c r="C832" s="79" t="e">
        <f>#REF!</f>
        <v>#REF!</v>
      </c>
      <c r="D832" s="62" t="e">
        <f>IF(#REF!=0,"",#REF!)</f>
        <v>#REF!</v>
      </c>
      <c r="E832" s="81" t="e">
        <f>IF(#REF!=0,"",#REF!)</f>
        <v>#REF!</v>
      </c>
      <c r="F832" s="81" t="e">
        <f>IF(#REF!=0,"",#REF!)</f>
        <v>#REF!</v>
      </c>
      <c r="G832" s="100" t="e">
        <f>#REF!</f>
        <v>#REF!</v>
      </c>
      <c r="H832" s="159">
        <f>'27'!R792</f>
        <v>0</v>
      </c>
      <c r="I832" s="159">
        <f>'27'!S792</f>
        <v>0</v>
      </c>
      <c r="J832" s="159"/>
      <c r="K832" s="101">
        <f>'27'!T792</f>
        <v>0</v>
      </c>
      <c r="L832" s="81" t="e">
        <f>#REF!</f>
        <v>#REF!</v>
      </c>
      <c r="M832" s="100" t="e">
        <f>#REF!</f>
        <v>#REF!</v>
      </c>
      <c r="N832" s="159"/>
      <c r="O832" s="101" t="e">
        <f>#REF!</f>
        <v>#REF!</v>
      </c>
      <c r="P832" s="102" t="e">
        <f>IF(#REF!=0,"",#REF!)</f>
        <v>#REF!</v>
      </c>
      <c r="Q832" s="108" t="e">
        <f>IF(#REF!=0,"",#REF!)</f>
        <v>#REF!</v>
      </c>
      <c r="R832" s="81" t="e">
        <f>IF(#REF!=0,"",#REF!)</f>
        <v>#REF!</v>
      </c>
      <c r="S832" s="81" t="e">
        <f>IF(#REF!=0,"",#REF!)</f>
        <v>#REF!</v>
      </c>
      <c r="T832" s="268"/>
      <c r="U832" s="268"/>
      <c r="V832" s="268"/>
    </row>
    <row r="833" ht="15" customHeight="1" spans="2:22">
      <c r="B833" s="6" t="e">
        <f t="shared" si="15"/>
        <v>#REF!</v>
      </c>
      <c r="C833" s="31" t="e">
        <f>#REF!</f>
        <v>#REF!</v>
      </c>
      <c r="D833" s="32" t="e">
        <f>IF(#REF!=0,"",#REF!)</f>
        <v>#REF!</v>
      </c>
      <c r="E833" s="36" t="e">
        <f>IF(#REF!=0,"",#REF!)</f>
        <v>#REF!</v>
      </c>
      <c r="F833" s="36" t="e">
        <f>IF(#REF!=0,"",#REF!)</f>
        <v>#REF!</v>
      </c>
      <c r="G833" s="103">
        <f>'27'!Q793</f>
        <v>0</v>
      </c>
      <c r="H833" s="160">
        <f>'27'!R793</f>
        <v>0</v>
      </c>
      <c r="I833" s="160">
        <f>'27'!S793</f>
        <v>0</v>
      </c>
      <c r="J833" s="160"/>
      <c r="K833" s="104">
        <f>'27'!T793</f>
        <v>0</v>
      </c>
      <c r="L833" s="36" t="e">
        <f>#REF!</f>
        <v>#REF!</v>
      </c>
      <c r="M833" s="103" t="e">
        <f>#REF!</f>
        <v>#REF!</v>
      </c>
      <c r="N833" s="160"/>
      <c r="O833" s="104" t="e">
        <f>#REF!</f>
        <v>#REF!</v>
      </c>
      <c r="P833" s="52" t="e">
        <f>IF(#REF!=0,"",#REF!)</f>
        <v>#REF!</v>
      </c>
      <c r="Q833" s="109" t="e">
        <f>IF(#REF!=0,"",#REF!)</f>
        <v>#REF!</v>
      </c>
      <c r="R833" s="36" t="e">
        <f>IF(#REF!=0,"",#REF!)</f>
        <v>#REF!</v>
      </c>
      <c r="S833" s="36" t="e">
        <f>IF(#REF!=0,"",#REF!)</f>
        <v>#REF!</v>
      </c>
      <c r="T833" s="268"/>
      <c r="U833" s="268"/>
      <c r="V833" s="268"/>
    </row>
    <row r="834" ht="15" customHeight="1" spans="2:22">
      <c r="B834" s="6" t="e">
        <f t="shared" si="15"/>
        <v>#REF!</v>
      </c>
      <c r="C834" s="83" t="e">
        <f>#REF!</f>
        <v>#REF!</v>
      </c>
      <c r="D834" s="110" t="e">
        <f>IF(#REF!=0,"",#REF!)</f>
        <v>#REF!</v>
      </c>
      <c r="E834" s="85" t="e">
        <f>IF(#REF!=0,"",#REF!)</f>
        <v>#REF!</v>
      </c>
      <c r="F834" s="85" t="e">
        <f>IF(#REF!=0,"",#REF!)</f>
        <v>#REF!</v>
      </c>
      <c r="G834" s="105">
        <f>'27'!Q794</f>
        <v>0</v>
      </c>
      <c r="H834" s="161">
        <f>'27'!R794</f>
        <v>0</v>
      </c>
      <c r="I834" s="161">
        <f>'27'!S794</f>
        <v>0</v>
      </c>
      <c r="J834" s="161"/>
      <c r="K834" s="106">
        <f>'27'!T794</f>
        <v>0</v>
      </c>
      <c r="L834" s="85" t="e">
        <f>#REF!</f>
        <v>#REF!</v>
      </c>
      <c r="M834" s="105" t="e">
        <f>#REF!</f>
        <v>#REF!</v>
      </c>
      <c r="N834" s="161"/>
      <c r="O834" s="106" t="e">
        <f>#REF!</f>
        <v>#REF!</v>
      </c>
      <c r="P834" s="107" t="e">
        <f>IF(#REF!=0,"",#REF!)</f>
        <v>#REF!</v>
      </c>
      <c r="Q834" s="111" t="e">
        <f>IF(#REF!=0,"",#REF!)</f>
        <v>#REF!</v>
      </c>
      <c r="R834" s="85" t="e">
        <f>IF(#REF!=0,"",#REF!)</f>
        <v>#REF!</v>
      </c>
      <c r="S834" s="85" t="e">
        <f>IF(#REF!=0,"",#REF!)</f>
        <v>#REF!</v>
      </c>
      <c r="T834" s="268"/>
      <c r="U834" s="268"/>
      <c r="V834" s="268"/>
    </row>
    <row r="835" ht="15" customHeight="1" spans="2:22">
      <c r="B835" s="6" t="e">
        <f t="shared" si="15"/>
        <v>#REF!</v>
      </c>
      <c r="C835" s="79" t="e">
        <f>#REF!</f>
        <v>#REF!</v>
      </c>
      <c r="D835" s="62" t="e">
        <f>IF(#REF!=0,"",#REF!)</f>
        <v>#REF!</v>
      </c>
      <c r="E835" s="81" t="e">
        <f>IF(#REF!=0,"",#REF!)</f>
        <v>#REF!</v>
      </c>
      <c r="F835" s="81" t="e">
        <f>IF(#REF!=0,"",#REF!)</f>
        <v>#REF!</v>
      </c>
      <c r="G835" s="100" t="e">
        <f>#REF!</f>
        <v>#REF!</v>
      </c>
      <c r="H835" s="159">
        <f>'27'!R795</f>
        <v>0</v>
      </c>
      <c r="I835" s="159">
        <f>'27'!S795</f>
        <v>0</v>
      </c>
      <c r="J835" s="159"/>
      <c r="K835" s="101">
        <f>'27'!T795</f>
        <v>0</v>
      </c>
      <c r="L835" s="81" t="e">
        <f>#REF!</f>
        <v>#REF!</v>
      </c>
      <c r="M835" s="100" t="e">
        <f>#REF!</f>
        <v>#REF!</v>
      </c>
      <c r="N835" s="159"/>
      <c r="O835" s="101" t="e">
        <f>#REF!</f>
        <v>#REF!</v>
      </c>
      <c r="P835" s="102" t="e">
        <f>IF(#REF!=0,"",#REF!)</f>
        <v>#REF!</v>
      </c>
      <c r="Q835" s="108" t="e">
        <f>IF(#REF!=0,"",#REF!)</f>
        <v>#REF!</v>
      </c>
      <c r="R835" s="81" t="e">
        <f>IF(#REF!=0,"",#REF!)</f>
        <v>#REF!</v>
      </c>
      <c r="S835" s="81" t="e">
        <f>IF(#REF!=0,"",#REF!)</f>
        <v>#REF!</v>
      </c>
      <c r="T835" s="268"/>
      <c r="U835" s="268"/>
      <c r="V835" s="268"/>
    </row>
    <row r="836" ht="15" customHeight="1" spans="2:22">
      <c r="B836" s="6" t="e">
        <f t="shared" si="15"/>
        <v>#REF!</v>
      </c>
      <c r="C836" s="31" t="e">
        <f>#REF!</f>
        <v>#REF!</v>
      </c>
      <c r="D836" s="32" t="e">
        <f>IF(#REF!=0,"",#REF!)</f>
        <v>#REF!</v>
      </c>
      <c r="E836" s="36" t="e">
        <f>IF(#REF!=0,"",#REF!)</f>
        <v>#REF!</v>
      </c>
      <c r="F836" s="36" t="e">
        <f>IF(#REF!=0,"",#REF!)</f>
        <v>#REF!</v>
      </c>
      <c r="G836" s="103">
        <f>'27'!Q796</f>
        <v>0</v>
      </c>
      <c r="H836" s="160">
        <f>'27'!R796</f>
        <v>0</v>
      </c>
      <c r="I836" s="160">
        <f>'27'!S796</f>
        <v>0</v>
      </c>
      <c r="J836" s="160"/>
      <c r="K836" s="104">
        <f>'27'!T796</f>
        <v>0</v>
      </c>
      <c r="L836" s="36" t="e">
        <f>#REF!</f>
        <v>#REF!</v>
      </c>
      <c r="M836" s="103" t="e">
        <f>#REF!</f>
        <v>#REF!</v>
      </c>
      <c r="N836" s="160"/>
      <c r="O836" s="104" t="e">
        <f>#REF!</f>
        <v>#REF!</v>
      </c>
      <c r="P836" s="52" t="e">
        <f>IF(#REF!=0,"",#REF!)</f>
        <v>#REF!</v>
      </c>
      <c r="Q836" s="109" t="e">
        <f>IF(#REF!=0,"",#REF!)</f>
        <v>#REF!</v>
      </c>
      <c r="R836" s="36" t="e">
        <f>IF(#REF!=0,"",#REF!)</f>
        <v>#REF!</v>
      </c>
      <c r="S836" s="36" t="e">
        <f>IF(#REF!=0,"",#REF!)</f>
        <v>#REF!</v>
      </c>
      <c r="T836" s="268"/>
      <c r="U836" s="268"/>
      <c r="V836" s="268"/>
    </row>
    <row r="837" ht="15" customHeight="1" spans="2:22">
      <c r="B837" s="6" t="e">
        <f t="shared" si="15"/>
        <v>#REF!</v>
      </c>
      <c r="C837" s="83" t="e">
        <f>#REF!</f>
        <v>#REF!</v>
      </c>
      <c r="D837" s="110" t="e">
        <f>IF(#REF!=0,"",#REF!)</f>
        <v>#REF!</v>
      </c>
      <c r="E837" s="85" t="e">
        <f>IF(#REF!=0,"",#REF!)</f>
        <v>#REF!</v>
      </c>
      <c r="F837" s="85" t="e">
        <f>IF(#REF!=0,"",#REF!)</f>
        <v>#REF!</v>
      </c>
      <c r="G837" s="105">
        <f>'27'!Q797</f>
        <v>0</v>
      </c>
      <c r="H837" s="161">
        <f>'27'!R797</f>
        <v>0</v>
      </c>
      <c r="I837" s="161">
        <f>'27'!S797</f>
        <v>0</v>
      </c>
      <c r="J837" s="161"/>
      <c r="K837" s="106">
        <f>'27'!T797</f>
        <v>0</v>
      </c>
      <c r="L837" s="85" t="e">
        <f>#REF!</f>
        <v>#REF!</v>
      </c>
      <c r="M837" s="105" t="e">
        <f>#REF!</f>
        <v>#REF!</v>
      </c>
      <c r="N837" s="161"/>
      <c r="O837" s="106" t="e">
        <f>#REF!</f>
        <v>#REF!</v>
      </c>
      <c r="P837" s="107" t="e">
        <f>IF(#REF!=0,"",#REF!)</f>
        <v>#REF!</v>
      </c>
      <c r="Q837" s="111" t="e">
        <f>IF(#REF!=0,"",#REF!)</f>
        <v>#REF!</v>
      </c>
      <c r="R837" s="85" t="e">
        <f>IF(#REF!=0,"",#REF!)</f>
        <v>#REF!</v>
      </c>
      <c r="S837" s="85" t="e">
        <f>IF(#REF!=0,"",#REF!)</f>
        <v>#REF!</v>
      </c>
      <c r="T837" s="268"/>
      <c r="U837" s="268"/>
      <c r="V837" s="268"/>
    </row>
    <row r="838" ht="15" customHeight="1" spans="2:22">
      <c r="B838" s="6" t="e">
        <f t="shared" si="15"/>
        <v>#REF!</v>
      </c>
      <c r="C838" s="79" t="e">
        <f>#REF!</f>
        <v>#REF!</v>
      </c>
      <c r="D838" s="62" t="e">
        <f>IF(#REF!=0,"",#REF!)</f>
        <v>#REF!</v>
      </c>
      <c r="E838" s="81" t="e">
        <f>IF(#REF!=0,"",#REF!)</f>
        <v>#REF!</v>
      </c>
      <c r="F838" s="81" t="e">
        <f>IF(#REF!=0,"",#REF!)</f>
        <v>#REF!</v>
      </c>
      <c r="G838" s="100" t="e">
        <f>#REF!</f>
        <v>#REF!</v>
      </c>
      <c r="H838" s="159">
        <f>'27'!R798</f>
        <v>0</v>
      </c>
      <c r="I838" s="159">
        <f>'27'!S798</f>
        <v>0</v>
      </c>
      <c r="J838" s="159"/>
      <c r="K838" s="101">
        <f>'27'!T798</f>
        <v>0</v>
      </c>
      <c r="L838" s="81" t="e">
        <f>#REF!</f>
        <v>#REF!</v>
      </c>
      <c r="M838" s="100" t="e">
        <f>#REF!</f>
        <v>#REF!</v>
      </c>
      <c r="N838" s="159"/>
      <c r="O838" s="101" t="e">
        <f>#REF!</f>
        <v>#REF!</v>
      </c>
      <c r="P838" s="102" t="e">
        <f>IF(#REF!=0,"",#REF!)</f>
        <v>#REF!</v>
      </c>
      <c r="Q838" s="108" t="e">
        <f>IF(#REF!=0,"",#REF!)</f>
        <v>#REF!</v>
      </c>
      <c r="R838" s="81" t="e">
        <f>IF(#REF!=0,"",#REF!)</f>
        <v>#REF!</v>
      </c>
      <c r="S838" s="81" t="e">
        <f>IF(#REF!=0,"",#REF!)</f>
        <v>#REF!</v>
      </c>
      <c r="T838" s="268"/>
      <c r="U838" s="268"/>
      <c r="V838" s="268"/>
    </row>
    <row r="839" ht="15" customHeight="1" spans="2:22">
      <c r="B839" s="6" t="e">
        <f t="shared" si="15"/>
        <v>#REF!</v>
      </c>
      <c r="C839" s="31" t="e">
        <f>#REF!</f>
        <v>#REF!</v>
      </c>
      <c r="D839" s="32" t="e">
        <f>IF(#REF!=0,"",#REF!)</f>
        <v>#REF!</v>
      </c>
      <c r="E839" s="36" t="e">
        <f>IF(#REF!=0,"",#REF!)</f>
        <v>#REF!</v>
      </c>
      <c r="F839" s="36" t="e">
        <f>IF(#REF!=0,"",#REF!)</f>
        <v>#REF!</v>
      </c>
      <c r="G839" s="103">
        <f>'27'!Q799</f>
        <v>0</v>
      </c>
      <c r="H839" s="160">
        <f>'27'!R799</f>
        <v>0</v>
      </c>
      <c r="I839" s="160">
        <f>'27'!S799</f>
        <v>0</v>
      </c>
      <c r="J839" s="160"/>
      <c r="K839" s="104">
        <f>'27'!T799</f>
        <v>0</v>
      </c>
      <c r="L839" s="36" t="e">
        <f>#REF!</f>
        <v>#REF!</v>
      </c>
      <c r="M839" s="103" t="e">
        <f>#REF!</f>
        <v>#REF!</v>
      </c>
      <c r="N839" s="160"/>
      <c r="O839" s="104" t="e">
        <f>#REF!</f>
        <v>#REF!</v>
      </c>
      <c r="P839" s="52" t="e">
        <f>IF(#REF!=0,"",#REF!)</f>
        <v>#REF!</v>
      </c>
      <c r="Q839" s="109" t="e">
        <f>IF(#REF!=0,"",#REF!)</f>
        <v>#REF!</v>
      </c>
      <c r="R839" s="36" t="e">
        <f>IF(#REF!=0,"",#REF!)</f>
        <v>#REF!</v>
      </c>
      <c r="S839" s="36" t="e">
        <f>IF(#REF!=0,"",#REF!)</f>
        <v>#REF!</v>
      </c>
      <c r="T839" s="268"/>
      <c r="U839" s="268"/>
      <c r="V839" s="268"/>
    </row>
    <row r="840" ht="15" customHeight="1" spans="2:22">
      <c r="B840" s="6" t="e">
        <f t="shared" si="15"/>
        <v>#REF!</v>
      </c>
      <c r="C840" s="83" t="e">
        <f>#REF!</f>
        <v>#REF!</v>
      </c>
      <c r="D840" s="110" t="e">
        <f>IF(#REF!=0,"",#REF!)</f>
        <v>#REF!</v>
      </c>
      <c r="E840" s="85" t="e">
        <f>IF(#REF!=0,"",#REF!)</f>
        <v>#REF!</v>
      </c>
      <c r="F840" s="85" t="e">
        <f>IF(#REF!=0,"",#REF!)</f>
        <v>#REF!</v>
      </c>
      <c r="G840" s="105">
        <f>'27'!Q800</f>
        <v>0</v>
      </c>
      <c r="H840" s="161">
        <f>'27'!R800</f>
        <v>0</v>
      </c>
      <c r="I840" s="161">
        <f>'27'!S800</f>
        <v>0</v>
      </c>
      <c r="J840" s="161"/>
      <c r="K840" s="106">
        <f>'27'!T800</f>
        <v>0</v>
      </c>
      <c r="L840" s="85" t="e">
        <f>#REF!</f>
        <v>#REF!</v>
      </c>
      <c r="M840" s="105" t="e">
        <f>#REF!</f>
        <v>#REF!</v>
      </c>
      <c r="N840" s="161"/>
      <c r="O840" s="106" t="e">
        <f>#REF!</f>
        <v>#REF!</v>
      </c>
      <c r="P840" s="107" t="e">
        <f>IF(#REF!=0,"",#REF!)</f>
        <v>#REF!</v>
      </c>
      <c r="Q840" s="111" t="e">
        <f>IF(#REF!=0,"",#REF!)</f>
        <v>#REF!</v>
      </c>
      <c r="R840" s="85" t="e">
        <f>IF(#REF!=0,"",#REF!)</f>
        <v>#REF!</v>
      </c>
      <c r="S840" s="85" t="e">
        <f>IF(#REF!=0,"",#REF!)</f>
        <v>#REF!</v>
      </c>
      <c r="T840" s="268"/>
      <c r="U840" s="268"/>
      <c r="V840" s="268"/>
    </row>
    <row r="841" ht="15" customHeight="1" spans="2:22">
      <c r="B841" s="6" t="e">
        <f t="shared" si="15"/>
        <v>#REF!</v>
      </c>
      <c r="C841" s="79" t="e">
        <f>#REF!</f>
        <v>#REF!</v>
      </c>
      <c r="D841" s="62" t="e">
        <f>IF(#REF!=0,"",#REF!)</f>
        <v>#REF!</v>
      </c>
      <c r="E841" s="81" t="e">
        <f>IF(#REF!=0,"",#REF!)</f>
        <v>#REF!</v>
      </c>
      <c r="F841" s="81" t="e">
        <f>IF(#REF!=0,"",#REF!)</f>
        <v>#REF!</v>
      </c>
      <c r="G841" s="100" t="e">
        <f>#REF!</f>
        <v>#REF!</v>
      </c>
      <c r="H841" s="159">
        <f>'27'!R801</f>
        <v>0</v>
      </c>
      <c r="I841" s="159">
        <f>'27'!S801</f>
        <v>0</v>
      </c>
      <c r="J841" s="159"/>
      <c r="K841" s="101">
        <f>'27'!T801</f>
        <v>0</v>
      </c>
      <c r="L841" s="81" t="e">
        <f>#REF!</f>
        <v>#REF!</v>
      </c>
      <c r="M841" s="100" t="e">
        <f>#REF!</f>
        <v>#REF!</v>
      </c>
      <c r="N841" s="159"/>
      <c r="O841" s="101" t="e">
        <f>#REF!</f>
        <v>#REF!</v>
      </c>
      <c r="P841" s="102" t="e">
        <f>IF(#REF!=0,"",#REF!)</f>
        <v>#REF!</v>
      </c>
      <c r="Q841" s="108" t="e">
        <f>IF(#REF!=0,"",#REF!)</f>
        <v>#REF!</v>
      </c>
      <c r="R841" s="81" t="e">
        <f>IF(#REF!=0,"",#REF!)</f>
        <v>#REF!</v>
      </c>
      <c r="S841" s="81" t="e">
        <f>IF(#REF!=0,"",#REF!)</f>
        <v>#REF!</v>
      </c>
      <c r="T841" s="268"/>
      <c r="U841" s="268"/>
      <c r="V841" s="268"/>
    </row>
    <row r="842" ht="15" customHeight="1" spans="2:22">
      <c r="B842" s="6" t="e">
        <f t="shared" si="15"/>
        <v>#REF!</v>
      </c>
      <c r="C842" s="31" t="e">
        <f>#REF!</f>
        <v>#REF!</v>
      </c>
      <c r="D842" s="32" t="e">
        <f>IF(#REF!=0,"",#REF!)</f>
        <v>#REF!</v>
      </c>
      <c r="E842" s="36" t="e">
        <f>IF(#REF!=0,"",#REF!)</f>
        <v>#REF!</v>
      </c>
      <c r="F842" s="36" t="e">
        <f>IF(#REF!=0,"",#REF!)</f>
        <v>#REF!</v>
      </c>
      <c r="G842" s="103">
        <f>'27'!Q802</f>
        <v>0</v>
      </c>
      <c r="H842" s="160">
        <f>'27'!R802</f>
        <v>0</v>
      </c>
      <c r="I842" s="160">
        <f>'27'!S802</f>
        <v>0</v>
      </c>
      <c r="J842" s="160"/>
      <c r="K842" s="104">
        <f>'27'!T802</f>
        <v>0</v>
      </c>
      <c r="L842" s="36" t="e">
        <f>#REF!</f>
        <v>#REF!</v>
      </c>
      <c r="M842" s="103" t="e">
        <f>#REF!</f>
        <v>#REF!</v>
      </c>
      <c r="N842" s="160"/>
      <c r="O842" s="104" t="e">
        <f>#REF!</f>
        <v>#REF!</v>
      </c>
      <c r="P842" s="52" t="e">
        <f>IF(#REF!=0,"",#REF!)</f>
        <v>#REF!</v>
      </c>
      <c r="Q842" s="109" t="e">
        <f>IF(#REF!=0,"",#REF!)</f>
        <v>#REF!</v>
      </c>
      <c r="R842" s="36" t="e">
        <f>IF(#REF!=0,"",#REF!)</f>
        <v>#REF!</v>
      </c>
      <c r="S842" s="36" t="e">
        <f>IF(#REF!=0,"",#REF!)</f>
        <v>#REF!</v>
      </c>
      <c r="T842" s="268"/>
      <c r="U842" s="268"/>
      <c r="V842" s="268"/>
    </row>
    <row r="843" ht="15" customHeight="1" spans="2:22">
      <c r="B843" s="6" t="e">
        <f t="shared" si="15"/>
        <v>#REF!</v>
      </c>
      <c r="C843" s="83" t="e">
        <f>#REF!</f>
        <v>#REF!</v>
      </c>
      <c r="D843" s="110" t="e">
        <f>IF(#REF!=0,"",#REF!)</f>
        <v>#REF!</v>
      </c>
      <c r="E843" s="85" t="e">
        <f>IF(#REF!=0,"",#REF!)</f>
        <v>#REF!</v>
      </c>
      <c r="F843" s="85" t="e">
        <f>IF(#REF!=0,"",#REF!)</f>
        <v>#REF!</v>
      </c>
      <c r="G843" s="105">
        <f>'27'!Q803</f>
        <v>0</v>
      </c>
      <c r="H843" s="161">
        <f>'27'!R803</f>
        <v>0</v>
      </c>
      <c r="I843" s="161">
        <f>'27'!S803</f>
        <v>0</v>
      </c>
      <c r="J843" s="161"/>
      <c r="K843" s="106">
        <f>'27'!T803</f>
        <v>0</v>
      </c>
      <c r="L843" s="85" t="e">
        <f>#REF!</f>
        <v>#REF!</v>
      </c>
      <c r="M843" s="105" t="e">
        <f>#REF!</f>
        <v>#REF!</v>
      </c>
      <c r="N843" s="161"/>
      <c r="O843" s="106" t="e">
        <f>#REF!</f>
        <v>#REF!</v>
      </c>
      <c r="P843" s="107" t="e">
        <f>IF(#REF!=0,"",#REF!)</f>
        <v>#REF!</v>
      </c>
      <c r="Q843" s="111" t="e">
        <f>IF(#REF!=0,"",#REF!)</f>
        <v>#REF!</v>
      </c>
      <c r="R843" s="85" t="e">
        <f>IF(#REF!=0,"",#REF!)</f>
        <v>#REF!</v>
      </c>
      <c r="S843" s="85" t="e">
        <f>IF(#REF!=0,"",#REF!)</f>
        <v>#REF!</v>
      </c>
      <c r="T843" s="268"/>
      <c r="U843" s="268"/>
      <c r="V843" s="268"/>
    </row>
    <row r="844" ht="15" customHeight="1" spans="2:22">
      <c r="B844" s="6" t="e">
        <f t="shared" si="15"/>
        <v>#REF!</v>
      </c>
      <c r="C844" s="79" t="e">
        <f>#REF!</f>
        <v>#REF!</v>
      </c>
      <c r="D844" s="62" t="e">
        <f>IF(#REF!=0,"",#REF!)</f>
        <v>#REF!</v>
      </c>
      <c r="E844" s="81" t="e">
        <f>IF(#REF!=0,"",#REF!)</f>
        <v>#REF!</v>
      </c>
      <c r="F844" s="81" t="e">
        <f>IF(#REF!=0,"",#REF!)</f>
        <v>#REF!</v>
      </c>
      <c r="G844" s="100" t="e">
        <f>#REF!</f>
        <v>#REF!</v>
      </c>
      <c r="H844" s="159">
        <f>'27'!R804</f>
        <v>0</v>
      </c>
      <c r="I844" s="159">
        <f>'27'!S804</f>
        <v>0</v>
      </c>
      <c r="J844" s="159"/>
      <c r="K844" s="101">
        <f>'27'!T804</f>
        <v>0</v>
      </c>
      <c r="L844" s="81" t="e">
        <f>#REF!</f>
        <v>#REF!</v>
      </c>
      <c r="M844" s="100" t="e">
        <f>#REF!</f>
        <v>#REF!</v>
      </c>
      <c r="N844" s="159"/>
      <c r="O844" s="101" t="e">
        <f>#REF!</f>
        <v>#REF!</v>
      </c>
      <c r="P844" s="102" t="e">
        <f>IF(#REF!=0,"",#REF!)</f>
        <v>#REF!</v>
      </c>
      <c r="Q844" s="108" t="e">
        <f>IF(#REF!=0,"",#REF!)</f>
        <v>#REF!</v>
      </c>
      <c r="R844" s="81" t="e">
        <f>IF(#REF!=0,"",#REF!)</f>
        <v>#REF!</v>
      </c>
      <c r="S844" s="81" t="e">
        <f>IF(#REF!=0,"",#REF!)</f>
        <v>#REF!</v>
      </c>
      <c r="T844" s="268"/>
      <c r="U844" s="268"/>
      <c r="V844" s="268"/>
    </row>
    <row r="845" ht="15" customHeight="1" spans="2:22">
      <c r="B845" s="6" t="e">
        <f t="shared" si="15"/>
        <v>#REF!</v>
      </c>
      <c r="C845" s="31" t="e">
        <f>#REF!</f>
        <v>#REF!</v>
      </c>
      <c r="D845" s="32" t="e">
        <f>IF(#REF!=0,"",#REF!)</f>
        <v>#REF!</v>
      </c>
      <c r="E845" s="36" t="e">
        <f>IF(#REF!=0,"",#REF!)</f>
        <v>#REF!</v>
      </c>
      <c r="F845" s="36" t="e">
        <f>IF(#REF!=0,"",#REF!)</f>
        <v>#REF!</v>
      </c>
      <c r="G845" s="103">
        <f>'27'!Q805</f>
        <v>0</v>
      </c>
      <c r="H845" s="160">
        <f>'27'!R805</f>
        <v>0</v>
      </c>
      <c r="I845" s="160">
        <f>'27'!S805</f>
        <v>0</v>
      </c>
      <c r="J845" s="160"/>
      <c r="K845" s="104">
        <f>'27'!T805</f>
        <v>0</v>
      </c>
      <c r="L845" s="36" t="e">
        <f>#REF!</f>
        <v>#REF!</v>
      </c>
      <c r="M845" s="103" t="e">
        <f>#REF!</f>
        <v>#REF!</v>
      </c>
      <c r="N845" s="160"/>
      <c r="O845" s="104" t="e">
        <f>#REF!</f>
        <v>#REF!</v>
      </c>
      <c r="P845" s="52" t="e">
        <f>IF(#REF!=0,"",#REF!)</f>
        <v>#REF!</v>
      </c>
      <c r="Q845" s="109" t="e">
        <f>IF(#REF!=0,"",#REF!)</f>
        <v>#REF!</v>
      </c>
      <c r="R845" s="36" t="e">
        <f>IF(#REF!=0,"",#REF!)</f>
        <v>#REF!</v>
      </c>
      <c r="S845" s="36" t="e">
        <f>IF(#REF!=0,"",#REF!)</f>
        <v>#REF!</v>
      </c>
      <c r="T845" s="268"/>
      <c r="U845" s="268"/>
      <c r="V845" s="268"/>
    </row>
    <row r="846" ht="15" customHeight="1" spans="2:22">
      <c r="B846" s="6" t="e">
        <f t="shared" si="15"/>
        <v>#REF!</v>
      </c>
      <c r="C846" s="83" t="e">
        <f>#REF!</f>
        <v>#REF!</v>
      </c>
      <c r="D846" s="110" t="e">
        <f>IF(#REF!=0,"",#REF!)</f>
        <v>#REF!</v>
      </c>
      <c r="E846" s="85" t="e">
        <f>IF(#REF!=0,"",#REF!)</f>
        <v>#REF!</v>
      </c>
      <c r="F846" s="85" t="e">
        <f>IF(#REF!=0,"",#REF!)</f>
        <v>#REF!</v>
      </c>
      <c r="G846" s="105">
        <f>'27'!Q806</f>
        <v>0</v>
      </c>
      <c r="H846" s="161">
        <f>'27'!R806</f>
        <v>0</v>
      </c>
      <c r="I846" s="161">
        <f>'27'!S806</f>
        <v>0</v>
      </c>
      <c r="J846" s="161"/>
      <c r="K846" s="106">
        <f>'27'!T806</f>
        <v>0</v>
      </c>
      <c r="L846" s="85" t="e">
        <f>#REF!</f>
        <v>#REF!</v>
      </c>
      <c r="M846" s="105" t="e">
        <f>#REF!</f>
        <v>#REF!</v>
      </c>
      <c r="N846" s="161"/>
      <c r="O846" s="106" t="e">
        <f>#REF!</f>
        <v>#REF!</v>
      </c>
      <c r="P846" s="107" t="e">
        <f>IF(#REF!=0,"",#REF!)</f>
        <v>#REF!</v>
      </c>
      <c r="Q846" s="111" t="e">
        <f>IF(#REF!=0,"",#REF!)</f>
        <v>#REF!</v>
      </c>
      <c r="R846" s="85" t="e">
        <f>IF(#REF!=0,"",#REF!)</f>
        <v>#REF!</v>
      </c>
      <c r="S846" s="85" t="e">
        <f>IF(#REF!=0,"",#REF!)</f>
        <v>#REF!</v>
      </c>
      <c r="T846" s="268"/>
      <c r="U846" s="268"/>
      <c r="V846" s="268"/>
    </row>
    <row r="847" ht="15" customHeight="1" spans="2:22">
      <c r="B847" s="6" t="e">
        <f t="shared" si="15"/>
        <v>#REF!</v>
      </c>
      <c r="C847" s="79" t="e">
        <f>#REF!</f>
        <v>#REF!</v>
      </c>
      <c r="D847" s="62" t="e">
        <f>IF(#REF!=0,"",#REF!)</f>
        <v>#REF!</v>
      </c>
      <c r="E847" s="81" t="e">
        <f>IF(#REF!=0,"",#REF!)</f>
        <v>#REF!</v>
      </c>
      <c r="F847" s="81" t="e">
        <f>IF(#REF!=0,"",#REF!)</f>
        <v>#REF!</v>
      </c>
      <c r="G847" s="100" t="e">
        <f>#REF!</f>
        <v>#REF!</v>
      </c>
      <c r="H847" s="159">
        <f>'27'!R807</f>
        <v>0</v>
      </c>
      <c r="I847" s="159">
        <f>'27'!S807</f>
        <v>0</v>
      </c>
      <c r="J847" s="159"/>
      <c r="K847" s="101">
        <f>'27'!T807</f>
        <v>0</v>
      </c>
      <c r="L847" s="81" t="e">
        <f>#REF!</f>
        <v>#REF!</v>
      </c>
      <c r="M847" s="100" t="e">
        <f>#REF!</f>
        <v>#REF!</v>
      </c>
      <c r="N847" s="159"/>
      <c r="O847" s="101" t="e">
        <f>#REF!</f>
        <v>#REF!</v>
      </c>
      <c r="P847" s="102" t="e">
        <f>IF(#REF!=0,"",#REF!)</f>
        <v>#REF!</v>
      </c>
      <c r="Q847" s="108" t="e">
        <f>IF(#REF!=0,"",#REF!)</f>
        <v>#REF!</v>
      </c>
      <c r="R847" s="81" t="e">
        <f>IF(#REF!=0,"",#REF!)</f>
        <v>#REF!</v>
      </c>
      <c r="S847" s="81" t="e">
        <f>IF(#REF!=0,"",#REF!)</f>
        <v>#REF!</v>
      </c>
      <c r="T847" s="268"/>
      <c r="U847" s="268"/>
      <c r="V847" s="268"/>
    </row>
    <row r="848" ht="15" customHeight="1" spans="2:22">
      <c r="B848" s="6" t="e">
        <f t="shared" si="15"/>
        <v>#REF!</v>
      </c>
      <c r="C848" s="31" t="e">
        <f>#REF!</f>
        <v>#REF!</v>
      </c>
      <c r="D848" s="32" t="e">
        <f>IF(#REF!=0,"",#REF!)</f>
        <v>#REF!</v>
      </c>
      <c r="E848" s="36" t="e">
        <f>IF(#REF!=0,"",#REF!)</f>
        <v>#REF!</v>
      </c>
      <c r="F848" s="36" t="e">
        <f>IF(#REF!=0,"",#REF!)</f>
        <v>#REF!</v>
      </c>
      <c r="G848" s="103">
        <f>'27'!Q808</f>
        <v>0</v>
      </c>
      <c r="H848" s="160">
        <f>'27'!R808</f>
        <v>0</v>
      </c>
      <c r="I848" s="160">
        <f>'27'!S808</f>
        <v>0</v>
      </c>
      <c r="J848" s="160"/>
      <c r="K848" s="104">
        <f>'27'!T808</f>
        <v>0</v>
      </c>
      <c r="L848" s="36" t="e">
        <f>#REF!</f>
        <v>#REF!</v>
      </c>
      <c r="M848" s="103" t="e">
        <f>#REF!</f>
        <v>#REF!</v>
      </c>
      <c r="N848" s="160"/>
      <c r="O848" s="104" t="e">
        <f>#REF!</f>
        <v>#REF!</v>
      </c>
      <c r="P848" s="52" t="e">
        <f>IF(#REF!=0,"",#REF!)</f>
        <v>#REF!</v>
      </c>
      <c r="Q848" s="109" t="e">
        <f>IF(#REF!=0,"",#REF!)</f>
        <v>#REF!</v>
      </c>
      <c r="R848" s="36" t="e">
        <f>IF(#REF!=0,"",#REF!)</f>
        <v>#REF!</v>
      </c>
      <c r="S848" s="36" t="e">
        <f>IF(#REF!=0,"",#REF!)</f>
        <v>#REF!</v>
      </c>
      <c r="T848" s="268"/>
      <c r="U848" s="268"/>
      <c r="V848" s="268"/>
    </row>
    <row r="849" ht="15" customHeight="1" spans="2:22">
      <c r="B849" s="6" t="e">
        <f t="shared" si="15"/>
        <v>#REF!</v>
      </c>
      <c r="C849" s="83" t="e">
        <f>#REF!</f>
        <v>#REF!</v>
      </c>
      <c r="D849" s="110" t="e">
        <f>IF(#REF!=0,"",#REF!)</f>
        <v>#REF!</v>
      </c>
      <c r="E849" s="85" t="e">
        <f>IF(#REF!=0,"",#REF!)</f>
        <v>#REF!</v>
      </c>
      <c r="F849" s="85" t="e">
        <f>IF(#REF!=0,"",#REF!)</f>
        <v>#REF!</v>
      </c>
      <c r="G849" s="105">
        <f>'27'!Q809</f>
        <v>0</v>
      </c>
      <c r="H849" s="161">
        <f>'27'!R809</f>
        <v>0</v>
      </c>
      <c r="I849" s="161">
        <f>'27'!S809</f>
        <v>0</v>
      </c>
      <c r="J849" s="161"/>
      <c r="K849" s="106">
        <f>'27'!T809</f>
        <v>0</v>
      </c>
      <c r="L849" s="85" t="e">
        <f>#REF!</f>
        <v>#REF!</v>
      </c>
      <c r="M849" s="105" t="e">
        <f>#REF!</f>
        <v>#REF!</v>
      </c>
      <c r="N849" s="161"/>
      <c r="O849" s="106" t="e">
        <f>#REF!</f>
        <v>#REF!</v>
      </c>
      <c r="P849" s="107" t="e">
        <f>IF(#REF!=0,"",#REF!)</f>
        <v>#REF!</v>
      </c>
      <c r="Q849" s="111" t="e">
        <f>IF(#REF!=0,"",#REF!)</f>
        <v>#REF!</v>
      </c>
      <c r="R849" s="85" t="e">
        <f>IF(#REF!=0,"",#REF!)</f>
        <v>#REF!</v>
      </c>
      <c r="S849" s="85" t="e">
        <f>IF(#REF!=0,"",#REF!)</f>
        <v>#REF!</v>
      </c>
      <c r="T849" s="268"/>
      <c r="U849" s="268"/>
      <c r="V849" s="268"/>
    </row>
    <row r="850" ht="15" customHeight="1" spans="2:22">
      <c r="B850" s="6" t="e">
        <f t="shared" si="15"/>
        <v>#REF!</v>
      </c>
      <c r="C850" s="79" t="e">
        <f>#REF!</f>
        <v>#REF!</v>
      </c>
      <c r="D850" s="62" t="e">
        <f>IF(#REF!=0,"",#REF!)</f>
        <v>#REF!</v>
      </c>
      <c r="E850" s="81" t="e">
        <f>IF(#REF!=0,"",#REF!)</f>
        <v>#REF!</v>
      </c>
      <c r="F850" s="81" t="e">
        <f>IF(#REF!=0,"",#REF!)</f>
        <v>#REF!</v>
      </c>
      <c r="G850" s="100" t="e">
        <f>#REF!</f>
        <v>#REF!</v>
      </c>
      <c r="H850" s="159">
        <f>'27'!R810</f>
        <v>0</v>
      </c>
      <c r="I850" s="159">
        <f>'27'!S810</f>
        <v>0</v>
      </c>
      <c r="J850" s="159"/>
      <c r="K850" s="101">
        <f>'27'!T810</f>
        <v>0</v>
      </c>
      <c r="L850" s="81" t="e">
        <f>#REF!</f>
        <v>#REF!</v>
      </c>
      <c r="M850" s="100" t="e">
        <f>#REF!</f>
        <v>#REF!</v>
      </c>
      <c r="N850" s="159"/>
      <c r="O850" s="101" t="e">
        <f>#REF!</f>
        <v>#REF!</v>
      </c>
      <c r="P850" s="102" t="e">
        <f>IF(#REF!=0,"",#REF!)</f>
        <v>#REF!</v>
      </c>
      <c r="Q850" s="108" t="e">
        <f>IF(#REF!=0,"",#REF!)</f>
        <v>#REF!</v>
      </c>
      <c r="R850" s="81" t="e">
        <f>IF(#REF!=0,"",#REF!)</f>
        <v>#REF!</v>
      </c>
      <c r="S850" s="81" t="e">
        <f>IF(#REF!=0,"",#REF!)</f>
        <v>#REF!</v>
      </c>
      <c r="T850" s="268"/>
      <c r="U850" s="268"/>
      <c r="V850" s="268"/>
    </row>
    <row r="851" ht="15" customHeight="1" spans="2:22">
      <c r="B851" s="6" t="e">
        <f t="shared" si="15"/>
        <v>#REF!</v>
      </c>
      <c r="C851" s="31" t="e">
        <f>#REF!</f>
        <v>#REF!</v>
      </c>
      <c r="D851" s="32" t="e">
        <f>IF(#REF!=0,"",#REF!)</f>
        <v>#REF!</v>
      </c>
      <c r="E851" s="36" t="e">
        <f>IF(#REF!=0,"",#REF!)</f>
        <v>#REF!</v>
      </c>
      <c r="F851" s="36" t="e">
        <f>IF(#REF!=0,"",#REF!)</f>
        <v>#REF!</v>
      </c>
      <c r="G851" s="103">
        <f>'27'!Q811</f>
        <v>0</v>
      </c>
      <c r="H851" s="160">
        <f>'27'!R811</f>
        <v>0</v>
      </c>
      <c r="I851" s="160">
        <f>'27'!S811</f>
        <v>0</v>
      </c>
      <c r="J851" s="160"/>
      <c r="K851" s="104">
        <f>'27'!T811</f>
        <v>0</v>
      </c>
      <c r="L851" s="36" t="e">
        <f>#REF!</f>
        <v>#REF!</v>
      </c>
      <c r="M851" s="103" t="e">
        <f>#REF!</f>
        <v>#REF!</v>
      </c>
      <c r="N851" s="160"/>
      <c r="O851" s="104" t="e">
        <f>#REF!</f>
        <v>#REF!</v>
      </c>
      <c r="P851" s="52" t="e">
        <f>IF(#REF!=0,"",#REF!)</f>
        <v>#REF!</v>
      </c>
      <c r="Q851" s="109" t="e">
        <f>IF(#REF!=0,"",#REF!)</f>
        <v>#REF!</v>
      </c>
      <c r="R851" s="36" t="e">
        <f>IF(#REF!=0,"",#REF!)</f>
        <v>#REF!</v>
      </c>
      <c r="S851" s="36" t="e">
        <f>IF(#REF!=0,"",#REF!)</f>
        <v>#REF!</v>
      </c>
      <c r="T851" s="268"/>
      <c r="U851" s="268"/>
      <c r="V851" s="268"/>
    </row>
    <row r="852" ht="15" customHeight="1" spans="2:22">
      <c r="B852" s="6" t="e">
        <f t="shared" si="15"/>
        <v>#REF!</v>
      </c>
      <c r="C852" s="83" t="e">
        <f>#REF!</f>
        <v>#REF!</v>
      </c>
      <c r="D852" s="110" t="e">
        <f>IF(#REF!=0,"",#REF!)</f>
        <v>#REF!</v>
      </c>
      <c r="E852" s="85" t="e">
        <f>IF(#REF!=0,"",#REF!)</f>
        <v>#REF!</v>
      </c>
      <c r="F852" s="85" t="e">
        <f>IF(#REF!=0,"",#REF!)</f>
        <v>#REF!</v>
      </c>
      <c r="G852" s="105">
        <f>'27'!Q812</f>
        <v>0</v>
      </c>
      <c r="H852" s="161">
        <f>'27'!R812</f>
        <v>0</v>
      </c>
      <c r="I852" s="161">
        <f>'27'!S812</f>
        <v>0</v>
      </c>
      <c r="J852" s="161"/>
      <c r="K852" s="106">
        <f>'27'!T812</f>
        <v>0</v>
      </c>
      <c r="L852" s="85" t="e">
        <f>#REF!</f>
        <v>#REF!</v>
      </c>
      <c r="M852" s="105" t="e">
        <f>#REF!</f>
        <v>#REF!</v>
      </c>
      <c r="N852" s="161"/>
      <c r="O852" s="106" t="e">
        <f>#REF!</f>
        <v>#REF!</v>
      </c>
      <c r="P852" s="107" t="e">
        <f>IF(#REF!=0,"",#REF!)</f>
        <v>#REF!</v>
      </c>
      <c r="Q852" s="111" t="e">
        <f>IF(#REF!=0,"",#REF!)</f>
        <v>#REF!</v>
      </c>
      <c r="R852" s="85" t="e">
        <f>IF(#REF!=0,"",#REF!)</f>
        <v>#REF!</v>
      </c>
      <c r="S852" s="85" t="e">
        <f>IF(#REF!=0,"",#REF!)</f>
        <v>#REF!</v>
      </c>
      <c r="T852" s="268"/>
      <c r="U852" s="268"/>
      <c r="V852" s="268"/>
    </row>
    <row r="853" ht="15" customHeight="1" spans="2:22">
      <c r="B853" s="6" t="e">
        <f t="shared" si="15"/>
        <v>#REF!</v>
      </c>
      <c r="C853" s="79" t="e">
        <f>#REF!</f>
        <v>#REF!</v>
      </c>
      <c r="D853" s="62" t="e">
        <f>IF(#REF!=0,"",#REF!)</f>
        <v>#REF!</v>
      </c>
      <c r="E853" s="81" t="e">
        <f>IF(#REF!=0,"",#REF!)</f>
        <v>#REF!</v>
      </c>
      <c r="F853" s="81" t="e">
        <f>IF(#REF!=0,"",#REF!)</f>
        <v>#REF!</v>
      </c>
      <c r="G853" s="100" t="e">
        <f>#REF!</f>
        <v>#REF!</v>
      </c>
      <c r="H853" s="159">
        <f>'27'!R813</f>
        <v>0</v>
      </c>
      <c r="I853" s="159">
        <f>'27'!S813</f>
        <v>0</v>
      </c>
      <c r="J853" s="159"/>
      <c r="K853" s="101">
        <f>'27'!T813</f>
        <v>0</v>
      </c>
      <c r="L853" s="81" t="e">
        <f>#REF!</f>
        <v>#REF!</v>
      </c>
      <c r="M853" s="100" t="e">
        <f>#REF!</f>
        <v>#REF!</v>
      </c>
      <c r="N853" s="159"/>
      <c r="O853" s="101" t="e">
        <f>#REF!</f>
        <v>#REF!</v>
      </c>
      <c r="P853" s="102" t="e">
        <f>IF(#REF!=0,"",#REF!)</f>
        <v>#REF!</v>
      </c>
      <c r="Q853" s="108" t="e">
        <f>IF(#REF!=0,"",#REF!)</f>
        <v>#REF!</v>
      </c>
      <c r="R853" s="81" t="e">
        <f>IF(#REF!=0,"",#REF!)</f>
        <v>#REF!</v>
      </c>
      <c r="S853" s="81" t="e">
        <f>IF(#REF!=0,"",#REF!)</f>
        <v>#REF!</v>
      </c>
      <c r="T853" s="268"/>
      <c r="U853" s="268"/>
      <c r="V853" s="268"/>
    </row>
    <row r="854" ht="15" customHeight="1" spans="2:22">
      <c r="B854" s="6" t="e">
        <f t="shared" si="15"/>
        <v>#REF!</v>
      </c>
      <c r="C854" s="31" t="e">
        <f>#REF!</f>
        <v>#REF!</v>
      </c>
      <c r="D854" s="32" t="e">
        <f>IF(#REF!=0,"",#REF!)</f>
        <v>#REF!</v>
      </c>
      <c r="E854" s="36" t="e">
        <f>IF(#REF!=0,"",#REF!)</f>
        <v>#REF!</v>
      </c>
      <c r="F854" s="36" t="e">
        <f>IF(#REF!=0,"",#REF!)</f>
        <v>#REF!</v>
      </c>
      <c r="G854" s="103">
        <f>'27'!Q814</f>
        <v>0</v>
      </c>
      <c r="H854" s="160">
        <f>'27'!R814</f>
        <v>0</v>
      </c>
      <c r="I854" s="160">
        <f>'27'!S814</f>
        <v>0</v>
      </c>
      <c r="J854" s="160"/>
      <c r="K854" s="104">
        <f>'27'!T814</f>
        <v>0</v>
      </c>
      <c r="L854" s="36" t="e">
        <f>#REF!</f>
        <v>#REF!</v>
      </c>
      <c r="M854" s="103" t="e">
        <f>#REF!</f>
        <v>#REF!</v>
      </c>
      <c r="N854" s="160"/>
      <c r="O854" s="104" t="e">
        <f>#REF!</f>
        <v>#REF!</v>
      </c>
      <c r="P854" s="52" t="e">
        <f>IF(#REF!=0,"",#REF!)</f>
        <v>#REF!</v>
      </c>
      <c r="Q854" s="109" t="e">
        <f>IF(#REF!=0,"",#REF!)</f>
        <v>#REF!</v>
      </c>
      <c r="R854" s="36" t="e">
        <f>IF(#REF!=0,"",#REF!)</f>
        <v>#REF!</v>
      </c>
      <c r="S854" s="36" t="e">
        <f>IF(#REF!=0,"",#REF!)</f>
        <v>#REF!</v>
      </c>
      <c r="T854" s="268"/>
      <c r="U854" s="268"/>
      <c r="V854" s="268"/>
    </row>
    <row r="855" ht="15" customHeight="1" spans="2:22">
      <c r="B855" s="6" t="e">
        <f t="shared" si="15"/>
        <v>#REF!</v>
      </c>
      <c r="C855" s="83" t="e">
        <f>#REF!</f>
        <v>#REF!</v>
      </c>
      <c r="D855" s="110" t="e">
        <f>IF(#REF!=0,"",#REF!)</f>
        <v>#REF!</v>
      </c>
      <c r="E855" s="85" t="e">
        <f>IF(#REF!=0,"",#REF!)</f>
        <v>#REF!</v>
      </c>
      <c r="F855" s="85" t="e">
        <f>IF(#REF!=0,"",#REF!)</f>
        <v>#REF!</v>
      </c>
      <c r="G855" s="105">
        <f>'27'!Q815</f>
        <v>0</v>
      </c>
      <c r="H855" s="161">
        <f>'27'!R815</f>
        <v>0</v>
      </c>
      <c r="I855" s="161">
        <f>'27'!S815</f>
        <v>0</v>
      </c>
      <c r="J855" s="161"/>
      <c r="K855" s="106">
        <f>'27'!T815</f>
        <v>0</v>
      </c>
      <c r="L855" s="85" t="e">
        <f>#REF!</f>
        <v>#REF!</v>
      </c>
      <c r="M855" s="105" t="e">
        <f>#REF!</f>
        <v>#REF!</v>
      </c>
      <c r="N855" s="161"/>
      <c r="O855" s="106" t="e">
        <f>#REF!</f>
        <v>#REF!</v>
      </c>
      <c r="P855" s="107" t="e">
        <f>IF(#REF!=0,"",#REF!)</f>
        <v>#REF!</v>
      </c>
      <c r="Q855" s="111" t="e">
        <f>IF(#REF!=0,"",#REF!)</f>
        <v>#REF!</v>
      </c>
      <c r="R855" s="85" t="e">
        <f>IF(#REF!=0,"",#REF!)</f>
        <v>#REF!</v>
      </c>
      <c r="S855" s="85" t="e">
        <f>IF(#REF!=0,"",#REF!)</f>
        <v>#REF!</v>
      </c>
      <c r="T855" s="268"/>
      <c r="U855" s="268"/>
      <c r="V855" s="268"/>
    </row>
    <row r="856" ht="15" customHeight="1" spans="2:22">
      <c r="B856" s="6" t="e">
        <f t="shared" si="15"/>
        <v>#REF!</v>
      </c>
      <c r="C856" s="79" t="e">
        <f>#REF!</f>
        <v>#REF!</v>
      </c>
      <c r="D856" s="62" t="e">
        <f>IF(#REF!=0,"",#REF!)</f>
        <v>#REF!</v>
      </c>
      <c r="E856" s="81" t="e">
        <f>IF(#REF!=0,"",#REF!)</f>
        <v>#REF!</v>
      </c>
      <c r="F856" s="81" t="e">
        <f>IF(#REF!=0,"",#REF!)</f>
        <v>#REF!</v>
      </c>
      <c r="G856" s="100" t="e">
        <f>#REF!</f>
        <v>#REF!</v>
      </c>
      <c r="H856" s="159">
        <f>'27'!R816</f>
        <v>0</v>
      </c>
      <c r="I856" s="159">
        <f>'27'!S816</f>
        <v>0</v>
      </c>
      <c r="J856" s="159"/>
      <c r="K856" s="101">
        <f>'27'!T816</f>
        <v>0</v>
      </c>
      <c r="L856" s="81" t="e">
        <f>#REF!</f>
        <v>#REF!</v>
      </c>
      <c r="M856" s="100" t="e">
        <f>#REF!</f>
        <v>#REF!</v>
      </c>
      <c r="N856" s="159"/>
      <c r="O856" s="101" t="e">
        <f>#REF!</f>
        <v>#REF!</v>
      </c>
      <c r="P856" s="102" t="e">
        <f>IF(#REF!=0,"",#REF!)</f>
        <v>#REF!</v>
      </c>
      <c r="Q856" s="108" t="e">
        <f>IF(#REF!=0,"",#REF!)</f>
        <v>#REF!</v>
      </c>
      <c r="R856" s="81" t="e">
        <f>IF(#REF!=0,"",#REF!)</f>
        <v>#REF!</v>
      </c>
      <c r="S856" s="81" t="e">
        <f>IF(#REF!=0,"",#REF!)</f>
        <v>#REF!</v>
      </c>
      <c r="T856" s="268"/>
      <c r="U856" s="268"/>
      <c r="V856" s="268"/>
    </row>
    <row r="857" ht="15" customHeight="1" spans="2:22">
      <c r="B857" s="6" t="e">
        <f t="shared" si="15"/>
        <v>#REF!</v>
      </c>
      <c r="C857" s="31" t="e">
        <f>#REF!</f>
        <v>#REF!</v>
      </c>
      <c r="D857" s="32" t="e">
        <f>IF(#REF!=0,"",#REF!)</f>
        <v>#REF!</v>
      </c>
      <c r="E857" s="36" t="e">
        <f>IF(#REF!=0,"",#REF!)</f>
        <v>#REF!</v>
      </c>
      <c r="F857" s="36" t="e">
        <f>IF(#REF!=0,"",#REF!)</f>
        <v>#REF!</v>
      </c>
      <c r="G857" s="103">
        <f>'27'!Q817</f>
        <v>0</v>
      </c>
      <c r="H857" s="160">
        <f>'27'!R817</f>
        <v>0</v>
      </c>
      <c r="I857" s="160">
        <f>'27'!S817</f>
        <v>0</v>
      </c>
      <c r="J857" s="160"/>
      <c r="K857" s="104">
        <f>'27'!T817</f>
        <v>0</v>
      </c>
      <c r="L857" s="36" t="e">
        <f>#REF!</f>
        <v>#REF!</v>
      </c>
      <c r="M857" s="103" t="e">
        <f>#REF!</f>
        <v>#REF!</v>
      </c>
      <c r="N857" s="160"/>
      <c r="O857" s="104" t="e">
        <f>#REF!</f>
        <v>#REF!</v>
      </c>
      <c r="P857" s="52" t="e">
        <f>IF(#REF!=0,"",#REF!)</f>
        <v>#REF!</v>
      </c>
      <c r="Q857" s="109" t="e">
        <f>IF(#REF!=0,"",#REF!)</f>
        <v>#REF!</v>
      </c>
      <c r="R857" s="36" t="e">
        <f>IF(#REF!=0,"",#REF!)</f>
        <v>#REF!</v>
      </c>
      <c r="S857" s="36" t="e">
        <f>IF(#REF!=0,"",#REF!)</f>
        <v>#REF!</v>
      </c>
      <c r="T857" s="268"/>
      <c r="U857" s="268"/>
      <c r="V857" s="268"/>
    </row>
    <row r="858" ht="15" customHeight="1" spans="2:22">
      <c r="B858" s="6" t="e">
        <f t="shared" si="15"/>
        <v>#REF!</v>
      </c>
      <c r="C858" s="83" t="e">
        <f>#REF!</f>
        <v>#REF!</v>
      </c>
      <c r="D858" s="110" t="e">
        <f>IF(#REF!=0,"",#REF!)</f>
        <v>#REF!</v>
      </c>
      <c r="E858" s="85" t="e">
        <f>IF(#REF!=0,"",#REF!)</f>
        <v>#REF!</v>
      </c>
      <c r="F858" s="85" t="e">
        <f>IF(#REF!=0,"",#REF!)</f>
        <v>#REF!</v>
      </c>
      <c r="G858" s="105">
        <f>'27'!Q818</f>
        <v>0</v>
      </c>
      <c r="H858" s="161">
        <f>'27'!R818</f>
        <v>0</v>
      </c>
      <c r="I858" s="161">
        <f>'27'!S818</f>
        <v>0</v>
      </c>
      <c r="J858" s="161"/>
      <c r="K858" s="106">
        <f>'27'!T818</f>
        <v>0</v>
      </c>
      <c r="L858" s="85" t="e">
        <f>#REF!</f>
        <v>#REF!</v>
      </c>
      <c r="M858" s="105" t="e">
        <f>#REF!</f>
        <v>#REF!</v>
      </c>
      <c r="N858" s="161"/>
      <c r="O858" s="106" t="e">
        <f>#REF!</f>
        <v>#REF!</v>
      </c>
      <c r="P858" s="107" t="e">
        <f>IF(#REF!=0,"",#REF!)</f>
        <v>#REF!</v>
      </c>
      <c r="Q858" s="111" t="e">
        <f>IF(#REF!=0,"",#REF!)</f>
        <v>#REF!</v>
      </c>
      <c r="R858" s="85" t="e">
        <f>IF(#REF!=0,"",#REF!)</f>
        <v>#REF!</v>
      </c>
      <c r="S858" s="85" t="e">
        <f>IF(#REF!=0,"",#REF!)</f>
        <v>#REF!</v>
      </c>
      <c r="T858" s="268"/>
      <c r="U858" s="268"/>
      <c r="V858" s="268"/>
    </row>
    <row r="859" ht="15" customHeight="1" spans="2:22">
      <c r="B859" s="6" t="e">
        <f t="shared" si="15"/>
        <v>#REF!</v>
      </c>
      <c r="C859" s="79" t="e">
        <f>#REF!</f>
        <v>#REF!</v>
      </c>
      <c r="D859" s="62" t="e">
        <f>IF(#REF!=0,"",#REF!)</f>
        <v>#REF!</v>
      </c>
      <c r="E859" s="81" t="e">
        <f>IF(#REF!=0,"",#REF!)</f>
        <v>#REF!</v>
      </c>
      <c r="F859" s="81" t="e">
        <f>IF(#REF!=0,"",#REF!)</f>
        <v>#REF!</v>
      </c>
      <c r="G859" s="100" t="e">
        <f>#REF!</f>
        <v>#REF!</v>
      </c>
      <c r="H859" s="159">
        <f>'27'!R819</f>
        <v>0</v>
      </c>
      <c r="I859" s="159">
        <f>'27'!S819</f>
        <v>0</v>
      </c>
      <c r="J859" s="159"/>
      <c r="K859" s="101">
        <f>'27'!T819</f>
        <v>0</v>
      </c>
      <c r="L859" s="81" t="e">
        <f>#REF!</f>
        <v>#REF!</v>
      </c>
      <c r="M859" s="100" t="e">
        <f>#REF!</f>
        <v>#REF!</v>
      </c>
      <c r="N859" s="159"/>
      <c r="O859" s="101" t="e">
        <f>#REF!</f>
        <v>#REF!</v>
      </c>
      <c r="P859" s="102" t="e">
        <f>IF(#REF!=0,"",#REF!)</f>
        <v>#REF!</v>
      </c>
      <c r="Q859" s="108" t="e">
        <f>IF(#REF!=0,"",#REF!)</f>
        <v>#REF!</v>
      </c>
      <c r="R859" s="81" t="e">
        <f>IF(#REF!=0,"",#REF!)</f>
        <v>#REF!</v>
      </c>
      <c r="S859" s="81" t="e">
        <f>IF(#REF!=0,"",#REF!)</f>
        <v>#REF!</v>
      </c>
      <c r="T859" s="268"/>
      <c r="U859" s="268"/>
      <c r="V859" s="268"/>
    </row>
    <row r="860" ht="15" customHeight="1" spans="2:22">
      <c r="B860" s="6" t="e">
        <f t="shared" si="15"/>
        <v>#REF!</v>
      </c>
      <c r="C860" s="31" t="e">
        <f>#REF!</f>
        <v>#REF!</v>
      </c>
      <c r="D860" s="32" t="e">
        <f>IF(#REF!=0,"",#REF!)</f>
        <v>#REF!</v>
      </c>
      <c r="E860" s="36" t="e">
        <f>IF(#REF!=0,"",#REF!)</f>
        <v>#REF!</v>
      </c>
      <c r="F860" s="36" t="e">
        <f>IF(#REF!=0,"",#REF!)</f>
        <v>#REF!</v>
      </c>
      <c r="G860" s="103">
        <f>'27'!Q820</f>
        <v>0</v>
      </c>
      <c r="H860" s="160">
        <f>'27'!R820</f>
        <v>0</v>
      </c>
      <c r="I860" s="160">
        <f>'27'!S820</f>
        <v>0</v>
      </c>
      <c r="J860" s="160"/>
      <c r="K860" s="104">
        <f>'27'!T820</f>
        <v>0</v>
      </c>
      <c r="L860" s="36" t="e">
        <f>#REF!</f>
        <v>#REF!</v>
      </c>
      <c r="M860" s="103" t="e">
        <f>#REF!</f>
        <v>#REF!</v>
      </c>
      <c r="N860" s="160"/>
      <c r="O860" s="104" t="e">
        <f>#REF!</f>
        <v>#REF!</v>
      </c>
      <c r="P860" s="52" t="e">
        <f>IF(#REF!=0,"",#REF!)</f>
        <v>#REF!</v>
      </c>
      <c r="Q860" s="109" t="e">
        <f>IF(#REF!=0,"",#REF!)</f>
        <v>#REF!</v>
      </c>
      <c r="R860" s="36" t="e">
        <f>IF(#REF!=0,"",#REF!)</f>
        <v>#REF!</v>
      </c>
      <c r="S860" s="36" t="e">
        <f>IF(#REF!=0,"",#REF!)</f>
        <v>#REF!</v>
      </c>
      <c r="T860" s="268"/>
      <c r="U860" s="268"/>
      <c r="V860" s="268"/>
    </row>
    <row r="861" ht="15" customHeight="1" spans="2:22">
      <c r="B861" s="6" t="e">
        <f t="shared" si="15"/>
        <v>#REF!</v>
      </c>
      <c r="C861" s="83" t="e">
        <f>#REF!</f>
        <v>#REF!</v>
      </c>
      <c r="D861" s="110" t="e">
        <f>IF(#REF!=0,"",#REF!)</f>
        <v>#REF!</v>
      </c>
      <c r="E861" s="85" t="e">
        <f>IF(#REF!=0,"",#REF!)</f>
        <v>#REF!</v>
      </c>
      <c r="F861" s="85" t="e">
        <f>IF(#REF!=0,"",#REF!)</f>
        <v>#REF!</v>
      </c>
      <c r="G861" s="105">
        <f>'27'!Q821</f>
        <v>0</v>
      </c>
      <c r="H861" s="161">
        <f>'27'!R821</f>
        <v>0</v>
      </c>
      <c r="I861" s="161">
        <f>'27'!S821</f>
        <v>0</v>
      </c>
      <c r="J861" s="161"/>
      <c r="K861" s="106">
        <f>'27'!T821</f>
        <v>0</v>
      </c>
      <c r="L861" s="85" t="e">
        <f>#REF!</f>
        <v>#REF!</v>
      </c>
      <c r="M861" s="105" t="e">
        <f>#REF!</f>
        <v>#REF!</v>
      </c>
      <c r="N861" s="161"/>
      <c r="O861" s="106" t="e">
        <f>#REF!</f>
        <v>#REF!</v>
      </c>
      <c r="P861" s="107" t="e">
        <f>IF(#REF!=0,"",#REF!)</f>
        <v>#REF!</v>
      </c>
      <c r="Q861" s="111" t="e">
        <f>IF(#REF!=0,"",#REF!)</f>
        <v>#REF!</v>
      </c>
      <c r="R861" s="85" t="e">
        <f>IF(#REF!=0,"",#REF!)</f>
        <v>#REF!</v>
      </c>
      <c r="S861" s="85" t="e">
        <f>IF(#REF!=0,"",#REF!)</f>
        <v>#REF!</v>
      </c>
      <c r="T861" s="268"/>
      <c r="U861" s="268"/>
      <c r="V861" s="268"/>
    </row>
    <row r="862" ht="15" customHeight="1" spans="2:22">
      <c r="B862" s="6" t="e">
        <f t="shared" si="15"/>
        <v>#REF!</v>
      </c>
      <c r="C862" s="79" t="e">
        <f>#REF!</f>
        <v>#REF!</v>
      </c>
      <c r="D862" s="62" t="e">
        <f>IF(#REF!=0,"",#REF!)</f>
        <v>#REF!</v>
      </c>
      <c r="E862" s="81" t="e">
        <f>IF(#REF!=0,"",#REF!)</f>
        <v>#REF!</v>
      </c>
      <c r="F862" s="81" t="e">
        <f>IF(#REF!=0,"",#REF!)</f>
        <v>#REF!</v>
      </c>
      <c r="G862" s="100" t="e">
        <f>#REF!</f>
        <v>#REF!</v>
      </c>
      <c r="H862" s="159">
        <f>'27'!R822</f>
        <v>0</v>
      </c>
      <c r="I862" s="159">
        <f>'27'!S822</f>
        <v>0</v>
      </c>
      <c r="J862" s="159"/>
      <c r="K862" s="101">
        <f>'27'!T822</f>
        <v>0</v>
      </c>
      <c r="L862" s="81" t="e">
        <f>#REF!</f>
        <v>#REF!</v>
      </c>
      <c r="M862" s="100" t="e">
        <f>#REF!</f>
        <v>#REF!</v>
      </c>
      <c r="N862" s="159"/>
      <c r="O862" s="101" t="e">
        <f>#REF!</f>
        <v>#REF!</v>
      </c>
      <c r="P862" s="102" t="e">
        <f>IF(#REF!=0,"",#REF!)</f>
        <v>#REF!</v>
      </c>
      <c r="Q862" s="108" t="e">
        <f>IF(#REF!=0,"",#REF!)</f>
        <v>#REF!</v>
      </c>
      <c r="R862" s="81" t="e">
        <f>IF(#REF!=0,"",#REF!)</f>
        <v>#REF!</v>
      </c>
      <c r="S862" s="81" t="e">
        <f>IF(#REF!=0,"",#REF!)</f>
        <v>#REF!</v>
      </c>
      <c r="T862" s="268"/>
      <c r="U862" s="268"/>
      <c r="V862" s="268"/>
    </row>
    <row r="863" ht="15" customHeight="1" spans="2:22">
      <c r="B863" s="6" t="e">
        <f t="shared" si="15"/>
        <v>#REF!</v>
      </c>
      <c r="C863" s="31" t="e">
        <f>#REF!</f>
        <v>#REF!</v>
      </c>
      <c r="D863" s="32" t="e">
        <f>IF(#REF!=0,"",#REF!)</f>
        <v>#REF!</v>
      </c>
      <c r="E863" s="36" t="e">
        <f>IF(#REF!=0,"",#REF!)</f>
        <v>#REF!</v>
      </c>
      <c r="F863" s="36" t="e">
        <f>IF(#REF!=0,"",#REF!)</f>
        <v>#REF!</v>
      </c>
      <c r="G863" s="103">
        <f>'27'!Q823</f>
        <v>0</v>
      </c>
      <c r="H863" s="160">
        <f>'27'!R823</f>
        <v>0</v>
      </c>
      <c r="I863" s="160">
        <f>'27'!S823</f>
        <v>0</v>
      </c>
      <c r="J863" s="160"/>
      <c r="K863" s="104">
        <f>'27'!T823</f>
        <v>0</v>
      </c>
      <c r="L863" s="36" t="e">
        <f>#REF!</f>
        <v>#REF!</v>
      </c>
      <c r="M863" s="103" t="e">
        <f>#REF!</f>
        <v>#REF!</v>
      </c>
      <c r="N863" s="160"/>
      <c r="O863" s="104" t="e">
        <f>#REF!</f>
        <v>#REF!</v>
      </c>
      <c r="P863" s="52" t="e">
        <f>IF(#REF!=0,"",#REF!)</f>
        <v>#REF!</v>
      </c>
      <c r="Q863" s="109" t="e">
        <f>IF(#REF!=0,"",#REF!)</f>
        <v>#REF!</v>
      </c>
      <c r="R863" s="36" t="e">
        <f>IF(#REF!=0,"",#REF!)</f>
        <v>#REF!</v>
      </c>
      <c r="S863" s="36" t="e">
        <f>IF(#REF!=0,"",#REF!)</f>
        <v>#REF!</v>
      </c>
      <c r="T863" s="268"/>
      <c r="U863" s="268"/>
      <c r="V863" s="268"/>
    </row>
    <row r="864" ht="15" customHeight="1" spans="2:22">
      <c r="B864" s="6" t="e">
        <f t="shared" si="15"/>
        <v>#REF!</v>
      </c>
      <c r="C864" s="83" t="e">
        <f>#REF!</f>
        <v>#REF!</v>
      </c>
      <c r="D864" s="110" t="e">
        <f>IF(#REF!=0,"",#REF!)</f>
        <v>#REF!</v>
      </c>
      <c r="E864" s="85" t="e">
        <f>IF(#REF!=0,"",#REF!)</f>
        <v>#REF!</v>
      </c>
      <c r="F864" s="85" t="e">
        <f>IF(#REF!=0,"",#REF!)</f>
        <v>#REF!</v>
      </c>
      <c r="G864" s="105">
        <f>'27'!Q824</f>
        <v>0</v>
      </c>
      <c r="H864" s="161">
        <f>'27'!R824</f>
        <v>0</v>
      </c>
      <c r="I864" s="161">
        <f>'27'!S824</f>
        <v>0</v>
      </c>
      <c r="J864" s="161"/>
      <c r="K864" s="106">
        <f>'27'!T824</f>
        <v>0</v>
      </c>
      <c r="L864" s="85" t="e">
        <f>#REF!</f>
        <v>#REF!</v>
      </c>
      <c r="M864" s="105" t="e">
        <f>#REF!</f>
        <v>#REF!</v>
      </c>
      <c r="N864" s="161"/>
      <c r="O864" s="106" t="e">
        <f>#REF!</f>
        <v>#REF!</v>
      </c>
      <c r="P864" s="107" t="e">
        <f>IF(#REF!=0,"",#REF!)</f>
        <v>#REF!</v>
      </c>
      <c r="Q864" s="111" t="e">
        <f>IF(#REF!=0,"",#REF!)</f>
        <v>#REF!</v>
      </c>
      <c r="R864" s="85" t="e">
        <f>IF(#REF!=0,"",#REF!)</f>
        <v>#REF!</v>
      </c>
      <c r="S864" s="85" t="e">
        <f>IF(#REF!=0,"",#REF!)</f>
        <v>#REF!</v>
      </c>
      <c r="T864" s="268"/>
      <c r="U864" s="268"/>
      <c r="V864" s="268"/>
    </row>
    <row r="865" ht="15" customHeight="1" spans="2:22">
      <c r="B865" s="6" t="e">
        <f t="shared" si="15"/>
        <v>#REF!</v>
      </c>
      <c r="C865" s="79" t="e">
        <f>#REF!</f>
        <v>#REF!</v>
      </c>
      <c r="D865" s="62" t="e">
        <f>IF(#REF!=0,"",#REF!)</f>
        <v>#REF!</v>
      </c>
      <c r="E865" s="81" t="e">
        <f>IF(#REF!=0,"",#REF!)</f>
        <v>#REF!</v>
      </c>
      <c r="F865" s="81" t="e">
        <f>IF(#REF!=0,"",#REF!)</f>
        <v>#REF!</v>
      </c>
      <c r="G865" s="100" t="e">
        <f>#REF!</f>
        <v>#REF!</v>
      </c>
      <c r="H865" s="159">
        <f>'27'!R825</f>
        <v>0</v>
      </c>
      <c r="I865" s="159">
        <f>'27'!S825</f>
        <v>0</v>
      </c>
      <c r="J865" s="159"/>
      <c r="K865" s="101">
        <f>'27'!T825</f>
        <v>0</v>
      </c>
      <c r="L865" s="81" t="e">
        <f>#REF!</f>
        <v>#REF!</v>
      </c>
      <c r="M865" s="100" t="e">
        <f>#REF!</f>
        <v>#REF!</v>
      </c>
      <c r="N865" s="159"/>
      <c r="O865" s="101" t="e">
        <f>#REF!</f>
        <v>#REF!</v>
      </c>
      <c r="P865" s="102" t="e">
        <f>IF(#REF!=0,"",#REF!)</f>
        <v>#REF!</v>
      </c>
      <c r="Q865" s="108" t="e">
        <f>IF(#REF!=0,"",#REF!)</f>
        <v>#REF!</v>
      </c>
      <c r="R865" s="81" t="e">
        <f>IF(#REF!=0,"",#REF!)</f>
        <v>#REF!</v>
      </c>
      <c r="S865" s="81" t="e">
        <f>IF(#REF!=0,"",#REF!)</f>
        <v>#REF!</v>
      </c>
      <c r="T865" s="268"/>
      <c r="U865" s="268"/>
      <c r="V865" s="268"/>
    </row>
    <row r="866" ht="15" customHeight="1" spans="2:22">
      <c r="B866" s="6" t="e">
        <f t="shared" si="15"/>
        <v>#REF!</v>
      </c>
      <c r="C866" s="31" t="e">
        <f>#REF!</f>
        <v>#REF!</v>
      </c>
      <c r="D866" s="32" t="e">
        <f>IF(#REF!=0,"",#REF!)</f>
        <v>#REF!</v>
      </c>
      <c r="E866" s="36" t="e">
        <f>IF(#REF!=0,"",#REF!)</f>
        <v>#REF!</v>
      </c>
      <c r="F866" s="36" t="e">
        <f>IF(#REF!=0,"",#REF!)</f>
        <v>#REF!</v>
      </c>
      <c r="G866" s="103">
        <f>'27'!Q826</f>
        <v>0</v>
      </c>
      <c r="H866" s="160">
        <f>'27'!R826</f>
        <v>0</v>
      </c>
      <c r="I866" s="160">
        <f>'27'!S826</f>
        <v>0</v>
      </c>
      <c r="J866" s="160"/>
      <c r="K866" s="104">
        <f>'27'!T826</f>
        <v>0</v>
      </c>
      <c r="L866" s="36" t="e">
        <f>#REF!</f>
        <v>#REF!</v>
      </c>
      <c r="M866" s="103" t="e">
        <f>#REF!</f>
        <v>#REF!</v>
      </c>
      <c r="N866" s="160"/>
      <c r="O866" s="104" t="e">
        <f>#REF!</f>
        <v>#REF!</v>
      </c>
      <c r="P866" s="52" t="e">
        <f>IF(#REF!=0,"",#REF!)</f>
        <v>#REF!</v>
      </c>
      <c r="Q866" s="109" t="e">
        <f>IF(#REF!=0,"",#REF!)</f>
        <v>#REF!</v>
      </c>
      <c r="R866" s="36" t="e">
        <f>IF(#REF!=0,"",#REF!)</f>
        <v>#REF!</v>
      </c>
      <c r="S866" s="36" t="e">
        <f>IF(#REF!=0,"",#REF!)</f>
        <v>#REF!</v>
      </c>
      <c r="T866" s="268"/>
      <c r="U866" s="268"/>
      <c r="V866" s="268"/>
    </row>
    <row r="867" ht="15" customHeight="1" spans="2:22">
      <c r="B867" s="6" t="e">
        <f t="shared" si="15"/>
        <v>#REF!</v>
      </c>
      <c r="C867" s="83" t="e">
        <f>#REF!</f>
        <v>#REF!</v>
      </c>
      <c r="D867" s="110" t="e">
        <f>IF(#REF!=0,"",#REF!)</f>
        <v>#REF!</v>
      </c>
      <c r="E867" s="85" t="e">
        <f>IF(#REF!=0,"",#REF!)</f>
        <v>#REF!</v>
      </c>
      <c r="F867" s="85" t="e">
        <f>IF(#REF!=0,"",#REF!)</f>
        <v>#REF!</v>
      </c>
      <c r="G867" s="105">
        <f>'27'!Q827</f>
        <v>0</v>
      </c>
      <c r="H867" s="161">
        <f>'27'!R827</f>
        <v>0</v>
      </c>
      <c r="I867" s="161">
        <f>'27'!S827</f>
        <v>0</v>
      </c>
      <c r="J867" s="161"/>
      <c r="K867" s="106">
        <f>'27'!T827</f>
        <v>0</v>
      </c>
      <c r="L867" s="85" t="e">
        <f>#REF!</f>
        <v>#REF!</v>
      </c>
      <c r="M867" s="105" t="e">
        <f>#REF!</f>
        <v>#REF!</v>
      </c>
      <c r="N867" s="161"/>
      <c r="O867" s="106" t="e">
        <f>#REF!</f>
        <v>#REF!</v>
      </c>
      <c r="P867" s="107" t="e">
        <f>IF(#REF!=0,"",#REF!)</f>
        <v>#REF!</v>
      </c>
      <c r="Q867" s="111" t="e">
        <f>IF(#REF!=0,"",#REF!)</f>
        <v>#REF!</v>
      </c>
      <c r="R867" s="85" t="e">
        <f>IF(#REF!=0,"",#REF!)</f>
        <v>#REF!</v>
      </c>
      <c r="S867" s="85" t="e">
        <f>IF(#REF!=0,"",#REF!)</f>
        <v>#REF!</v>
      </c>
      <c r="T867" s="268"/>
      <c r="U867" s="268"/>
      <c r="V867" s="268"/>
    </row>
    <row r="868" ht="15" customHeight="1" spans="2:22">
      <c r="B868" s="6" t="e">
        <f t="shared" si="15"/>
        <v>#REF!</v>
      </c>
      <c r="C868" s="79" t="e">
        <f>#REF!</f>
        <v>#REF!</v>
      </c>
      <c r="D868" s="62" t="e">
        <f>IF(#REF!=0,"",#REF!)</f>
        <v>#REF!</v>
      </c>
      <c r="E868" s="81" t="e">
        <f>IF(#REF!=0,"",#REF!)</f>
        <v>#REF!</v>
      </c>
      <c r="F868" s="81" t="e">
        <f>IF(#REF!=0,"",#REF!)</f>
        <v>#REF!</v>
      </c>
      <c r="G868" s="100" t="e">
        <f>#REF!</f>
        <v>#REF!</v>
      </c>
      <c r="H868" s="159">
        <f>'27'!R828</f>
        <v>0</v>
      </c>
      <c r="I868" s="159">
        <f>'27'!S828</f>
        <v>0</v>
      </c>
      <c r="J868" s="159"/>
      <c r="K868" s="101">
        <f>'27'!T828</f>
        <v>0</v>
      </c>
      <c r="L868" s="81" t="e">
        <f>#REF!</f>
        <v>#REF!</v>
      </c>
      <c r="M868" s="100" t="e">
        <f>#REF!</f>
        <v>#REF!</v>
      </c>
      <c r="N868" s="159"/>
      <c r="O868" s="101" t="e">
        <f>#REF!</f>
        <v>#REF!</v>
      </c>
      <c r="P868" s="102" t="e">
        <f>IF(#REF!=0,"",#REF!)</f>
        <v>#REF!</v>
      </c>
      <c r="Q868" s="108" t="e">
        <f>IF(#REF!=0,"",#REF!)</f>
        <v>#REF!</v>
      </c>
      <c r="R868" s="81" t="e">
        <f>IF(#REF!=0,"",#REF!)</f>
        <v>#REF!</v>
      </c>
      <c r="S868" s="81" t="e">
        <f>IF(#REF!=0,"",#REF!)</f>
        <v>#REF!</v>
      </c>
      <c r="T868" s="268"/>
      <c r="U868" s="268"/>
      <c r="V868" s="268"/>
    </row>
    <row r="869" ht="15" customHeight="1" spans="2:22">
      <c r="B869" s="6" t="e">
        <f t="shared" si="15"/>
        <v>#REF!</v>
      </c>
      <c r="C869" s="31" t="e">
        <f>#REF!</f>
        <v>#REF!</v>
      </c>
      <c r="D869" s="32" t="e">
        <f>IF(#REF!=0,"",#REF!)</f>
        <v>#REF!</v>
      </c>
      <c r="E869" s="36" t="e">
        <f>IF(#REF!=0,"",#REF!)</f>
        <v>#REF!</v>
      </c>
      <c r="F869" s="36" t="e">
        <f>IF(#REF!=0,"",#REF!)</f>
        <v>#REF!</v>
      </c>
      <c r="G869" s="103">
        <f>'27'!Q829</f>
        <v>0</v>
      </c>
      <c r="H869" s="160">
        <f>'27'!R829</f>
        <v>0</v>
      </c>
      <c r="I869" s="160">
        <f>'27'!S829</f>
        <v>0</v>
      </c>
      <c r="J869" s="160"/>
      <c r="K869" s="104">
        <f>'27'!T829</f>
        <v>0</v>
      </c>
      <c r="L869" s="36" t="e">
        <f>#REF!</f>
        <v>#REF!</v>
      </c>
      <c r="M869" s="103" t="e">
        <f>#REF!</f>
        <v>#REF!</v>
      </c>
      <c r="N869" s="160"/>
      <c r="O869" s="104" t="e">
        <f>#REF!</f>
        <v>#REF!</v>
      </c>
      <c r="P869" s="52" t="e">
        <f>IF(#REF!=0,"",#REF!)</f>
        <v>#REF!</v>
      </c>
      <c r="Q869" s="109" t="e">
        <f>IF(#REF!=0,"",#REF!)</f>
        <v>#REF!</v>
      </c>
      <c r="R869" s="36" t="e">
        <f>IF(#REF!=0,"",#REF!)</f>
        <v>#REF!</v>
      </c>
      <c r="S869" s="36" t="e">
        <f>IF(#REF!=0,"",#REF!)</f>
        <v>#REF!</v>
      </c>
      <c r="T869" s="268"/>
      <c r="U869" s="268"/>
      <c r="V869" s="268"/>
    </row>
    <row r="870" ht="15" customHeight="1" spans="2:22">
      <c r="B870" s="6" t="e">
        <f t="shared" si="15"/>
        <v>#REF!</v>
      </c>
      <c r="C870" s="83" t="e">
        <f>#REF!</f>
        <v>#REF!</v>
      </c>
      <c r="D870" s="110" t="e">
        <f>IF(#REF!=0,"",#REF!)</f>
        <v>#REF!</v>
      </c>
      <c r="E870" s="85" t="e">
        <f>IF(#REF!=0,"",#REF!)</f>
        <v>#REF!</v>
      </c>
      <c r="F870" s="85" t="e">
        <f>IF(#REF!=0,"",#REF!)</f>
        <v>#REF!</v>
      </c>
      <c r="G870" s="105">
        <f>'27'!Q830</f>
        <v>0</v>
      </c>
      <c r="H870" s="161">
        <f>'27'!R830</f>
        <v>0</v>
      </c>
      <c r="I870" s="161">
        <f>'27'!S830</f>
        <v>0</v>
      </c>
      <c r="J870" s="161"/>
      <c r="K870" s="106">
        <f>'27'!T830</f>
        <v>0</v>
      </c>
      <c r="L870" s="85" t="e">
        <f>#REF!</f>
        <v>#REF!</v>
      </c>
      <c r="M870" s="105" t="e">
        <f>#REF!</f>
        <v>#REF!</v>
      </c>
      <c r="N870" s="161"/>
      <c r="O870" s="106" t="e">
        <f>#REF!</f>
        <v>#REF!</v>
      </c>
      <c r="P870" s="107" t="e">
        <f>IF(#REF!=0,"",#REF!)</f>
        <v>#REF!</v>
      </c>
      <c r="Q870" s="111" t="e">
        <f>IF(#REF!=0,"",#REF!)</f>
        <v>#REF!</v>
      </c>
      <c r="R870" s="85" t="e">
        <f>IF(#REF!=0,"",#REF!)</f>
        <v>#REF!</v>
      </c>
      <c r="S870" s="85" t="e">
        <f>IF(#REF!=0,"",#REF!)</f>
        <v>#REF!</v>
      </c>
      <c r="T870" s="268"/>
      <c r="U870" s="268"/>
      <c r="V870" s="268"/>
    </row>
    <row r="871" ht="15" customHeight="1" spans="2:22">
      <c r="B871" s="6" t="e">
        <f t="shared" si="15"/>
        <v>#REF!</v>
      </c>
      <c r="C871" s="79" t="e">
        <f>#REF!</f>
        <v>#REF!</v>
      </c>
      <c r="D871" s="62" t="e">
        <f>IF(#REF!=0,"",#REF!)</f>
        <v>#REF!</v>
      </c>
      <c r="E871" s="81" t="e">
        <f>IF(#REF!=0,"",#REF!)</f>
        <v>#REF!</v>
      </c>
      <c r="F871" s="81" t="e">
        <f>IF(#REF!=0,"",#REF!)</f>
        <v>#REF!</v>
      </c>
      <c r="G871" s="100" t="e">
        <f>#REF!</f>
        <v>#REF!</v>
      </c>
      <c r="H871" s="159">
        <f>'27'!R831</f>
        <v>0</v>
      </c>
      <c r="I871" s="159">
        <f>'27'!S831</f>
        <v>0</v>
      </c>
      <c r="J871" s="159"/>
      <c r="K871" s="101">
        <f>'27'!T831</f>
        <v>0</v>
      </c>
      <c r="L871" s="81" t="e">
        <f>#REF!</f>
        <v>#REF!</v>
      </c>
      <c r="M871" s="100" t="e">
        <f>#REF!</f>
        <v>#REF!</v>
      </c>
      <c r="N871" s="159"/>
      <c r="O871" s="101" t="e">
        <f>#REF!</f>
        <v>#REF!</v>
      </c>
      <c r="P871" s="102" t="e">
        <f>IF(#REF!=0,"",#REF!)</f>
        <v>#REF!</v>
      </c>
      <c r="Q871" s="108" t="e">
        <f>IF(#REF!=0,"",#REF!)</f>
        <v>#REF!</v>
      </c>
      <c r="R871" s="81" t="e">
        <f>IF(#REF!=0,"",#REF!)</f>
        <v>#REF!</v>
      </c>
      <c r="S871" s="81" t="e">
        <f>IF(#REF!=0,"",#REF!)</f>
        <v>#REF!</v>
      </c>
      <c r="T871" s="268" t="s">
        <v>6593</v>
      </c>
      <c r="U871" s="268"/>
      <c r="V871" s="268"/>
    </row>
    <row r="872" ht="15" customHeight="1" spans="2:22">
      <c r="B872" s="6" t="e">
        <f t="shared" ref="B872:B934" si="16">COUNTA(C872)-IF(C872=0,1)+B871</f>
        <v>#REF!</v>
      </c>
      <c r="C872" s="31" t="e">
        <f>#REF!</f>
        <v>#REF!</v>
      </c>
      <c r="D872" s="32" t="e">
        <f>IF(#REF!=0,"",#REF!)</f>
        <v>#REF!</v>
      </c>
      <c r="E872" s="36" t="e">
        <f>IF(#REF!=0,"",#REF!)</f>
        <v>#REF!</v>
      </c>
      <c r="F872" s="36" t="e">
        <f>IF(#REF!=0,"",#REF!)</f>
        <v>#REF!</v>
      </c>
      <c r="G872" s="103">
        <f>'27'!Q832</f>
        <v>0</v>
      </c>
      <c r="H872" s="160">
        <f>'27'!R832</f>
        <v>0</v>
      </c>
      <c r="I872" s="160">
        <f>'27'!S832</f>
        <v>0</v>
      </c>
      <c r="J872" s="160"/>
      <c r="K872" s="104">
        <f>'27'!T832</f>
        <v>0</v>
      </c>
      <c r="L872" s="36" t="e">
        <f>#REF!</f>
        <v>#REF!</v>
      </c>
      <c r="M872" s="103" t="e">
        <f>#REF!</f>
        <v>#REF!</v>
      </c>
      <c r="N872" s="160"/>
      <c r="O872" s="104" t="e">
        <f>#REF!</f>
        <v>#REF!</v>
      </c>
      <c r="P872" s="52" t="e">
        <f>IF(#REF!=0,"",#REF!)</f>
        <v>#REF!</v>
      </c>
      <c r="Q872" s="109" t="e">
        <f>IF(#REF!=0,"",#REF!)</f>
        <v>#REF!</v>
      </c>
      <c r="R872" s="36" t="e">
        <f>IF(#REF!=0,"",#REF!)</f>
        <v>#REF!</v>
      </c>
      <c r="S872" s="36" t="e">
        <f>IF(#REF!=0,"",#REF!)</f>
        <v>#REF!</v>
      </c>
      <c r="T872" s="268"/>
      <c r="U872" s="268"/>
      <c r="V872" s="268"/>
    </row>
    <row r="873" ht="15" customHeight="1" spans="2:22">
      <c r="B873" s="6" t="e">
        <f t="shared" si="16"/>
        <v>#REF!</v>
      </c>
      <c r="C873" s="83" t="e">
        <f>#REF!</f>
        <v>#REF!</v>
      </c>
      <c r="D873" s="110" t="e">
        <f>IF(#REF!=0,"",#REF!)</f>
        <v>#REF!</v>
      </c>
      <c r="E873" s="85" t="e">
        <f>IF(#REF!=0,"",#REF!)</f>
        <v>#REF!</v>
      </c>
      <c r="F873" s="85" t="e">
        <f>IF(#REF!=0,"",#REF!)</f>
        <v>#REF!</v>
      </c>
      <c r="G873" s="105">
        <f>'27'!Q833</f>
        <v>0</v>
      </c>
      <c r="H873" s="161">
        <f>'27'!R833</f>
        <v>0</v>
      </c>
      <c r="I873" s="161">
        <f>'27'!S833</f>
        <v>0</v>
      </c>
      <c r="J873" s="161"/>
      <c r="K873" s="106">
        <f>'27'!T833</f>
        <v>0</v>
      </c>
      <c r="L873" s="85" t="e">
        <f>#REF!</f>
        <v>#REF!</v>
      </c>
      <c r="M873" s="105" t="e">
        <f>#REF!</f>
        <v>#REF!</v>
      </c>
      <c r="N873" s="161"/>
      <c r="O873" s="106" t="e">
        <f>#REF!</f>
        <v>#REF!</v>
      </c>
      <c r="P873" s="107" t="e">
        <f>IF(#REF!=0,"",#REF!)</f>
        <v>#REF!</v>
      </c>
      <c r="Q873" s="111" t="e">
        <f>IF(#REF!=0,"",#REF!)</f>
        <v>#REF!</v>
      </c>
      <c r="R873" s="85" t="e">
        <f>IF(#REF!=0,"",#REF!)</f>
        <v>#REF!</v>
      </c>
      <c r="S873" s="85" t="e">
        <f>IF(#REF!=0,"",#REF!)</f>
        <v>#REF!</v>
      </c>
      <c r="T873" s="268"/>
      <c r="U873" s="268"/>
      <c r="V873" s="268"/>
    </row>
    <row r="874" ht="15" customHeight="1" spans="2:22">
      <c r="B874" s="6" t="e">
        <f t="shared" si="16"/>
        <v>#REF!</v>
      </c>
      <c r="C874" s="79" t="e">
        <f>#REF!</f>
        <v>#REF!</v>
      </c>
      <c r="D874" s="62" t="e">
        <f>IF(#REF!=0,"",#REF!)</f>
        <v>#REF!</v>
      </c>
      <c r="E874" s="81" t="e">
        <f>IF(#REF!=0,"",#REF!)</f>
        <v>#REF!</v>
      </c>
      <c r="F874" s="81" t="e">
        <f>IF(#REF!=0,"",#REF!)</f>
        <v>#REF!</v>
      </c>
      <c r="G874" s="100" t="e">
        <f>#REF!</f>
        <v>#REF!</v>
      </c>
      <c r="H874" s="159">
        <f>'27'!R834</f>
        <v>0</v>
      </c>
      <c r="I874" s="159">
        <f>'27'!S834</f>
        <v>0</v>
      </c>
      <c r="J874" s="159"/>
      <c r="K874" s="101">
        <f>'27'!T834</f>
        <v>0</v>
      </c>
      <c r="L874" s="81" t="e">
        <f>#REF!</f>
        <v>#REF!</v>
      </c>
      <c r="M874" s="100" t="e">
        <f>#REF!</f>
        <v>#REF!</v>
      </c>
      <c r="N874" s="159"/>
      <c r="O874" s="101" t="e">
        <f>#REF!</f>
        <v>#REF!</v>
      </c>
      <c r="P874" s="102" t="e">
        <f>IF(#REF!=0,"",#REF!)</f>
        <v>#REF!</v>
      </c>
      <c r="Q874" s="108" t="e">
        <f>IF(#REF!=0,"",#REF!)</f>
        <v>#REF!</v>
      </c>
      <c r="R874" s="81" t="e">
        <f>IF(#REF!=0,"",#REF!)</f>
        <v>#REF!</v>
      </c>
      <c r="S874" s="81" t="e">
        <f>IF(#REF!=0,"",#REF!)</f>
        <v>#REF!</v>
      </c>
      <c r="T874" s="268"/>
      <c r="U874" s="268"/>
      <c r="V874" s="268"/>
    </row>
    <row r="875" ht="15" customHeight="1" spans="2:22">
      <c r="B875" s="6" t="e">
        <f t="shared" si="16"/>
        <v>#REF!</v>
      </c>
      <c r="C875" s="31" t="e">
        <f>#REF!</f>
        <v>#REF!</v>
      </c>
      <c r="D875" s="32" t="e">
        <f>IF(#REF!=0,"",#REF!)</f>
        <v>#REF!</v>
      </c>
      <c r="E875" s="36" t="e">
        <f>IF(#REF!=0,"",#REF!)</f>
        <v>#REF!</v>
      </c>
      <c r="F875" s="36" t="e">
        <f>IF(#REF!=0,"",#REF!)</f>
        <v>#REF!</v>
      </c>
      <c r="G875" s="103">
        <f>'27'!Q835</f>
        <v>0</v>
      </c>
      <c r="H875" s="160">
        <f>'27'!R835</f>
        <v>0</v>
      </c>
      <c r="I875" s="160">
        <f>'27'!S835</f>
        <v>0</v>
      </c>
      <c r="J875" s="160"/>
      <c r="K875" s="104">
        <f>'27'!T835</f>
        <v>0</v>
      </c>
      <c r="L875" s="36" t="e">
        <f>#REF!</f>
        <v>#REF!</v>
      </c>
      <c r="M875" s="103" t="e">
        <f>#REF!</f>
        <v>#REF!</v>
      </c>
      <c r="N875" s="160"/>
      <c r="O875" s="104" t="e">
        <f>#REF!</f>
        <v>#REF!</v>
      </c>
      <c r="P875" s="52" t="e">
        <f>IF(#REF!=0,"",#REF!)</f>
        <v>#REF!</v>
      </c>
      <c r="Q875" s="109" t="e">
        <f>IF(#REF!=0,"",#REF!)</f>
        <v>#REF!</v>
      </c>
      <c r="R875" s="36" t="e">
        <f>IF(#REF!=0,"",#REF!)</f>
        <v>#REF!</v>
      </c>
      <c r="S875" s="36" t="e">
        <f>IF(#REF!=0,"",#REF!)</f>
        <v>#REF!</v>
      </c>
      <c r="T875" s="268"/>
      <c r="U875" s="268"/>
      <c r="V875" s="268"/>
    </row>
    <row r="876" ht="15" customHeight="1" spans="2:22">
      <c r="B876" s="6" t="e">
        <f t="shared" si="16"/>
        <v>#REF!</v>
      </c>
      <c r="C876" s="83" t="e">
        <f>#REF!</f>
        <v>#REF!</v>
      </c>
      <c r="D876" s="110" t="e">
        <f>IF(#REF!=0,"",#REF!)</f>
        <v>#REF!</v>
      </c>
      <c r="E876" s="85" t="e">
        <f>IF(#REF!=0,"",#REF!)</f>
        <v>#REF!</v>
      </c>
      <c r="F876" s="85" t="e">
        <f>IF(#REF!=0,"",#REF!)</f>
        <v>#REF!</v>
      </c>
      <c r="G876" s="105">
        <f>'27'!Q836</f>
        <v>0</v>
      </c>
      <c r="H876" s="161">
        <f>'27'!R836</f>
        <v>0</v>
      </c>
      <c r="I876" s="161">
        <f>'27'!S836</f>
        <v>0</v>
      </c>
      <c r="J876" s="161"/>
      <c r="K876" s="106">
        <f>'27'!T836</f>
        <v>0</v>
      </c>
      <c r="L876" s="85" t="e">
        <f>#REF!</f>
        <v>#REF!</v>
      </c>
      <c r="M876" s="105" t="e">
        <f>#REF!</f>
        <v>#REF!</v>
      </c>
      <c r="N876" s="161"/>
      <c r="O876" s="106" t="e">
        <f>#REF!</f>
        <v>#REF!</v>
      </c>
      <c r="P876" s="107" t="e">
        <f>IF(#REF!=0,"",#REF!)</f>
        <v>#REF!</v>
      </c>
      <c r="Q876" s="111" t="e">
        <f>IF(#REF!=0,"",#REF!)</f>
        <v>#REF!</v>
      </c>
      <c r="R876" s="85" t="e">
        <f>IF(#REF!=0,"",#REF!)</f>
        <v>#REF!</v>
      </c>
      <c r="S876" s="85" t="e">
        <f>IF(#REF!=0,"",#REF!)</f>
        <v>#REF!</v>
      </c>
      <c r="T876" s="268"/>
      <c r="U876" s="268"/>
      <c r="V876" s="268"/>
    </row>
    <row r="877" ht="15" customHeight="1" spans="2:22">
      <c r="B877" s="6" t="e">
        <f t="shared" si="16"/>
        <v>#REF!</v>
      </c>
      <c r="C877" s="79" t="e">
        <f>#REF!</f>
        <v>#REF!</v>
      </c>
      <c r="D877" s="62" t="e">
        <f>IF(#REF!=0,"",#REF!)</f>
        <v>#REF!</v>
      </c>
      <c r="E877" s="81" t="e">
        <f>IF(#REF!=0,"",#REF!)</f>
        <v>#REF!</v>
      </c>
      <c r="F877" s="81" t="e">
        <f>IF(#REF!=0,"",#REF!)</f>
        <v>#REF!</v>
      </c>
      <c r="G877" s="100" t="e">
        <f>#REF!</f>
        <v>#REF!</v>
      </c>
      <c r="H877" s="159">
        <f>'27'!R837</f>
        <v>0</v>
      </c>
      <c r="I877" s="159">
        <f>'27'!S837</f>
        <v>0</v>
      </c>
      <c r="J877" s="159"/>
      <c r="K877" s="101">
        <f>'27'!T837</f>
        <v>0</v>
      </c>
      <c r="L877" s="81" t="e">
        <f>#REF!</f>
        <v>#REF!</v>
      </c>
      <c r="M877" s="100" t="e">
        <f>#REF!</f>
        <v>#REF!</v>
      </c>
      <c r="N877" s="159"/>
      <c r="O877" s="101" t="e">
        <f>#REF!</f>
        <v>#REF!</v>
      </c>
      <c r="P877" s="102" t="e">
        <f>IF(#REF!=0,"",#REF!)</f>
        <v>#REF!</v>
      </c>
      <c r="Q877" s="108" t="e">
        <f>IF(#REF!=0,"",#REF!)</f>
        <v>#REF!</v>
      </c>
      <c r="R877" s="81" t="e">
        <f>IF(#REF!=0,"",#REF!)</f>
        <v>#REF!</v>
      </c>
      <c r="S877" s="81" t="e">
        <f>IF(#REF!=0,"",#REF!)</f>
        <v>#REF!</v>
      </c>
      <c r="T877" s="268"/>
      <c r="U877" s="268"/>
      <c r="V877" s="268"/>
    </row>
    <row r="878" ht="15" customHeight="1" spans="2:22">
      <c r="B878" s="6" t="e">
        <f t="shared" si="16"/>
        <v>#REF!</v>
      </c>
      <c r="C878" s="31" t="e">
        <f>#REF!</f>
        <v>#REF!</v>
      </c>
      <c r="D878" s="32" t="e">
        <f>IF(#REF!=0,"",#REF!)</f>
        <v>#REF!</v>
      </c>
      <c r="E878" s="36" t="e">
        <f>IF(#REF!=0,"",#REF!)</f>
        <v>#REF!</v>
      </c>
      <c r="F878" s="36" t="e">
        <f>IF(#REF!=0,"",#REF!)</f>
        <v>#REF!</v>
      </c>
      <c r="G878" s="103">
        <f>'27'!Q838</f>
        <v>0</v>
      </c>
      <c r="H878" s="160">
        <f>'27'!R838</f>
        <v>0</v>
      </c>
      <c r="I878" s="160">
        <f>'27'!S838</f>
        <v>0</v>
      </c>
      <c r="J878" s="160"/>
      <c r="K878" s="104">
        <f>'27'!T838</f>
        <v>0</v>
      </c>
      <c r="L878" s="36" t="e">
        <f>#REF!</f>
        <v>#REF!</v>
      </c>
      <c r="M878" s="103" t="e">
        <f>#REF!</f>
        <v>#REF!</v>
      </c>
      <c r="N878" s="160"/>
      <c r="O878" s="104" t="e">
        <f>#REF!</f>
        <v>#REF!</v>
      </c>
      <c r="P878" s="52" t="e">
        <f>IF(#REF!=0,"",#REF!)</f>
        <v>#REF!</v>
      </c>
      <c r="Q878" s="109" t="e">
        <f>IF(#REF!=0,"",#REF!)</f>
        <v>#REF!</v>
      </c>
      <c r="R878" s="36" t="e">
        <f>IF(#REF!=0,"",#REF!)</f>
        <v>#REF!</v>
      </c>
      <c r="S878" s="36" t="e">
        <f>IF(#REF!=0,"",#REF!)</f>
        <v>#REF!</v>
      </c>
      <c r="T878" s="268"/>
      <c r="U878" s="268"/>
      <c r="V878" s="268"/>
    </row>
    <row r="879" ht="15" customHeight="1" spans="2:22">
      <c r="B879" s="6" t="e">
        <f t="shared" si="16"/>
        <v>#REF!</v>
      </c>
      <c r="C879" s="83" t="e">
        <f>#REF!</f>
        <v>#REF!</v>
      </c>
      <c r="D879" s="110" t="e">
        <f>IF(#REF!=0,"",#REF!)</f>
        <v>#REF!</v>
      </c>
      <c r="E879" s="85" t="e">
        <f>IF(#REF!=0,"",#REF!)</f>
        <v>#REF!</v>
      </c>
      <c r="F879" s="85" t="e">
        <f>IF(#REF!=0,"",#REF!)</f>
        <v>#REF!</v>
      </c>
      <c r="G879" s="105">
        <f>'27'!Q839</f>
        <v>0</v>
      </c>
      <c r="H879" s="161">
        <f>'27'!R839</f>
        <v>0</v>
      </c>
      <c r="I879" s="161">
        <f>'27'!S839</f>
        <v>0</v>
      </c>
      <c r="J879" s="161"/>
      <c r="K879" s="106">
        <f>'27'!T839</f>
        <v>0</v>
      </c>
      <c r="L879" s="85" t="e">
        <f>#REF!</f>
        <v>#REF!</v>
      </c>
      <c r="M879" s="105" t="e">
        <f>#REF!</f>
        <v>#REF!</v>
      </c>
      <c r="N879" s="161"/>
      <c r="O879" s="106" t="e">
        <f>#REF!</f>
        <v>#REF!</v>
      </c>
      <c r="P879" s="107" t="e">
        <f>IF(#REF!=0,"",#REF!)</f>
        <v>#REF!</v>
      </c>
      <c r="Q879" s="111" t="e">
        <f>IF(#REF!=0,"",#REF!)</f>
        <v>#REF!</v>
      </c>
      <c r="R879" s="85" t="e">
        <f>IF(#REF!=0,"",#REF!)</f>
        <v>#REF!</v>
      </c>
      <c r="S879" s="85" t="e">
        <f>IF(#REF!=0,"",#REF!)</f>
        <v>#REF!</v>
      </c>
      <c r="T879" s="268"/>
      <c r="U879" s="268"/>
      <c r="V879" s="268"/>
    </row>
    <row r="880" ht="15" customHeight="1" spans="2:22">
      <c r="B880" s="6" t="e">
        <f t="shared" si="16"/>
        <v>#REF!</v>
      </c>
      <c r="C880" s="79" t="e">
        <f>#REF!</f>
        <v>#REF!</v>
      </c>
      <c r="D880" s="62" t="e">
        <f>IF(#REF!=0,"",#REF!)</f>
        <v>#REF!</v>
      </c>
      <c r="E880" s="81" t="e">
        <f>IF(#REF!=0,"",#REF!)</f>
        <v>#REF!</v>
      </c>
      <c r="F880" s="81" t="e">
        <f>IF(#REF!=0,"",#REF!)</f>
        <v>#REF!</v>
      </c>
      <c r="G880" s="100" t="e">
        <f>#REF!</f>
        <v>#REF!</v>
      </c>
      <c r="H880" s="159">
        <f>'27'!R840</f>
        <v>0</v>
      </c>
      <c r="I880" s="159">
        <f>'27'!S840</f>
        <v>0</v>
      </c>
      <c r="J880" s="159"/>
      <c r="K880" s="101">
        <f>'27'!T840</f>
        <v>0</v>
      </c>
      <c r="L880" s="81" t="e">
        <f>#REF!</f>
        <v>#REF!</v>
      </c>
      <c r="M880" s="100" t="e">
        <f>#REF!</f>
        <v>#REF!</v>
      </c>
      <c r="N880" s="159"/>
      <c r="O880" s="101" t="e">
        <f>#REF!</f>
        <v>#REF!</v>
      </c>
      <c r="P880" s="102" t="e">
        <f>IF(#REF!=0,"",#REF!)</f>
        <v>#REF!</v>
      </c>
      <c r="Q880" s="108" t="e">
        <f>IF(#REF!=0,"",#REF!)</f>
        <v>#REF!</v>
      </c>
      <c r="R880" s="81" t="e">
        <f>IF(#REF!=0,"",#REF!)</f>
        <v>#REF!</v>
      </c>
      <c r="S880" s="81" t="e">
        <f>IF(#REF!=0,"",#REF!)</f>
        <v>#REF!</v>
      </c>
      <c r="T880" s="268"/>
      <c r="U880" s="268"/>
      <c r="V880" s="268"/>
    </row>
    <row r="881" ht="15" customHeight="1" spans="2:22">
      <c r="B881" s="6" t="e">
        <f t="shared" si="16"/>
        <v>#REF!</v>
      </c>
      <c r="C881" s="31" t="e">
        <f>#REF!</f>
        <v>#REF!</v>
      </c>
      <c r="D881" s="32" t="e">
        <f>IF(#REF!=0,"",#REF!)</f>
        <v>#REF!</v>
      </c>
      <c r="E881" s="36" t="e">
        <f>IF(#REF!=0,"",#REF!)</f>
        <v>#REF!</v>
      </c>
      <c r="F881" s="36" t="e">
        <f>IF(#REF!=0,"",#REF!)</f>
        <v>#REF!</v>
      </c>
      <c r="G881" s="103">
        <f>'27'!Q841</f>
        <v>0</v>
      </c>
      <c r="H881" s="160">
        <f>'27'!R841</f>
        <v>0</v>
      </c>
      <c r="I881" s="160">
        <f>'27'!S841</f>
        <v>0</v>
      </c>
      <c r="J881" s="160"/>
      <c r="K881" s="104">
        <f>'27'!T841</f>
        <v>0</v>
      </c>
      <c r="L881" s="36" t="e">
        <f>#REF!</f>
        <v>#REF!</v>
      </c>
      <c r="M881" s="103" t="e">
        <f>#REF!</f>
        <v>#REF!</v>
      </c>
      <c r="N881" s="160"/>
      <c r="O881" s="104" t="e">
        <f>#REF!</f>
        <v>#REF!</v>
      </c>
      <c r="P881" s="52" t="e">
        <f>IF(#REF!=0,"",#REF!)</f>
        <v>#REF!</v>
      </c>
      <c r="Q881" s="109" t="e">
        <f>IF(#REF!=0,"",#REF!)</f>
        <v>#REF!</v>
      </c>
      <c r="R881" s="36" t="e">
        <f>IF(#REF!=0,"",#REF!)</f>
        <v>#REF!</v>
      </c>
      <c r="S881" s="36" t="e">
        <f>IF(#REF!=0,"",#REF!)</f>
        <v>#REF!</v>
      </c>
      <c r="T881" s="268"/>
      <c r="U881" s="268"/>
      <c r="V881" s="268"/>
    </row>
    <row r="882" ht="15" customHeight="1" spans="2:22">
      <c r="B882" s="6" t="e">
        <f t="shared" si="16"/>
        <v>#REF!</v>
      </c>
      <c r="C882" s="83" t="e">
        <f>#REF!</f>
        <v>#REF!</v>
      </c>
      <c r="D882" s="110" t="e">
        <f>IF(#REF!=0,"",#REF!)</f>
        <v>#REF!</v>
      </c>
      <c r="E882" s="85" t="e">
        <f>IF(#REF!=0,"",#REF!)</f>
        <v>#REF!</v>
      </c>
      <c r="F882" s="85" t="e">
        <f>IF(#REF!=0,"",#REF!)</f>
        <v>#REF!</v>
      </c>
      <c r="G882" s="105">
        <f>'27'!Q842</f>
        <v>0</v>
      </c>
      <c r="H882" s="161">
        <f>'27'!R842</f>
        <v>0</v>
      </c>
      <c r="I882" s="161">
        <f>'27'!S842</f>
        <v>0</v>
      </c>
      <c r="J882" s="161"/>
      <c r="K882" s="106">
        <f>'27'!T842</f>
        <v>0</v>
      </c>
      <c r="L882" s="85" t="e">
        <f>#REF!</f>
        <v>#REF!</v>
      </c>
      <c r="M882" s="105" t="e">
        <f>#REF!</f>
        <v>#REF!</v>
      </c>
      <c r="N882" s="161"/>
      <c r="O882" s="106" t="e">
        <f>#REF!</f>
        <v>#REF!</v>
      </c>
      <c r="P882" s="107" t="e">
        <f>IF(#REF!=0,"",#REF!)</f>
        <v>#REF!</v>
      </c>
      <c r="Q882" s="111" t="e">
        <f>IF(#REF!=0,"",#REF!)</f>
        <v>#REF!</v>
      </c>
      <c r="R882" s="85" t="e">
        <f>IF(#REF!=0,"",#REF!)</f>
        <v>#REF!</v>
      </c>
      <c r="S882" s="85" t="e">
        <f>IF(#REF!=0,"",#REF!)</f>
        <v>#REF!</v>
      </c>
      <c r="T882" s="268"/>
      <c r="U882" s="268"/>
      <c r="V882" s="268"/>
    </row>
    <row r="883" ht="15" customHeight="1" spans="2:22">
      <c r="B883" s="6" t="e">
        <f t="shared" si="16"/>
        <v>#REF!</v>
      </c>
      <c r="C883" s="79" t="e">
        <f>#REF!</f>
        <v>#REF!</v>
      </c>
      <c r="D883" s="62" t="e">
        <f>IF(#REF!=0,"",#REF!)</f>
        <v>#REF!</v>
      </c>
      <c r="E883" s="81" t="e">
        <f>IF(#REF!=0,"",#REF!)</f>
        <v>#REF!</v>
      </c>
      <c r="F883" s="81" t="e">
        <f>IF(#REF!=0,"",#REF!)</f>
        <v>#REF!</v>
      </c>
      <c r="G883" s="100" t="e">
        <f>#REF!</f>
        <v>#REF!</v>
      </c>
      <c r="H883" s="159">
        <f>'27'!R843</f>
        <v>0</v>
      </c>
      <c r="I883" s="159">
        <f>'27'!S843</f>
        <v>0</v>
      </c>
      <c r="J883" s="159"/>
      <c r="K883" s="101">
        <f>'27'!T843</f>
        <v>0</v>
      </c>
      <c r="L883" s="81" t="e">
        <f>#REF!</f>
        <v>#REF!</v>
      </c>
      <c r="M883" s="100" t="e">
        <f>#REF!</f>
        <v>#REF!</v>
      </c>
      <c r="N883" s="159"/>
      <c r="O883" s="101" t="e">
        <f>#REF!</f>
        <v>#REF!</v>
      </c>
      <c r="P883" s="102" t="e">
        <f>IF(#REF!=0,"",#REF!)</f>
        <v>#REF!</v>
      </c>
      <c r="Q883" s="108" t="e">
        <f>IF(#REF!=0,"",#REF!)</f>
        <v>#REF!</v>
      </c>
      <c r="R883" s="81" t="e">
        <f>IF(#REF!=0,"",#REF!)</f>
        <v>#REF!</v>
      </c>
      <c r="S883" s="81" t="e">
        <f>IF(#REF!=0,"",#REF!)</f>
        <v>#REF!</v>
      </c>
      <c r="T883" s="268"/>
      <c r="U883" s="268"/>
      <c r="V883" s="268"/>
    </row>
    <row r="884" ht="15" customHeight="1" spans="2:22">
      <c r="B884" s="6" t="e">
        <f t="shared" si="16"/>
        <v>#REF!</v>
      </c>
      <c r="C884" s="31" t="e">
        <f>#REF!</f>
        <v>#REF!</v>
      </c>
      <c r="D884" s="32" t="e">
        <f>IF(#REF!=0,"",#REF!)</f>
        <v>#REF!</v>
      </c>
      <c r="E884" s="36" t="e">
        <f>IF(#REF!=0,"",#REF!)</f>
        <v>#REF!</v>
      </c>
      <c r="F884" s="36" t="e">
        <f>IF(#REF!=0,"",#REF!)</f>
        <v>#REF!</v>
      </c>
      <c r="G884" s="103">
        <f>'27'!Q844</f>
        <v>0</v>
      </c>
      <c r="H884" s="160">
        <f>'27'!R844</f>
        <v>0</v>
      </c>
      <c r="I884" s="160">
        <f>'27'!S844</f>
        <v>0</v>
      </c>
      <c r="J884" s="160"/>
      <c r="K884" s="104">
        <f>'27'!T844</f>
        <v>0</v>
      </c>
      <c r="L884" s="36" t="e">
        <f>#REF!</f>
        <v>#REF!</v>
      </c>
      <c r="M884" s="103" t="e">
        <f>#REF!</f>
        <v>#REF!</v>
      </c>
      <c r="N884" s="160"/>
      <c r="O884" s="104" t="e">
        <f>#REF!</f>
        <v>#REF!</v>
      </c>
      <c r="P884" s="52" t="e">
        <f>IF(#REF!=0,"",#REF!)</f>
        <v>#REF!</v>
      </c>
      <c r="Q884" s="109" t="e">
        <f>IF(#REF!=0,"",#REF!)</f>
        <v>#REF!</v>
      </c>
      <c r="R884" s="36" t="e">
        <f>IF(#REF!=0,"",#REF!)</f>
        <v>#REF!</v>
      </c>
      <c r="S884" s="36" t="e">
        <f>IF(#REF!=0,"",#REF!)</f>
        <v>#REF!</v>
      </c>
      <c r="T884" s="268"/>
      <c r="U884" s="268"/>
      <c r="V884" s="268"/>
    </row>
    <row r="885" ht="15" customHeight="1" spans="2:22">
      <c r="B885" s="6" t="e">
        <f t="shared" si="16"/>
        <v>#REF!</v>
      </c>
      <c r="C885" s="83" t="e">
        <f>#REF!</f>
        <v>#REF!</v>
      </c>
      <c r="D885" s="110" t="e">
        <f>IF(#REF!=0,"",#REF!)</f>
        <v>#REF!</v>
      </c>
      <c r="E885" s="85" t="e">
        <f>IF(#REF!=0,"",#REF!)</f>
        <v>#REF!</v>
      </c>
      <c r="F885" s="85" t="e">
        <f>IF(#REF!=0,"",#REF!)</f>
        <v>#REF!</v>
      </c>
      <c r="G885" s="105">
        <f>'27'!Q845</f>
        <v>0</v>
      </c>
      <c r="H885" s="161">
        <f>'27'!R845</f>
        <v>0</v>
      </c>
      <c r="I885" s="161">
        <f>'27'!S845</f>
        <v>0</v>
      </c>
      <c r="J885" s="161"/>
      <c r="K885" s="106">
        <f>'27'!T845</f>
        <v>0</v>
      </c>
      <c r="L885" s="85" t="e">
        <f>#REF!</f>
        <v>#REF!</v>
      </c>
      <c r="M885" s="105" t="e">
        <f>#REF!</f>
        <v>#REF!</v>
      </c>
      <c r="N885" s="161"/>
      <c r="O885" s="106" t="e">
        <f>#REF!</f>
        <v>#REF!</v>
      </c>
      <c r="P885" s="107" t="e">
        <f>IF(#REF!=0,"",#REF!)</f>
        <v>#REF!</v>
      </c>
      <c r="Q885" s="111" t="e">
        <f>IF(#REF!=0,"",#REF!)</f>
        <v>#REF!</v>
      </c>
      <c r="R885" s="85" t="e">
        <f>IF(#REF!=0,"",#REF!)</f>
        <v>#REF!</v>
      </c>
      <c r="S885" s="85" t="e">
        <f>IF(#REF!=0,"",#REF!)</f>
        <v>#REF!</v>
      </c>
      <c r="T885" s="268"/>
      <c r="U885" s="268"/>
      <c r="V885" s="268"/>
    </row>
    <row r="886" ht="15" customHeight="1" spans="2:22">
      <c r="B886" s="6" t="e">
        <f t="shared" si="16"/>
        <v>#REF!</v>
      </c>
      <c r="C886" s="79" t="e">
        <f>#REF!</f>
        <v>#REF!</v>
      </c>
      <c r="D886" s="62" t="e">
        <f>IF(#REF!=0,"",#REF!)</f>
        <v>#REF!</v>
      </c>
      <c r="E886" s="62" t="e">
        <f>IF(#REF!=0,"",#REF!)</f>
        <v>#REF!</v>
      </c>
      <c r="F886" s="62" t="e">
        <f>IF(#REF!=0,"",#REF!)</f>
        <v>#REF!</v>
      </c>
      <c r="G886" s="100" t="e">
        <f>#REF!</f>
        <v>#REF!</v>
      </c>
      <c r="H886" s="159">
        <f>'27'!R846</f>
        <v>0</v>
      </c>
      <c r="I886" s="159">
        <f>'27'!S846</f>
        <v>0</v>
      </c>
      <c r="J886" s="159"/>
      <c r="K886" s="101">
        <f>'27'!T846</f>
        <v>0</v>
      </c>
      <c r="L886" s="81" t="e">
        <f>#REF!</f>
        <v>#REF!</v>
      </c>
      <c r="M886" s="100" t="e">
        <f>#REF!</f>
        <v>#REF!</v>
      </c>
      <c r="N886" s="159"/>
      <c r="O886" s="101" t="e">
        <f>#REF!</f>
        <v>#REF!</v>
      </c>
      <c r="P886" s="102" t="e">
        <f>IF(#REF!=0,"",#REF!)</f>
        <v>#REF!</v>
      </c>
      <c r="Q886" s="108" t="e">
        <f>IF(#REF!=0,"",#REF!)</f>
        <v>#REF!</v>
      </c>
      <c r="R886" s="81" t="e">
        <f>IF(#REF!=0,"",#REF!)</f>
        <v>#REF!</v>
      </c>
      <c r="S886" s="81" t="e">
        <f>IF(#REF!=0,"",#REF!)</f>
        <v>#REF!</v>
      </c>
      <c r="T886" s="268"/>
      <c r="U886" s="268"/>
      <c r="V886" s="268"/>
    </row>
    <row r="887" ht="15" customHeight="1" spans="2:22">
      <c r="B887" s="6" t="e">
        <f t="shared" si="16"/>
        <v>#REF!</v>
      </c>
      <c r="C887" s="31" t="e">
        <f>#REF!</f>
        <v>#REF!</v>
      </c>
      <c r="D887" s="32" t="e">
        <f>IF(#REF!=0,"",#REF!)</f>
        <v>#REF!</v>
      </c>
      <c r="E887" s="36" t="e">
        <f>IF(#REF!=0,"",#REF!)</f>
        <v>#REF!</v>
      </c>
      <c r="F887" s="36" t="e">
        <f>IF(#REF!=0,"",#REF!)</f>
        <v>#REF!</v>
      </c>
      <c r="G887" s="103">
        <f>'27'!Q847</f>
        <v>0</v>
      </c>
      <c r="H887" s="160">
        <f>'27'!R847</f>
        <v>0</v>
      </c>
      <c r="I887" s="160">
        <f>'27'!S847</f>
        <v>0</v>
      </c>
      <c r="J887" s="160"/>
      <c r="K887" s="104">
        <f>'27'!T847</f>
        <v>0</v>
      </c>
      <c r="L887" s="36" t="e">
        <f>#REF!</f>
        <v>#REF!</v>
      </c>
      <c r="M887" s="103" t="e">
        <f>#REF!</f>
        <v>#REF!</v>
      </c>
      <c r="N887" s="160"/>
      <c r="O887" s="104" t="e">
        <f>#REF!</f>
        <v>#REF!</v>
      </c>
      <c r="P887" s="52" t="e">
        <f>IF(#REF!=0,"",#REF!)</f>
        <v>#REF!</v>
      </c>
      <c r="Q887" s="109" t="e">
        <f>IF(#REF!=0,"",#REF!)</f>
        <v>#REF!</v>
      </c>
      <c r="R887" s="36" t="e">
        <f>IF(#REF!=0,"",#REF!)</f>
        <v>#REF!</v>
      </c>
      <c r="S887" s="36" t="e">
        <f>IF(#REF!=0,"",#REF!)</f>
        <v>#REF!</v>
      </c>
      <c r="T887" s="268"/>
      <c r="U887" s="268"/>
      <c r="V887" s="268"/>
    </row>
    <row r="888" ht="15" customHeight="1" spans="2:22">
      <c r="B888" s="6" t="e">
        <f t="shared" si="16"/>
        <v>#REF!</v>
      </c>
      <c r="C888" s="83" t="e">
        <f>#REF!</f>
        <v>#REF!</v>
      </c>
      <c r="D888" s="110" t="e">
        <f>IF(#REF!=0,"",#REF!)</f>
        <v>#REF!</v>
      </c>
      <c r="E888" s="85" t="e">
        <f>IF(#REF!=0,"",#REF!)</f>
        <v>#REF!</v>
      </c>
      <c r="F888" s="85" t="e">
        <f>IF(#REF!=0,"",#REF!)</f>
        <v>#REF!</v>
      </c>
      <c r="G888" s="105">
        <f>'27'!Q848</f>
        <v>0</v>
      </c>
      <c r="H888" s="161">
        <f>'27'!R848</f>
        <v>0</v>
      </c>
      <c r="I888" s="161">
        <f>'27'!S848</f>
        <v>0</v>
      </c>
      <c r="J888" s="161"/>
      <c r="K888" s="106">
        <f>'27'!T848</f>
        <v>0</v>
      </c>
      <c r="L888" s="85" t="e">
        <f>#REF!</f>
        <v>#REF!</v>
      </c>
      <c r="M888" s="105" t="e">
        <f>#REF!</f>
        <v>#REF!</v>
      </c>
      <c r="N888" s="161"/>
      <c r="O888" s="106" t="e">
        <f>#REF!</f>
        <v>#REF!</v>
      </c>
      <c r="P888" s="107" t="e">
        <f>IF(#REF!=0,"",#REF!)</f>
        <v>#REF!</v>
      </c>
      <c r="Q888" s="111" t="e">
        <f>IF(#REF!=0,"",#REF!)</f>
        <v>#REF!</v>
      </c>
      <c r="R888" s="85" t="e">
        <f>IF(#REF!=0,"",#REF!)</f>
        <v>#REF!</v>
      </c>
      <c r="S888" s="85" t="e">
        <f>IF(#REF!=0,"",#REF!)</f>
        <v>#REF!</v>
      </c>
      <c r="T888" s="268"/>
      <c r="U888" s="268"/>
      <c r="V888" s="268"/>
    </row>
    <row r="889" ht="15" customHeight="1" spans="2:22">
      <c r="B889" s="6" t="e">
        <f t="shared" si="16"/>
        <v>#REF!</v>
      </c>
      <c r="C889" s="79" t="e">
        <f>#REF!</f>
        <v>#REF!</v>
      </c>
      <c r="D889" s="62" t="e">
        <f>IF(#REF!=0,"",#REF!)</f>
        <v>#REF!</v>
      </c>
      <c r="E889" s="81" t="e">
        <f>IF(#REF!=0,"",#REF!)</f>
        <v>#REF!</v>
      </c>
      <c r="F889" s="81" t="e">
        <f>IF(#REF!=0,"",#REF!)</f>
        <v>#REF!</v>
      </c>
      <c r="G889" s="100" t="e">
        <f>#REF!</f>
        <v>#REF!</v>
      </c>
      <c r="H889" s="159">
        <f>'27'!R849</f>
        <v>0</v>
      </c>
      <c r="I889" s="159">
        <f>'27'!S849</f>
        <v>0</v>
      </c>
      <c r="J889" s="159"/>
      <c r="K889" s="101">
        <f>'27'!T849</f>
        <v>0</v>
      </c>
      <c r="L889" s="81" t="e">
        <f>#REF!</f>
        <v>#REF!</v>
      </c>
      <c r="M889" s="100" t="e">
        <f>#REF!</f>
        <v>#REF!</v>
      </c>
      <c r="N889" s="159"/>
      <c r="O889" s="101" t="e">
        <f>#REF!</f>
        <v>#REF!</v>
      </c>
      <c r="P889" s="102" t="e">
        <f>IF(#REF!=0,"",#REF!)</f>
        <v>#REF!</v>
      </c>
      <c r="Q889" s="108" t="e">
        <f>IF(#REF!=0,"",#REF!)</f>
        <v>#REF!</v>
      </c>
      <c r="R889" s="81" t="e">
        <f>IF(#REF!=0,"",#REF!)</f>
        <v>#REF!</v>
      </c>
      <c r="S889" s="81" t="e">
        <f>IF(#REF!=0,"",#REF!)</f>
        <v>#REF!</v>
      </c>
      <c r="T889" s="268"/>
      <c r="U889" s="268"/>
      <c r="V889" s="268"/>
    </row>
    <row r="890" ht="15" customHeight="1" spans="2:22">
      <c r="B890" s="6" t="e">
        <f t="shared" si="16"/>
        <v>#REF!</v>
      </c>
      <c r="C890" s="31" t="e">
        <f>#REF!</f>
        <v>#REF!</v>
      </c>
      <c r="D890" s="32" t="e">
        <f>IF(#REF!=0,"",#REF!)</f>
        <v>#REF!</v>
      </c>
      <c r="E890" s="36" t="e">
        <f>IF(#REF!=0,"",#REF!)</f>
        <v>#REF!</v>
      </c>
      <c r="F890" s="36" t="e">
        <f>IF(#REF!=0,"",#REF!)</f>
        <v>#REF!</v>
      </c>
      <c r="G890" s="103">
        <f>'27'!Q850</f>
        <v>0</v>
      </c>
      <c r="H890" s="160">
        <f>'27'!R850</f>
        <v>0</v>
      </c>
      <c r="I890" s="160">
        <f>'27'!S850</f>
        <v>0</v>
      </c>
      <c r="J890" s="160"/>
      <c r="K890" s="104">
        <f>'27'!T850</f>
        <v>0</v>
      </c>
      <c r="L890" s="36" t="e">
        <f>#REF!</f>
        <v>#REF!</v>
      </c>
      <c r="M890" s="103" t="e">
        <f>#REF!</f>
        <v>#REF!</v>
      </c>
      <c r="N890" s="160"/>
      <c r="O890" s="104" t="e">
        <f>#REF!</f>
        <v>#REF!</v>
      </c>
      <c r="P890" s="52" t="e">
        <f>IF(#REF!=0,"",#REF!)</f>
        <v>#REF!</v>
      </c>
      <c r="Q890" s="109" t="e">
        <f>IF(#REF!=0,"",#REF!)</f>
        <v>#REF!</v>
      </c>
      <c r="R890" s="36" t="e">
        <f>IF(#REF!=0,"",#REF!)</f>
        <v>#REF!</v>
      </c>
      <c r="S890" s="36" t="e">
        <f>IF(#REF!=0,"",#REF!)</f>
        <v>#REF!</v>
      </c>
      <c r="T890" s="268"/>
      <c r="U890" s="268"/>
      <c r="V890" s="268"/>
    </row>
    <row r="891" ht="15" customHeight="1" spans="2:22">
      <c r="B891" s="6" t="e">
        <f t="shared" si="16"/>
        <v>#REF!</v>
      </c>
      <c r="C891" s="83" t="e">
        <f>#REF!</f>
        <v>#REF!</v>
      </c>
      <c r="D891" s="110" t="e">
        <f>IF(#REF!=0,"",#REF!)</f>
        <v>#REF!</v>
      </c>
      <c r="E891" s="85" t="e">
        <f>IF(#REF!=0,"",#REF!)</f>
        <v>#REF!</v>
      </c>
      <c r="F891" s="85" t="e">
        <f>IF(#REF!=0,"",#REF!)</f>
        <v>#REF!</v>
      </c>
      <c r="G891" s="105">
        <f>'27'!Q851</f>
        <v>0</v>
      </c>
      <c r="H891" s="161">
        <f>'27'!R851</f>
        <v>0</v>
      </c>
      <c r="I891" s="161">
        <f>'27'!S851</f>
        <v>0</v>
      </c>
      <c r="J891" s="161"/>
      <c r="K891" s="106">
        <f>'27'!T851</f>
        <v>0</v>
      </c>
      <c r="L891" s="85" t="e">
        <f>#REF!</f>
        <v>#REF!</v>
      </c>
      <c r="M891" s="105" t="e">
        <f>#REF!</f>
        <v>#REF!</v>
      </c>
      <c r="N891" s="161"/>
      <c r="O891" s="106" t="e">
        <f>#REF!</f>
        <v>#REF!</v>
      </c>
      <c r="P891" s="107" t="e">
        <f>IF(#REF!=0,"",#REF!)</f>
        <v>#REF!</v>
      </c>
      <c r="Q891" s="111" t="e">
        <f>IF(#REF!=0,"",#REF!)</f>
        <v>#REF!</v>
      </c>
      <c r="R891" s="85" t="e">
        <f>IF(#REF!=0,"",#REF!)</f>
        <v>#REF!</v>
      </c>
      <c r="S891" s="85" t="e">
        <f>IF(#REF!=0,"",#REF!)</f>
        <v>#REF!</v>
      </c>
      <c r="T891" s="268"/>
      <c r="U891" s="268"/>
      <c r="V891" s="268"/>
    </row>
    <row r="892" ht="15" customHeight="1" spans="2:22">
      <c r="B892" s="6" t="e">
        <f t="shared" si="16"/>
        <v>#REF!</v>
      </c>
      <c r="C892" s="79" t="e">
        <f>#REF!</f>
        <v>#REF!</v>
      </c>
      <c r="D892" s="62" t="e">
        <f>IF(#REF!=0,"",#REF!)</f>
        <v>#REF!</v>
      </c>
      <c r="E892" s="81" t="e">
        <f>IF(#REF!=0,"",#REF!)</f>
        <v>#REF!</v>
      </c>
      <c r="F892" s="81" t="e">
        <f>IF(#REF!=0,"",#REF!)</f>
        <v>#REF!</v>
      </c>
      <c r="G892" s="100" t="e">
        <f>#REF!</f>
        <v>#REF!</v>
      </c>
      <c r="H892" s="159">
        <f>'27'!R852</f>
        <v>0</v>
      </c>
      <c r="I892" s="159">
        <f>'27'!S852</f>
        <v>0</v>
      </c>
      <c r="J892" s="159"/>
      <c r="K892" s="101">
        <f>'27'!T852</f>
        <v>0</v>
      </c>
      <c r="L892" s="81" t="e">
        <f>#REF!</f>
        <v>#REF!</v>
      </c>
      <c r="M892" s="100" t="e">
        <f>#REF!</f>
        <v>#REF!</v>
      </c>
      <c r="N892" s="159"/>
      <c r="O892" s="101" t="e">
        <f>#REF!</f>
        <v>#REF!</v>
      </c>
      <c r="P892" s="102" t="e">
        <f>IF(#REF!=0,"",#REF!)</f>
        <v>#REF!</v>
      </c>
      <c r="Q892" s="108" t="e">
        <f>IF(#REF!=0,"",#REF!)</f>
        <v>#REF!</v>
      </c>
      <c r="R892" s="81" t="e">
        <f>IF(#REF!=0,"",#REF!)</f>
        <v>#REF!</v>
      </c>
      <c r="S892" s="81" t="e">
        <f>IF(#REF!=0,"",#REF!)</f>
        <v>#REF!</v>
      </c>
      <c r="T892" s="268"/>
      <c r="U892" s="268"/>
      <c r="V892" s="268"/>
    </row>
    <row r="893" ht="15" customHeight="1" spans="2:22">
      <c r="B893" s="6" t="e">
        <f t="shared" si="16"/>
        <v>#REF!</v>
      </c>
      <c r="C893" s="31" t="e">
        <f>#REF!</f>
        <v>#REF!</v>
      </c>
      <c r="D893" s="32" t="e">
        <f>IF(#REF!=0,"",#REF!)</f>
        <v>#REF!</v>
      </c>
      <c r="E893" s="36" t="e">
        <f>IF(#REF!=0,"",#REF!)</f>
        <v>#REF!</v>
      </c>
      <c r="F893" s="36" t="e">
        <f>IF(#REF!=0,"",#REF!)</f>
        <v>#REF!</v>
      </c>
      <c r="G893" s="103">
        <f>'27'!Q853</f>
        <v>0</v>
      </c>
      <c r="H893" s="160">
        <f>'27'!R853</f>
        <v>0</v>
      </c>
      <c r="I893" s="160">
        <f>'27'!S853</f>
        <v>0</v>
      </c>
      <c r="J893" s="160"/>
      <c r="K893" s="104">
        <f>'27'!T853</f>
        <v>0</v>
      </c>
      <c r="L893" s="36" t="e">
        <f>#REF!</f>
        <v>#REF!</v>
      </c>
      <c r="M893" s="103" t="e">
        <f>#REF!</f>
        <v>#REF!</v>
      </c>
      <c r="N893" s="160"/>
      <c r="O893" s="104" t="e">
        <f>#REF!</f>
        <v>#REF!</v>
      </c>
      <c r="P893" s="52" t="e">
        <f>IF(#REF!=0,"",#REF!)</f>
        <v>#REF!</v>
      </c>
      <c r="Q893" s="109" t="e">
        <f>IF(#REF!=0,"",#REF!)</f>
        <v>#REF!</v>
      </c>
      <c r="R893" s="36" t="e">
        <f>IF(#REF!=0,"",#REF!)</f>
        <v>#REF!</v>
      </c>
      <c r="S893" s="36" t="e">
        <f>IF(#REF!=0,"",#REF!)</f>
        <v>#REF!</v>
      </c>
      <c r="T893" s="268"/>
      <c r="U893" s="268"/>
      <c r="V893" s="268"/>
    </row>
    <row r="894" ht="15" customHeight="1" spans="2:22">
      <c r="B894" s="6" t="e">
        <f t="shared" si="16"/>
        <v>#REF!</v>
      </c>
      <c r="C894" s="83" t="e">
        <f>#REF!</f>
        <v>#REF!</v>
      </c>
      <c r="D894" s="110" t="e">
        <f>IF(#REF!=0,"",#REF!)</f>
        <v>#REF!</v>
      </c>
      <c r="E894" s="85" t="e">
        <f>IF(#REF!=0,"",#REF!)</f>
        <v>#REF!</v>
      </c>
      <c r="F894" s="85" t="e">
        <f>IF(#REF!=0,"",#REF!)</f>
        <v>#REF!</v>
      </c>
      <c r="G894" s="105">
        <f>'27'!Q854</f>
        <v>0</v>
      </c>
      <c r="H894" s="161">
        <f>'27'!R854</f>
        <v>0</v>
      </c>
      <c r="I894" s="161">
        <f>'27'!S854</f>
        <v>0</v>
      </c>
      <c r="J894" s="161"/>
      <c r="K894" s="106">
        <f>'27'!T854</f>
        <v>0</v>
      </c>
      <c r="L894" s="85" t="e">
        <f>#REF!</f>
        <v>#REF!</v>
      </c>
      <c r="M894" s="105" t="e">
        <f>#REF!</f>
        <v>#REF!</v>
      </c>
      <c r="N894" s="161"/>
      <c r="O894" s="106" t="e">
        <f>#REF!</f>
        <v>#REF!</v>
      </c>
      <c r="P894" s="107" t="e">
        <f>IF(#REF!=0,"",#REF!)</f>
        <v>#REF!</v>
      </c>
      <c r="Q894" s="111" t="e">
        <f>IF(#REF!=0,"",#REF!)</f>
        <v>#REF!</v>
      </c>
      <c r="R894" s="85" t="e">
        <f>IF(#REF!=0,"",#REF!)</f>
        <v>#REF!</v>
      </c>
      <c r="S894" s="85" t="e">
        <f>IF(#REF!=0,"",#REF!)</f>
        <v>#REF!</v>
      </c>
      <c r="T894" s="268"/>
      <c r="U894" s="268"/>
      <c r="V894" s="268"/>
    </row>
    <row r="895" ht="15" customHeight="1" spans="2:22">
      <c r="B895" s="6" t="e">
        <f t="shared" si="16"/>
        <v>#REF!</v>
      </c>
      <c r="C895" s="79" t="e">
        <f>#REF!</f>
        <v>#REF!</v>
      </c>
      <c r="D895" s="62" t="e">
        <f>IF(#REF!=0,"",#REF!)</f>
        <v>#REF!</v>
      </c>
      <c r="E895" s="81" t="e">
        <f>IF(#REF!=0,"",#REF!)</f>
        <v>#REF!</v>
      </c>
      <c r="F895" s="81" t="e">
        <f>IF(#REF!=0,"",#REF!)</f>
        <v>#REF!</v>
      </c>
      <c r="G895" s="100" t="e">
        <f>#REF!</f>
        <v>#REF!</v>
      </c>
      <c r="H895" s="159">
        <f>'27'!R855</f>
        <v>0</v>
      </c>
      <c r="I895" s="159">
        <f>'27'!S855</f>
        <v>0</v>
      </c>
      <c r="J895" s="159"/>
      <c r="K895" s="101">
        <f>'27'!T855</f>
        <v>0</v>
      </c>
      <c r="L895" s="81" t="e">
        <f>#REF!</f>
        <v>#REF!</v>
      </c>
      <c r="M895" s="100" t="e">
        <f>#REF!</f>
        <v>#REF!</v>
      </c>
      <c r="N895" s="159"/>
      <c r="O895" s="101" t="e">
        <f>#REF!</f>
        <v>#REF!</v>
      </c>
      <c r="P895" s="102" t="e">
        <f>IF(#REF!=0,"",#REF!)</f>
        <v>#REF!</v>
      </c>
      <c r="Q895" s="108" t="e">
        <f>IF(#REF!=0,"",#REF!)</f>
        <v>#REF!</v>
      </c>
      <c r="R895" s="81" t="e">
        <f>IF(#REF!=0,"",#REF!)</f>
        <v>#REF!</v>
      </c>
      <c r="S895" s="81" t="e">
        <f>IF(#REF!=0,"",#REF!)</f>
        <v>#REF!</v>
      </c>
      <c r="T895" s="268"/>
      <c r="U895" s="268"/>
      <c r="V895" s="268"/>
    </row>
    <row r="896" ht="15" customHeight="1" spans="2:22">
      <c r="B896" s="6" t="e">
        <f t="shared" si="16"/>
        <v>#REF!</v>
      </c>
      <c r="C896" s="31" t="e">
        <f>#REF!</f>
        <v>#REF!</v>
      </c>
      <c r="D896" s="32" t="e">
        <f>IF(#REF!=0,"",#REF!)</f>
        <v>#REF!</v>
      </c>
      <c r="E896" s="36" t="e">
        <f>IF(#REF!=0,"",#REF!)</f>
        <v>#REF!</v>
      </c>
      <c r="F896" s="36" t="e">
        <f>IF(#REF!=0,"",#REF!)</f>
        <v>#REF!</v>
      </c>
      <c r="G896" s="103">
        <f>'27'!Q856</f>
        <v>0</v>
      </c>
      <c r="H896" s="160">
        <f>'27'!R856</f>
        <v>0</v>
      </c>
      <c r="I896" s="160">
        <f>'27'!S856</f>
        <v>0</v>
      </c>
      <c r="J896" s="160"/>
      <c r="K896" s="104">
        <f>'27'!T856</f>
        <v>0</v>
      </c>
      <c r="L896" s="36" t="e">
        <f>#REF!</f>
        <v>#REF!</v>
      </c>
      <c r="M896" s="103" t="e">
        <f>#REF!</f>
        <v>#REF!</v>
      </c>
      <c r="N896" s="160"/>
      <c r="O896" s="104" t="e">
        <f>#REF!</f>
        <v>#REF!</v>
      </c>
      <c r="P896" s="52" t="e">
        <f>IF(#REF!=0,"",#REF!)</f>
        <v>#REF!</v>
      </c>
      <c r="Q896" s="109" t="e">
        <f>IF(#REF!=0,"",#REF!)</f>
        <v>#REF!</v>
      </c>
      <c r="R896" s="36" t="e">
        <f>IF(#REF!=0,"",#REF!)</f>
        <v>#REF!</v>
      </c>
      <c r="S896" s="36" t="e">
        <f>IF(#REF!=0,"",#REF!)</f>
        <v>#REF!</v>
      </c>
      <c r="T896" s="268"/>
      <c r="U896" s="268"/>
      <c r="V896" s="268"/>
    </row>
    <row r="897" ht="15" customHeight="1" spans="2:22">
      <c r="B897" s="6" t="e">
        <f t="shared" si="16"/>
        <v>#REF!</v>
      </c>
      <c r="C897" s="83" t="e">
        <f>#REF!</f>
        <v>#REF!</v>
      </c>
      <c r="D897" s="110" t="e">
        <f>IF(#REF!=0,"",#REF!)</f>
        <v>#REF!</v>
      </c>
      <c r="E897" s="85" t="e">
        <f>IF(#REF!=0,"",#REF!)</f>
        <v>#REF!</v>
      </c>
      <c r="F897" s="85" t="e">
        <f>IF(#REF!=0,"",#REF!)</f>
        <v>#REF!</v>
      </c>
      <c r="G897" s="105">
        <f>'27'!Q857</f>
        <v>0</v>
      </c>
      <c r="H897" s="161">
        <f>'27'!R857</f>
        <v>0</v>
      </c>
      <c r="I897" s="161">
        <f>'27'!S857</f>
        <v>0</v>
      </c>
      <c r="J897" s="161"/>
      <c r="K897" s="106">
        <f>'27'!T857</f>
        <v>0</v>
      </c>
      <c r="L897" s="85" t="e">
        <f>#REF!</f>
        <v>#REF!</v>
      </c>
      <c r="M897" s="105" t="e">
        <f>#REF!</f>
        <v>#REF!</v>
      </c>
      <c r="N897" s="161"/>
      <c r="O897" s="106" t="e">
        <f>#REF!</f>
        <v>#REF!</v>
      </c>
      <c r="P897" s="107" t="e">
        <f>IF(#REF!=0,"",#REF!)</f>
        <v>#REF!</v>
      </c>
      <c r="Q897" s="111" t="e">
        <f>IF(#REF!=0,"",#REF!)</f>
        <v>#REF!</v>
      </c>
      <c r="R897" s="85" t="e">
        <f>IF(#REF!=0,"",#REF!)</f>
        <v>#REF!</v>
      </c>
      <c r="S897" s="85" t="e">
        <f>IF(#REF!=0,"",#REF!)</f>
        <v>#REF!</v>
      </c>
      <c r="T897" s="268"/>
      <c r="U897" s="268"/>
      <c r="V897" s="268"/>
    </row>
    <row r="898" ht="15" customHeight="1" spans="2:22">
      <c r="B898" s="6" t="e">
        <f t="shared" si="16"/>
        <v>#REF!</v>
      </c>
      <c r="C898" s="79" t="e">
        <f>#REF!</f>
        <v>#REF!</v>
      </c>
      <c r="D898" s="62" t="e">
        <f>IF(#REF!=0,"",#REF!)</f>
        <v>#REF!</v>
      </c>
      <c r="E898" s="81" t="e">
        <f>IF(#REF!=0,"",#REF!)</f>
        <v>#REF!</v>
      </c>
      <c r="F898" s="81" t="e">
        <f>IF(#REF!=0,"",#REF!)</f>
        <v>#REF!</v>
      </c>
      <c r="G898" s="100" t="e">
        <f>#REF!</f>
        <v>#REF!</v>
      </c>
      <c r="H898" s="159">
        <f>'27'!R858</f>
        <v>0</v>
      </c>
      <c r="I898" s="159">
        <f>'27'!S858</f>
        <v>0</v>
      </c>
      <c r="J898" s="159"/>
      <c r="K898" s="101">
        <f>'27'!T858</f>
        <v>0</v>
      </c>
      <c r="L898" s="81" t="e">
        <f>#REF!</f>
        <v>#REF!</v>
      </c>
      <c r="M898" s="100" t="e">
        <f>#REF!</f>
        <v>#REF!</v>
      </c>
      <c r="N898" s="159"/>
      <c r="O898" s="101" t="e">
        <f>#REF!</f>
        <v>#REF!</v>
      </c>
      <c r="P898" s="102" t="e">
        <f>IF(#REF!=0,"",#REF!)</f>
        <v>#REF!</v>
      </c>
      <c r="Q898" s="108" t="e">
        <f>IF(#REF!=0,"",#REF!)</f>
        <v>#REF!</v>
      </c>
      <c r="R898" s="81" t="e">
        <f>IF(#REF!=0,"",#REF!)</f>
        <v>#REF!</v>
      </c>
      <c r="S898" s="81" t="e">
        <f>IF(#REF!=0,"",#REF!)</f>
        <v>#REF!</v>
      </c>
      <c r="T898" s="268"/>
      <c r="U898" s="268"/>
      <c r="V898" s="268"/>
    </row>
    <row r="899" ht="15" customHeight="1" spans="2:22">
      <c r="B899" s="6" t="e">
        <f t="shared" si="16"/>
        <v>#REF!</v>
      </c>
      <c r="C899" s="31" t="e">
        <f>#REF!</f>
        <v>#REF!</v>
      </c>
      <c r="D899" s="32" t="e">
        <f>IF(#REF!=0,"",#REF!)</f>
        <v>#REF!</v>
      </c>
      <c r="E899" s="36" t="e">
        <f>IF(#REF!=0,"",#REF!)</f>
        <v>#REF!</v>
      </c>
      <c r="F899" s="36" t="e">
        <f>IF(#REF!=0,"",#REF!)</f>
        <v>#REF!</v>
      </c>
      <c r="G899" s="103">
        <f>'27'!Q859</f>
        <v>0</v>
      </c>
      <c r="H899" s="160">
        <f>'27'!R859</f>
        <v>0</v>
      </c>
      <c r="I899" s="160">
        <f>'27'!S859</f>
        <v>0</v>
      </c>
      <c r="J899" s="160"/>
      <c r="K899" s="104">
        <f>'27'!T859</f>
        <v>0</v>
      </c>
      <c r="L899" s="36" t="e">
        <f>#REF!</f>
        <v>#REF!</v>
      </c>
      <c r="M899" s="103" t="e">
        <f>#REF!</f>
        <v>#REF!</v>
      </c>
      <c r="N899" s="160"/>
      <c r="O899" s="104" t="e">
        <f>#REF!</f>
        <v>#REF!</v>
      </c>
      <c r="P899" s="52" t="e">
        <f>IF(#REF!=0,"",#REF!)</f>
        <v>#REF!</v>
      </c>
      <c r="Q899" s="109" t="e">
        <f>IF(#REF!=0,"",#REF!)</f>
        <v>#REF!</v>
      </c>
      <c r="R899" s="36" t="e">
        <f>IF(#REF!=0,"",#REF!)</f>
        <v>#REF!</v>
      </c>
      <c r="S899" s="36" t="e">
        <f>IF(#REF!=0,"",#REF!)</f>
        <v>#REF!</v>
      </c>
      <c r="T899" s="268"/>
      <c r="U899" s="268"/>
      <c r="V899" s="268"/>
    </row>
    <row r="900" ht="15" customHeight="1" spans="2:22">
      <c r="B900" s="6" t="e">
        <f t="shared" si="16"/>
        <v>#REF!</v>
      </c>
      <c r="C900" s="83" t="e">
        <f>#REF!</f>
        <v>#REF!</v>
      </c>
      <c r="D900" s="110" t="e">
        <f>IF(#REF!=0,"",#REF!)</f>
        <v>#REF!</v>
      </c>
      <c r="E900" s="85" t="e">
        <f>IF(#REF!=0,"",#REF!)</f>
        <v>#REF!</v>
      </c>
      <c r="F900" s="85" t="e">
        <f>IF(#REF!=0,"",#REF!)</f>
        <v>#REF!</v>
      </c>
      <c r="G900" s="105">
        <f>'27'!Q860</f>
        <v>0</v>
      </c>
      <c r="H900" s="161">
        <f>'27'!R860</f>
        <v>0</v>
      </c>
      <c r="I900" s="161">
        <f>'27'!S860</f>
        <v>0</v>
      </c>
      <c r="J900" s="161"/>
      <c r="K900" s="106">
        <f>'27'!T860</f>
        <v>0</v>
      </c>
      <c r="L900" s="85" t="e">
        <f>#REF!</f>
        <v>#REF!</v>
      </c>
      <c r="M900" s="105" t="e">
        <f>#REF!</f>
        <v>#REF!</v>
      </c>
      <c r="N900" s="161"/>
      <c r="O900" s="106" t="e">
        <f>#REF!</f>
        <v>#REF!</v>
      </c>
      <c r="P900" s="107" t="e">
        <f>IF(#REF!=0,"",#REF!)</f>
        <v>#REF!</v>
      </c>
      <c r="Q900" s="111" t="e">
        <f>IF(#REF!=0,"",#REF!)</f>
        <v>#REF!</v>
      </c>
      <c r="R900" s="85" t="e">
        <f>IF(#REF!=0,"",#REF!)</f>
        <v>#REF!</v>
      </c>
      <c r="S900" s="85" t="e">
        <f>IF(#REF!=0,"",#REF!)</f>
        <v>#REF!</v>
      </c>
      <c r="T900" s="268"/>
      <c r="U900" s="268"/>
      <c r="V900" s="268"/>
    </row>
    <row r="901" ht="15" customHeight="1" spans="2:22">
      <c r="B901" s="6" t="e">
        <f t="shared" si="16"/>
        <v>#REF!</v>
      </c>
      <c r="C901" s="79" t="e">
        <f>#REF!</f>
        <v>#REF!</v>
      </c>
      <c r="D901" s="62" t="e">
        <f>IF(#REF!=0,"",#REF!)</f>
        <v>#REF!</v>
      </c>
      <c r="E901" s="81" t="e">
        <f>IF(#REF!=0,"",#REF!)</f>
        <v>#REF!</v>
      </c>
      <c r="F901" s="81" t="e">
        <f>IF(#REF!=0,"",#REF!)</f>
        <v>#REF!</v>
      </c>
      <c r="G901" s="100" t="e">
        <f>#REF!</f>
        <v>#REF!</v>
      </c>
      <c r="H901" s="159">
        <f>'27'!R861</f>
        <v>0</v>
      </c>
      <c r="I901" s="159">
        <f>'27'!S861</f>
        <v>0</v>
      </c>
      <c r="J901" s="159"/>
      <c r="K901" s="101">
        <f>'27'!T861</f>
        <v>0</v>
      </c>
      <c r="L901" s="81" t="e">
        <f>#REF!</f>
        <v>#REF!</v>
      </c>
      <c r="M901" s="100" t="e">
        <f>#REF!</f>
        <v>#REF!</v>
      </c>
      <c r="N901" s="159"/>
      <c r="O901" s="101" t="e">
        <f>#REF!</f>
        <v>#REF!</v>
      </c>
      <c r="P901" s="102" t="e">
        <f>IF(#REF!=0,"",#REF!)</f>
        <v>#REF!</v>
      </c>
      <c r="Q901" s="108" t="e">
        <f>IF(#REF!=0,"",#REF!)</f>
        <v>#REF!</v>
      </c>
      <c r="R901" s="81" t="e">
        <f>IF(#REF!=0,"",#REF!)</f>
        <v>#REF!</v>
      </c>
      <c r="S901" s="81" t="e">
        <f>IF(#REF!=0,"",#REF!)</f>
        <v>#REF!</v>
      </c>
      <c r="T901" s="268"/>
      <c r="U901" s="268"/>
      <c r="V901" s="268"/>
    </row>
    <row r="902" ht="15" customHeight="1" spans="2:22">
      <c r="B902" s="6" t="e">
        <f t="shared" si="16"/>
        <v>#REF!</v>
      </c>
      <c r="C902" s="31" t="e">
        <f>#REF!</f>
        <v>#REF!</v>
      </c>
      <c r="D902" s="32" t="e">
        <f>IF(#REF!=0,"",#REF!)</f>
        <v>#REF!</v>
      </c>
      <c r="E902" s="36" t="e">
        <f>IF(#REF!=0,"",#REF!)</f>
        <v>#REF!</v>
      </c>
      <c r="F902" s="36" t="e">
        <f>IF(#REF!=0,"",#REF!)</f>
        <v>#REF!</v>
      </c>
      <c r="G902" s="103">
        <f>'27'!Q862</f>
        <v>0</v>
      </c>
      <c r="H902" s="160">
        <f>'27'!R862</f>
        <v>0</v>
      </c>
      <c r="I902" s="160">
        <f>'27'!S862</f>
        <v>0</v>
      </c>
      <c r="J902" s="160"/>
      <c r="K902" s="104">
        <f>'27'!T862</f>
        <v>0</v>
      </c>
      <c r="L902" s="36" t="e">
        <f>#REF!</f>
        <v>#REF!</v>
      </c>
      <c r="M902" s="103" t="e">
        <f>#REF!</f>
        <v>#REF!</v>
      </c>
      <c r="N902" s="160"/>
      <c r="O902" s="104" t="e">
        <f>#REF!</f>
        <v>#REF!</v>
      </c>
      <c r="P902" s="52" t="e">
        <f>IF(#REF!=0,"",#REF!)</f>
        <v>#REF!</v>
      </c>
      <c r="Q902" s="109" t="e">
        <f>IF(#REF!=0,"",#REF!)</f>
        <v>#REF!</v>
      </c>
      <c r="R902" s="36" t="e">
        <f>IF(#REF!=0,"",#REF!)</f>
        <v>#REF!</v>
      </c>
      <c r="S902" s="36" t="e">
        <f>IF(#REF!=0,"",#REF!)</f>
        <v>#REF!</v>
      </c>
      <c r="T902" s="268"/>
      <c r="U902" s="268"/>
      <c r="V902" s="268"/>
    </row>
    <row r="903" ht="15" customHeight="1" spans="2:22">
      <c r="B903" s="6" t="e">
        <f t="shared" si="16"/>
        <v>#REF!</v>
      </c>
      <c r="C903" s="83" t="e">
        <f>#REF!</f>
        <v>#REF!</v>
      </c>
      <c r="D903" s="110" t="e">
        <f>IF(#REF!=0,"",#REF!)</f>
        <v>#REF!</v>
      </c>
      <c r="E903" s="85" t="e">
        <f>IF(#REF!=0,"",#REF!)</f>
        <v>#REF!</v>
      </c>
      <c r="F903" s="85" t="e">
        <f>IF(#REF!=0,"",#REF!)</f>
        <v>#REF!</v>
      </c>
      <c r="G903" s="105">
        <f>'27'!Q863</f>
        <v>0</v>
      </c>
      <c r="H903" s="161">
        <f>'27'!R863</f>
        <v>0</v>
      </c>
      <c r="I903" s="161">
        <f>'27'!S863</f>
        <v>0</v>
      </c>
      <c r="J903" s="161"/>
      <c r="K903" s="106">
        <f>'27'!T863</f>
        <v>0</v>
      </c>
      <c r="L903" s="85" t="e">
        <f>#REF!</f>
        <v>#REF!</v>
      </c>
      <c r="M903" s="105" t="e">
        <f>#REF!</f>
        <v>#REF!</v>
      </c>
      <c r="N903" s="161"/>
      <c r="O903" s="106" t="e">
        <f>#REF!</f>
        <v>#REF!</v>
      </c>
      <c r="P903" s="107" t="e">
        <f>IF(#REF!=0,"",#REF!)</f>
        <v>#REF!</v>
      </c>
      <c r="Q903" s="111" t="e">
        <f>IF(#REF!=0,"",#REF!)</f>
        <v>#REF!</v>
      </c>
      <c r="R903" s="85" t="e">
        <f>IF(#REF!=0,"",#REF!)</f>
        <v>#REF!</v>
      </c>
      <c r="S903" s="85" t="e">
        <f>IF(#REF!=0,"",#REF!)</f>
        <v>#REF!</v>
      </c>
      <c r="T903" s="268"/>
      <c r="U903" s="268"/>
      <c r="V903" s="268"/>
    </row>
    <row r="904" ht="15" customHeight="1" spans="2:22">
      <c r="B904" s="6" t="e">
        <f t="shared" si="16"/>
        <v>#REF!</v>
      </c>
      <c r="C904" s="79" t="e">
        <f>#REF!</f>
        <v>#REF!</v>
      </c>
      <c r="D904" s="62" t="e">
        <f>IF(#REF!=0,"",#REF!)</f>
        <v>#REF!</v>
      </c>
      <c r="E904" s="81" t="e">
        <f>IF(#REF!=0,"",#REF!)</f>
        <v>#REF!</v>
      </c>
      <c r="F904" s="81" t="e">
        <f>IF(#REF!=0,"",#REF!)</f>
        <v>#REF!</v>
      </c>
      <c r="G904" s="100" t="e">
        <f>#REF!</f>
        <v>#REF!</v>
      </c>
      <c r="H904" s="159">
        <f>'27'!R864</f>
        <v>0</v>
      </c>
      <c r="I904" s="159">
        <f>'27'!S864</f>
        <v>0</v>
      </c>
      <c r="J904" s="159"/>
      <c r="K904" s="101">
        <f>'27'!T864</f>
        <v>0</v>
      </c>
      <c r="L904" s="81" t="e">
        <f>#REF!</f>
        <v>#REF!</v>
      </c>
      <c r="M904" s="100" t="e">
        <f>#REF!</f>
        <v>#REF!</v>
      </c>
      <c r="N904" s="159"/>
      <c r="O904" s="101" t="e">
        <f>#REF!</f>
        <v>#REF!</v>
      </c>
      <c r="P904" s="102" t="e">
        <f>IF(#REF!=0,"",#REF!)</f>
        <v>#REF!</v>
      </c>
      <c r="Q904" s="108" t="e">
        <f>IF(#REF!=0,"",#REF!)</f>
        <v>#REF!</v>
      </c>
      <c r="R904" s="81" t="e">
        <f>IF(#REF!=0,"",#REF!)</f>
        <v>#REF!</v>
      </c>
      <c r="S904" s="81" t="e">
        <f>IF(#REF!=0,"",#REF!)</f>
        <v>#REF!</v>
      </c>
      <c r="T904" s="268"/>
      <c r="U904" s="268"/>
      <c r="V904" s="268"/>
    </row>
    <row r="905" ht="15" customHeight="1" spans="2:22">
      <c r="B905" s="6" t="e">
        <f t="shared" si="16"/>
        <v>#REF!</v>
      </c>
      <c r="C905" s="31" t="e">
        <f>#REF!</f>
        <v>#REF!</v>
      </c>
      <c r="D905" s="32" t="e">
        <f>IF(#REF!=0,"",#REF!)</f>
        <v>#REF!</v>
      </c>
      <c r="E905" s="36" t="e">
        <f>IF(#REF!=0,"",#REF!)</f>
        <v>#REF!</v>
      </c>
      <c r="F905" s="36" t="e">
        <f>IF(#REF!=0,"",#REF!)</f>
        <v>#REF!</v>
      </c>
      <c r="G905" s="103">
        <f>'27'!Q865</f>
        <v>0</v>
      </c>
      <c r="H905" s="160">
        <f>'27'!R865</f>
        <v>0</v>
      </c>
      <c r="I905" s="160">
        <f>'27'!S865</f>
        <v>0</v>
      </c>
      <c r="J905" s="160"/>
      <c r="K905" s="104">
        <f>'27'!T865</f>
        <v>0</v>
      </c>
      <c r="L905" s="36" t="e">
        <f>#REF!</f>
        <v>#REF!</v>
      </c>
      <c r="M905" s="103" t="e">
        <f>#REF!</f>
        <v>#REF!</v>
      </c>
      <c r="N905" s="160"/>
      <c r="O905" s="104" t="e">
        <f>#REF!</f>
        <v>#REF!</v>
      </c>
      <c r="P905" s="52" t="e">
        <f>IF(#REF!=0,"",#REF!)</f>
        <v>#REF!</v>
      </c>
      <c r="Q905" s="109" t="e">
        <f>IF(#REF!=0,"",#REF!)</f>
        <v>#REF!</v>
      </c>
      <c r="R905" s="36" t="e">
        <f>IF(#REF!=0,"",#REF!)</f>
        <v>#REF!</v>
      </c>
      <c r="S905" s="36" t="e">
        <f>IF(#REF!=0,"",#REF!)</f>
        <v>#REF!</v>
      </c>
      <c r="T905" s="268"/>
      <c r="U905" s="268"/>
      <c r="V905" s="268"/>
    </row>
    <row r="906" ht="15" customHeight="1" spans="2:22">
      <c r="B906" s="6" t="e">
        <f t="shared" si="16"/>
        <v>#REF!</v>
      </c>
      <c r="C906" s="83" t="e">
        <f>#REF!</f>
        <v>#REF!</v>
      </c>
      <c r="D906" s="110" t="e">
        <f>IF(#REF!=0,"",#REF!)</f>
        <v>#REF!</v>
      </c>
      <c r="E906" s="85" t="e">
        <f>IF(#REF!=0,"",#REF!)</f>
        <v>#REF!</v>
      </c>
      <c r="F906" s="85" t="e">
        <f>IF(#REF!=0,"",#REF!)</f>
        <v>#REF!</v>
      </c>
      <c r="G906" s="105">
        <f>'27'!Q866</f>
        <v>0</v>
      </c>
      <c r="H906" s="161">
        <f>'27'!R866</f>
        <v>0</v>
      </c>
      <c r="I906" s="161">
        <f>'27'!S866</f>
        <v>0</v>
      </c>
      <c r="J906" s="161"/>
      <c r="K906" s="106">
        <f>'27'!T866</f>
        <v>0</v>
      </c>
      <c r="L906" s="85" t="e">
        <f>#REF!</f>
        <v>#REF!</v>
      </c>
      <c r="M906" s="105" t="e">
        <f>#REF!</f>
        <v>#REF!</v>
      </c>
      <c r="N906" s="161"/>
      <c r="O906" s="106" t="e">
        <f>#REF!</f>
        <v>#REF!</v>
      </c>
      <c r="P906" s="107" t="e">
        <f>IF(#REF!=0,"",#REF!)</f>
        <v>#REF!</v>
      </c>
      <c r="Q906" s="111" t="e">
        <f>IF(#REF!=0,"",#REF!)</f>
        <v>#REF!</v>
      </c>
      <c r="R906" s="85" t="e">
        <f>IF(#REF!=0,"",#REF!)</f>
        <v>#REF!</v>
      </c>
      <c r="S906" s="85" t="e">
        <f>IF(#REF!=0,"",#REF!)</f>
        <v>#REF!</v>
      </c>
      <c r="T906" s="268"/>
      <c r="U906" s="268"/>
      <c r="V906" s="268"/>
    </row>
    <row r="907" ht="15" customHeight="1" spans="2:22">
      <c r="B907" s="6" t="e">
        <f t="shared" si="16"/>
        <v>#REF!</v>
      </c>
      <c r="C907" s="79" t="e">
        <f>#REF!</f>
        <v>#REF!</v>
      </c>
      <c r="D907" s="62" t="e">
        <f>IF(#REF!=0,"",#REF!)</f>
        <v>#REF!</v>
      </c>
      <c r="E907" s="81" t="e">
        <f>IF(#REF!=0,"",#REF!)</f>
        <v>#REF!</v>
      </c>
      <c r="F907" s="81" t="e">
        <f>IF(#REF!=0,"",#REF!)</f>
        <v>#REF!</v>
      </c>
      <c r="G907" s="100" t="e">
        <f>#REF!</f>
        <v>#REF!</v>
      </c>
      <c r="H907" s="159">
        <f>'27'!R867</f>
        <v>0</v>
      </c>
      <c r="I907" s="159">
        <f>'27'!S867</f>
        <v>0</v>
      </c>
      <c r="J907" s="159"/>
      <c r="K907" s="101">
        <f>'27'!T867</f>
        <v>0</v>
      </c>
      <c r="L907" s="81" t="e">
        <f>#REF!</f>
        <v>#REF!</v>
      </c>
      <c r="M907" s="100" t="e">
        <f>#REF!</f>
        <v>#REF!</v>
      </c>
      <c r="N907" s="159"/>
      <c r="O907" s="101" t="e">
        <f>#REF!</f>
        <v>#REF!</v>
      </c>
      <c r="P907" s="102" t="e">
        <f>IF(#REF!=0,"",#REF!)</f>
        <v>#REF!</v>
      </c>
      <c r="Q907" s="108" t="e">
        <f>IF(#REF!=0,"",#REF!)</f>
        <v>#REF!</v>
      </c>
      <c r="R907" s="81" t="e">
        <f>IF(#REF!=0,"",#REF!)</f>
        <v>#REF!</v>
      </c>
      <c r="S907" s="81" t="e">
        <f>IF(#REF!=0,"",#REF!)</f>
        <v>#REF!</v>
      </c>
      <c r="T907" s="268"/>
      <c r="U907" s="268"/>
      <c r="V907" s="268"/>
    </row>
    <row r="908" ht="15" customHeight="1" spans="2:22">
      <c r="B908" s="6" t="e">
        <f t="shared" si="16"/>
        <v>#REF!</v>
      </c>
      <c r="C908" s="31" t="e">
        <f>#REF!</f>
        <v>#REF!</v>
      </c>
      <c r="D908" s="32" t="e">
        <f>IF(#REF!=0,"",#REF!)</f>
        <v>#REF!</v>
      </c>
      <c r="E908" s="36" t="e">
        <f>IF(#REF!=0,"",#REF!)</f>
        <v>#REF!</v>
      </c>
      <c r="F908" s="36" t="e">
        <f>IF(#REF!=0,"",#REF!)</f>
        <v>#REF!</v>
      </c>
      <c r="G908" s="103">
        <f>'27'!Q868</f>
        <v>0</v>
      </c>
      <c r="H908" s="160">
        <f>'27'!R868</f>
        <v>0</v>
      </c>
      <c r="I908" s="160">
        <f>'27'!S868</f>
        <v>0</v>
      </c>
      <c r="J908" s="160"/>
      <c r="K908" s="104">
        <f>'27'!T868</f>
        <v>0</v>
      </c>
      <c r="L908" s="36" t="e">
        <f>#REF!</f>
        <v>#REF!</v>
      </c>
      <c r="M908" s="103" t="e">
        <f>#REF!</f>
        <v>#REF!</v>
      </c>
      <c r="N908" s="160"/>
      <c r="O908" s="104" t="e">
        <f>#REF!</f>
        <v>#REF!</v>
      </c>
      <c r="P908" s="52" t="e">
        <f>IF(#REF!=0,"",#REF!)</f>
        <v>#REF!</v>
      </c>
      <c r="Q908" s="109" t="e">
        <f>IF(#REF!=0,"",#REF!)</f>
        <v>#REF!</v>
      </c>
      <c r="R908" s="36" t="e">
        <f>IF(#REF!=0,"",#REF!)</f>
        <v>#REF!</v>
      </c>
      <c r="S908" s="36" t="e">
        <f>IF(#REF!=0,"",#REF!)</f>
        <v>#REF!</v>
      </c>
      <c r="T908" s="268"/>
      <c r="U908" s="268"/>
      <c r="V908" s="268"/>
    </row>
    <row r="909" ht="15" customHeight="1" spans="2:22">
      <c r="B909" s="6" t="e">
        <f t="shared" si="16"/>
        <v>#REF!</v>
      </c>
      <c r="C909" s="83" t="e">
        <f>#REF!</f>
        <v>#REF!</v>
      </c>
      <c r="D909" s="110" t="e">
        <f>IF(#REF!=0,"",#REF!)</f>
        <v>#REF!</v>
      </c>
      <c r="E909" s="85" t="e">
        <f>IF(#REF!=0,"",#REF!)</f>
        <v>#REF!</v>
      </c>
      <c r="F909" s="85" t="e">
        <f>IF(#REF!=0,"",#REF!)</f>
        <v>#REF!</v>
      </c>
      <c r="G909" s="105">
        <f>'27'!Q869</f>
        <v>0</v>
      </c>
      <c r="H909" s="161">
        <f>'27'!R869</f>
        <v>0</v>
      </c>
      <c r="I909" s="161">
        <f>'27'!S869</f>
        <v>0</v>
      </c>
      <c r="J909" s="161"/>
      <c r="K909" s="106">
        <f>'27'!T869</f>
        <v>0</v>
      </c>
      <c r="L909" s="85" t="e">
        <f>#REF!</f>
        <v>#REF!</v>
      </c>
      <c r="M909" s="105" t="e">
        <f>#REF!</f>
        <v>#REF!</v>
      </c>
      <c r="N909" s="161"/>
      <c r="O909" s="106" t="e">
        <f>#REF!</f>
        <v>#REF!</v>
      </c>
      <c r="P909" s="107" t="e">
        <f>IF(#REF!=0,"",#REF!)</f>
        <v>#REF!</v>
      </c>
      <c r="Q909" s="111" t="e">
        <f>IF(#REF!=0,"",#REF!)</f>
        <v>#REF!</v>
      </c>
      <c r="R909" s="85" t="e">
        <f>IF(#REF!=0,"",#REF!)</f>
        <v>#REF!</v>
      </c>
      <c r="S909" s="85" t="e">
        <f>IF(#REF!=0,"",#REF!)</f>
        <v>#REF!</v>
      </c>
      <c r="T909" s="268"/>
      <c r="U909" s="268"/>
      <c r="V909" s="268"/>
    </row>
    <row r="910" ht="15" customHeight="1" spans="2:22">
      <c r="B910" s="6" t="e">
        <f t="shared" si="16"/>
        <v>#REF!</v>
      </c>
      <c r="C910" s="79" t="e">
        <f>#REF!</f>
        <v>#REF!</v>
      </c>
      <c r="D910" s="62" t="e">
        <f>IF(#REF!=0,"",#REF!)</f>
        <v>#REF!</v>
      </c>
      <c r="E910" s="81" t="e">
        <f>IF(#REF!=0,"",#REF!)</f>
        <v>#REF!</v>
      </c>
      <c r="F910" s="81" t="e">
        <f>IF(#REF!=0,"",#REF!)</f>
        <v>#REF!</v>
      </c>
      <c r="G910" s="100" t="e">
        <f>#REF!</f>
        <v>#REF!</v>
      </c>
      <c r="H910" s="159">
        <f>'27'!R870</f>
        <v>0</v>
      </c>
      <c r="I910" s="159">
        <f>'27'!S870</f>
        <v>0</v>
      </c>
      <c r="J910" s="159"/>
      <c r="K910" s="101">
        <f>'27'!T870</f>
        <v>0</v>
      </c>
      <c r="L910" s="81" t="e">
        <f>#REF!</f>
        <v>#REF!</v>
      </c>
      <c r="M910" s="100" t="e">
        <f>#REF!</f>
        <v>#REF!</v>
      </c>
      <c r="N910" s="159"/>
      <c r="O910" s="101" t="e">
        <f>#REF!</f>
        <v>#REF!</v>
      </c>
      <c r="P910" s="102" t="e">
        <f>IF(#REF!=0,"",#REF!)</f>
        <v>#REF!</v>
      </c>
      <c r="Q910" s="108" t="e">
        <f>IF(#REF!=0,"",#REF!)</f>
        <v>#REF!</v>
      </c>
      <c r="R910" s="81" t="e">
        <f>IF(#REF!=0,"",#REF!)</f>
        <v>#REF!</v>
      </c>
      <c r="S910" s="81" t="e">
        <f>IF(#REF!=0,"",#REF!)</f>
        <v>#REF!</v>
      </c>
      <c r="T910" s="268"/>
      <c r="U910" s="268"/>
      <c r="V910" s="268"/>
    </row>
    <row r="911" ht="15" customHeight="1" spans="2:22">
      <c r="B911" s="6" t="e">
        <f t="shared" si="16"/>
        <v>#REF!</v>
      </c>
      <c r="C911" s="31" t="e">
        <f>#REF!</f>
        <v>#REF!</v>
      </c>
      <c r="D911" s="32" t="e">
        <f>IF(#REF!=0,"",#REF!)</f>
        <v>#REF!</v>
      </c>
      <c r="E911" s="36" t="e">
        <f>IF(#REF!=0,"",#REF!)</f>
        <v>#REF!</v>
      </c>
      <c r="F911" s="36" t="e">
        <f>IF(#REF!=0,"",#REF!)</f>
        <v>#REF!</v>
      </c>
      <c r="G911" s="103">
        <f>'27'!Q871</f>
        <v>0</v>
      </c>
      <c r="H911" s="160">
        <f>'27'!R871</f>
        <v>0</v>
      </c>
      <c r="I911" s="160">
        <f>'27'!S871</f>
        <v>0</v>
      </c>
      <c r="J911" s="160"/>
      <c r="K911" s="104">
        <f>'27'!T871</f>
        <v>0</v>
      </c>
      <c r="L911" s="36" t="e">
        <f>#REF!</f>
        <v>#REF!</v>
      </c>
      <c r="M911" s="103" t="e">
        <f>#REF!</f>
        <v>#REF!</v>
      </c>
      <c r="N911" s="160"/>
      <c r="O911" s="104" t="e">
        <f>#REF!</f>
        <v>#REF!</v>
      </c>
      <c r="P911" s="52" t="e">
        <f>IF(#REF!=0,"",#REF!)</f>
        <v>#REF!</v>
      </c>
      <c r="Q911" s="109" t="e">
        <f>IF(#REF!=0,"",#REF!)</f>
        <v>#REF!</v>
      </c>
      <c r="R911" s="36" t="e">
        <f>IF(#REF!=0,"",#REF!)</f>
        <v>#REF!</v>
      </c>
      <c r="S911" s="36" t="e">
        <f>IF(#REF!=0,"",#REF!)</f>
        <v>#REF!</v>
      </c>
      <c r="T911" s="268"/>
      <c r="U911" s="268"/>
      <c r="V911" s="268"/>
    </row>
    <row r="912" ht="15" customHeight="1" spans="2:22">
      <c r="B912" s="6" t="e">
        <f t="shared" si="16"/>
        <v>#REF!</v>
      </c>
      <c r="C912" s="83" t="e">
        <f>#REF!</f>
        <v>#REF!</v>
      </c>
      <c r="D912" s="110" t="e">
        <f>IF(#REF!=0,"",#REF!)</f>
        <v>#REF!</v>
      </c>
      <c r="E912" s="85" t="e">
        <f>IF(#REF!=0,"",#REF!)</f>
        <v>#REF!</v>
      </c>
      <c r="F912" s="85" t="e">
        <f>IF(#REF!=0,"",#REF!)</f>
        <v>#REF!</v>
      </c>
      <c r="G912" s="105">
        <f>'27'!Q872</f>
        <v>0</v>
      </c>
      <c r="H912" s="161">
        <f>'27'!R872</f>
        <v>0</v>
      </c>
      <c r="I912" s="161">
        <f>'27'!S872</f>
        <v>0</v>
      </c>
      <c r="J912" s="161"/>
      <c r="K912" s="106">
        <f>'27'!T872</f>
        <v>0</v>
      </c>
      <c r="L912" s="85" t="e">
        <f>#REF!</f>
        <v>#REF!</v>
      </c>
      <c r="M912" s="105" t="e">
        <f>#REF!</f>
        <v>#REF!</v>
      </c>
      <c r="N912" s="161"/>
      <c r="O912" s="106" t="e">
        <f>#REF!</f>
        <v>#REF!</v>
      </c>
      <c r="P912" s="107" t="e">
        <f>IF(#REF!=0,"",#REF!)</f>
        <v>#REF!</v>
      </c>
      <c r="Q912" s="111" t="e">
        <f>IF(#REF!=0,"",#REF!)</f>
        <v>#REF!</v>
      </c>
      <c r="R912" s="85" t="e">
        <f>IF(#REF!=0,"",#REF!)</f>
        <v>#REF!</v>
      </c>
      <c r="S912" s="85" t="e">
        <f>IF(#REF!=0,"",#REF!)</f>
        <v>#REF!</v>
      </c>
      <c r="T912" s="268"/>
      <c r="U912" s="268"/>
      <c r="V912" s="268"/>
    </row>
    <row r="913" ht="15" customHeight="1" spans="2:22">
      <c r="B913" s="6" t="e">
        <f t="shared" si="16"/>
        <v>#REF!</v>
      </c>
      <c r="C913" s="79" t="e">
        <f>#REF!</f>
        <v>#REF!</v>
      </c>
      <c r="D913" s="62" t="e">
        <f>IF(#REF!=0,"",#REF!)</f>
        <v>#REF!</v>
      </c>
      <c r="E913" s="81" t="e">
        <f>IF(#REF!=0,"",#REF!)</f>
        <v>#REF!</v>
      </c>
      <c r="F913" s="81" t="e">
        <f>IF(#REF!=0,"",#REF!)</f>
        <v>#REF!</v>
      </c>
      <c r="G913" s="100" t="e">
        <f>#REF!</f>
        <v>#REF!</v>
      </c>
      <c r="H913" s="159">
        <f>'27'!R873</f>
        <v>0</v>
      </c>
      <c r="I913" s="159">
        <f>'27'!S873</f>
        <v>0</v>
      </c>
      <c r="J913" s="159"/>
      <c r="K913" s="101">
        <f>'27'!T873</f>
        <v>0</v>
      </c>
      <c r="L913" s="81" t="e">
        <f>#REF!</f>
        <v>#REF!</v>
      </c>
      <c r="M913" s="100" t="e">
        <f>#REF!</f>
        <v>#REF!</v>
      </c>
      <c r="N913" s="159"/>
      <c r="O913" s="101" t="e">
        <f>#REF!</f>
        <v>#REF!</v>
      </c>
      <c r="P913" s="102" t="e">
        <f>IF(#REF!=0,"",#REF!)</f>
        <v>#REF!</v>
      </c>
      <c r="Q913" s="108" t="e">
        <f>IF(#REF!=0,"",#REF!)</f>
        <v>#REF!</v>
      </c>
      <c r="R913" s="81" t="e">
        <f>IF(#REF!=0,"",#REF!)</f>
        <v>#REF!</v>
      </c>
      <c r="S913" s="81" t="e">
        <f>IF(#REF!=0,"",#REF!)</f>
        <v>#REF!</v>
      </c>
      <c r="T913" s="268"/>
      <c r="U913" s="268"/>
      <c r="V913" s="268"/>
    </row>
    <row r="914" ht="15" customHeight="1" spans="2:22">
      <c r="B914" s="6" t="e">
        <f t="shared" si="16"/>
        <v>#REF!</v>
      </c>
      <c r="C914" s="31" t="e">
        <f>#REF!</f>
        <v>#REF!</v>
      </c>
      <c r="D914" s="32" t="e">
        <f>IF(#REF!=0,"",#REF!)</f>
        <v>#REF!</v>
      </c>
      <c r="E914" s="36" t="e">
        <f>IF(#REF!=0,"",#REF!)</f>
        <v>#REF!</v>
      </c>
      <c r="F914" s="36" t="e">
        <f>IF(#REF!=0,"",#REF!)</f>
        <v>#REF!</v>
      </c>
      <c r="G914" s="103">
        <f>'27'!Q874</f>
        <v>0</v>
      </c>
      <c r="H914" s="160">
        <f>'27'!R874</f>
        <v>0</v>
      </c>
      <c r="I914" s="160">
        <f>'27'!S874</f>
        <v>0</v>
      </c>
      <c r="J914" s="160"/>
      <c r="K914" s="104">
        <f>'27'!T874</f>
        <v>0</v>
      </c>
      <c r="L914" s="36" t="e">
        <f>#REF!</f>
        <v>#REF!</v>
      </c>
      <c r="M914" s="103" t="e">
        <f>#REF!</f>
        <v>#REF!</v>
      </c>
      <c r="N914" s="160"/>
      <c r="O914" s="104" t="e">
        <f>#REF!</f>
        <v>#REF!</v>
      </c>
      <c r="P914" s="52" t="e">
        <f>IF(#REF!=0,"",#REF!)</f>
        <v>#REF!</v>
      </c>
      <c r="Q914" s="109" t="e">
        <f>IF(#REF!=0,"",#REF!)</f>
        <v>#REF!</v>
      </c>
      <c r="R914" s="36" t="e">
        <f>IF(#REF!=0,"",#REF!)</f>
        <v>#REF!</v>
      </c>
      <c r="S914" s="36" t="e">
        <f>IF(#REF!=0,"",#REF!)</f>
        <v>#REF!</v>
      </c>
      <c r="T914" s="268"/>
      <c r="U914" s="268"/>
      <c r="V914" s="268"/>
    </row>
    <row r="915" ht="15" customHeight="1" spans="2:22">
      <c r="B915" s="6" t="e">
        <f t="shared" si="16"/>
        <v>#REF!</v>
      </c>
      <c r="C915" s="83" t="e">
        <f>#REF!</f>
        <v>#REF!</v>
      </c>
      <c r="D915" s="110" t="e">
        <f>IF(#REF!=0,"",#REF!)</f>
        <v>#REF!</v>
      </c>
      <c r="E915" s="85" t="e">
        <f>IF(#REF!=0,"",#REF!)</f>
        <v>#REF!</v>
      </c>
      <c r="F915" s="85" t="e">
        <f>IF(#REF!=0,"",#REF!)</f>
        <v>#REF!</v>
      </c>
      <c r="G915" s="105">
        <f>'27'!Q875</f>
        <v>0</v>
      </c>
      <c r="H915" s="161">
        <f>'27'!R875</f>
        <v>0</v>
      </c>
      <c r="I915" s="161">
        <f>'27'!S875</f>
        <v>0</v>
      </c>
      <c r="J915" s="161"/>
      <c r="K915" s="106">
        <f>'27'!T875</f>
        <v>0</v>
      </c>
      <c r="L915" s="85" t="e">
        <f>#REF!</f>
        <v>#REF!</v>
      </c>
      <c r="M915" s="105" t="e">
        <f>#REF!</f>
        <v>#REF!</v>
      </c>
      <c r="N915" s="161"/>
      <c r="O915" s="106" t="e">
        <f>#REF!</f>
        <v>#REF!</v>
      </c>
      <c r="P915" s="107" t="e">
        <f>IF(#REF!=0,"",#REF!)</f>
        <v>#REF!</v>
      </c>
      <c r="Q915" s="111" t="e">
        <f>IF(#REF!=0,"",#REF!)</f>
        <v>#REF!</v>
      </c>
      <c r="R915" s="85" t="e">
        <f>IF(#REF!=0,"",#REF!)</f>
        <v>#REF!</v>
      </c>
      <c r="S915" s="85" t="e">
        <f>IF(#REF!=0,"",#REF!)</f>
        <v>#REF!</v>
      </c>
      <c r="T915" s="268"/>
      <c r="U915" s="268"/>
      <c r="V915" s="268"/>
    </row>
    <row r="916" ht="15" customHeight="1" spans="2:22">
      <c r="B916" s="6" t="e">
        <f t="shared" si="16"/>
        <v>#REF!</v>
      </c>
      <c r="C916" s="79" t="e">
        <f>#REF!</f>
        <v>#REF!</v>
      </c>
      <c r="D916" s="62" t="e">
        <f>IF(#REF!=0,"",#REF!)</f>
        <v>#REF!</v>
      </c>
      <c r="E916" s="81" t="e">
        <f>IF(#REF!=0,"",#REF!)</f>
        <v>#REF!</v>
      </c>
      <c r="F916" s="81" t="e">
        <f>IF(#REF!=0,"",#REF!)</f>
        <v>#REF!</v>
      </c>
      <c r="G916" s="100" t="e">
        <f>#REF!</f>
        <v>#REF!</v>
      </c>
      <c r="H916" s="159">
        <f>'27'!R876</f>
        <v>0</v>
      </c>
      <c r="I916" s="159">
        <f>'27'!S876</f>
        <v>0</v>
      </c>
      <c r="J916" s="159"/>
      <c r="K916" s="101">
        <f>'27'!T876</f>
        <v>0</v>
      </c>
      <c r="L916" s="81" t="e">
        <f>#REF!</f>
        <v>#REF!</v>
      </c>
      <c r="M916" s="100" t="e">
        <f>#REF!</f>
        <v>#REF!</v>
      </c>
      <c r="N916" s="159"/>
      <c r="O916" s="101" t="e">
        <f>#REF!</f>
        <v>#REF!</v>
      </c>
      <c r="P916" s="102" t="e">
        <f>IF(#REF!=0,"",#REF!)</f>
        <v>#REF!</v>
      </c>
      <c r="Q916" s="108" t="e">
        <f>IF(#REF!=0,"",#REF!)</f>
        <v>#REF!</v>
      </c>
      <c r="R916" s="81" t="e">
        <f>IF(#REF!=0,"",#REF!)</f>
        <v>#REF!</v>
      </c>
      <c r="S916" s="81" t="e">
        <f>IF(#REF!=0,"",#REF!)</f>
        <v>#REF!</v>
      </c>
      <c r="T916" s="268"/>
      <c r="U916" s="268"/>
      <c r="V916" s="268"/>
    </row>
    <row r="917" ht="15" customHeight="1" spans="2:22">
      <c r="B917" s="6" t="e">
        <f t="shared" si="16"/>
        <v>#REF!</v>
      </c>
      <c r="C917" s="31" t="e">
        <f>#REF!</f>
        <v>#REF!</v>
      </c>
      <c r="D917" s="32" t="e">
        <f>IF(#REF!=0,"",#REF!)</f>
        <v>#REF!</v>
      </c>
      <c r="E917" s="36" t="e">
        <f>IF(#REF!=0,"",#REF!)</f>
        <v>#REF!</v>
      </c>
      <c r="F917" s="36" t="e">
        <f>IF(#REF!=0,"",#REF!)</f>
        <v>#REF!</v>
      </c>
      <c r="G917" s="103">
        <f>'27'!Q877</f>
        <v>0</v>
      </c>
      <c r="H917" s="160">
        <f>'27'!R877</f>
        <v>0</v>
      </c>
      <c r="I917" s="160">
        <f>'27'!S877</f>
        <v>0</v>
      </c>
      <c r="J917" s="160"/>
      <c r="K917" s="104">
        <f>'27'!T877</f>
        <v>0</v>
      </c>
      <c r="L917" s="36" t="e">
        <f>#REF!</f>
        <v>#REF!</v>
      </c>
      <c r="M917" s="103" t="e">
        <f>#REF!</f>
        <v>#REF!</v>
      </c>
      <c r="N917" s="160"/>
      <c r="O917" s="104" t="e">
        <f>#REF!</f>
        <v>#REF!</v>
      </c>
      <c r="P917" s="52" t="e">
        <f>IF(#REF!=0,"",#REF!)</f>
        <v>#REF!</v>
      </c>
      <c r="Q917" s="109" t="e">
        <f>IF(#REF!=0,"",#REF!)</f>
        <v>#REF!</v>
      </c>
      <c r="R917" s="36" t="e">
        <f>IF(#REF!=0,"",#REF!)</f>
        <v>#REF!</v>
      </c>
      <c r="S917" s="36" t="e">
        <f>IF(#REF!=0,"",#REF!)</f>
        <v>#REF!</v>
      </c>
      <c r="T917" s="268"/>
      <c r="U917" s="268"/>
      <c r="V917" s="268"/>
    </row>
    <row r="918" ht="15" customHeight="1" spans="2:22">
      <c r="B918" s="6" t="e">
        <f t="shared" si="16"/>
        <v>#REF!</v>
      </c>
      <c r="C918" s="83" t="e">
        <f>#REF!</f>
        <v>#REF!</v>
      </c>
      <c r="D918" s="110" t="e">
        <f>IF(#REF!=0,"",#REF!)</f>
        <v>#REF!</v>
      </c>
      <c r="E918" s="85" t="e">
        <f>IF(#REF!=0,"",#REF!)</f>
        <v>#REF!</v>
      </c>
      <c r="F918" s="85" t="e">
        <f>IF(#REF!=0,"",#REF!)</f>
        <v>#REF!</v>
      </c>
      <c r="G918" s="105">
        <f>'27'!Q878</f>
        <v>0</v>
      </c>
      <c r="H918" s="161">
        <f>'27'!R878</f>
        <v>0</v>
      </c>
      <c r="I918" s="161">
        <f>'27'!S878</f>
        <v>0</v>
      </c>
      <c r="J918" s="161"/>
      <c r="K918" s="106">
        <f>'27'!T878</f>
        <v>0</v>
      </c>
      <c r="L918" s="85" t="e">
        <f>#REF!</f>
        <v>#REF!</v>
      </c>
      <c r="M918" s="105" t="e">
        <f>#REF!</f>
        <v>#REF!</v>
      </c>
      <c r="N918" s="161"/>
      <c r="O918" s="106" t="e">
        <f>#REF!</f>
        <v>#REF!</v>
      </c>
      <c r="P918" s="107" t="e">
        <f>IF(#REF!=0,"",#REF!)</f>
        <v>#REF!</v>
      </c>
      <c r="Q918" s="111" t="e">
        <f>IF(#REF!=0,"",#REF!)</f>
        <v>#REF!</v>
      </c>
      <c r="R918" s="85" t="e">
        <f>IF(#REF!=0,"",#REF!)</f>
        <v>#REF!</v>
      </c>
      <c r="S918" s="85" t="e">
        <f>IF(#REF!=0,"",#REF!)</f>
        <v>#REF!</v>
      </c>
      <c r="T918" s="268"/>
      <c r="U918" s="268"/>
      <c r="V918" s="268"/>
    </row>
    <row r="919" ht="15" customHeight="1" spans="2:22">
      <c r="B919" s="6" t="e">
        <f t="shared" si="16"/>
        <v>#REF!</v>
      </c>
      <c r="C919" s="79" t="e">
        <f>#REF!</f>
        <v>#REF!</v>
      </c>
      <c r="D919" s="62" t="e">
        <f>IF(#REF!=0,"",#REF!)</f>
        <v>#REF!</v>
      </c>
      <c r="E919" s="81" t="e">
        <f>IF(#REF!=0,"",#REF!)</f>
        <v>#REF!</v>
      </c>
      <c r="F919" s="81" t="e">
        <f>IF(#REF!=0,"",#REF!)</f>
        <v>#REF!</v>
      </c>
      <c r="G919" s="100" t="e">
        <f>#REF!</f>
        <v>#REF!</v>
      </c>
      <c r="H919" s="159">
        <f>'27'!R879</f>
        <v>0</v>
      </c>
      <c r="I919" s="159">
        <f>'27'!S879</f>
        <v>0</v>
      </c>
      <c r="J919" s="159"/>
      <c r="K919" s="101">
        <f>'27'!T879</f>
        <v>0</v>
      </c>
      <c r="L919" s="81" t="e">
        <f>#REF!</f>
        <v>#REF!</v>
      </c>
      <c r="M919" s="100" t="e">
        <f>#REF!</f>
        <v>#REF!</v>
      </c>
      <c r="N919" s="159"/>
      <c r="O919" s="101" t="e">
        <f>#REF!</f>
        <v>#REF!</v>
      </c>
      <c r="P919" s="102" t="e">
        <f>IF(#REF!=0,"",#REF!)</f>
        <v>#REF!</v>
      </c>
      <c r="Q919" s="108" t="e">
        <f>IF(#REF!=0,"",#REF!)</f>
        <v>#REF!</v>
      </c>
      <c r="R919" s="81" t="e">
        <f>IF(#REF!=0,"",#REF!)</f>
        <v>#REF!</v>
      </c>
      <c r="S919" s="81" t="e">
        <f>IF(#REF!=0,"",#REF!)</f>
        <v>#REF!</v>
      </c>
      <c r="T919" s="268"/>
      <c r="U919" s="268"/>
      <c r="V919" s="268"/>
    </row>
    <row r="920" ht="15" customHeight="1" spans="2:22">
      <c r="B920" s="6" t="e">
        <f t="shared" si="16"/>
        <v>#REF!</v>
      </c>
      <c r="C920" s="31" t="e">
        <f>#REF!</f>
        <v>#REF!</v>
      </c>
      <c r="D920" s="32" t="e">
        <f>IF(#REF!=0,"",#REF!)</f>
        <v>#REF!</v>
      </c>
      <c r="E920" s="36" t="e">
        <f>IF(#REF!=0,"",#REF!)</f>
        <v>#REF!</v>
      </c>
      <c r="F920" s="36" t="e">
        <f>IF(#REF!=0,"",#REF!)</f>
        <v>#REF!</v>
      </c>
      <c r="G920" s="103">
        <f>'27'!Q880</f>
        <v>0</v>
      </c>
      <c r="H920" s="160">
        <f>'27'!R880</f>
        <v>0</v>
      </c>
      <c r="I920" s="160">
        <f>'27'!S880</f>
        <v>0</v>
      </c>
      <c r="J920" s="160"/>
      <c r="K920" s="104">
        <f>'27'!T880</f>
        <v>0</v>
      </c>
      <c r="L920" s="36" t="e">
        <f>#REF!</f>
        <v>#REF!</v>
      </c>
      <c r="M920" s="103" t="e">
        <f>#REF!</f>
        <v>#REF!</v>
      </c>
      <c r="N920" s="160"/>
      <c r="O920" s="104" t="e">
        <f>#REF!</f>
        <v>#REF!</v>
      </c>
      <c r="P920" s="52" t="e">
        <f>IF(#REF!=0,"",#REF!)</f>
        <v>#REF!</v>
      </c>
      <c r="Q920" s="109" t="e">
        <f>IF(#REF!=0,"",#REF!)</f>
        <v>#REF!</v>
      </c>
      <c r="R920" s="36" t="e">
        <f>IF(#REF!=0,"",#REF!)</f>
        <v>#REF!</v>
      </c>
      <c r="S920" s="36" t="e">
        <f>IF(#REF!=0,"",#REF!)</f>
        <v>#REF!</v>
      </c>
      <c r="T920" s="268"/>
      <c r="U920" s="268"/>
      <c r="V920" s="268"/>
    </row>
    <row r="921" ht="15" customHeight="1" spans="2:22">
      <c r="B921" s="6" t="e">
        <f t="shared" si="16"/>
        <v>#REF!</v>
      </c>
      <c r="C921" s="83" t="e">
        <f>#REF!</f>
        <v>#REF!</v>
      </c>
      <c r="D921" s="110" t="e">
        <f>IF(#REF!=0,"",#REF!)</f>
        <v>#REF!</v>
      </c>
      <c r="E921" s="85" t="e">
        <f>IF(#REF!=0,"",#REF!)</f>
        <v>#REF!</v>
      </c>
      <c r="F921" s="85" t="e">
        <f>IF(#REF!=0,"",#REF!)</f>
        <v>#REF!</v>
      </c>
      <c r="G921" s="105">
        <f>'27'!Q881</f>
        <v>0</v>
      </c>
      <c r="H921" s="161">
        <f>'27'!R881</f>
        <v>0</v>
      </c>
      <c r="I921" s="161">
        <f>'27'!S881</f>
        <v>0</v>
      </c>
      <c r="J921" s="161"/>
      <c r="K921" s="106">
        <f>'27'!T881</f>
        <v>0</v>
      </c>
      <c r="L921" s="85" t="e">
        <f>#REF!</f>
        <v>#REF!</v>
      </c>
      <c r="M921" s="105" t="e">
        <f>#REF!</f>
        <v>#REF!</v>
      </c>
      <c r="N921" s="161"/>
      <c r="O921" s="106" t="e">
        <f>#REF!</f>
        <v>#REF!</v>
      </c>
      <c r="P921" s="107" t="e">
        <f>IF(#REF!=0,"",#REF!)</f>
        <v>#REF!</v>
      </c>
      <c r="Q921" s="111" t="e">
        <f>IF(#REF!=0,"",#REF!)</f>
        <v>#REF!</v>
      </c>
      <c r="R921" s="85" t="e">
        <f>IF(#REF!=0,"",#REF!)</f>
        <v>#REF!</v>
      </c>
      <c r="S921" s="85" t="e">
        <f>IF(#REF!=0,"",#REF!)</f>
        <v>#REF!</v>
      </c>
      <c r="T921" s="268"/>
      <c r="U921" s="268"/>
      <c r="V921" s="268"/>
    </row>
    <row r="922" ht="15" customHeight="1" spans="2:22">
      <c r="B922" s="6" t="e">
        <f t="shared" si="16"/>
        <v>#REF!</v>
      </c>
      <c r="C922" s="79" t="e">
        <f>#REF!</f>
        <v>#REF!</v>
      </c>
      <c r="D922" s="62" t="e">
        <f>IF(#REF!=0,"",#REF!)</f>
        <v>#REF!</v>
      </c>
      <c r="E922" s="81" t="e">
        <f>IF(#REF!=0,"",#REF!)</f>
        <v>#REF!</v>
      </c>
      <c r="F922" s="81" t="e">
        <f>IF(#REF!=0,"",#REF!)</f>
        <v>#REF!</v>
      </c>
      <c r="G922" s="100" t="e">
        <f>#REF!</f>
        <v>#REF!</v>
      </c>
      <c r="H922" s="159">
        <f>'27'!R882</f>
        <v>0</v>
      </c>
      <c r="I922" s="159">
        <f>'27'!S882</f>
        <v>0</v>
      </c>
      <c r="J922" s="159"/>
      <c r="K922" s="101">
        <f>'27'!T882</f>
        <v>0</v>
      </c>
      <c r="L922" s="81" t="e">
        <f>#REF!</f>
        <v>#REF!</v>
      </c>
      <c r="M922" s="100" t="e">
        <f>#REF!</f>
        <v>#REF!</v>
      </c>
      <c r="N922" s="159"/>
      <c r="O922" s="101" t="e">
        <f>#REF!</f>
        <v>#REF!</v>
      </c>
      <c r="P922" s="102" t="e">
        <f>IF(#REF!=0,"",#REF!)</f>
        <v>#REF!</v>
      </c>
      <c r="Q922" s="108" t="e">
        <f>IF(#REF!=0,"",#REF!)</f>
        <v>#REF!</v>
      </c>
      <c r="R922" s="81" t="e">
        <f>IF(#REF!=0,"",#REF!)</f>
        <v>#REF!</v>
      </c>
      <c r="S922" s="81" t="e">
        <f>IF(#REF!=0,"",#REF!)</f>
        <v>#REF!</v>
      </c>
      <c r="T922" s="268"/>
      <c r="U922" s="268"/>
      <c r="V922" s="268"/>
    </row>
    <row r="923" ht="15" customHeight="1" spans="2:22">
      <c r="B923" s="6" t="e">
        <f t="shared" si="16"/>
        <v>#REF!</v>
      </c>
      <c r="C923" s="31" t="e">
        <f>#REF!</f>
        <v>#REF!</v>
      </c>
      <c r="D923" s="32" t="e">
        <f>IF(#REF!=0,"",#REF!)</f>
        <v>#REF!</v>
      </c>
      <c r="E923" s="36" t="e">
        <f>IF(#REF!=0,"",#REF!)</f>
        <v>#REF!</v>
      </c>
      <c r="F923" s="36" t="e">
        <f>IF(#REF!=0,"",#REF!)</f>
        <v>#REF!</v>
      </c>
      <c r="G923" s="103">
        <f>'27'!Q883</f>
        <v>0</v>
      </c>
      <c r="H923" s="160">
        <f>'27'!R883</f>
        <v>0</v>
      </c>
      <c r="I923" s="160">
        <f>'27'!S883</f>
        <v>0</v>
      </c>
      <c r="J923" s="160"/>
      <c r="K923" s="104">
        <f>'27'!T883</f>
        <v>0</v>
      </c>
      <c r="L923" s="36" t="e">
        <f>#REF!</f>
        <v>#REF!</v>
      </c>
      <c r="M923" s="103" t="e">
        <f>#REF!</f>
        <v>#REF!</v>
      </c>
      <c r="N923" s="160"/>
      <c r="O923" s="104" t="e">
        <f>#REF!</f>
        <v>#REF!</v>
      </c>
      <c r="P923" s="52" t="e">
        <f>IF(#REF!=0,"",#REF!)</f>
        <v>#REF!</v>
      </c>
      <c r="Q923" s="109" t="e">
        <f>IF(#REF!=0,"",#REF!)</f>
        <v>#REF!</v>
      </c>
      <c r="R923" s="36" t="e">
        <f>IF(#REF!=0,"",#REF!)</f>
        <v>#REF!</v>
      </c>
      <c r="S923" s="36" t="e">
        <f>IF(#REF!=0,"",#REF!)</f>
        <v>#REF!</v>
      </c>
      <c r="T923" s="268"/>
      <c r="U923" s="268"/>
      <c r="V923" s="268"/>
    </row>
    <row r="924" ht="15" customHeight="1" spans="2:22">
      <c r="B924" s="6" t="e">
        <f t="shared" si="16"/>
        <v>#REF!</v>
      </c>
      <c r="C924" s="83" t="e">
        <f>#REF!</f>
        <v>#REF!</v>
      </c>
      <c r="D924" s="110" t="e">
        <f>IF(#REF!=0,"",#REF!)</f>
        <v>#REF!</v>
      </c>
      <c r="E924" s="85" t="e">
        <f>IF(#REF!=0,"",#REF!)</f>
        <v>#REF!</v>
      </c>
      <c r="F924" s="85" t="e">
        <f>IF(#REF!=0,"",#REF!)</f>
        <v>#REF!</v>
      </c>
      <c r="G924" s="105">
        <f>'27'!Q884</f>
        <v>0</v>
      </c>
      <c r="H924" s="161">
        <f>'27'!R884</f>
        <v>0</v>
      </c>
      <c r="I924" s="161">
        <f>'27'!S884</f>
        <v>0</v>
      </c>
      <c r="J924" s="161"/>
      <c r="K924" s="106">
        <f>'27'!T884</f>
        <v>0</v>
      </c>
      <c r="L924" s="85" t="e">
        <f>#REF!</f>
        <v>#REF!</v>
      </c>
      <c r="M924" s="105" t="e">
        <f>#REF!</f>
        <v>#REF!</v>
      </c>
      <c r="N924" s="161"/>
      <c r="O924" s="106" t="e">
        <f>#REF!</f>
        <v>#REF!</v>
      </c>
      <c r="P924" s="107" t="e">
        <f>IF(#REF!=0,"",#REF!)</f>
        <v>#REF!</v>
      </c>
      <c r="Q924" s="111" t="e">
        <f>IF(#REF!=0,"",#REF!)</f>
        <v>#REF!</v>
      </c>
      <c r="R924" s="85" t="e">
        <f>IF(#REF!=0,"",#REF!)</f>
        <v>#REF!</v>
      </c>
      <c r="S924" s="85" t="e">
        <f>IF(#REF!=0,"",#REF!)</f>
        <v>#REF!</v>
      </c>
      <c r="T924" s="268"/>
      <c r="U924" s="268"/>
      <c r="V924" s="268"/>
    </row>
    <row r="925" ht="15" customHeight="1" spans="2:22">
      <c r="B925" s="6" t="e">
        <f t="shared" si="16"/>
        <v>#REF!</v>
      </c>
      <c r="C925" s="79" t="e">
        <f>#REF!</f>
        <v>#REF!</v>
      </c>
      <c r="D925" s="62" t="e">
        <f>IF(#REF!=0,"",#REF!)</f>
        <v>#REF!</v>
      </c>
      <c r="E925" s="81" t="e">
        <f>IF(#REF!=0,"",#REF!)</f>
        <v>#REF!</v>
      </c>
      <c r="F925" s="81" t="e">
        <f>IF(#REF!=0,"",#REF!)</f>
        <v>#REF!</v>
      </c>
      <c r="G925" s="100" t="e">
        <f>#REF!</f>
        <v>#REF!</v>
      </c>
      <c r="H925" s="159">
        <f>'27'!R885</f>
        <v>0</v>
      </c>
      <c r="I925" s="159">
        <f>'27'!S885</f>
        <v>0</v>
      </c>
      <c r="J925" s="159"/>
      <c r="K925" s="101">
        <f>'27'!T885</f>
        <v>0</v>
      </c>
      <c r="L925" s="81" t="e">
        <f>#REF!</f>
        <v>#REF!</v>
      </c>
      <c r="M925" s="100" t="e">
        <f>#REF!</f>
        <v>#REF!</v>
      </c>
      <c r="N925" s="159"/>
      <c r="O925" s="101" t="e">
        <f>#REF!</f>
        <v>#REF!</v>
      </c>
      <c r="P925" s="102" t="e">
        <f>IF(#REF!=0,"",#REF!)</f>
        <v>#REF!</v>
      </c>
      <c r="Q925" s="108" t="e">
        <f>IF(#REF!=0,"",#REF!)</f>
        <v>#REF!</v>
      </c>
      <c r="R925" s="81" t="e">
        <f>IF(#REF!=0,"",#REF!)</f>
        <v>#REF!</v>
      </c>
      <c r="S925" s="81" t="e">
        <f>IF(#REF!=0,"",#REF!)</f>
        <v>#REF!</v>
      </c>
      <c r="T925" s="268"/>
      <c r="U925" s="268"/>
      <c r="V925" s="268"/>
    </row>
    <row r="926" ht="15" customHeight="1" spans="2:22">
      <c r="B926" s="6" t="e">
        <f t="shared" si="16"/>
        <v>#REF!</v>
      </c>
      <c r="C926" s="31" t="e">
        <f>#REF!</f>
        <v>#REF!</v>
      </c>
      <c r="D926" s="32" t="e">
        <f>IF(#REF!=0,"",#REF!)</f>
        <v>#REF!</v>
      </c>
      <c r="E926" s="36" t="e">
        <f>IF(#REF!=0,"",#REF!)</f>
        <v>#REF!</v>
      </c>
      <c r="F926" s="36" t="e">
        <f>IF(#REF!=0,"",#REF!)</f>
        <v>#REF!</v>
      </c>
      <c r="G926" s="103">
        <f>'27'!Q886</f>
        <v>0</v>
      </c>
      <c r="H926" s="160">
        <f>'27'!R886</f>
        <v>0</v>
      </c>
      <c r="I926" s="160">
        <f>'27'!S886</f>
        <v>0</v>
      </c>
      <c r="J926" s="160"/>
      <c r="K926" s="104">
        <f>'27'!T886</f>
        <v>0</v>
      </c>
      <c r="L926" s="36" t="e">
        <f>#REF!</f>
        <v>#REF!</v>
      </c>
      <c r="M926" s="103" t="e">
        <f>#REF!</f>
        <v>#REF!</v>
      </c>
      <c r="N926" s="160"/>
      <c r="O926" s="104" t="e">
        <f>#REF!</f>
        <v>#REF!</v>
      </c>
      <c r="P926" s="52" t="e">
        <f>IF(#REF!=0,"",#REF!)</f>
        <v>#REF!</v>
      </c>
      <c r="Q926" s="109" t="e">
        <f>IF(#REF!=0,"",#REF!)</f>
        <v>#REF!</v>
      </c>
      <c r="R926" s="36" t="e">
        <f>IF(#REF!=0,"",#REF!)</f>
        <v>#REF!</v>
      </c>
      <c r="S926" s="36" t="e">
        <f>IF(#REF!=0,"",#REF!)</f>
        <v>#REF!</v>
      </c>
      <c r="T926" s="268"/>
      <c r="U926" s="268"/>
      <c r="V926" s="268"/>
    </row>
    <row r="927" ht="15" customHeight="1" spans="2:22">
      <c r="B927" s="6" t="e">
        <f t="shared" si="16"/>
        <v>#REF!</v>
      </c>
      <c r="C927" s="83" t="e">
        <f>#REF!</f>
        <v>#REF!</v>
      </c>
      <c r="D927" s="110" t="e">
        <f>IF(#REF!=0,"",#REF!)</f>
        <v>#REF!</v>
      </c>
      <c r="E927" s="85" t="e">
        <f>IF(#REF!=0,"",#REF!)</f>
        <v>#REF!</v>
      </c>
      <c r="F927" s="85" t="e">
        <f>IF(#REF!=0,"",#REF!)</f>
        <v>#REF!</v>
      </c>
      <c r="G927" s="105">
        <f>'27'!Q887</f>
        <v>0</v>
      </c>
      <c r="H927" s="161">
        <f>'27'!R887</f>
        <v>0</v>
      </c>
      <c r="I927" s="161">
        <f>'27'!S887</f>
        <v>0</v>
      </c>
      <c r="J927" s="161"/>
      <c r="K927" s="106">
        <f>'27'!T887</f>
        <v>0</v>
      </c>
      <c r="L927" s="85" t="e">
        <f>#REF!</f>
        <v>#REF!</v>
      </c>
      <c r="M927" s="105" t="e">
        <f>#REF!</f>
        <v>#REF!</v>
      </c>
      <c r="N927" s="161"/>
      <c r="O927" s="106" t="e">
        <f>#REF!</f>
        <v>#REF!</v>
      </c>
      <c r="P927" s="107" t="e">
        <f>IF(#REF!=0,"",#REF!)</f>
        <v>#REF!</v>
      </c>
      <c r="Q927" s="111" t="e">
        <f>IF(#REF!=0,"",#REF!)</f>
        <v>#REF!</v>
      </c>
      <c r="R927" s="85" t="e">
        <f>IF(#REF!=0,"",#REF!)</f>
        <v>#REF!</v>
      </c>
      <c r="S927" s="85" t="e">
        <f>IF(#REF!=0,"",#REF!)</f>
        <v>#REF!</v>
      </c>
      <c r="T927" s="268"/>
      <c r="U927" s="268"/>
      <c r="V927" s="268"/>
    </row>
    <row r="928" ht="15" customHeight="1" spans="2:22">
      <c r="B928" s="6" t="e">
        <f t="shared" si="16"/>
        <v>#REF!</v>
      </c>
      <c r="C928" s="79" t="e">
        <f>#REF!</f>
        <v>#REF!</v>
      </c>
      <c r="D928" s="62" t="e">
        <f>IF(#REF!=0,"",#REF!)</f>
        <v>#REF!</v>
      </c>
      <c r="E928" s="81" t="e">
        <f>IF(#REF!=0,"",#REF!)</f>
        <v>#REF!</v>
      </c>
      <c r="F928" s="81" t="e">
        <f>IF(#REF!=0,"",#REF!)</f>
        <v>#REF!</v>
      </c>
      <c r="G928" s="100" t="e">
        <f>#REF!</f>
        <v>#REF!</v>
      </c>
      <c r="H928" s="159">
        <f>'27'!R888</f>
        <v>0</v>
      </c>
      <c r="I928" s="159">
        <f>'27'!S888</f>
        <v>0</v>
      </c>
      <c r="J928" s="159"/>
      <c r="K928" s="101">
        <f>'27'!T888</f>
        <v>0</v>
      </c>
      <c r="L928" s="81" t="e">
        <f>#REF!</f>
        <v>#REF!</v>
      </c>
      <c r="M928" s="100" t="e">
        <f>#REF!</f>
        <v>#REF!</v>
      </c>
      <c r="N928" s="159"/>
      <c r="O928" s="101" t="e">
        <f>#REF!</f>
        <v>#REF!</v>
      </c>
      <c r="P928" s="102" t="e">
        <f>IF(#REF!=0,"",#REF!)</f>
        <v>#REF!</v>
      </c>
      <c r="Q928" s="108" t="e">
        <f>IF(#REF!=0,"",#REF!)</f>
        <v>#REF!</v>
      </c>
      <c r="R928" s="81" t="e">
        <f>IF(#REF!=0,"",#REF!)</f>
        <v>#REF!</v>
      </c>
      <c r="S928" s="81" t="e">
        <f>IF(#REF!=0,"",#REF!)</f>
        <v>#REF!</v>
      </c>
      <c r="T928" s="268"/>
      <c r="U928" s="268"/>
      <c r="V928" s="268"/>
    </row>
    <row r="929" ht="15" customHeight="1" spans="2:22">
      <c r="B929" s="6" t="e">
        <f t="shared" si="16"/>
        <v>#REF!</v>
      </c>
      <c r="C929" s="31" t="e">
        <f>#REF!</f>
        <v>#REF!</v>
      </c>
      <c r="D929" s="32" t="e">
        <f>IF(#REF!=0,"",#REF!)</f>
        <v>#REF!</v>
      </c>
      <c r="E929" s="36" t="e">
        <f>IF(#REF!=0,"",#REF!)</f>
        <v>#REF!</v>
      </c>
      <c r="F929" s="36" t="e">
        <f>IF(#REF!=0,"",#REF!)</f>
        <v>#REF!</v>
      </c>
      <c r="G929" s="103">
        <f>'27'!Q889</f>
        <v>0</v>
      </c>
      <c r="H929" s="160">
        <f>'27'!R889</f>
        <v>0</v>
      </c>
      <c r="I929" s="160">
        <f>'27'!S889</f>
        <v>0</v>
      </c>
      <c r="J929" s="160"/>
      <c r="K929" s="104">
        <f>'27'!T889</f>
        <v>0</v>
      </c>
      <c r="L929" s="36" t="e">
        <f>#REF!</f>
        <v>#REF!</v>
      </c>
      <c r="M929" s="103" t="e">
        <f>#REF!</f>
        <v>#REF!</v>
      </c>
      <c r="N929" s="160"/>
      <c r="O929" s="104" t="e">
        <f>#REF!</f>
        <v>#REF!</v>
      </c>
      <c r="P929" s="52" t="e">
        <f>IF(#REF!=0,"",#REF!)</f>
        <v>#REF!</v>
      </c>
      <c r="Q929" s="109" t="e">
        <f>IF(#REF!=0,"",#REF!)</f>
        <v>#REF!</v>
      </c>
      <c r="R929" s="36" t="e">
        <f>IF(#REF!=0,"",#REF!)</f>
        <v>#REF!</v>
      </c>
      <c r="S929" s="36" t="e">
        <f>IF(#REF!=0,"",#REF!)</f>
        <v>#REF!</v>
      </c>
      <c r="T929" s="268"/>
      <c r="U929" s="268"/>
      <c r="V929" s="268"/>
    </row>
    <row r="930" ht="15" customHeight="1" spans="2:22">
      <c r="B930" s="6" t="e">
        <f t="shared" si="16"/>
        <v>#REF!</v>
      </c>
      <c r="C930" s="83" t="e">
        <f>#REF!</f>
        <v>#REF!</v>
      </c>
      <c r="D930" s="110" t="e">
        <f>IF(#REF!=0,"",#REF!)</f>
        <v>#REF!</v>
      </c>
      <c r="E930" s="85" t="e">
        <f>IF(#REF!=0,"",#REF!)</f>
        <v>#REF!</v>
      </c>
      <c r="F930" s="85" t="e">
        <f>IF(#REF!=0,"",#REF!)</f>
        <v>#REF!</v>
      </c>
      <c r="G930" s="105">
        <f>'27'!Q890</f>
        <v>0</v>
      </c>
      <c r="H930" s="161">
        <f>'27'!R890</f>
        <v>0</v>
      </c>
      <c r="I930" s="161">
        <f>'27'!S890</f>
        <v>0</v>
      </c>
      <c r="J930" s="161"/>
      <c r="K930" s="106">
        <f>'27'!T890</f>
        <v>0</v>
      </c>
      <c r="L930" s="85" t="e">
        <f>#REF!</f>
        <v>#REF!</v>
      </c>
      <c r="M930" s="105" t="e">
        <f>#REF!</f>
        <v>#REF!</v>
      </c>
      <c r="N930" s="161"/>
      <c r="O930" s="106" t="e">
        <f>#REF!</f>
        <v>#REF!</v>
      </c>
      <c r="P930" s="107" t="e">
        <f>IF(#REF!=0,"",#REF!)</f>
        <v>#REF!</v>
      </c>
      <c r="Q930" s="111" t="e">
        <f>IF(#REF!=0,"",#REF!)</f>
        <v>#REF!</v>
      </c>
      <c r="R930" s="85" t="e">
        <f>IF(#REF!=0,"",#REF!)</f>
        <v>#REF!</v>
      </c>
      <c r="S930" s="85" t="e">
        <f>IF(#REF!=0,"",#REF!)</f>
        <v>#REF!</v>
      </c>
      <c r="T930" s="268"/>
      <c r="U930" s="268"/>
      <c r="V930" s="268"/>
    </row>
    <row r="931" ht="15" customHeight="1" spans="2:22">
      <c r="B931" s="6" t="e">
        <f t="shared" si="16"/>
        <v>#REF!</v>
      </c>
      <c r="C931" s="79" t="e">
        <f>#REF!</f>
        <v>#REF!</v>
      </c>
      <c r="D931" s="62" t="e">
        <f>IF(#REF!=0,"",#REF!)</f>
        <v>#REF!</v>
      </c>
      <c r="E931" s="81" t="e">
        <f>IF(#REF!=0,"",#REF!)</f>
        <v>#REF!</v>
      </c>
      <c r="F931" s="81" t="e">
        <f>IF(#REF!=0,"",#REF!)</f>
        <v>#REF!</v>
      </c>
      <c r="G931" s="100" t="e">
        <f>#REF!</f>
        <v>#REF!</v>
      </c>
      <c r="H931" s="159">
        <f>'27'!R891</f>
        <v>0</v>
      </c>
      <c r="I931" s="159">
        <f>'27'!S891</f>
        <v>0</v>
      </c>
      <c r="J931" s="159"/>
      <c r="K931" s="101">
        <f>'27'!T891</f>
        <v>0</v>
      </c>
      <c r="L931" s="81" t="e">
        <f>#REF!</f>
        <v>#REF!</v>
      </c>
      <c r="M931" s="100" t="e">
        <f>#REF!</f>
        <v>#REF!</v>
      </c>
      <c r="N931" s="159"/>
      <c r="O931" s="101" t="e">
        <f>#REF!</f>
        <v>#REF!</v>
      </c>
      <c r="P931" s="102" t="e">
        <f>IF(#REF!=0,"",#REF!)</f>
        <v>#REF!</v>
      </c>
      <c r="Q931" s="108" t="e">
        <f>IF(#REF!=0,"",#REF!)</f>
        <v>#REF!</v>
      </c>
      <c r="R931" s="81" t="e">
        <f>IF(#REF!=0,"",#REF!)</f>
        <v>#REF!</v>
      </c>
      <c r="S931" s="81" t="e">
        <f>IF(#REF!=0,"",#REF!)</f>
        <v>#REF!</v>
      </c>
      <c r="T931" s="268"/>
      <c r="U931" s="268"/>
      <c r="V931" s="268"/>
    </row>
    <row r="932" ht="15" customHeight="1" spans="2:22">
      <c r="B932" s="6" t="e">
        <f t="shared" si="16"/>
        <v>#REF!</v>
      </c>
      <c r="C932" s="31" t="e">
        <f>#REF!</f>
        <v>#REF!</v>
      </c>
      <c r="D932" s="32" t="e">
        <f>IF(#REF!=0,"",#REF!)</f>
        <v>#REF!</v>
      </c>
      <c r="E932" s="36" t="e">
        <f>IF(#REF!=0,"",#REF!)</f>
        <v>#REF!</v>
      </c>
      <c r="F932" s="36" t="e">
        <f>IF(#REF!=0,"",#REF!)</f>
        <v>#REF!</v>
      </c>
      <c r="G932" s="103">
        <f>'27'!Q892</f>
        <v>0</v>
      </c>
      <c r="H932" s="160">
        <f>'27'!R892</f>
        <v>0</v>
      </c>
      <c r="I932" s="160">
        <f>'27'!S892</f>
        <v>0</v>
      </c>
      <c r="J932" s="160"/>
      <c r="K932" s="104">
        <f>'27'!T892</f>
        <v>0</v>
      </c>
      <c r="L932" s="36" t="e">
        <f>#REF!</f>
        <v>#REF!</v>
      </c>
      <c r="M932" s="103" t="e">
        <f>#REF!</f>
        <v>#REF!</v>
      </c>
      <c r="N932" s="160"/>
      <c r="O932" s="104" t="e">
        <f>#REF!</f>
        <v>#REF!</v>
      </c>
      <c r="P932" s="52" t="e">
        <f>IF(#REF!=0,"",#REF!)</f>
        <v>#REF!</v>
      </c>
      <c r="Q932" s="109" t="e">
        <f>IF(#REF!=0,"",#REF!)</f>
        <v>#REF!</v>
      </c>
      <c r="R932" s="36" t="e">
        <f>IF(#REF!=0,"",#REF!)</f>
        <v>#REF!</v>
      </c>
      <c r="S932" s="36" t="e">
        <f>IF(#REF!=0,"",#REF!)</f>
        <v>#REF!</v>
      </c>
      <c r="T932" s="268"/>
      <c r="U932" s="268"/>
      <c r="V932" s="268"/>
    </row>
    <row r="933" ht="15" customHeight="1" spans="2:22">
      <c r="B933" s="6" t="e">
        <f t="shared" si="16"/>
        <v>#REF!</v>
      </c>
      <c r="C933" s="83" t="e">
        <f>#REF!</f>
        <v>#REF!</v>
      </c>
      <c r="D933" s="110" t="e">
        <f>IF(#REF!=0,"",#REF!)</f>
        <v>#REF!</v>
      </c>
      <c r="E933" s="85" t="e">
        <f>IF(#REF!=0,"",#REF!)</f>
        <v>#REF!</v>
      </c>
      <c r="F933" s="85" t="e">
        <f>IF(#REF!=0,"",#REF!)</f>
        <v>#REF!</v>
      </c>
      <c r="G933" s="105">
        <f>'27'!Q893</f>
        <v>0</v>
      </c>
      <c r="H933" s="161">
        <f>'27'!R893</f>
        <v>0</v>
      </c>
      <c r="I933" s="161">
        <f>'27'!S893</f>
        <v>0</v>
      </c>
      <c r="J933" s="161"/>
      <c r="K933" s="106">
        <f>'27'!T893</f>
        <v>0</v>
      </c>
      <c r="L933" s="85" t="e">
        <f>#REF!</f>
        <v>#REF!</v>
      </c>
      <c r="M933" s="105" t="e">
        <f>#REF!</f>
        <v>#REF!</v>
      </c>
      <c r="N933" s="161"/>
      <c r="O933" s="106" t="e">
        <f>#REF!</f>
        <v>#REF!</v>
      </c>
      <c r="P933" s="107" t="e">
        <f>IF(#REF!=0,"",#REF!)</f>
        <v>#REF!</v>
      </c>
      <c r="Q933" s="111" t="e">
        <f>IF(#REF!=0,"",#REF!)</f>
        <v>#REF!</v>
      </c>
      <c r="R933" s="85" t="e">
        <f>IF(#REF!=0,"",#REF!)</f>
        <v>#REF!</v>
      </c>
      <c r="S933" s="85" t="e">
        <f>IF(#REF!=0,"",#REF!)</f>
        <v>#REF!</v>
      </c>
      <c r="T933" s="268"/>
      <c r="U933" s="268"/>
      <c r="V933" s="268"/>
    </row>
    <row r="934" ht="15" customHeight="1" spans="2:22">
      <c r="B934" s="6" t="e">
        <f t="shared" si="16"/>
        <v>#REF!</v>
      </c>
      <c r="C934" s="79" t="e">
        <f>#REF!</f>
        <v>#REF!</v>
      </c>
      <c r="D934" s="62" t="e">
        <f>IF(#REF!=0,"",#REF!)</f>
        <v>#REF!</v>
      </c>
      <c r="E934" s="81" t="e">
        <f>IF(#REF!=0,"",#REF!)</f>
        <v>#REF!</v>
      </c>
      <c r="F934" s="81" t="e">
        <f>IF(#REF!=0,"",#REF!)</f>
        <v>#REF!</v>
      </c>
      <c r="G934" s="100" t="e">
        <f>#REF!</f>
        <v>#REF!</v>
      </c>
      <c r="H934" s="159">
        <f>'27'!R894</f>
        <v>0</v>
      </c>
      <c r="I934" s="159">
        <f>'27'!S894</f>
        <v>0</v>
      </c>
      <c r="J934" s="159"/>
      <c r="K934" s="101">
        <f>'27'!T894</f>
        <v>0</v>
      </c>
      <c r="L934" s="81" t="e">
        <f>#REF!</f>
        <v>#REF!</v>
      </c>
      <c r="M934" s="100" t="e">
        <f>#REF!</f>
        <v>#REF!</v>
      </c>
      <c r="N934" s="159"/>
      <c r="O934" s="101" t="e">
        <f>#REF!</f>
        <v>#REF!</v>
      </c>
      <c r="P934" s="102" t="e">
        <f>IF(#REF!=0,"",#REF!)</f>
        <v>#REF!</v>
      </c>
      <c r="Q934" s="108" t="e">
        <f>IF(#REF!=0,"",#REF!)</f>
        <v>#REF!</v>
      </c>
      <c r="R934" s="81" t="e">
        <f>IF(#REF!=0,"",#REF!)</f>
        <v>#REF!</v>
      </c>
      <c r="S934" s="81" t="e">
        <f>IF(#REF!=0,"",#REF!)</f>
        <v>#REF!</v>
      </c>
      <c r="T934" s="268"/>
      <c r="U934" s="268"/>
      <c r="V934" s="268"/>
    </row>
    <row r="935" ht="15" customHeight="1" spans="2:22">
      <c r="B935" s="6" t="e">
        <f t="shared" ref="B935:B998" si="17">COUNTA(C935)-IF(C935=0,1)+B934</f>
        <v>#REF!</v>
      </c>
      <c r="C935" s="31" t="e">
        <f>#REF!</f>
        <v>#REF!</v>
      </c>
      <c r="D935" s="32" t="e">
        <f>IF(#REF!=0,"",#REF!)</f>
        <v>#REF!</v>
      </c>
      <c r="E935" s="36" t="e">
        <f>IF(#REF!=0,"",#REF!)</f>
        <v>#REF!</v>
      </c>
      <c r="F935" s="36" t="e">
        <f>IF(#REF!=0,"",#REF!)</f>
        <v>#REF!</v>
      </c>
      <c r="G935" s="103">
        <f>'27'!Q895</f>
        <v>0</v>
      </c>
      <c r="H935" s="160">
        <f>'27'!R895</f>
        <v>0</v>
      </c>
      <c r="I935" s="160">
        <f>'27'!S895</f>
        <v>0</v>
      </c>
      <c r="J935" s="160"/>
      <c r="K935" s="104">
        <f>'27'!T895</f>
        <v>0</v>
      </c>
      <c r="L935" s="36" t="e">
        <f>#REF!</f>
        <v>#REF!</v>
      </c>
      <c r="M935" s="103" t="e">
        <f>#REF!</f>
        <v>#REF!</v>
      </c>
      <c r="N935" s="160"/>
      <c r="O935" s="104" t="e">
        <f>#REF!</f>
        <v>#REF!</v>
      </c>
      <c r="P935" s="52" t="e">
        <f>IF(#REF!=0,"",#REF!)</f>
        <v>#REF!</v>
      </c>
      <c r="Q935" s="109" t="e">
        <f>IF(#REF!=0,"",#REF!)</f>
        <v>#REF!</v>
      </c>
      <c r="R935" s="36" t="e">
        <f>IF(#REF!=0,"",#REF!)</f>
        <v>#REF!</v>
      </c>
      <c r="S935" s="36" t="e">
        <f>IF(#REF!=0,"",#REF!)</f>
        <v>#REF!</v>
      </c>
      <c r="T935" s="268"/>
      <c r="U935" s="268"/>
      <c r="V935" s="268"/>
    </row>
    <row r="936" ht="15" customHeight="1" spans="2:22">
      <c r="B936" s="6" t="e">
        <f t="shared" si="17"/>
        <v>#REF!</v>
      </c>
      <c r="C936" s="83" t="e">
        <f>#REF!</f>
        <v>#REF!</v>
      </c>
      <c r="D936" s="110" t="e">
        <f>IF(#REF!=0,"",#REF!)</f>
        <v>#REF!</v>
      </c>
      <c r="E936" s="85" t="e">
        <f>IF(#REF!=0,"",#REF!)</f>
        <v>#REF!</v>
      </c>
      <c r="F936" s="85" t="e">
        <f>IF(#REF!=0,"",#REF!)</f>
        <v>#REF!</v>
      </c>
      <c r="G936" s="105">
        <f>'27'!Q896</f>
        <v>0</v>
      </c>
      <c r="H936" s="161">
        <f>'27'!R896</f>
        <v>0</v>
      </c>
      <c r="I936" s="161">
        <f>'27'!S896</f>
        <v>0</v>
      </c>
      <c r="J936" s="161"/>
      <c r="K936" s="106">
        <f>'27'!T896</f>
        <v>0</v>
      </c>
      <c r="L936" s="85" t="e">
        <f>#REF!</f>
        <v>#REF!</v>
      </c>
      <c r="M936" s="105" t="e">
        <f>#REF!</f>
        <v>#REF!</v>
      </c>
      <c r="N936" s="161"/>
      <c r="O936" s="106" t="e">
        <f>#REF!</f>
        <v>#REF!</v>
      </c>
      <c r="P936" s="107" t="e">
        <f>IF(#REF!=0,"",#REF!)</f>
        <v>#REF!</v>
      </c>
      <c r="Q936" s="111" t="e">
        <f>IF(#REF!=0,"",#REF!)</f>
        <v>#REF!</v>
      </c>
      <c r="R936" s="85" t="e">
        <f>IF(#REF!=0,"",#REF!)</f>
        <v>#REF!</v>
      </c>
      <c r="S936" s="85" t="e">
        <f>IF(#REF!=0,"",#REF!)</f>
        <v>#REF!</v>
      </c>
      <c r="T936" s="268"/>
      <c r="U936" s="268"/>
      <c r="V936" s="268"/>
    </row>
    <row r="937" ht="15" customHeight="1" spans="2:22">
      <c r="B937" s="6" t="e">
        <f t="shared" si="17"/>
        <v>#REF!</v>
      </c>
      <c r="C937" s="79" t="e">
        <f>#REF!</f>
        <v>#REF!</v>
      </c>
      <c r="D937" s="62" t="e">
        <f>IF(#REF!=0,"",#REF!)</f>
        <v>#REF!</v>
      </c>
      <c r="E937" s="81" t="e">
        <f>IF(#REF!=0,"",#REF!)</f>
        <v>#REF!</v>
      </c>
      <c r="F937" s="81" t="e">
        <f>IF(#REF!=0,"",#REF!)</f>
        <v>#REF!</v>
      </c>
      <c r="G937" s="100" t="e">
        <f>#REF!</f>
        <v>#REF!</v>
      </c>
      <c r="H937" s="159">
        <f>'27'!R897</f>
        <v>0</v>
      </c>
      <c r="I937" s="159">
        <f>'27'!S897</f>
        <v>0</v>
      </c>
      <c r="J937" s="159"/>
      <c r="K937" s="101">
        <f>'27'!T897</f>
        <v>0</v>
      </c>
      <c r="L937" s="81" t="e">
        <f>#REF!</f>
        <v>#REF!</v>
      </c>
      <c r="M937" s="100" t="e">
        <f>#REF!</f>
        <v>#REF!</v>
      </c>
      <c r="N937" s="159"/>
      <c r="O937" s="101" t="e">
        <f>#REF!</f>
        <v>#REF!</v>
      </c>
      <c r="P937" s="102" t="e">
        <f>IF(#REF!=0,"",#REF!)</f>
        <v>#REF!</v>
      </c>
      <c r="Q937" s="108" t="e">
        <f>IF(#REF!=0,"",#REF!)</f>
        <v>#REF!</v>
      </c>
      <c r="R937" s="81" t="e">
        <f>IF(#REF!=0,"",#REF!)</f>
        <v>#REF!</v>
      </c>
      <c r="S937" s="81" t="e">
        <f>IF(#REF!=0,"",#REF!)</f>
        <v>#REF!</v>
      </c>
      <c r="T937" s="268"/>
      <c r="U937" s="268"/>
      <c r="V937" s="268"/>
    </row>
    <row r="938" ht="15" customHeight="1" spans="2:22">
      <c r="B938" s="6" t="e">
        <f t="shared" si="17"/>
        <v>#REF!</v>
      </c>
      <c r="C938" s="31" t="e">
        <f>#REF!</f>
        <v>#REF!</v>
      </c>
      <c r="D938" s="32" t="e">
        <f>IF(#REF!=0,"",#REF!)</f>
        <v>#REF!</v>
      </c>
      <c r="E938" s="36" t="e">
        <f>IF(#REF!=0,"",#REF!)</f>
        <v>#REF!</v>
      </c>
      <c r="F938" s="36" t="e">
        <f>IF(#REF!=0,"",#REF!)</f>
        <v>#REF!</v>
      </c>
      <c r="G938" s="103">
        <f>'27'!Q898</f>
        <v>0</v>
      </c>
      <c r="H938" s="160">
        <f>'27'!R898</f>
        <v>0</v>
      </c>
      <c r="I938" s="160">
        <f>'27'!S898</f>
        <v>0</v>
      </c>
      <c r="J938" s="160"/>
      <c r="K938" s="104">
        <f>'27'!T898</f>
        <v>0</v>
      </c>
      <c r="L938" s="36" t="e">
        <f>#REF!</f>
        <v>#REF!</v>
      </c>
      <c r="M938" s="103" t="e">
        <f>#REF!</f>
        <v>#REF!</v>
      </c>
      <c r="N938" s="160"/>
      <c r="O938" s="104" t="e">
        <f>#REF!</f>
        <v>#REF!</v>
      </c>
      <c r="P938" s="52" t="e">
        <f>IF(#REF!=0,"",#REF!)</f>
        <v>#REF!</v>
      </c>
      <c r="Q938" s="109" t="e">
        <f>IF(#REF!=0,"",#REF!)</f>
        <v>#REF!</v>
      </c>
      <c r="R938" s="36" t="e">
        <f>IF(#REF!=0,"",#REF!)</f>
        <v>#REF!</v>
      </c>
      <c r="S938" s="36" t="e">
        <f>IF(#REF!=0,"",#REF!)</f>
        <v>#REF!</v>
      </c>
      <c r="T938" s="268"/>
      <c r="U938" s="268"/>
      <c r="V938" s="268"/>
    </row>
    <row r="939" ht="15" customHeight="1" spans="2:22">
      <c r="B939" s="6" t="e">
        <f t="shared" si="17"/>
        <v>#REF!</v>
      </c>
      <c r="C939" s="83" t="e">
        <f>#REF!</f>
        <v>#REF!</v>
      </c>
      <c r="D939" s="110" t="e">
        <f>IF(#REF!=0,"",#REF!)</f>
        <v>#REF!</v>
      </c>
      <c r="E939" s="85" t="e">
        <f>IF(#REF!=0,"",#REF!)</f>
        <v>#REF!</v>
      </c>
      <c r="F939" s="85" t="e">
        <f>IF(#REF!=0,"",#REF!)</f>
        <v>#REF!</v>
      </c>
      <c r="G939" s="105">
        <f>'27'!Q899</f>
        <v>0</v>
      </c>
      <c r="H939" s="161">
        <f>'27'!R899</f>
        <v>0</v>
      </c>
      <c r="I939" s="161">
        <f>'27'!S899</f>
        <v>0</v>
      </c>
      <c r="J939" s="161"/>
      <c r="K939" s="106">
        <f>'27'!T899</f>
        <v>0</v>
      </c>
      <c r="L939" s="85" t="e">
        <f>#REF!</f>
        <v>#REF!</v>
      </c>
      <c r="M939" s="105" t="e">
        <f>#REF!</f>
        <v>#REF!</v>
      </c>
      <c r="N939" s="161"/>
      <c r="O939" s="106" t="e">
        <f>#REF!</f>
        <v>#REF!</v>
      </c>
      <c r="P939" s="107" t="e">
        <f>IF(#REF!=0,"",#REF!)</f>
        <v>#REF!</v>
      </c>
      <c r="Q939" s="111" t="e">
        <f>IF(#REF!=0,"",#REF!)</f>
        <v>#REF!</v>
      </c>
      <c r="R939" s="85" t="e">
        <f>IF(#REF!=0,"",#REF!)</f>
        <v>#REF!</v>
      </c>
      <c r="S939" s="85" t="e">
        <f>IF(#REF!=0,"",#REF!)</f>
        <v>#REF!</v>
      </c>
      <c r="T939" s="268"/>
      <c r="U939" s="268"/>
      <c r="V939" s="268"/>
    </row>
    <row r="940" ht="15" customHeight="1" spans="2:22">
      <c r="B940" s="6" t="e">
        <f t="shared" si="17"/>
        <v>#REF!</v>
      </c>
      <c r="C940" s="79" t="e">
        <f>#REF!</f>
        <v>#REF!</v>
      </c>
      <c r="D940" s="62" t="e">
        <f>IF(#REF!=0,"",#REF!)</f>
        <v>#REF!</v>
      </c>
      <c r="E940" s="81" t="e">
        <f>IF(#REF!=0,"",#REF!)</f>
        <v>#REF!</v>
      </c>
      <c r="F940" s="81" t="e">
        <f>IF(#REF!=0,"",#REF!)</f>
        <v>#REF!</v>
      </c>
      <c r="G940" s="100" t="e">
        <f>#REF!</f>
        <v>#REF!</v>
      </c>
      <c r="H940" s="159">
        <f>'27'!R900</f>
        <v>0</v>
      </c>
      <c r="I940" s="159">
        <f>'27'!S900</f>
        <v>0</v>
      </c>
      <c r="J940" s="159"/>
      <c r="K940" s="101">
        <f>'27'!T900</f>
        <v>0</v>
      </c>
      <c r="L940" s="81" t="e">
        <f>#REF!</f>
        <v>#REF!</v>
      </c>
      <c r="M940" s="100" t="e">
        <f>#REF!</f>
        <v>#REF!</v>
      </c>
      <c r="N940" s="159"/>
      <c r="O940" s="101" t="e">
        <f>#REF!</f>
        <v>#REF!</v>
      </c>
      <c r="P940" s="102" t="e">
        <f>IF(#REF!=0,"",#REF!)</f>
        <v>#REF!</v>
      </c>
      <c r="Q940" s="108" t="e">
        <f>IF(#REF!=0,"",#REF!)</f>
        <v>#REF!</v>
      </c>
      <c r="R940" s="81" t="e">
        <f>IF(#REF!=0,"",#REF!)</f>
        <v>#REF!</v>
      </c>
      <c r="S940" s="81" t="e">
        <f>IF(#REF!=0,"",#REF!)</f>
        <v>#REF!</v>
      </c>
      <c r="T940" s="268"/>
      <c r="U940" s="268"/>
      <c r="V940" s="268"/>
    </row>
    <row r="941" ht="15" customHeight="1" spans="2:22">
      <c r="B941" s="6" t="e">
        <f t="shared" si="17"/>
        <v>#REF!</v>
      </c>
      <c r="C941" s="31" t="e">
        <f>#REF!</f>
        <v>#REF!</v>
      </c>
      <c r="D941" s="32" t="e">
        <f>IF(#REF!=0,"",#REF!)</f>
        <v>#REF!</v>
      </c>
      <c r="E941" s="36" t="e">
        <f>IF(#REF!=0,"",#REF!)</f>
        <v>#REF!</v>
      </c>
      <c r="F941" s="36" t="e">
        <f>IF(#REF!=0,"",#REF!)</f>
        <v>#REF!</v>
      </c>
      <c r="G941" s="103">
        <f>'27'!Q901</f>
        <v>0</v>
      </c>
      <c r="H941" s="160">
        <f>'27'!R901</f>
        <v>0</v>
      </c>
      <c r="I941" s="160">
        <f>'27'!S901</f>
        <v>0</v>
      </c>
      <c r="J941" s="160"/>
      <c r="K941" s="104">
        <f>'27'!T901</f>
        <v>0</v>
      </c>
      <c r="L941" s="36" t="e">
        <f>#REF!</f>
        <v>#REF!</v>
      </c>
      <c r="M941" s="103" t="e">
        <f>#REF!</f>
        <v>#REF!</v>
      </c>
      <c r="N941" s="160"/>
      <c r="O941" s="104" t="e">
        <f>#REF!</f>
        <v>#REF!</v>
      </c>
      <c r="P941" s="52" t="e">
        <f>IF(#REF!=0,"",#REF!)</f>
        <v>#REF!</v>
      </c>
      <c r="Q941" s="109" t="e">
        <f>IF(#REF!=0,"",#REF!)</f>
        <v>#REF!</v>
      </c>
      <c r="R941" s="36" t="e">
        <f>IF(#REF!=0,"",#REF!)</f>
        <v>#REF!</v>
      </c>
      <c r="S941" s="36" t="e">
        <f>IF(#REF!=0,"",#REF!)</f>
        <v>#REF!</v>
      </c>
      <c r="T941" s="268"/>
      <c r="U941" s="268"/>
      <c r="V941" s="268"/>
    </row>
    <row r="942" ht="15" customHeight="1" spans="2:22">
      <c r="B942" s="6" t="e">
        <f t="shared" si="17"/>
        <v>#REF!</v>
      </c>
      <c r="C942" s="83" t="e">
        <f>#REF!</f>
        <v>#REF!</v>
      </c>
      <c r="D942" s="110" t="e">
        <f>IF(#REF!=0,"",#REF!)</f>
        <v>#REF!</v>
      </c>
      <c r="E942" s="85" t="e">
        <f>IF(#REF!=0,"",#REF!)</f>
        <v>#REF!</v>
      </c>
      <c r="F942" s="85" t="e">
        <f>IF(#REF!=0,"",#REF!)</f>
        <v>#REF!</v>
      </c>
      <c r="G942" s="105">
        <f>'27'!Q902</f>
        <v>0</v>
      </c>
      <c r="H942" s="161">
        <f>'27'!R902</f>
        <v>0</v>
      </c>
      <c r="I942" s="161">
        <f>'27'!S902</f>
        <v>0</v>
      </c>
      <c r="J942" s="161"/>
      <c r="K942" s="106">
        <f>'27'!T902</f>
        <v>0</v>
      </c>
      <c r="L942" s="85" t="e">
        <f>#REF!</f>
        <v>#REF!</v>
      </c>
      <c r="M942" s="105" t="e">
        <f>#REF!</f>
        <v>#REF!</v>
      </c>
      <c r="N942" s="161"/>
      <c r="O942" s="106" t="e">
        <f>#REF!</f>
        <v>#REF!</v>
      </c>
      <c r="P942" s="107" t="e">
        <f>IF(#REF!=0,"",#REF!)</f>
        <v>#REF!</v>
      </c>
      <c r="Q942" s="111" t="e">
        <f>IF(#REF!=0,"",#REF!)</f>
        <v>#REF!</v>
      </c>
      <c r="R942" s="85" t="e">
        <f>IF(#REF!=0,"",#REF!)</f>
        <v>#REF!</v>
      </c>
      <c r="S942" s="85" t="e">
        <f>IF(#REF!=0,"",#REF!)</f>
        <v>#REF!</v>
      </c>
      <c r="T942" s="268"/>
      <c r="U942" s="268"/>
      <c r="V942" s="268"/>
    </row>
    <row r="943" ht="15" customHeight="1" spans="2:22">
      <c r="B943" s="6" t="e">
        <f t="shared" si="17"/>
        <v>#REF!</v>
      </c>
      <c r="C943" s="79" t="e">
        <f>#REF!</f>
        <v>#REF!</v>
      </c>
      <c r="D943" s="62" t="e">
        <f>IF(#REF!=0,"",#REF!)</f>
        <v>#REF!</v>
      </c>
      <c r="E943" s="81" t="e">
        <f>IF(#REF!=0,"",#REF!)</f>
        <v>#REF!</v>
      </c>
      <c r="F943" s="81" t="e">
        <f>IF(#REF!=0,"",#REF!)</f>
        <v>#REF!</v>
      </c>
      <c r="G943" s="100" t="e">
        <f>#REF!</f>
        <v>#REF!</v>
      </c>
      <c r="H943" s="159">
        <f>'27'!R903</f>
        <v>0</v>
      </c>
      <c r="I943" s="159">
        <f>'27'!S903</f>
        <v>0</v>
      </c>
      <c r="J943" s="159"/>
      <c r="K943" s="101">
        <f>'27'!T903</f>
        <v>0</v>
      </c>
      <c r="L943" s="81" t="e">
        <f>#REF!</f>
        <v>#REF!</v>
      </c>
      <c r="M943" s="100" t="e">
        <f>#REF!</f>
        <v>#REF!</v>
      </c>
      <c r="N943" s="159"/>
      <c r="O943" s="101" t="e">
        <f>#REF!</f>
        <v>#REF!</v>
      </c>
      <c r="P943" s="102" t="e">
        <f>IF(#REF!=0,"",#REF!)</f>
        <v>#REF!</v>
      </c>
      <c r="Q943" s="108" t="e">
        <f>IF(#REF!=0,"",#REF!)</f>
        <v>#REF!</v>
      </c>
      <c r="R943" s="81" t="e">
        <f>IF(#REF!=0,"",#REF!)</f>
        <v>#REF!</v>
      </c>
      <c r="S943" s="81" t="e">
        <f>IF(#REF!=0,"",#REF!)</f>
        <v>#REF!</v>
      </c>
      <c r="T943" s="268"/>
      <c r="U943" s="268"/>
      <c r="V943" s="268"/>
    </row>
    <row r="944" ht="15" customHeight="1" spans="2:22">
      <c r="B944" s="6" t="e">
        <f t="shared" si="17"/>
        <v>#REF!</v>
      </c>
      <c r="C944" s="31" t="e">
        <f>#REF!</f>
        <v>#REF!</v>
      </c>
      <c r="D944" s="32" t="e">
        <f>IF(#REF!=0,"",#REF!)</f>
        <v>#REF!</v>
      </c>
      <c r="E944" s="36" t="e">
        <f>IF(#REF!=0,"",#REF!)</f>
        <v>#REF!</v>
      </c>
      <c r="F944" s="36" t="e">
        <f>IF(#REF!=0,"",#REF!)</f>
        <v>#REF!</v>
      </c>
      <c r="G944" s="103">
        <f>'27'!Q904</f>
        <v>0</v>
      </c>
      <c r="H944" s="160">
        <f>'27'!R904</f>
        <v>0</v>
      </c>
      <c r="I944" s="160">
        <f>'27'!S904</f>
        <v>0</v>
      </c>
      <c r="J944" s="160"/>
      <c r="K944" s="104">
        <f>'27'!T904</f>
        <v>0</v>
      </c>
      <c r="L944" s="36" t="e">
        <f>#REF!</f>
        <v>#REF!</v>
      </c>
      <c r="M944" s="103" t="e">
        <f>#REF!</f>
        <v>#REF!</v>
      </c>
      <c r="N944" s="160"/>
      <c r="O944" s="104" t="e">
        <f>#REF!</f>
        <v>#REF!</v>
      </c>
      <c r="P944" s="52" t="e">
        <f>IF(#REF!=0,"",#REF!)</f>
        <v>#REF!</v>
      </c>
      <c r="Q944" s="109" t="e">
        <f>IF(#REF!=0,"",#REF!)</f>
        <v>#REF!</v>
      </c>
      <c r="R944" s="36" t="e">
        <f>IF(#REF!=0,"",#REF!)</f>
        <v>#REF!</v>
      </c>
      <c r="S944" s="36" t="e">
        <f>IF(#REF!=0,"",#REF!)</f>
        <v>#REF!</v>
      </c>
      <c r="T944" s="268"/>
      <c r="U944" s="268"/>
      <c r="V944" s="268"/>
    </row>
    <row r="945" ht="15" customHeight="1" spans="2:22">
      <c r="B945" s="6" t="e">
        <f t="shared" si="17"/>
        <v>#REF!</v>
      </c>
      <c r="C945" s="83" t="e">
        <f>#REF!</f>
        <v>#REF!</v>
      </c>
      <c r="D945" s="110" t="e">
        <f>IF(#REF!=0,"",#REF!)</f>
        <v>#REF!</v>
      </c>
      <c r="E945" s="85" t="e">
        <f>IF(#REF!=0,"",#REF!)</f>
        <v>#REF!</v>
      </c>
      <c r="F945" s="85" t="e">
        <f>IF(#REF!=0,"",#REF!)</f>
        <v>#REF!</v>
      </c>
      <c r="G945" s="105">
        <f>'27'!Q905</f>
        <v>0</v>
      </c>
      <c r="H945" s="161">
        <f>'27'!R905</f>
        <v>0</v>
      </c>
      <c r="I945" s="161">
        <f>'27'!S905</f>
        <v>0</v>
      </c>
      <c r="J945" s="161"/>
      <c r="K945" s="106">
        <f>'27'!T905</f>
        <v>0</v>
      </c>
      <c r="L945" s="85" t="e">
        <f>#REF!</f>
        <v>#REF!</v>
      </c>
      <c r="M945" s="105" t="e">
        <f>#REF!</f>
        <v>#REF!</v>
      </c>
      <c r="N945" s="161"/>
      <c r="O945" s="106" t="e">
        <f>#REF!</f>
        <v>#REF!</v>
      </c>
      <c r="P945" s="107" t="e">
        <f>IF(#REF!=0,"",#REF!)</f>
        <v>#REF!</v>
      </c>
      <c r="Q945" s="111" t="e">
        <f>IF(#REF!=0,"",#REF!)</f>
        <v>#REF!</v>
      </c>
      <c r="R945" s="85" t="e">
        <f>IF(#REF!=0,"",#REF!)</f>
        <v>#REF!</v>
      </c>
      <c r="S945" s="85" t="e">
        <f>IF(#REF!=0,"",#REF!)</f>
        <v>#REF!</v>
      </c>
      <c r="T945" s="268"/>
      <c r="U945" s="268"/>
      <c r="V945" s="268"/>
    </row>
    <row r="946" ht="15" customHeight="1" spans="2:22">
      <c r="B946" s="6" t="e">
        <f t="shared" si="17"/>
        <v>#REF!</v>
      </c>
      <c r="C946" s="79" t="e">
        <f>#REF!</f>
        <v>#REF!</v>
      </c>
      <c r="D946" s="62" t="e">
        <f>IF(#REF!=0,"",#REF!)</f>
        <v>#REF!</v>
      </c>
      <c r="E946" s="81" t="e">
        <f>IF(#REF!=0,"",#REF!)</f>
        <v>#REF!</v>
      </c>
      <c r="F946" s="81" t="e">
        <f>IF(#REF!=0,"",#REF!)</f>
        <v>#REF!</v>
      </c>
      <c r="G946" s="100" t="e">
        <f>#REF!</f>
        <v>#REF!</v>
      </c>
      <c r="H946" s="159">
        <f>'27'!R906</f>
        <v>0</v>
      </c>
      <c r="I946" s="159">
        <f>'27'!S906</f>
        <v>0</v>
      </c>
      <c r="J946" s="159"/>
      <c r="K946" s="101">
        <f>'27'!T906</f>
        <v>0</v>
      </c>
      <c r="L946" s="81" t="e">
        <f>#REF!</f>
        <v>#REF!</v>
      </c>
      <c r="M946" s="100" t="e">
        <f>#REF!</f>
        <v>#REF!</v>
      </c>
      <c r="N946" s="159"/>
      <c r="O946" s="101" t="e">
        <f>#REF!</f>
        <v>#REF!</v>
      </c>
      <c r="P946" s="102" t="e">
        <f>IF(#REF!=0,"",#REF!)</f>
        <v>#REF!</v>
      </c>
      <c r="Q946" s="108" t="e">
        <f>IF(#REF!=0,"",#REF!)</f>
        <v>#REF!</v>
      </c>
      <c r="R946" s="81" t="e">
        <f>IF(#REF!=0,"",#REF!)</f>
        <v>#REF!</v>
      </c>
      <c r="S946" s="81" t="e">
        <f>IF(#REF!=0,"",#REF!)</f>
        <v>#REF!</v>
      </c>
      <c r="T946" s="268"/>
      <c r="U946" s="268"/>
      <c r="V946" s="268"/>
    </row>
    <row r="947" ht="15" customHeight="1" spans="2:22">
      <c r="B947" s="6" t="e">
        <f t="shared" si="17"/>
        <v>#REF!</v>
      </c>
      <c r="C947" s="31" t="e">
        <f>#REF!</f>
        <v>#REF!</v>
      </c>
      <c r="D947" s="32" t="e">
        <f>IF(#REF!=0,"",#REF!)</f>
        <v>#REF!</v>
      </c>
      <c r="E947" s="36" t="e">
        <f>IF(#REF!=0,"",#REF!)</f>
        <v>#REF!</v>
      </c>
      <c r="F947" s="36" t="e">
        <f>IF(#REF!=0,"",#REF!)</f>
        <v>#REF!</v>
      </c>
      <c r="G947" s="103">
        <f>'27'!Q907</f>
        <v>0</v>
      </c>
      <c r="H947" s="160">
        <f>'27'!R907</f>
        <v>0</v>
      </c>
      <c r="I947" s="160">
        <f>'27'!S907</f>
        <v>0</v>
      </c>
      <c r="J947" s="160"/>
      <c r="K947" s="104">
        <f>'27'!T907</f>
        <v>0</v>
      </c>
      <c r="L947" s="36" t="e">
        <f>#REF!</f>
        <v>#REF!</v>
      </c>
      <c r="M947" s="103" t="e">
        <f>#REF!</f>
        <v>#REF!</v>
      </c>
      <c r="N947" s="160"/>
      <c r="O947" s="104" t="e">
        <f>#REF!</f>
        <v>#REF!</v>
      </c>
      <c r="P947" s="52" t="e">
        <f>IF(#REF!=0,"",#REF!)</f>
        <v>#REF!</v>
      </c>
      <c r="Q947" s="109" t="e">
        <f>IF(#REF!=0,"",#REF!)</f>
        <v>#REF!</v>
      </c>
      <c r="R947" s="36" t="e">
        <f>IF(#REF!=0,"",#REF!)</f>
        <v>#REF!</v>
      </c>
      <c r="S947" s="36" t="e">
        <f>IF(#REF!=0,"",#REF!)</f>
        <v>#REF!</v>
      </c>
      <c r="T947" s="268"/>
      <c r="U947" s="268"/>
      <c r="V947" s="268"/>
    </row>
    <row r="948" ht="15" customHeight="1" spans="2:22">
      <c r="B948" s="6" t="e">
        <f t="shared" si="17"/>
        <v>#REF!</v>
      </c>
      <c r="C948" s="83" t="e">
        <f>#REF!</f>
        <v>#REF!</v>
      </c>
      <c r="D948" s="110" t="e">
        <f>IF(#REF!=0,"",#REF!)</f>
        <v>#REF!</v>
      </c>
      <c r="E948" s="85" t="e">
        <f>IF(#REF!=0,"",#REF!)</f>
        <v>#REF!</v>
      </c>
      <c r="F948" s="85" t="e">
        <f>IF(#REF!=0,"",#REF!)</f>
        <v>#REF!</v>
      </c>
      <c r="G948" s="105">
        <f>'27'!Q908</f>
        <v>0</v>
      </c>
      <c r="H948" s="161">
        <f>'27'!R908</f>
        <v>0</v>
      </c>
      <c r="I948" s="161">
        <f>'27'!S908</f>
        <v>0</v>
      </c>
      <c r="J948" s="161"/>
      <c r="K948" s="106">
        <f>'27'!T908</f>
        <v>0</v>
      </c>
      <c r="L948" s="85" t="e">
        <f>#REF!</f>
        <v>#REF!</v>
      </c>
      <c r="M948" s="105" t="e">
        <f>#REF!</f>
        <v>#REF!</v>
      </c>
      <c r="N948" s="161"/>
      <c r="O948" s="106" t="e">
        <f>#REF!</f>
        <v>#REF!</v>
      </c>
      <c r="P948" s="107" t="e">
        <f>IF(#REF!=0,"",#REF!)</f>
        <v>#REF!</v>
      </c>
      <c r="Q948" s="111" t="e">
        <f>IF(#REF!=0,"",#REF!)</f>
        <v>#REF!</v>
      </c>
      <c r="R948" s="85" t="e">
        <f>IF(#REF!=0,"",#REF!)</f>
        <v>#REF!</v>
      </c>
      <c r="S948" s="85" t="e">
        <f>IF(#REF!=0,"",#REF!)</f>
        <v>#REF!</v>
      </c>
      <c r="T948" s="268"/>
      <c r="U948" s="268"/>
      <c r="V948" s="268"/>
    </row>
    <row r="949" ht="15" customHeight="1" spans="2:22">
      <c r="B949" s="6" t="e">
        <f t="shared" si="17"/>
        <v>#REF!</v>
      </c>
      <c r="C949" s="79" t="e">
        <f>#REF!</f>
        <v>#REF!</v>
      </c>
      <c r="D949" s="62" t="e">
        <f>IF(#REF!=0,"",#REF!)</f>
        <v>#REF!</v>
      </c>
      <c r="E949" s="81" t="e">
        <f>IF(#REF!=0,"",#REF!)</f>
        <v>#REF!</v>
      </c>
      <c r="F949" s="81" t="e">
        <f>IF(#REF!=0,"",#REF!)</f>
        <v>#REF!</v>
      </c>
      <c r="G949" s="100" t="e">
        <f>#REF!</f>
        <v>#REF!</v>
      </c>
      <c r="H949" s="159">
        <f>'27'!R909</f>
        <v>0</v>
      </c>
      <c r="I949" s="159">
        <f>'27'!S909</f>
        <v>0</v>
      </c>
      <c r="J949" s="159"/>
      <c r="K949" s="101">
        <f>'27'!T909</f>
        <v>0</v>
      </c>
      <c r="L949" s="81" t="e">
        <f>#REF!</f>
        <v>#REF!</v>
      </c>
      <c r="M949" s="100" t="e">
        <f>#REF!</f>
        <v>#REF!</v>
      </c>
      <c r="N949" s="159"/>
      <c r="O949" s="101" t="e">
        <f>#REF!</f>
        <v>#REF!</v>
      </c>
      <c r="P949" s="102" t="e">
        <f>IF(#REF!=0,"",#REF!)</f>
        <v>#REF!</v>
      </c>
      <c r="Q949" s="108" t="e">
        <f>IF(#REF!=0,"",#REF!)</f>
        <v>#REF!</v>
      </c>
      <c r="R949" s="81" t="e">
        <f>IF(#REF!=0,"",#REF!)</f>
        <v>#REF!</v>
      </c>
      <c r="S949" s="81" t="e">
        <f>IF(#REF!=0,"",#REF!)</f>
        <v>#REF!</v>
      </c>
      <c r="T949" s="268"/>
      <c r="U949" s="268"/>
      <c r="V949" s="268"/>
    </row>
    <row r="950" ht="15" customHeight="1" spans="2:22">
      <c r="B950" s="6" t="e">
        <f t="shared" si="17"/>
        <v>#REF!</v>
      </c>
      <c r="C950" s="31" t="e">
        <f>#REF!</f>
        <v>#REF!</v>
      </c>
      <c r="D950" s="32" t="e">
        <f>IF(#REF!=0,"",#REF!)</f>
        <v>#REF!</v>
      </c>
      <c r="E950" s="36" t="e">
        <f>IF(#REF!=0,"",#REF!)</f>
        <v>#REF!</v>
      </c>
      <c r="F950" s="36" t="e">
        <f>IF(#REF!=0,"",#REF!)</f>
        <v>#REF!</v>
      </c>
      <c r="G950" s="103">
        <f>'27'!Q910</f>
        <v>0</v>
      </c>
      <c r="H950" s="160">
        <f>'27'!R910</f>
        <v>0</v>
      </c>
      <c r="I950" s="160">
        <f>'27'!S910</f>
        <v>0</v>
      </c>
      <c r="J950" s="160"/>
      <c r="K950" s="104">
        <f>'27'!T910</f>
        <v>0</v>
      </c>
      <c r="L950" s="36" t="e">
        <f>#REF!</f>
        <v>#REF!</v>
      </c>
      <c r="M950" s="103" t="e">
        <f>#REF!</f>
        <v>#REF!</v>
      </c>
      <c r="N950" s="160"/>
      <c r="O950" s="104" t="e">
        <f>#REF!</f>
        <v>#REF!</v>
      </c>
      <c r="P950" s="52" t="e">
        <f>IF(#REF!=0,"",#REF!)</f>
        <v>#REF!</v>
      </c>
      <c r="Q950" s="109" t="e">
        <f>IF(#REF!=0,"",#REF!)</f>
        <v>#REF!</v>
      </c>
      <c r="R950" s="36" t="e">
        <f>IF(#REF!=0,"",#REF!)</f>
        <v>#REF!</v>
      </c>
      <c r="S950" s="36" t="e">
        <f>IF(#REF!=0,"",#REF!)</f>
        <v>#REF!</v>
      </c>
      <c r="T950" s="268"/>
      <c r="U950" s="268"/>
      <c r="V950" s="268"/>
    </row>
    <row r="951" ht="15" customHeight="1" spans="2:22">
      <c r="B951" s="6" t="e">
        <f t="shared" si="17"/>
        <v>#REF!</v>
      </c>
      <c r="C951" s="83" t="e">
        <f>#REF!</f>
        <v>#REF!</v>
      </c>
      <c r="D951" s="110" t="e">
        <f>IF(#REF!=0,"",#REF!)</f>
        <v>#REF!</v>
      </c>
      <c r="E951" s="85" t="e">
        <f>IF(#REF!=0,"",#REF!)</f>
        <v>#REF!</v>
      </c>
      <c r="F951" s="85" t="e">
        <f>IF(#REF!=0,"",#REF!)</f>
        <v>#REF!</v>
      </c>
      <c r="G951" s="105">
        <f>'27'!Q911</f>
        <v>0</v>
      </c>
      <c r="H951" s="161">
        <f>'27'!R911</f>
        <v>0</v>
      </c>
      <c r="I951" s="161">
        <f>'27'!S911</f>
        <v>0</v>
      </c>
      <c r="J951" s="161"/>
      <c r="K951" s="106">
        <f>'27'!T911</f>
        <v>0</v>
      </c>
      <c r="L951" s="85" t="e">
        <f>#REF!</f>
        <v>#REF!</v>
      </c>
      <c r="M951" s="105" t="e">
        <f>#REF!</f>
        <v>#REF!</v>
      </c>
      <c r="N951" s="161"/>
      <c r="O951" s="106" t="e">
        <f>#REF!</f>
        <v>#REF!</v>
      </c>
      <c r="P951" s="107" t="e">
        <f>IF(#REF!=0,"",#REF!)</f>
        <v>#REF!</v>
      </c>
      <c r="Q951" s="111" t="e">
        <f>IF(#REF!=0,"",#REF!)</f>
        <v>#REF!</v>
      </c>
      <c r="R951" s="85" t="e">
        <f>IF(#REF!=0,"",#REF!)</f>
        <v>#REF!</v>
      </c>
      <c r="S951" s="85" t="e">
        <f>IF(#REF!=0,"",#REF!)</f>
        <v>#REF!</v>
      </c>
      <c r="T951" s="268"/>
      <c r="U951" s="268"/>
      <c r="V951" s="268"/>
    </row>
    <row r="952" ht="15" customHeight="1" spans="2:22">
      <c r="B952" s="6" t="e">
        <f t="shared" si="17"/>
        <v>#REF!</v>
      </c>
      <c r="C952" s="79" t="e">
        <f>#REF!</f>
        <v>#REF!</v>
      </c>
      <c r="D952" s="62" t="e">
        <f>IF(#REF!=0,"",#REF!)</f>
        <v>#REF!</v>
      </c>
      <c r="E952" s="81" t="e">
        <f>IF(#REF!=0,"",#REF!)</f>
        <v>#REF!</v>
      </c>
      <c r="F952" s="81" t="e">
        <f>IF(#REF!=0,"",#REF!)</f>
        <v>#REF!</v>
      </c>
      <c r="G952" s="100" t="e">
        <f>#REF!</f>
        <v>#REF!</v>
      </c>
      <c r="H952" s="159">
        <f>'27'!R912</f>
        <v>0</v>
      </c>
      <c r="I952" s="159">
        <f>'27'!S912</f>
        <v>0</v>
      </c>
      <c r="J952" s="159"/>
      <c r="K952" s="101">
        <f>'27'!T912</f>
        <v>0</v>
      </c>
      <c r="L952" s="81" t="e">
        <f>#REF!</f>
        <v>#REF!</v>
      </c>
      <c r="M952" s="100" t="e">
        <f>#REF!</f>
        <v>#REF!</v>
      </c>
      <c r="N952" s="159"/>
      <c r="O952" s="101" t="e">
        <f>#REF!</f>
        <v>#REF!</v>
      </c>
      <c r="P952" s="102" t="e">
        <f>IF(#REF!=0,"",#REF!)</f>
        <v>#REF!</v>
      </c>
      <c r="Q952" s="108" t="e">
        <f>IF(#REF!=0,"",#REF!)</f>
        <v>#REF!</v>
      </c>
      <c r="R952" s="81" t="e">
        <f>IF(#REF!=0,"",#REF!)</f>
        <v>#REF!</v>
      </c>
      <c r="S952" s="81" t="e">
        <f>IF(#REF!=0,"",#REF!)</f>
        <v>#REF!</v>
      </c>
      <c r="T952" s="268"/>
      <c r="U952" s="268"/>
      <c r="V952" s="268"/>
    </row>
    <row r="953" ht="15" customHeight="1" spans="2:22">
      <c r="B953" s="6" t="e">
        <f t="shared" si="17"/>
        <v>#REF!</v>
      </c>
      <c r="C953" s="31" t="e">
        <f>#REF!</f>
        <v>#REF!</v>
      </c>
      <c r="D953" s="32" t="e">
        <f>IF(#REF!=0,"",#REF!)</f>
        <v>#REF!</v>
      </c>
      <c r="E953" s="36" t="e">
        <f>IF(#REF!=0,"",#REF!)</f>
        <v>#REF!</v>
      </c>
      <c r="F953" s="36" t="e">
        <f>IF(#REF!=0,"",#REF!)</f>
        <v>#REF!</v>
      </c>
      <c r="G953" s="103">
        <f>'27'!Q913</f>
        <v>0</v>
      </c>
      <c r="H953" s="160">
        <f>'27'!R913</f>
        <v>0</v>
      </c>
      <c r="I953" s="160">
        <f>'27'!S913</f>
        <v>0</v>
      </c>
      <c r="J953" s="160"/>
      <c r="K953" s="104">
        <f>'27'!T913</f>
        <v>0</v>
      </c>
      <c r="L953" s="36" t="e">
        <f>#REF!</f>
        <v>#REF!</v>
      </c>
      <c r="M953" s="103" t="e">
        <f>#REF!</f>
        <v>#REF!</v>
      </c>
      <c r="N953" s="160"/>
      <c r="O953" s="104" t="e">
        <f>#REF!</f>
        <v>#REF!</v>
      </c>
      <c r="P953" s="52" t="e">
        <f>IF(#REF!=0,"",#REF!)</f>
        <v>#REF!</v>
      </c>
      <c r="Q953" s="109" t="e">
        <f>IF(#REF!=0,"",#REF!)</f>
        <v>#REF!</v>
      </c>
      <c r="R953" s="36" t="e">
        <f>IF(#REF!=0,"",#REF!)</f>
        <v>#REF!</v>
      </c>
      <c r="S953" s="36" t="e">
        <f>IF(#REF!=0,"",#REF!)</f>
        <v>#REF!</v>
      </c>
      <c r="T953" s="268"/>
      <c r="U953" s="268"/>
      <c r="V953" s="268"/>
    </row>
    <row r="954" ht="15" customHeight="1" spans="2:22">
      <c r="B954" s="6" t="e">
        <f t="shared" si="17"/>
        <v>#REF!</v>
      </c>
      <c r="C954" s="83" t="e">
        <f>#REF!</f>
        <v>#REF!</v>
      </c>
      <c r="D954" s="110" t="e">
        <f>IF(#REF!=0,"",#REF!)</f>
        <v>#REF!</v>
      </c>
      <c r="E954" s="85" t="e">
        <f>IF(#REF!=0,"",#REF!)</f>
        <v>#REF!</v>
      </c>
      <c r="F954" s="85" t="e">
        <f>IF(#REF!=0,"",#REF!)</f>
        <v>#REF!</v>
      </c>
      <c r="G954" s="105">
        <f>'27'!Q914</f>
        <v>0</v>
      </c>
      <c r="H954" s="161">
        <f>'27'!R914</f>
        <v>0</v>
      </c>
      <c r="I954" s="161">
        <f>'27'!S914</f>
        <v>0</v>
      </c>
      <c r="J954" s="161"/>
      <c r="K954" s="106">
        <f>'27'!T914</f>
        <v>0</v>
      </c>
      <c r="L954" s="85" t="e">
        <f>#REF!</f>
        <v>#REF!</v>
      </c>
      <c r="M954" s="105" t="e">
        <f>#REF!</f>
        <v>#REF!</v>
      </c>
      <c r="N954" s="161"/>
      <c r="O954" s="106" t="e">
        <f>#REF!</f>
        <v>#REF!</v>
      </c>
      <c r="P954" s="107" t="e">
        <f>IF(#REF!=0,"",#REF!)</f>
        <v>#REF!</v>
      </c>
      <c r="Q954" s="111" t="e">
        <f>IF(#REF!=0,"",#REF!)</f>
        <v>#REF!</v>
      </c>
      <c r="R954" s="85" t="e">
        <f>IF(#REF!=0,"",#REF!)</f>
        <v>#REF!</v>
      </c>
      <c r="S954" s="85" t="e">
        <f>IF(#REF!=0,"",#REF!)</f>
        <v>#REF!</v>
      </c>
      <c r="T954" s="268"/>
      <c r="U954" s="268"/>
      <c r="V954" s="268"/>
    </row>
    <row r="955" ht="15" customHeight="1" spans="2:22">
      <c r="B955" s="6" t="e">
        <f t="shared" si="17"/>
        <v>#REF!</v>
      </c>
      <c r="C955" s="79" t="e">
        <f>#REF!</f>
        <v>#REF!</v>
      </c>
      <c r="D955" s="62" t="e">
        <f>IF(#REF!=0,"",#REF!)</f>
        <v>#REF!</v>
      </c>
      <c r="E955" s="81" t="e">
        <f>IF(#REF!=0,"",#REF!)</f>
        <v>#REF!</v>
      </c>
      <c r="F955" s="81" t="e">
        <f>IF(#REF!=0,"",#REF!)</f>
        <v>#REF!</v>
      </c>
      <c r="G955" s="100" t="e">
        <f>#REF!</f>
        <v>#REF!</v>
      </c>
      <c r="H955" s="159">
        <f>'27'!R915</f>
        <v>0</v>
      </c>
      <c r="I955" s="159">
        <f>'27'!S915</f>
        <v>0</v>
      </c>
      <c r="J955" s="159"/>
      <c r="K955" s="101">
        <f>'27'!T915</f>
        <v>0</v>
      </c>
      <c r="L955" s="81" t="e">
        <f>#REF!</f>
        <v>#REF!</v>
      </c>
      <c r="M955" s="100" t="e">
        <f>#REF!</f>
        <v>#REF!</v>
      </c>
      <c r="N955" s="159"/>
      <c r="O955" s="101" t="e">
        <f>#REF!</f>
        <v>#REF!</v>
      </c>
      <c r="P955" s="102" t="e">
        <f>IF(#REF!=0,"",#REF!)</f>
        <v>#REF!</v>
      </c>
      <c r="Q955" s="108" t="e">
        <f>IF(#REF!=0,"",#REF!)</f>
        <v>#REF!</v>
      </c>
      <c r="R955" s="81" t="e">
        <f>IF(#REF!=0,"",#REF!)</f>
        <v>#REF!</v>
      </c>
      <c r="S955" s="81" t="e">
        <f>IF(#REF!=0,"",#REF!)</f>
        <v>#REF!</v>
      </c>
      <c r="T955" s="268"/>
      <c r="U955" s="268"/>
      <c r="V955" s="268"/>
    </row>
    <row r="956" ht="15" customHeight="1" spans="2:22">
      <c r="B956" s="6" t="e">
        <f t="shared" si="17"/>
        <v>#REF!</v>
      </c>
      <c r="C956" s="31" t="e">
        <f>#REF!</f>
        <v>#REF!</v>
      </c>
      <c r="D956" s="32" t="e">
        <f>IF(#REF!=0,"",#REF!)</f>
        <v>#REF!</v>
      </c>
      <c r="E956" s="36" t="e">
        <f>IF(#REF!=0,"",#REF!)</f>
        <v>#REF!</v>
      </c>
      <c r="F956" s="36" t="e">
        <f>IF(#REF!=0,"",#REF!)</f>
        <v>#REF!</v>
      </c>
      <c r="G956" s="103">
        <f>'27'!Q916</f>
        <v>0</v>
      </c>
      <c r="H956" s="160">
        <f>'27'!R916</f>
        <v>0</v>
      </c>
      <c r="I956" s="160">
        <f>'27'!S916</f>
        <v>0</v>
      </c>
      <c r="J956" s="160"/>
      <c r="K956" s="104">
        <f>'27'!T916</f>
        <v>0</v>
      </c>
      <c r="L956" s="36" t="e">
        <f>#REF!</f>
        <v>#REF!</v>
      </c>
      <c r="M956" s="103" t="e">
        <f>#REF!</f>
        <v>#REF!</v>
      </c>
      <c r="N956" s="160"/>
      <c r="O956" s="104" t="e">
        <f>#REF!</f>
        <v>#REF!</v>
      </c>
      <c r="P956" s="52" t="e">
        <f>IF(#REF!=0,"",#REF!)</f>
        <v>#REF!</v>
      </c>
      <c r="Q956" s="109" t="e">
        <f>IF(#REF!=0,"",#REF!)</f>
        <v>#REF!</v>
      </c>
      <c r="R956" s="36" t="e">
        <f>IF(#REF!=0,"",#REF!)</f>
        <v>#REF!</v>
      </c>
      <c r="S956" s="36" t="e">
        <f>IF(#REF!=0,"",#REF!)</f>
        <v>#REF!</v>
      </c>
      <c r="T956" s="268"/>
      <c r="U956" s="268"/>
      <c r="V956" s="268"/>
    </row>
    <row r="957" ht="15" customHeight="1" spans="2:22">
      <c r="B957" s="6" t="e">
        <f t="shared" si="17"/>
        <v>#REF!</v>
      </c>
      <c r="C957" s="83" t="e">
        <f>#REF!</f>
        <v>#REF!</v>
      </c>
      <c r="D957" s="110" t="e">
        <f>IF(#REF!=0,"",#REF!)</f>
        <v>#REF!</v>
      </c>
      <c r="E957" s="85" t="e">
        <f>IF(#REF!=0,"",#REF!)</f>
        <v>#REF!</v>
      </c>
      <c r="F957" s="85" t="e">
        <f>IF(#REF!=0,"",#REF!)</f>
        <v>#REF!</v>
      </c>
      <c r="G957" s="105">
        <f>'27'!Q917</f>
        <v>0</v>
      </c>
      <c r="H957" s="161">
        <f>'27'!R917</f>
        <v>0</v>
      </c>
      <c r="I957" s="161">
        <f>'27'!S917</f>
        <v>0</v>
      </c>
      <c r="J957" s="161"/>
      <c r="K957" s="106">
        <f>'27'!T917</f>
        <v>0</v>
      </c>
      <c r="L957" s="85" t="e">
        <f>#REF!</f>
        <v>#REF!</v>
      </c>
      <c r="M957" s="105" t="e">
        <f>#REF!</f>
        <v>#REF!</v>
      </c>
      <c r="N957" s="161"/>
      <c r="O957" s="106" t="e">
        <f>#REF!</f>
        <v>#REF!</v>
      </c>
      <c r="P957" s="107" t="e">
        <f>IF(#REF!=0,"",#REF!)</f>
        <v>#REF!</v>
      </c>
      <c r="Q957" s="111" t="e">
        <f>IF(#REF!=0,"",#REF!)</f>
        <v>#REF!</v>
      </c>
      <c r="R957" s="85" t="e">
        <f>IF(#REF!=0,"",#REF!)</f>
        <v>#REF!</v>
      </c>
      <c r="S957" s="85" t="e">
        <f>IF(#REF!=0,"",#REF!)</f>
        <v>#REF!</v>
      </c>
      <c r="T957" s="268"/>
      <c r="U957" s="268"/>
      <c r="V957" s="268"/>
    </row>
    <row r="958" ht="15" customHeight="1" spans="2:22">
      <c r="B958" s="6" t="e">
        <f t="shared" si="17"/>
        <v>#REF!</v>
      </c>
      <c r="C958" s="79" t="e">
        <f>#REF!</f>
        <v>#REF!</v>
      </c>
      <c r="D958" s="62" t="e">
        <f>IF(#REF!=0,"",#REF!)</f>
        <v>#REF!</v>
      </c>
      <c r="E958" s="81" t="e">
        <f>IF(#REF!=0,"",#REF!)</f>
        <v>#REF!</v>
      </c>
      <c r="F958" s="81" t="e">
        <f>IF(#REF!=0,"",#REF!)</f>
        <v>#REF!</v>
      </c>
      <c r="G958" s="100" t="e">
        <f>#REF!</f>
        <v>#REF!</v>
      </c>
      <c r="H958" s="159">
        <f>'27'!R918</f>
        <v>0</v>
      </c>
      <c r="I958" s="159">
        <f>'27'!S918</f>
        <v>0</v>
      </c>
      <c r="J958" s="159"/>
      <c r="K958" s="101">
        <f>'27'!T918</f>
        <v>0</v>
      </c>
      <c r="L958" s="81" t="e">
        <f>#REF!</f>
        <v>#REF!</v>
      </c>
      <c r="M958" s="100" t="e">
        <f>#REF!</f>
        <v>#REF!</v>
      </c>
      <c r="N958" s="159"/>
      <c r="O958" s="101" t="e">
        <f>#REF!</f>
        <v>#REF!</v>
      </c>
      <c r="P958" s="102" t="e">
        <f>IF(#REF!=0,"",#REF!)</f>
        <v>#REF!</v>
      </c>
      <c r="Q958" s="108" t="e">
        <f>IF(#REF!=0,"",#REF!)</f>
        <v>#REF!</v>
      </c>
      <c r="R958" s="81" t="e">
        <f>IF(#REF!=0,"",#REF!)</f>
        <v>#REF!</v>
      </c>
      <c r="S958" s="81" t="e">
        <f>IF(#REF!=0,"",#REF!)</f>
        <v>#REF!</v>
      </c>
      <c r="T958" s="268"/>
      <c r="U958" s="268"/>
      <c r="V958" s="268"/>
    </row>
    <row r="959" ht="15" customHeight="1" spans="2:22">
      <c r="B959" s="6" t="e">
        <f t="shared" si="17"/>
        <v>#REF!</v>
      </c>
      <c r="C959" s="31" t="e">
        <f>#REF!</f>
        <v>#REF!</v>
      </c>
      <c r="D959" s="32" t="e">
        <f>IF(#REF!=0,"",#REF!)</f>
        <v>#REF!</v>
      </c>
      <c r="E959" s="36" t="e">
        <f>IF(#REF!=0,"",#REF!)</f>
        <v>#REF!</v>
      </c>
      <c r="F959" s="36" t="e">
        <f>IF(#REF!=0,"",#REF!)</f>
        <v>#REF!</v>
      </c>
      <c r="G959" s="103">
        <f>'27'!Q919</f>
        <v>0</v>
      </c>
      <c r="H959" s="160">
        <f>'27'!R919</f>
        <v>0</v>
      </c>
      <c r="I959" s="160">
        <f>'27'!S919</f>
        <v>0</v>
      </c>
      <c r="J959" s="160"/>
      <c r="K959" s="104">
        <f>'27'!T919</f>
        <v>0</v>
      </c>
      <c r="L959" s="36" t="e">
        <f>#REF!</f>
        <v>#REF!</v>
      </c>
      <c r="M959" s="103" t="e">
        <f>#REF!</f>
        <v>#REF!</v>
      </c>
      <c r="N959" s="160"/>
      <c r="O959" s="104" t="e">
        <f>#REF!</f>
        <v>#REF!</v>
      </c>
      <c r="P959" s="52" t="e">
        <f>IF(#REF!=0,"",#REF!)</f>
        <v>#REF!</v>
      </c>
      <c r="Q959" s="109" t="e">
        <f>IF(#REF!=0,"",#REF!)</f>
        <v>#REF!</v>
      </c>
      <c r="R959" s="36" t="e">
        <f>IF(#REF!=0,"",#REF!)</f>
        <v>#REF!</v>
      </c>
      <c r="S959" s="36" t="e">
        <f>IF(#REF!=0,"",#REF!)</f>
        <v>#REF!</v>
      </c>
      <c r="T959" s="268"/>
      <c r="U959" s="268"/>
      <c r="V959" s="268"/>
    </row>
    <row r="960" ht="15" customHeight="1" spans="2:22">
      <c r="B960" s="6" t="e">
        <f t="shared" si="17"/>
        <v>#REF!</v>
      </c>
      <c r="C960" s="83" t="e">
        <f>#REF!</f>
        <v>#REF!</v>
      </c>
      <c r="D960" s="110" t="e">
        <f>IF(#REF!=0,"",#REF!)</f>
        <v>#REF!</v>
      </c>
      <c r="E960" s="85" t="e">
        <f>IF(#REF!=0,"",#REF!)</f>
        <v>#REF!</v>
      </c>
      <c r="F960" s="85" t="e">
        <f>IF(#REF!=0,"",#REF!)</f>
        <v>#REF!</v>
      </c>
      <c r="G960" s="105">
        <f>'27'!Q920</f>
        <v>0</v>
      </c>
      <c r="H960" s="161">
        <f>'27'!R920</f>
        <v>0</v>
      </c>
      <c r="I960" s="161">
        <f>'27'!S920</f>
        <v>0</v>
      </c>
      <c r="J960" s="161"/>
      <c r="K960" s="106">
        <f>'27'!T920</f>
        <v>0</v>
      </c>
      <c r="L960" s="85" t="e">
        <f>#REF!</f>
        <v>#REF!</v>
      </c>
      <c r="M960" s="105" t="e">
        <f>#REF!</f>
        <v>#REF!</v>
      </c>
      <c r="N960" s="161"/>
      <c r="O960" s="106" t="e">
        <f>#REF!</f>
        <v>#REF!</v>
      </c>
      <c r="P960" s="107" t="e">
        <f>IF(#REF!=0,"",#REF!)</f>
        <v>#REF!</v>
      </c>
      <c r="Q960" s="111" t="e">
        <f>IF(#REF!=0,"",#REF!)</f>
        <v>#REF!</v>
      </c>
      <c r="R960" s="85" t="e">
        <f>IF(#REF!=0,"",#REF!)</f>
        <v>#REF!</v>
      </c>
      <c r="S960" s="85" t="e">
        <f>IF(#REF!=0,"",#REF!)</f>
        <v>#REF!</v>
      </c>
      <c r="T960" s="268"/>
      <c r="U960" s="268"/>
      <c r="V960" s="268"/>
    </row>
    <row r="961" ht="15" customHeight="1" spans="2:22">
      <c r="B961" s="6" t="e">
        <f t="shared" si="17"/>
        <v>#REF!</v>
      </c>
      <c r="C961" s="79" t="e">
        <f>#REF!</f>
        <v>#REF!</v>
      </c>
      <c r="D961" s="62" t="e">
        <f>IF(#REF!=0,"",#REF!)</f>
        <v>#REF!</v>
      </c>
      <c r="E961" s="81" t="e">
        <f>IF(#REF!=0,"",#REF!)</f>
        <v>#REF!</v>
      </c>
      <c r="F961" s="81" t="e">
        <f>IF(#REF!=0,"",#REF!)</f>
        <v>#REF!</v>
      </c>
      <c r="G961" s="100" t="e">
        <f>#REF!</f>
        <v>#REF!</v>
      </c>
      <c r="H961" s="159">
        <f>'27'!R921</f>
        <v>0</v>
      </c>
      <c r="I961" s="159">
        <f>'27'!S921</f>
        <v>0</v>
      </c>
      <c r="J961" s="159"/>
      <c r="K961" s="101">
        <f>'27'!T921</f>
        <v>0</v>
      </c>
      <c r="L961" s="81" t="e">
        <f>#REF!</f>
        <v>#REF!</v>
      </c>
      <c r="M961" s="100" t="e">
        <f>#REF!</f>
        <v>#REF!</v>
      </c>
      <c r="N961" s="159"/>
      <c r="O961" s="101" t="e">
        <f>#REF!</f>
        <v>#REF!</v>
      </c>
      <c r="P961" s="102" t="e">
        <f>IF(#REF!=0,"",#REF!)</f>
        <v>#REF!</v>
      </c>
      <c r="Q961" s="108" t="e">
        <f>IF(#REF!=0,"",#REF!)</f>
        <v>#REF!</v>
      </c>
      <c r="R961" s="81" t="e">
        <f>IF(#REF!=0,"",#REF!)</f>
        <v>#REF!</v>
      </c>
      <c r="S961" s="81" t="e">
        <f>IF(#REF!=0,"",#REF!)</f>
        <v>#REF!</v>
      </c>
      <c r="T961" s="268"/>
      <c r="U961" s="268"/>
      <c r="V961" s="268"/>
    </row>
    <row r="962" ht="15" customHeight="1" spans="2:22">
      <c r="B962" s="6" t="e">
        <f t="shared" si="17"/>
        <v>#REF!</v>
      </c>
      <c r="C962" s="31" t="e">
        <f>#REF!</f>
        <v>#REF!</v>
      </c>
      <c r="D962" s="32" t="e">
        <f>IF(#REF!=0,"",#REF!)</f>
        <v>#REF!</v>
      </c>
      <c r="E962" s="36" t="e">
        <f>IF(#REF!=0,"",#REF!)</f>
        <v>#REF!</v>
      </c>
      <c r="F962" s="36" t="e">
        <f>IF(#REF!=0,"",#REF!)</f>
        <v>#REF!</v>
      </c>
      <c r="G962" s="103">
        <f>'27'!Q922</f>
        <v>0</v>
      </c>
      <c r="H962" s="160">
        <f>'27'!R922</f>
        <v>0</v>
      </c>
      <c r="I962" s="160">
        <f>'27'!S922</f>
        <v>0</v>
      </c>
      <c r="J962" s="160"/>
      <c r="K962" s="104">
        <f>'27'!T922</f>
        <v>0</v>
      </c>
      <c r="L962" s="36" t="e">
        <f>#REF!</f>
        <v>#REF!</v>
      </c>
      <c r="M962" s="103" t="e">
        <f>#REF!</f>
        <v>#REF!</v>
      </c>
      <c r="N962" s="160"/>
      <c r="O962" s="104" t="e">
        <f>#REF!</f>
        <v>#REF!</v>
      </c>
      <c r="P962" s="52" t="e">
        <f>IF(#REF!=0,"",#REF!)</f>
        <v>#REF!</v>
      </c>
      <c r="Q962" s="109" t="e">
        <f>IF(#REF!=0,"",#REF!)</f>
        <v>#REF!</v>
      </c>
      <c r="R962" s="36" t="e">
        <f>IF(#REF!=0,"",#REF!)</f>
        <v>#REF!</v>
      </c>
      <c r="S962" s="36" t="e">
        <f>IF(#REF!=0,"",#REF!)</f>
        <v>#REF!</v>
      </c>
      <c r="T962" s="268"/>
      <c r="U962" s="268"/>
      <c r="V962" s="268"/>
    </row>
    <row r="963" ht="15" customHeight="1" spans="2:22">
      <c r="B963" s="6" t="e">
        <f t="shared" si="17"/>
        <v>#REF!</v>
      </c>
      <c r="C963" s="83" t="e">
        <f>#REF!</f>
        <v>#REF!</v>
      </c>
      <c r="D963" s="110" t="e">
        <f>IF(#REF!=0,"",#REF!)</f>
        <v>#REF!</v>
      </c>
      <c r="E963" s="85" t="e">
        <f>IF(#REF!=0,"",#REF!)</f>
        <v>#REF!</v>
      </c>
      <c r="F963" s="85" t="e">
        <f>IF(#REF!=0,"",#REF!)</f>
        <v>#REF!</v>
      </c>
      <c r="G963" s="105">
        <f>'27'!Q923</f>
        <v>0</v>
      </c>
      <c r="H963" s="161">
        <f>'27'!R923</f>
        <v>0</v>
      </c>
      <c r="I963" s="161">
        <f>'27'!S923</f>
        <v>0</v>
      </c>
      <c r="J963" s="161"/>
      <c r="K963" s="106">
        <f>'27'!T923</f>
        <v>0</v>
      </c>
      <c r="L963" s="85" t="e">
        <f>#REF!</f>
        <v>#REF!</v>
      </c>
      <c r="M963" s="105" t="e">
        <f>#REF!</f>
        <v>#REF!</v>
      </c>
      <c r="N963" s="161"/>
      <c r="O963" s="106" t="e">
        <f>#REF!</f>
        <v>#REF!</v>
      </c>
      <c r="P963" s="107" t="e">
        <f>IF(#REF!=0,"",#REF!)</f>
        <v>#REF!</v>
      </c>
      <c r="Q963" s="111" t="e">
        <f>IF(#REF!=0,"",#REF!)</f>
        <v>#REF!</v>
      </c>
      <c r="R963" s="85" t="e">
        <f>IF(#REF!=0,"",#REF!)</f>
        <v>#REF!</v>
      </c>
      <c r="S963" s="85" t="e">
        <f>IF(#REF!=0,"",#REF!)</f>
        <v>#REF!</v>
      </c>
      <c r="T963" s="268"/>
      <c r="U963" s="268"/>
      <c r="V963" s="268"/>
    </row>
    <row r="964" ht="15" customHeight="1" spans="2:22">
      <c r="B964" s="6" t="e">
        <f t="shared" si="17"/>
        <v>#REF!</v>
      </c>
      <c r="C964" s="79" t="e">
        <f>#REF!</f>
        <v>#REF!</v>
      </c>
      <c r="D964" s="62" t="e">
        <f>IF(#REF!=0,"",#REF!)</f>
        <v>#REF!</v>
      </c>
      <c r="E964" s="81" t="e">
        <f>IF(#REF!=0,"",#REF!)</f>
        <v>#REF!</v>
      </c>
      <c r="F964" s="81" t="e">
        <f>IF(#REF!=0,"",#REF!)</f>
        <v>#REF!</v>
      </c>
      <c r="G964" s="100" t="e">
        <f>#REF!</f>
        <v>#REF!</v>
      </c>
      <c r="H964" s="159">
        <f>'27'!R924</f>
        <v>0</v>
      </c>
      <c r="I964" s="159">
        <f>'27'!S924</f>
        <v>0</v>
      </c>
      <c r="J964" s="159"/>
      <c r="K964" s="101">
        <f>'27'!T924</f>
        <v>0</v>
      </c>
      <c r="L964" s="81" t="e">
        <f>#REF!</f>
        <v>#REF!</v>
      </c>
      <c r="M964" s="100" t="e">
        <f>#REF!</f>
        <v>#REF!</v>
      </c>
      <c r="N964" s="159"/>
      <c r="O964" s="101" t="e">
        <f>#REF!</f>
        <v>#REF!</v>
      </c>
      <c r="P964" s="102" t="e">
        <f>IF(#REF!=0,"",#REF!)</f>
        <v>#REF!</v>
      </c>
      <c r="Q964" s="108" t="e">
        <f>IF(#REF!=0,"",#REF!)</f>
        <v>#REF!</v>
      </c>
      <c r="R964" s="81" t="e">
        <f>IF(#REF!=0,"",#REF!)</f>
        <v>#REF!</v>
      </c>
      <c r="S964" s="81" t="e">
        <f>IF(#REF!=0,"",#REF!)</f>
        <v>#REF!</v>
      </c>
      <c r="T964" s="268"/>
      <c r="U964" s="268"/>
      <c r="V964" s="268"/>
    </row>
    <row r="965" ht="15" customHeight="1" spans="2:22">
      <c r="B965" s="6" t="e">
        <f t="shared" si="17"/>
        <v>#REF!</v>
      </c>
      <c r="C965" s="31" t="e">
        <f>#REF!</f>
        <v>#REF!</v>
      </c>
      <c r="D965" s="32" t="e">
        <f>IF(#REF!=0,"",#REF!)</f>
        <v>#REF!</v>
      </c>
      <c r="E965" s="36" t="e">
        <f>IF(#REF!=0,"",#REF!)</f>
        <v>#REF!</v>
      </c>
      <c r="F965" s="36" t="e">
        <f>IF(#REF!=0,"",#REF!)</f>
        <v>#REF!</v>
      </c>
      <c r="G965" s="103">
        <f>'27'!Q925</f>
        <v>0</v>
      </c>
      <c r="H965" s="160">
        <f>'27'!R925</f>
        <v>0</v>
      </c>
      <c r="I965" s="160">
        <f>'27'!S925</f>
        <v>0</v>
      </c>
      <c r="J965" s="160"/>
      <c r="K965" s="104">
        <f>'27'!T925</f>
        <v>0</v>
      </c>
      <c r="L965" s="36" t="e">
        <f>#REF!</f>
        <v>#REF!</v>
      </c>
      <c r="M965" s="103" t="e">
        <f>#REF!</f>
        <v>#REF!</v>
      </c>
      <c r="N965" s="160"/>
      <c r="O965" s="104" t="e">
        <f>#REF!</f>
        <v>#REF!</v>
      </c>
      <c r="P965" s="52" t="e">
        <f>IF(#REF!=0,"",#REF!)</f>
        <v>#REF!</v>
      </c>
      <c r="Q965" s="109" t="e">
        <f>IF(#REF!=0,"",#REF!)</f>
        <v>#REF!</v>
      </c>
      <c r="R965" s="36" t="e">
        <f>IF(#REF!=0,"",#REF!)</f>
        <v>#REF!</v>
      </c>
      <c r="S965" s="36" t="e">
        <f>IF(#REF!=0,"",#REF!)</f>
        <v>#REF!</v>
      </c>
      <c r="T965" s="268"/>
      <c r="U965" s="268"/>
      <c r="V965" s="268"/>
    </row>
    <row r="966" ht="15" customHeight="1" spans="2:22">
      <c r="B966" s="6" t="e">
        <f t="shared" si="17"/>
        <v>#REF!</v>
      </c>
      <c r="C966" s="83" t="e">
        <f>#REF!</f>
        <v>#REF!</v>
      </c>
      <c r="D966" s="110" t="e">
        <f>IF(#REF!=0,"",#REF!)</f>
        <v>#REF!</v>
      </c>
      <c r="E966" s="85" t="e">
        <f>IF(#REF!=0,"",#REF!)</f>
        <v>#REF!</v>
      </c>
      <c r="F966" s="85" t="e">
        <f>IF(#REF!=0,"",#REF!)</f>
        <v>#REF!</v>
      </c>
      <c r="G966" s="105">
        <f>'27'!Q926</f>
        <v>0</v>
      </c>
      <c r="H966" s="161">
        <f>'27'!R926</f>
        <v>0</v>
      </c>
      <c r="I966" s="161">
        <f>'27'!S926</f>
        <v>0</v>
      </c>
      <c r="J966" s="161"/>
      <c r="K966" s="106">
        <f>'27'!T926</f>
        <v>0</v>
      </c>
      <c r="L966" s="85" t="e">
        <f>#REF!</f>
        <v>#REF!</v>
      </c>
      <c r="M966" s="105" t="e">
        <f>#REF!</f>
        <v>#REF!</v>
      </c>
      <c r="N966" s="161"/>
      <c r="O966" s="106" t="e">
        <f>#REF!</f>
        <v>#REF!</v>
      </c>
      <c r="P966" s="107" t="e">
        <f>IF(#REF!=0,"",#REF!)</f>
        <v>#REF!</v>
      </c>
      <c r="Q966" s="111" t="e">
        <f>IF(#REF!=0,"",#REF!)</f>
        <v>#REF!</v>
      </c>
      <c r="R966" s="85" t="e">
        <f>IF(#REF!=0,"",#REF!)</f>
        <v>#REF!</v>
      </c>
      <c r="S966" s="85" t="e">
        <f>IF(#REF!=0,"",#REF!)</f>
        <v>#REF!</v>
      </c>
      <c r="T966" s="268"/>
      <c r="U966" s="268"/>
      <c r="V966" s="268"/>
    </row>
    <row r="967" ht="15" customHeight="1" spans="2:22">
      <c r="B967" s="6" t="e">
        <f t="shared" si="17"/>
        <v>#REF!</v>
      </c>
      <c r="C967" s="79" t="e">
        <f>#REF!</f>
        <v>#REF!</v>
      </c>
      <c r="D967" s="62" t="e">
        <f>IF(#REF!=0,"",#REF!)</f>
        <v>#REF!</v>
      </c>
      <c r="E967" s="81" t="e">
        <f>IF(#REF!=0,"",#REF!)</f>
        <v>#REF!</v>
      </c>
      <c r="F967" s="81" t="e">
        <f>IF(#REF!=0,"",#REF!)</f>
        <v>#REF!</v>
      </c>
      <c r="G967" s="100" t="e">
        <f>#REF!</f>
        <v>#REF!</v>
      </c>
      <c r="H967" s="159">
        <f>'27'!R927</f>
        <v>0</v>
      </c>
      <c r="I967" s="159">
        <f>'27'!S927</f>
        <v>0</v>
      </c>
      <c r="J967" s="159"/>
      <c r="K967" s="101">
        <f>'27'!T927</f>
        <v>0</v>
      </c>
      <c r="L967" s="81" t="e">
        <f>#REF!</f>
        <v>#REF!</v>
      </c>
      <c r="M967" s="100" t="e">
        <f>#REF!</f>
        <v>#REF!</v>
      </c>
      <c r="N967" s="159"/>
      <c r="O967" s="101" t="e">
        <f>#REF!</f>
        <v>#REF!</v>
      </c>
      <c r="P967" s="102" t="e">
        <f>IF(#REF!=0,"",#REF!)</f>
        <v>#REF!</v>
      </c>
      <c r="Q967" s="108" t="e">
        <f>IF(#REF!=0,"",#REF!)</f>
        <v>#REF!</v>
      </c>
      <c r="R967" s="81" t="e">
        <f>IF(#REF!=0,"",#REF!)</f>
        <v>#REF!</v>
      </c>
      <c r="S967" s="81" t="e">
        <f>IF(#REF!=0,"",#REF!)</f>
        <v>#REF!</v>
      </c>
      <c r="T967" s="268"/>
      <c r="U967" s="268"/>
      <c r="V967" s="268"/>
    </row>
    <row r="968" ht="15" customHeight="1" spans="2:22">
      <c r="B968" s="6" t="e">
        <f t="shared" si="17"/>
        <v>#REF!</v>
      </c>
      <c r="C968" s="31" t="e">
        <f>#REF!</f>
        <v>#REF!</v>
      </c>
      <c r="D968" s="32" t="e">
        <f>IF(#REF!=0,"",#REF!)</f>
        <v>#REF!</v>
      </c>
      <c r="E968" s="36" t="e">
        <f>IF(#REF!=0,"",#REF!)</f>
        <v>#REF!</v>
      </c>
      <c r="F968" s="36" t="e">
        <f>IF(#REF!=0,"",#REF!)</f>
        <v>#REF!</v>
      </c>
      <c r="G968" s="103">
        <f>'27'!Q928</f>
        <v>0</v>
      </c>
      <c r="H968" s="160">
        <f>'27'!R928</f>
        <v>0</v>
      </c>
      <c r="I968" s="160">
        <f>'27'!S928</f>
        <v>0</v>
      </c>
      <c r="J968" s="160"/>
      <c r="K968" s="104">
        <f>'27'!T928</f>
        <v>0</v>
      </c>
      <c r="L968" s="36" t="e">
        <f>#REF!</f>
        <v>#REF!</v>
      </c>
      <c r="M968" s="103" t="e">
        <f>#REF!</f>
        <v>#REF!</v>
      </c>
      <c r="N968" s="160"/>
      <c r="O968" s="104" t="e">
        <f>#REF!</f>
        <v>#REF!</v>
      </c>
      <c r="P968" s="52" t="e">
        <f>IF(#REF!=0,"",#REF!)</f>
        <v>#REF!</v>
      </c>
      <c r="Q968" s="109" t="e">
        <f>IF(#REF!=0,"",#REF!)</f>
        <v>#REF!</v>
      </c>
      <c r="R968" s="36" t="e">
        <f>IF(#REF!=0,"",#REF!)</f>
        <v>#REF!</v>
      </c>
      <c r="S968" s="36" t="e">
        <f>IF(#REF!=0,"",#REF!)</f>
        <v>#REF!</v>
      </c>
      <c r="T968" s="268"/>
      <c r="U968" s="268"/>
      <c r="V968" s="268"/>
    </row>
    <row r="969" ht="15" customHeight="1" spans="2:22">
      <c r="B969" s="6" t="e">
        <f t="shared" si="17"/>
        <v>#REF!</v>
      </c>
      <c r="C969" s="83" t="e">
        <f>#REF!</f>
        <v>#REF!</v>
      </c>
      <c r="D969" s="110" t="e">
        <f>IF(#REF!=0,"",#REF!)</f>
        <v>#REF!</v>
      </c>
      <c r="E969" s="85" t="e">
        <f>IF(#REF!=0,"",#REF!)</f>
        <v>#REF!</v>
      </c>
      <c r="F969" s="85" t="e">
        <f>IF(#REF!=0,"",#REF!)</f>
        <v>#REF!</v>
      </c>
      <c r="G969" s="105">
        <f>'27'!Q929</f>
        <v>0</v>
      </c>
      <c r="H969" s="161">
        <f>'27'!R929</f>
        <v>0</v>
      </c>
      <c r="I969" s="161">
        <f>'27'!S929</f>
        <v>0</v>
      </c>
      <c r="J969" s="161"/>
      <c r="K969" s="106">
        <f>'27'!T929</f>
        <v>0</v>
      </c>
      <c r="L969" s="85" t="e">
        <f>#REF!</f>
        <v>#REF!</v>
      </c>
      <c r="M969" s="105" t="e">
        <f>#REF!</f>
        <v>#REF!</v>
      </c>
      <c r="N969" s="161"/>
      <c r="O969" s="106" t="e">
        <f>#REF!</f>
        <v>#REF!</v>
      </c>
      <c r="P969" s="107" t="e">
        <f>IF(#REF!=0,"",#REF!)</f>
        <v>#REF!</v>
      </c>
      <c r="Q969" s="111" t="e">
        <f>IF(#REF!=0,"",#REF!)</f>
        <v>#REF!</v>
      </c>
      <c r="R969" s="85" t="e">
        <f>IF(#REF!=0,"",#REF!)</f>
        <v>#REF!</v>
      </c>
      <c r="S969" s="85" t="e">
        <f>IF(#REF!=0,"",#REF!)</f>
        <v>#REF!</v>
      </c>
      <c r="T969" s="268"/>
      <c r="U969" s="268"/>
      <c r="V969" s="268"/>
    </row>
    <row r="970" ht="15" customHeight="1" spans="2:22">
      <c r="B970" s="6" t="e">
        <f t="shared" si="17"/>
        <v>#REF!</v>
      </c>
      <c r="C970" s="79" t="e">
        <f>#REF!</f>
        <v>#REF!</v>
      </c>
      <c r="D970" s="62" t="e">
        <f>IF(#REF!=0,"",#REF!)</f>
        <v>#REF!</v>
      </c>
      <c r="E970" s="81" t="e">
        <f>IF(#REF!=0,"",#REF!)</f>
        <v>#REF!</v>
      </c>
      <c r="F970" s="81" t="e">
        <f>IF(#REF!=0,"",#REF!)</f>
        <v>#REF!</v>
      </c>
      <c r="G970" s="100" t="e">
        <f>#REF!</f>
        <v>#REF!</v>
      </c>
      <c r="H970" s="159">
        <f>'27'!R930</f>
        <v>0</v>
      </c>
      <c r="I970" s="159">
        <f>'27'!S930</f>
        <v>0</v>
      </c>
      <c r="J970" s="159"/>
      <c r="K970" s="101">
        <f>'27'!T930</f>
        <v>0</v>
      </c>
      <c r="L970" s="81" t="e">
        <f>#REF!</f>
        <v>#REF!</v>
      </c>
      <c r="M970" s="100" t="e">
        <f>#REF!</f>
        <v>#REF!</v>
      </c>
      <c r="N970" s="159"/>
      <c r="O970" s="101" t="e">
        <f>#REF!</f>
        <v>#REF!</v>
      </c>
      <c r="P970" s="102" t="e">
        <f>IF(#REF!=0,"",#REF!)</f>
        <v>#REF!</v>
      </c>
      <c r="Q970" s="108" t="e">
        <f>IF(#REF!=0,"",#REF!)</f>
        <v>#REF!</v>
      </c>
      <c r="R970" s="81" t="e">
        <f>IF(#REF!=0,"",#REF!)</f>
        <v>#REF!</v>
      </c>
      <c r="S970" s="81" t="e">
        <f>IF(#REF!=0,"",#REF!)</f>
        <v>#REF!</v>
      </c>
      <c r="T970" s="268"/>
      <c r="U970" s="268"/>
      <c r="V970" s="268"/>
    </row>
    <row r="971" ht="15" customHeight="1" spans="2:22">
      <c r="B971" s="6" t="e">
        <f t="shared" si="17"/>
        <v>#REF!</v>
      </c>
      <c r="C971" s="31" t="e">
        <f>#REF!</f>
        <v>#REF!</v>
      </c>
      <c r="D971" s="32" t="e">
        <f>IF(#REF!=0,"",#REF!)</f>
        <v>#REF!</v>
      </c>
      <c r="E971" s="36" t="e">
        <f>IF(#REF!=0,"",#REF!)</f>
        <v>#REF!</v>
      </c>
      <c r="F971" s="36" t="e">
        <f>IF(#REF!=0,"",#REF!)</f>
        <v>#REF!</v>
      </c>
      <c r="G971" s="103">
        <f>'27'!Q931</f>
        <v>0</v>
      </c>
      <c r="H971" s="160">
        <f>'27'!R931</f>
        <v>0</v>
      </c>
      <c r="I971" s="160">
        <f>'27'!S931</f>
        <v>0</v>
      </c>
      <c r="J971" s="160"/>
      <c r="K971" s="104">
        <f>'27'!T931</f>
        <v>0</v>
      </c>
      <c r="L971" s="36" t="e">
        <f>#REF!</f>
        <v>#REF!</v>
      </c>
      <c r="M971" s="103" t="e">
        <f>#REF!</f>
        <v>#REF!</v>
      </c>
      <c r="N971" s="160"/>
      <c r="O971" s="104" t="e">
        <f>#REF!</f>
        <v>#REF!</v>
      </c>
      <c r="P971" s="52" t="e">
        <f>IF(#REF!=0,"",#REF!)</f>
        <v>#REF!</v>
      </c>
      <c r="Q971" s="109" t="e">
        <f>IF(#REF!=0,"",#REF!)</f>
        <v>#REF!</v>
      </c>
      <c r="R971" s="36" t="e">
        <f>IF(#REF!=0,"",#REF!)</f>
        <v>#REF!</v>
      </c>
      <c r="S971" s="36" t="e">
        <f>IF(#REF!=0,"",#REF!)</f>
        <v>#REF!</v>
      </c>
      <c r="T971" s="268"/>
      <c r="U971" s="268"/>
      <c r="V971" s="268"/>
    </row>
    <row r="972" ht="15" customHeight="1" spans="2:22">
      <c r="B972" s="6" t="e">
        <f t="shared" si="17"/>
        <v>#REF!</v>
      </c>
      <c r="C972" s="83" t="e">
        <f>#REF!</f>
        <v>#REF!</v>
      </c>
      <c r="D972" s="110" t="e">
        <f>IF(#REF!=0,"",#REF!)</f>
        <v>#REF!</v>
      </c>
      <c r="E972" s="85" t="e">
        <f>IF(#REF!=0,"",#REF!)</f>
        <v>#REF!</v>
      </c>
      <c r="F972" s="85" t="e">
        <f>IF(#REF!=0,"",#REF!)</f>
        <v>#REF!</v>
      </c>
      <c r="G972" s="105">
        <f>'27'!Q932</f>
        <v>0</v>
      </c>
      <c r="H972" s="161">
        <f>'27'!R932</f>
        <v>0</v>
      </c>
      <c r="I972" s="161">
        <f>'27'!S932</f>
        <v>0</v>
      </c>
      <c r="J972" s="161"/>
      <c r="K972" s="106">
        <f>'27'!T932</f>
        <v>0</v>
      </c>
      <c r="L972" s="85" t="e">
        <f>#REF!</f>
        <v>#REF!</v>
      </c>
      <c r="M972" s="105" t="e">
        <f>#REF!</f>
        <v>#REF!</v>
      </c>
      <c r="N972" s="161"/>
      <c r="O972" s="106" t="e">
        <f>#REF!</f>
        <v>#REF!</v>
      </c>
      <c r="P972" s="107" t="e">
        <f>IF(#REF!=0,"",#REF!)</f>
        <v>#REF!</v>
      </c>
      <c r="Q972" s="111" t="e">
        <f>IF(#REF!=0,"",#REF!)</f>
        <v>#REF!</v>
      </c>
      <c r="R972" s="85" t="e">
        <f>IF(#REF!=0,"",#REF!)</f>
        <v>#REF!</v>
      </c>
      <c r="S972" s="85" t="e">
        <f>IF(#REF!=0,"",#REF!)</f>
        <v>#REF!</v>
      </c>
      <c r="T972" s="268"/>
      <c r="U972" s="268"/>
      <c r="V972" s="268"/>
    </row>
    <row r="973" ht="15" customHeight="1" spans="2:22">
      <c r="B973" s="6" t="e">
        <f t="shared" si="17"/>
        <v>#REF!</v>
      </c>
      <c r="C973" s="79" t="e">
        <f>#REF!</f>
        <v>#REF!</v>
      </c>
      <c r="D973" s="62" t="e">
        <f>IF(#REF!=0,"",#REF!)</f>
        <v>#REF!</v>
      </c>
      <c r="E973" s="81" t="e">
        <f>IF(#REF!=0,"",#REF!)</f>
        <v>#REF!</v>
      </c>
      <c r="F973" s="81" t="e">
        <f>IF(#REF!=0,"",#REF!)</f>
        <v>#REF!</v>
      </c>
      <c r="G973" s="100" t="e">
        <f>#REF!</f>
        <v>#REF!</v>
      </c>
      <c r="H973" s="159">
        <f>'27'!R933</f>
        <v>0</v>
      </c>
      <c r="I973" s="159">
        <f>'27'!S933</f>
        <v>0</v>
      </c>
      <c r="J973" s="159"/>
      <c r="K973" s="101">
        <f>'27'!T933</f>
        <v>0</v>
      </c>
      <c r="L973" s="81" t="e">
        <f>#REF!</f>
        <v>#REF!</v>
      </c>
      <c r="M973" s="100" t="e">
        <f>#REF!</f>
        <v>#REF!</v>
      </c>
      <c r="N973" s="159"/>
      <c r="O973" s="101" t="e">
        <f>#REF!</f>
        <v>#REF!</v>
      </c>
      <c r="P973" s="102" t="e">
        <f>IF(#REF!=0,"",#REF!)</f>
        <v>#REF!</v>
      </c>
      <c r="Q973" s="108" t="e">
        <f>IF(#REF!=0,"",#REF!)</f>
        <v>#REF!</v>
      </c>
      <c r="R973" s="81" t="e">
        <f>IF(#REF!=0,"",#REF!)</f>
        <v>#REF!</v>
      </c>
      <c r="S973" s="81" t="e">
        <f>IF(#REF!=0,"",#REF!)</f>
        <v>#REF!</v>
      </c>
      <c r="T973" s="268"/>
      <c r="U973" s="268"/>
      <c r="V973" s="268"/>
    </row>
    <row r="974" ht="15" customHeight="1" spans="2:22">
      <c r="B974" s="6" t="e">
        <f t="shared" si="17"/>
        <v>#REF!</v>
      </c>
      <c r="C974" s="31" t="e">
        <f>#REF!</f>
        <v>#REF!</v>
      </c>
      <c r="D974" s="32" t="e">
        <f>IF(#REF!=0,"",#REF!)</f>
        <v>#REF!</v>
      </c>
      <c r="E974" s="36" t="e">
        <f>IF(#REF!=0,"",#REF!)</f>
        <v>#REF!</v>
      </c>
      <c r="F974" s="36" t="e">
        <f>IF(#REF!=0,"",#REF!)</f>
        <v>#REF!</v>
      </c>
      <c r="G974" s="103">
        <f>'27'!Q934</f>
        <v>0</v>
      </c>
      <c r="H974" s="160">
        <f>'27'!R934</f>
        <v>0</v>
      </c>
      <c r="I974" s="160">
        <f>'27'!S934</f>
        <v>0</v>
      </c>
      <c r="J974" s="160"/>
      <c r="K974" s="104">
        <f>'27'!T934</f>
        <v>0</v>
      </c>
      <c r="L974" s="36" t="e">
        <f>#REF!</f>
        <v>#REF!</v>
      </c>
      <c r="M974" s="103" t="e">
        <f>#REF!</f>
        <v>#REF!</v>
      </c>
      <c r="N974" s="160"/>
      <c r="O974" s="104" t="e">
        <f>#REF!</f>
        <v>#REF!</v>
      </c>
      <c r="P974" s="52" t="e">
        <f>IF(#REF!=0,"",#REF!)</f>
        <v>#REF!</v>
      </c>
      <c r="Q974" s="109" t="e">
        <f>IF(#REF!=0,"",#REF!)</f>
        <v>#REF!</v>
      </c>
      <c r="R974" s="36" t="e">
        <f>IF(#REF!=0,"",#REF!)</f>
        <v>#REF!</v>
      </c>
      <c r="S974" s="36" t="e">
        <f>IF(#REF!=0,"",#REF!)</f>
        <v>#REF!</v>
      </c>
      <c r="T974" s="268"/>
      <c r="U974" s="268"/>
      <c r="V974" s="268"/>
    </row>
    <row r="975" ht="15" customHeight="1" spans="2:22">
      <c r="B975" s="6" t="e">
        <f t="shared" si="17"/>
        <v>#REF!</v>
      </c>
      <c r="C975" s="83" t="e">
        <f>#REF!</f>
        <v>#REF!</v>
      </c>
      <c r="D975" s="110" t="e">
        <f>IF(#REF!=0,"",#REF!)</f>
        <v>#REF!</v>
      </c>
      <c r="E975" s="85" t="e">
        <f>IF(#REF!=0,"",#REF!)</f>
        <v>#REF!</v>
      </c>
      <c r="F975" s="85" t="e">
        <f>IF(#REF!=0,"",#REF!)</f>
        <v>#REF!</v>
      </c>
      <c r="G975" s="105">
        <f>'27'!Q935</f>
        <v>0</v>
      </c>
      <c r="H975" s="161">
        <f>'27'!R935</f>
        <v>0</v>
      </c>
      <c r="I975" s="161">
        <f>'27'!S935</f>
        <v>0</v>
      </c>
      <c r="J975" s="161"/>
      <c r="K975" s="106">
        <f>'27'!T935</f>
        <v>0</v>
      </c>
      <c r="L975" s="85" t="e">
        <f>#REF!</f>
        <v>#REF!</v>
      </c>
      <c r="M975" s="105" t="e">
        <f>#REF!</f>
        <v>#REF!</v>
      </c>
      <c r="N975" s="161"/>
      <c r="O975" s="106" t="e">
        <f>#REF!</f>
        <v>#REF!</v>
      </c>
      <c r="P975" s="107" t="e">
        <f>IF(#REF!=0,"",#REF!)</f>
        <v>#REF!</v>
      </c>
      <c r="Q975" s="111" t="e">
        <f>IF(#REF!=0,"",#REF!)</f>
        <v>#REF!</v>
      </c>
      <c r="R975" s="85" t="e">
        <f>IF(#REF!=0,"",#REF!)</f>
        <v>#REF!</v>
      </c>
      <c r="S975" s="85" t="e">
        <f>IF(#REF!=0,"",#REF!)</f>
        <v>#REF!</v>
      </c>
      <c r="T975" s="268"/>
      <c r="U975" s="268"/>
      <c r="V975" s="268"/>
    </row>
    <row r="976" ht="15" customHeight="1" spans="2:22">
      <c r="B976" s="6" t="e">
        <f t="shared" si="17"/>
        <v>#REF!</v>
      </c>
      <c r="C976" s="79" t="e">
        <f>#REF!</f>
        <v>#REF!</v>
      </c>
      <c r="D976" s="62" t="e">
        <f>IF(#REF!=0,"",#REF!)</f>
        <v>#REF!</v>
      </c>
      <c r="E976" s="81" t="e">
        <f>IF(#REF!=0,"",#REF!)</f>
        <v>#REF!</v>
      </c>
      <c r="F976" s="81" t="e">
        <f>IF(#REF!=0,"",#REF!)</f>
        <v>#REF!</v>
      </c>
      <c r="G976" s="100" t="e">
        <f>#REF!</f>
        <v>#REF!</v>
      </c>
      <c r="H976" s="159">
        <f>'27'!R936</f>
        <v>0</v>
      </c>
      <c r="I976" s="159">
        <f>'27'!S936</f>
        <v>0</v>
      </c>
      <c r="J976" s="159"/>
      <c r="K976" s="101">
        <f>'27'!T936</f>
        <v>0</v>
      </c>
      <c r="L976" s="81" t="e">
        <f>#REF!</f>
        <v>#REF!</v>
      </c>
      <c r="M976" s="100" t="e">
        <f>#REF!</f>
        <v>#REF!</v>
      </c>
      <c r="N976" s="159"/>
      <c r="O976" s="101" t="e">
        <f>#REF!</f>
        <v>#REF!</v>
      </c>
      <c r="P976" s="102" t="e">
        <f>IF(#REF!=0,"",#REF!)</f>
        <v>#REF!</v>
      </c>
      <c r="Q976" s="108" t="e">
        <f>IF(#REF!=0,"",#REF!)</f>
        <v>#REF!</v>
      </c>
      <c r="R976" s="81" t="e">
        <f>IF(#REF!=0,"",#REF!)</f>
        <v>#REF!</v>
      </c>
      <c r="S976" s="81" t="e">
        <f>IF(#REF!=0,"",#REF!)</f>
        <v>#REF!</v>
      </c>
      <c r="T976" s="268"/>
      <c r="U976" s="268"/>
      <c r="V976" s="268"/>
    </row>
    <row r="977" ht="15" customHeight="1" spans="2:22">
      <c r="B977" s="6" t="e">
        <f t="shared" si="17"/>
        <v>#REF!</v>
      </c>
      <c r="C977" s="31" t="e">
        <f>#REF!</f>
        <v>#REF!</v>
      </c>
      <c r="D977" s="32" t="e">
        <f>IF(#REF!=0,"",#REF!)</f>
        <v>#REF!</v>
      </c>
      <c r="E977" s="36" t="e">
        <f>IF(#REF!=0,"",#REF!)</f>
        <v>#REF!</v>
      </c>
      <c r="F977" s="36" t="e">
        <f>IF(#REF!=0,"",#REF!)</f>
        <v>#REF!</v>
      </c>
      <c r="G977" s="103">
        <f>'27'!Q937</f>
        <v>0</v>
      </c>
      <c r="H977" s="160">
        <f>'27'!R937</f>
        <v>0</v>
      </c>
      <c r="I977" s="160">
        <f>'27'!S937</f>
        <v>0</v>
      </c>
      <c r="J977" s="160"/>
      <c r="K977" s="104">
        <f>'27'!T937</f>
        <v>0</v>
      </c>
      <c r="L977" s="36" t="e">
        <f>#REF!</f>
        <v>#REF!</v>
      </c>
      <c r="M977" s="103" t="e">
        <f>#REF!</f>
        <v>#REF!</v>
      </c>
      <c r="N977" s="160"/>
      <c r="O977" s="104" t="e">
        <f>#REF!</f>
        <v>#REF!</v>
      </c>
      <c r="P977" s="52" t="e">
        <f>IF(#REF!=0,"",#REF!)</f>
        <v>#REF!</v>
      </c>
      <c r="Q977" s="109" t="e">
        <f>IF(#REF!=0,"",#REF!)</f>
        <v>#REF!</v>
      </c>
      <c r="R977" s="36" t="e">
        <f>IF(#REF!=0,"",#REF!)</f>
        <v>#REF!</v>
      </c>
      <c r="S977" s="36" t="e">
        <f>IF(#REF!=0,"",#REF!)</f>
        <v>#REF!</v>
      </c>
      <c r="T977" s="268"/>
      <c r="U977" s="268"/>
      <c r="V977" s="268"/>
    </row>
    <row r="978" ht="15" customHeight="1" spans="2:22">
      <c r="B978" s="6" t="e">
        <f t="shared" si="17"/>
        <v>#REF!</v>
      </c>
      <c r="C978" s="83" t="e">
        <f>#REF!</f>
        <v>#REF!</v>
      </c>
      <c r="D978" s="110" t="e">
        <f>IF(#REF!=0,"",#REF!)</f>
        <v>#REF!</v>
      </c>
      <c r="E978" s="85" t="e">
        <f>IF(#REF!=0,"",#REF!)</f>
        <v>#REF!</v>
      </c>
      <c r="F978" s="85" t="e">
        <f>IF(#REF!=0,"",#REF!)</f>
        <v>#REF!</v>
      </c>
      <c r="G978" s="105">
        <f>'27'!Q938</f>
        <v>0</v>
      </c>
      <c r="H978" s="161">
        <f>'27'!R938</f>
        <v>0</v>
      </c>
      <c r="I978" s="161">
        <f>'27'!S938</f>
        <v>0</v>
      </c>
      <c r="J978" s="161"/>
      <c r="K978" s="106">
        <f>'27'!T938</f>
        <v>0</v>
      </c>
      <c r="L978" s="85" t="e">
        <f>#REF!</f>
        <v>#REF!</v>
      </c>
      <c r="M978" s="105" t="e">
        <f>#REF!</f>
        <v>#REF!</v>
      </c>
      <c r="N978" s="161"/>
      <c r="O978" s="106" t="e">
        <f>#REF!</f>
        <v>#REF!</v>
      </c>
      <c r="P978" s="107" t="e">
        <f>IF(#REF!=0,"",#REF!)</f>
        <v>#REF!</v>
      </c>
      <c r="Q978" s="111" t="e">
        <f>IF(#REF!=0,"",#REF!)</f>
        <v>#REF!</v>
      </c>
      <c r="R978" s="85" t="e">
        <f>IF(#REF!=0,"",#REF!)</f>
        <v>#REF!</v>
      </c>
      <c r="S978" s="85" t="e">
        <f>IF(#REF!=0,"",#REF!)</f>
        <v>#REF!</v>
      </c>
      <c r="T978" s="268"/>
      <c r="U978" s="268"/>
      <c r="V978" s="268"/>
    </row>
    <row r="979" ht="15" customHeight="1" spans="2:22">
      <c r="B979" s="6" t="e">
        <f t="shared" si="17"/>
        <v>#REF!</v>
      </c>
      <c r="C979" s="79" t="e">
        <f>#REF!</f>
        <v>#REF!</v>
      </c>
      <c r="D979" s="62" t="e">
        <f>IF(#REF!=0,"",#REF!)</f>
        <v>#REF!</v>
      </c>
      <c r="E979" s="81" t="e">
        <f>IF(#REF!=0,"",#REF!)</f>
        <v>#REF!</v>
      </c>
      <c r="F979" s="81" t="e">
        <f>IF(#REF!=0,"",#REF!)</f>
        <v>#REF!</v>
      </c>
      <c r="G979" s="100" t="e">
        <f>#REF!</f>
        <v>#REF!</v>
      </c>
      <c r="H979" s="159">
        <f>'27'!R939</f>
        <v>0</v>
      </c>
      <c r="I979" s="159">
        <f>'27'!S939</f>
        <v>0</v>
      </c>
      <c r="J979" s="159"/>
      <c r="K979" s="101">
        <f>'27'!T939</f>
        <v>0</v>
      </c>
      <c r="L979" s="81" t="e">
        <f>#REF!</f>
        <v>#REF!</v>
      </c>
      <c r="M979" s="100" t="e">
        <f>#REF!</f>
        <v>#REF!</v>
      </c>
      <c r="N979" s="159"/>
      <c r="O979" s="101" t="e">
        <f>#REF!</f>
        <v>#REF!</v>
      </c>
      <c r="P979" s="102" t="e">
        <f>IF(#REF!=0,"",#REF!)</f>
        <v>#REF!</v>
      </c>
      <c r="Q979" s="108" t="e">
        <f>IF(#REF!=0,"",#REF!)</f>
        <v>#REF!</v>
      </c>
      <c r="R979" s="81" t="e">
        <f>IF(#REF!=0,"",#REF!)</f>
        <v>#REF!</v>
      </c>
      <c r="S979" s="81" t="e">
        <f>IF(#REF!=0,"",#REF!)</f>
        <v>#REF!</v>
      </c>
      <c r="T979" s="268"/>
      <c r="U979" s="268"/>
      <c r="V979" s="268"/>
    </row>
    <row r="980" ht="15" customHeight="1" spans="2:22">
      <c r="B980" s="6" t="e">
        <f t="shared" si="17"/>
        <v>#REF!</v>
      </c>
      <c r="C980" s="31" t="e">
        <f>#REF!</f>
        <v>#REF!</v>
      </c>
      <c r="D980" s="32" t="e">
        <f>IF(#REF!=0,"",#REF!)</f>
        <v>#REF!</v>
      </c>
      <c r="E980" s="36" t="e">
        <f>IF(#REF!=0,"",#REF!)</f>
        <v>#REF!</v>
      </c>
      <c r="F980" s="36" t="e">
        <f>IF(#REF!=0,"",#REF!)</f>
        <v>#REF!</v>
      </c>
      <c r="G980" s="103">
        <f>'27'!Q940</f>
        <v>0</v>
      </c>
      <c r="H980" s="160">
        <f>'27'!R940</f>
        <v>0</v>
      </c>
      <c r="I980" s="160">
        <f>'27'!S940</f>
        <v>0</v>
      </c>
      <c r="J980" s="160"/>
      <c r="K980" s="104">
        <f>'27'!T940</f>
        <v>0</v>
      </c>
      <c r="L980" s="36" t="e">
        <f>#REF!</f>
        <v>#REF!</v>
      </c>
      <c r="M980" s="103" t="e">
        <f>#REF!</f>
        <v>#REF!</v>
      </c>
      <c r="N980" s="160"/>
      <c r="O980" s="104" t="e">
        <f>#REF!</f>
        <v>#REF!</v>
      </c>
      <c r="P980" s="52" t="e">
        <f>IF(#REF!=0,"",#REF!)</f>
        <v>#REF!</v>
      </c>
      <c r="Q980" s="109" t="e">
        <f>IF(#REF!=0,"",#REF!)</f>
        <v>#REF!</v>
      </c>
      <c r="R980" s="36" t="e">
        <f>IF(#REF!=0,"",#REF!)</f>
        <v>#REF!</v>
      </c>
      <c r="S980" s="36" t="e">
        <f>IF(#REF!=0,"",#REF!)</f>
        <v>#REF!</v>
      </c>
      <c r="T980" s="268"/>
      <c r="U980" s="268"/>
      <c r="V980" s="268"/>
    </row>
    <row r="981" ht="15" customHeight="1" spans="2:22">
      <c r="B981" s="6" t="e">
        <f t="shared" si="17"/>
        <v>#REF!</v>
      </c>
      <c r="C981" s="83" t="e">
        <f>#REF!</f>
        <v>#REF!</v>
      </c>
      <c r="D981" s="110" t="e">
        <f>IF(#REF!=0,"",#REF!)</f>
        <v>#REF!</v>
      </c>
      <c r="E981" s="85" t="e">
        <f>IF(#REF!=0,"",#REF!)</f>
        <v>#REF!</v>
      </c>
      <c r="F981" s="85" t="e">
        <f>IF(#REF!=0,"",#REF!)</f>
        <v>#REF!</v>
      </c>
      <c r="G981" s="105">
        <f>'27'!Q941</f>
        <v>0</v>
      </c>
      <c r="H981" s="161">
        <f>'27'!R941</f>
        <v>0</v>
      </c>
      <c r="I981" s="161">
        <f>'27'!S941</f>
        <v>0</v>
      </c>
      <c r="J981" s="161"/>
      <c r="K981" s="106">
        <f>'27'!T941</f>
        <v>0</v>
      </c>
      <c r="L981" s="85" t="e">
        <f>#REF!</f>
        <v>#REF!</v>
      </c>
      <c r="M981" s="105" t="e">
        <f>#REF!</f>
        <v>#REF!</v>
      </c>
      <c r="N981" s="161"/>
      <c r="O981" s="106" t="e">
        <f>#REF!</f>
        <v>#REF!</v>
      </c>
      <c r="P981" s="107" t="e">
        <f>IF(#REF!=0,"",#REF!)</f>
        <v>#REF!</v>
      </c>
      <c r="Q981" s="111" t="e">
        <f>IF(#REF!=0,"",#REF!)</f>
        <v>#REF!</v>
      </c>
      <c r="R981" s="85" t="e">
        <f>IF(#REF!=0,"",#REF!)</f>
        <v>#REF!</v>
      </c>
      <c r="S981" s="85" t="e">
        <f>IF(#REF!=0,"",#REF!)</f>
        <v>#REF!</v>
      </c>
      <c r="T981" s="268"/>
      <c r="U981" s="268"/>
      <c r="V981" s="268"/>
    </row>
    <row r="982" ht="15" customHeight="1" spans="2:22">
      <c r="B982" s="6" t="e">
        <f t="shared" si="17"/>
        <v>#REF!</v>
      </c>
      <c r="C982" s="79" t="e">
        <f>#REF!</f>
        <v>#REF!</v>
      </c>
      <c r="D982" s="62" t="e">
        <f>IF(#REF!=0,"",#REF!)</f>
        <v>#REF!</v>
      </c>
      <c r="E982" s="81" t="e">
        <f>IF(#REF!=0,"",#REF!)</f>
        <v>#REF!</v>
      </c>
      <c r="F982" s="81" t="e">
        <f>IF(#REF!=0,"",#REF!)</f>
        <v>#REF!</v>
      </c>
      <c r="G982" s="100" t="e">
        <f>#REF!</f>
        <v>#REF!</v>
      </c>
      <c r="H982" s="159">
        <f>'27'!R942</f>
        <v>0</v>
      </c>
      <c r="I982" s="159">
        <f>'27'!S942</f>
        <v>0</v>
      </c>
      <c r="J982" s="159"/>
      <c r="K982" s="101">
        <f>'27'!T942</f>
        <v>0</v>
      </c>
      <c r="L982" s="81" t="e">
        <f>#REF!</f>
        <v>#REF!</v>
      </c>
      <c r="M982" s="100" t="e">
        <f>#REF!</f>
        <v>#REF!</v>
      </c>
      <c r="N982" s="159"/>
      <c r="O982" s="101" t="e">
        <f>#REF!</f>
        <v>#REF!</v>
      </c>
      <c r="P982" s="102" t="e">
        <f>IF(#REF!=0,"",#REF!)</f>
        <v>#REF!</v>
      </c>
      <c r="Q982" s="108" t="e">
        <f>IF(#REF!=0,"",#REF!)</f>
        <v>#REF!</v>
      </c>
      <c r="R982" s="81" t="e">
        <f>IF(#REF!=0,"",#REF!)</f>
        <v>#REF!</v>
      </c>
      <c r="S982" s="81" t="e">
        <f>IF(#REF!=0,"",#REF!)</f>
        <v>#REF!</v>
      </c>
      <c r="T982" s="268"/>
      <c r="U982" s="268"/>
      <c r="V982" s="268"/>
    </row>
    <row r="983" ht="15" customHeight="1" spans="2:22">
      <c r="B983" s="6" t="e">
        <f t="shared" si="17"/>
        <v>#REF!</v>
      </c>
      <c r="C983" s="31" t="e">
        <f>#REF!</f>
        <v>#REF!</v>
      </c>
      <c r="D983" s="32" t="e">
        <f>IF(#REF!=0,"",#REF!)</f>
        <v>#REF!</v>
      </c>
      <c r="E983" s="36" t="e">
        <f>IF(#REF!=0,"",#REF!)</f>
        <v>#REF!</v>
      </c>
      <c r="F983" s="36" t="e">
        <f>IF(#REF!=0,"",#REF!)</f>
        <v>#REF!</v>
      </c>
      <c r="G983" s="103">
        <f>'27'!Q943</f>
        <v>0</v>
      </c>
      <c r="H983" s="160">
        <f>'27'!R943</f>
        <v>0</v>
      </c>
      <c r="I983" s="160">
        <f>'27'!S943</f>
        <v>0</v>
      </c>
      <c r="J983" s="160"/>
      <c r="K983" s="104">
        <f>'27'!T943</f>
        <v>0</v>
      </c>
      <c r="L983" s="36" t="e">
        <f>#REF!</f>
        <v>#REF!</v>
      </c>
      <c r="M983" s="103" t="e">
        <f>#REF!</f>
        <v>#REF!</v>
      </c>
      <c r="N983" s="160"/>
      <c r="O983" s="104" t="e">
        <f>#REF!</f>
        <v>#REF!</v>
      </c>
      <c r="P983" s="52" t="e">
        <f>IF(#REF!=0,"",#REF!)</f>
        <v>#REF!</v>
      </c>
      <c r="Q983" s="109" t="e">
        <f>IF(#REF!=0,"",#REF!)</f>
        <v>#REF!</v>
      </c>
      <c r="R983" s="36" t="e">
        <f>IF(#REF!=0,"",#REF!)</f>
        <v>#REF!</v>
      </c>
      <c r="S983" s="36" t="e">
        <f>IF(#REF!=0,"",#REF!)</f>
        <v>#REF!</v>
      </c>
      <c r="T983" s="268"/>
      <c r="U983" s="268"/>
      <c r="V983" s="268"/>
    </row>
    <row r="984" ht="15" customHeight="1" spans="2:22">
      <c r="B984" s="6" t="e">
        <f t="shared" si="17"/>
        <v>#REF!</v>
      </c>
      <c r="C984" s="83" t="e">
        <f>#REF!</f>
        <v>#REF!</v>
      </c>
      <c r="D984" s="110" t="e">
        <f>IF(#REF!=0,"",#REF!)</f>
        <v>#REF!</v>
      </c>
      <c r="E984" s="85" t="e">
        <f>IF(#REF!=0,"",#REF!)</f>
        <v>#REF!</v>
      </c>
      <c r="F984" s="85" t="e">
        <f>IF(#REF!=0,"",#REF!)</f>
        <v>#REF!</v>
      </c>
      <c r="G984" s="105">
        <f>'27'!Q944</f>
        <v>0</v>
      </c>
      <c r="H984" s="161">
        <f>'27'!R944</f>
        <v>0</v>
      </c>
      <c r="I984" s="161">
        <f>'27'!S944</f>
        <v>0</v>
      </c>
      <c r="J984" s="161"/>
      <c r="K984" s="106">
        <f>'27'!T944</f>
        <v>0</v>
      </c>
      <c r="L984" s="85" t="e">
        <f>#REF!</f>
        <v>#REF!</v>
      </c>
      <c r="M984" s="105" t="e">
        <f>#REF!</f>
        <v>#REF!</v>
      </c>
      <c r="N984" s="161"/>
      <c r="O984" s="106" t="e">
        <f>#REF!</f>
        <v>#REF!</v>
      </c>
      <c r="P984" s="107" t="e">
        <f>IF(#REF!=0,"",#REF!)</f>
        <v>#REF!</v>
      </c>
      <c r="Q984" s="111" t="e">
        <f>IF(#REF!=0,"",#REF!)</f>
        <v>#REF!</v>
      </c>
      <c r="R984" s="85" t="e">
        <f>IF(#REF!=0,"",#REF!)</f>
        <v>#REF!</v>
      </c>
      <c r="S984" s="85" t="e">
        <f>IF(#REF!=0,"",#REF!)</f>
        <v>#REF!</v>
      </c>
      <c r="T984" s="268"/>
      <c r="U984" s="268"/>
      <c r="V984" s="268"/>
    </row>
    <row r="985" ht="15" customHeight="1" spans="2:22">
      <c r="B985" s="6" t="e">
        <f t="shared" si="17"/>
        <v>#REF!</v>
      </c>
      <c r="C985" s="79" t="e">
        <f>#REF!</f>
        <v>#REF!</v>
      </c>
      <c r="D985" s="62" t="e">
        <f>IF(#REF!=0,"",#REF!)</f>
        <v>#REF!</v>
      </c>
      <c r="E985" s="81" t="e">
        <f>IF(#REF!=0,"",#REF!)</f>
        <v>#REF!</v>
      </c>
      <c r="F985" s="81" t="e">
        <f>IF(#REF!=0,"",#REF!)</f>
        <v>#REF!</v>
      </c>
      <c r="G985" s="100" t="e">
        <f>#REF!</f>
        <v>#REF!</v>
      </c>
      <c r="H985" s="159">
        <f>'27'!R945</f>
        <v>0</v>
      </c>
      <c r="I985" s="159">
        <f>'27'!S945</f>
        <v>0</v>
      </c>
      <c r="J985" s="159"/>
      <c r="K985" s="101">
        <f>'27'!T945</f>
        <v>0</v>
      </c>
      <c r="L985" s="81" t="e">
        <f>#REF!</f>
        <v>#REF!</v>
      </c>
      <c r="M985" s="100" t="e">
        <f>#REF!</f>
        <v>#REF!</v>
      </c>
      <c r="N985" s="159"/>
      <c r="O985" s="101" t="e">
        <f>#REF!</f>
        <v>#REF!</v>
      </c>
      <c r="P985" s="102" t="e">
        <f>IF(#REF!=0,"",#REF!)</f>
        <v>#REF!</v>
      </c>
      <c r="Q985" s="108" t="e">
        <f>IF(#REF!=0,"",#REF!)</f>
        <v>#REF!</v>
      </c>
      <c r="R985" s="81" t="e">
        <f>IF(#REF!=0,"",#REF!)</f>
        <v>#REF!</v>
      </c>
      <c r="S985" s="81" t="e">
        <f>IF(#REF!=0,"",#REF!)</f>
        <v>#REF!</v>
      </c>
      <c r="T985" s="268"/>
      <c r="U985" s="268"/>
      <c r="V985" s="268"/>
    </row>
    <row r="986" ht="15" customHeight="1" spans="2:22">
      <c r="B986" s="6" t="e">
        <f t="shared" si="17"/>
        <v>#REF!</v>
      </c>
      <c r="C986" s="31" t="e">
        <f>#REF!</f>
        <v>#REF!</v>
      </c>
      <c r="D986" s="32" t="e">
        <f>IF(#REF!=0,"",#REF!)</f>
        <v>#REF!</v>
      </c>
      <c r="E986" s="36" t="e">
        <f>IF(#REF!=0,"",#REF!)</f>
        <v>#REF!</v>
      </c>
      <c r="F986" s="36" t="e">
        <f>IF(#REF!=0,"",#REF!)</f>
        <v>#REF!</v>
      </c>
      <c r="G986" s="103">
        <f>'27'!Q946</f>
        <v>0</v>
      </c>
      <c r="H986" s="160">
        <f>'27'!R946</f>
        <v>0</v>
      </c>
      <c r="I986" s="160">
        <f>'27'!S946</f>
        <v>0</v>
      </c>
      <c r="J986" s="160"/>
      <c r="K986" s="104">
        <f>'27'!T946</f>
        <v>0</v>
      </c>
      <c r="L986" s="36" t="e">
        <f>#REF!</f>
        <v>#REF!</v>
      </c>
      <c r="M986" s="103" t="e">
        <f>#REF!</f>
        <v>#REF!</v>
      </c>
      <c r="N986" s="160"/>
      <c r="O986" s="104" t="e">
        <f>#REF!</f>
        <v>#REF!</v>
      </c>
      <c r="P986" s="52" t="e">
        <f>IF(#REF!=0,"",#REF!)</f>
        <v>#REF!</v>
      </c>
      <c r="Q986" s="109" t="e">
        <f>IF(#REF!=0,"",#REF!)</f>
        <v>#REF!</v>
      </c>
      <c r="R986" s="36" t="e">
        <f>IF(#REF!=0,"",#REF!)</f>
        <v>#REF!</v>
      </c>
      <c r="S986" s="36" t="e">
        <f>IF(#REF!=0,"",#REF!)</f>
        <v>#REF!</v>
      </c>
      <c r="T986" s="268"/>
      <c r="U986" s="268"/>
      <c r="V986" s="268"/>
    </row>
    <row r="987" ht="15" customHeight="1" spans="2:22">
      <c r="B987" s="6" t="e">
        <f t="shared" si="17"/>
        <v>#REF!</v>
      </c>
      <c r="C987" s="83" t="e">
        <f>#REF!</f>
        <v>#REF!</v>
      </c>
      <c r="D987" s="110" t="e">
        <f>IF(#REF!=0,"",#REF!)</f>
        <v>#REF!</v>
      </c>
      <c r="E987" s="85" t="e">
        <f>IF(#REF!=0,"",#REF!)</f>
        <v>#REF!</v>
      </c>
      <c r="F987" s="85" t="e">
        <f>IF(#REF!=0,"",#REF!)</f>
        <v>#REF!</v>
      </c>
      <c r="G987" s="105">
        <f>'27'!Q947</f>
        <v>0</v>
      </c>
      <c r="H987" s="161">
        <f>'27'!R947</f>
        <v>0</v>
      </c>
      <c r="I987" s="161">
        <f>'27'!S947</f>
        <v>0</v>
      </c>
      <c r="J987" s="161"/>
      <c r="K987" s="106">
        <f>'27'!T947</f>
        <v>0</v>
      </c>
      <c r="L987" s="85" t="e">
        <f>#REF!</f>
        <v>#REF!</v>
      </c>
      <c r="M987" s="105" t="e">
        <f>#REF!</f>
        <v>#REF!</v>
      </c>
      <c r="N987" s="161"/>
      <c r="O987" s="106" t="e">
        <f>#REF!</f>
        <v>#REF!</v>
      </c>
      <c r="P987" s="107" t="e">
        <f>IF(#REF!=0,"",#REF!)</f>
        <v>#REF!</v>
      </c>
      <c r="Q987" s="111" t="e">
        <f>IF(#REF!=0,"",#REF!)</f>
        <v>#REF!</v>
      </c>
      <c r="R987" s="85" t="e">
        <f>IF(#REF!=0,"",#REF!)</f>
        <v>#REF!</v>
      </c>
      <c r="S987" s="85" t="e">
        <f>IF(#REF!=0,"",#REF!)</f>
        <v>#REF!</v>
      </c>
      <c r="T987" s="268"/>
      <c r="U987" s="268"/>
      <c r="V987" s="268"/>
    </row>
    <row r="988" ht="15" customHeight="1" spans="2:22">
      <c r="B988" s="6" t="e">
        <f t="shared" si="17"/>
        <v>#REF!</v>
      </c>
      <c r="C988" s="79" t="e">
        <f>#REF!</f>
        <v>#REF!</v>
      </c>
      <c r="D988" s="62" t="e">
        <f>IF(#REF!=0,"",#REF!)</f>
        <v>#REF!</v>
      </c>
      <c r="E988" s="81" t="e">
        <f>IF(#REF!=0,"",#REF!)</f>
        <v>#REF!</v>
      </c>
      <c r="F988" s="81" t="e">
        <f>IF(#REF!=0,"",#REF!)</f>
        <v>#REF!</v>
      </c>
      <c r="G988" s="100" t="e">
        <f>#REF!</f>
        <v>#REF!</v>
      </c>
      <c r="H988" s="159">
        <f>'27'!R948</f>
        <v>0</v>
      </c>
      <c r="I988" s="159">
        <f>'27'!S948</f>
        <v>0</v>
      </c>
      <c r="J988" s="159"/>
      <c r="K988" s="101">
        <f>'27'!T948</f>
        <v>0</v>
      </c>
      <c r="L988" s="81" t="e">
        <f>#REF!</f>
        <v>#REF!</v>
      </c>
      <c r="M988" s="100" t="e">
        <f>#REF!</f>
        <v>#REF!</v>
      </c>
      <c r="N988" s="159"/>
      <c r="O988" s="101" t="e">
        <f>#REF!</f>
        <v>#REF!</v>
      </c>
      <c r="P988" s="102" t="e">
        <f>IF(#REF!=0,"",#REF!)</f>
        <v>#REF!</v>
      </c>
      <c r="Q988" s="108" t="e">
        <f>IF(#REF!=0,"",#REF!)</f>
        <v>#REF!</v>
      </c>
      <c r="R988" s="81" t="e">
        <f>IF(#REF!=0,"",#REF!)</f>
        <v>#REF!</v>
      </c>
      <c r="S988" s="81" t="e">
        <f>IF(#REF!=0,"",#REF!)</f>
        <v>#REF!</v>
      </c>
      <c r="T988" s="268"/>
      <c r="U988" s="268"/>
      <c r="V988" s="268"/>
    </row>
    <row r="989" ht="15" customHeight="1" spans="2:22">
      <c r="B989" s="6" t="e">
        <f t="shared" si="17"/>
        <v>#REF!</v>
      </c>
      <c r="C989" s="31" t="e">
        <f>#REF!</f>
        <v>#REF!</v>
      </c>
      <c r="D989" s="32" t="e">
        <f>IF(#REF!=0,"",#REF!)</f>
        <v>#REF!</v>
      </c>
      <c r="E989" s="36" t="e">
        <f>IF(#REF!=0,"",#REF!)</f>
        <v>#REF!</v>
      </c>
      <c r="F989" s="36" t="e">
        <f>IF(#REF!=0,"",#REF!)</f>
        <v>#REF!</v>
      </c>
      <c r="G989" s="103">
        <f>'27'!Q949</f>
        <v>0</v>
      </c>
      <c r="H989" s="160">
        <f>'27'!R949</f>
        <v>0</v>
      </c>
      <c r="I989" s="160">
        <f>'27'!S949</f>
        <v>0</v>
      </c>
      <c r="J989" s="160"/>
      <c r="K989" s="104">
        <f>'27'!T949</f>
        <v>0</v>
      </c>
      <c r="L989" s="36" t="e">
        <f>#REF!</f>
        <v>#REF!</v>
      </c>
      <c r="M989" s="103" t="e">
        <f>#REF!</f>
        <v>#REF!</v>
      </c>
      <c r="N989" s="160"/>
      <c r="O989" s="104" t="e">
        <f>#REF!</f>
        <v>#REF!</v>
      </c>
      <c r="P989" s="52" t="e">
        <f>IF(#REF!=0,"",#REF!)</f>
        <v>#REF!</v>
      </c>
      <c r="Q989" s="109" t="e">
        <f>IF(#REF!=0,"",#REF!)</f>
        <v>#REF!</v>
      </c>
      <c r="R989" s="36" t="e">
        <f>IF(#REF!=0,"",#REF!)</f>
        <v>#REF!</v>
      </c>
      <c r="S989" s="36" t="e">
        <f>IF(#REF!=0,"",#REF!)</f>
        <v>#REF!</v>
      </c>
      <c r="T989" s="268"/>
      <c r="U989" s="268"/>
      <c r="V989" s="268"/>
    </row>
    <row r="990" ht="15" customHeight="1" spans="2:22">
      <c r="B990" s="6" t="e">
        <f t="shared" si="17"/>
        <v>#REF!</v>
      </c>
      <c r="C990" s="83" t="e">
        <f>#REF!</f>
        <v>#REF!</v>
      </c>
      <c r="D990" s="110" t="e">
        <f>IF(#REF!=0,"",#REF!)</f>
        <v>#REF!</v>
      </c>
      <c r="E990" s="85" t="e">
        <f>IF(#REF!=0,"",#REF!)</f>
        <v>#REF!</v>
      </c>
      <c r="F990" s="85" t="e">
        <f>IF(#REF!=0,"",#REF!)</f>
        <v>#REF!</v>
      </c>
      <c r="G990" s="105">
        <f>'27'!Q950</f>
        <v>0</v>
      </c>
      <c r="H990" s="161">
        <f>'27'!R950</f>
        <v>0</v>
      </c>
      <c r="I990" s="161">
        <f>'27'!S950</f>
        <v>0</v>
      </c>
      <c r="J990" s="161"/>
      <c r="K990" s="106">
        <f>'27'!T950</f>
        <v>0</v>
      </c>
      <c r="L990" s="85" t="e">
        <f>#REF!</f>
        <v>#REF!</v>
      </c>
      <c r="M990" s="105" t="e">
        <f>#REF!</f>
        <v>#REF!</v>
      </c>
      <c r="N990" s="161"/>
      <c r="O990" s="106" t="e">
        <f>#REF!</f>
        <v>#REF!</v>
      </c>
      <c r="P990" s="107" t="e">
        <f>IF(#REF!=0,"",#REF!)</f>
        <v>#REF!</v>
      </c>
      <c r="Q990" s="111" t="e">
        <f>IF(#REF!=0,"",#REF!)</f>
        <v>#REF!</v>
      </c>
      <c r="R990" s="85" t="e">
        <f>IF(#REF!=0,"",#REF!)</f>
        <v>#REF!</v>
      </c>
      <c r="S990" s="85" t="e">
        <f>IF(#REF!=0,"",#REF!)</f>
        <v>#REF!</v>
      </c>
      <c r="T990" s="268"/>
      <c r="U990" s="268"/>
      <c r="V990" s="268"/>
    </row>
    <row r="991" ht="15" customHeight="1" spans="2:22">
      <c r="B991" s="6" t="e">
        <f t="shared" si="17"/>
        <v>#REF!</v>
      </c>
      <c r="C991" s="79" t="e">
        <f>#REF!</f>
        <v>#REF!</v>
      </c>
      <c r="D991" s="62" t="e">
        <f>IF(#REF!=0,"",#REF!)</f>
        <v>#REF!</v>
      </c>
      <c r="E991" s="81" t="e">
        <f>IF(#REF!=0,"",#REF!)</f>
        <v>#REF!</v>
      </c>
      <c r="F991" s="81" t="e">
        <f>IF(#REF!=0,"",#REF!)</f>
        <v>#REF!</v>
      </c>
      <c r="G991" s="100" t="e">
        <f>#REF!</f>
        <v>#REF!</v>
      </c>
      <c r="H991" s="159">
        <f>'27'!R951</f>
        <v>0</v>
      </c>
      <c r="I991" s="159">
        <f>'27'!S951</f>
        <v>0</v>
      </c>
      <c r="J991" s="159"/>
      <c r="K991" s="101">
        <f>'27'!T951</f>
        <v>0</v>
      </c>
      <c r="L991" s="81" t="e">
        <f>#REF!</f>
        <v>#REF!</v>
      </c>
      <c r="M991" s="100" t="e">
        <f>#REF!</f>
        <v>#REF!</v>
      </c>
      <c r="N991" s="159"/>
      <c r="O991" s="101" t="e">
        <f>#REF!</f>
        <v>#REF!</v>
      </c>
      <c r="P991" s="102" t="e">
        <f>IF(#REF!=0,"",#REF!)</f>
        <v>#REF!</v>
      </c>
      <c r="Q991" s="108" t="e">
        <f>IF(#REF!=0,"",#REF!)</f>
        <v>#REF!</v>
      </c>
      <c r="R991" s="81" t="e">
        <f>IF(#REF!=0,"",#REF!)</f>
        <v>#REF!</v>
      </c>
      <c r="S991" s="81" t="e">
        <f>IF(#REF!=0,"",#REF!)</f>
        <v>#REF!</v>
      </c>
      <c r="T991" s="268"/>
      <c r="U991" s="268"/>
      <c r="V991" s="268"/>
    </row>
    <row r="992" ht="15" customHeight="1" spans="2:22">
      <c r="B992" s="6" t="e">
        <f t="shared" si="17"/>
        <v>#REF!</v>
      </c>
      <c r="C992" s="31" t="e">
        <f>#REF!</f>
        <v>#REF!</v>
      </c>
      <c r="D992" s="32" t="e">
        <f>IF(#REF!=0,"",#REF!)</f>
        <v>#REF!</v>
      </c>
      <c r="E992" s="36" t="e">
        <f>IF(#REF!=0,"",#REF!)</f>
        <v>#REF!</v>
      </c>
      <c r="F992" s="36" t="e">
        <f>IF(#REF!=0,"",#REF!)</f>
        <v>#REF!</v>
      </c>
      <c r="G992" s="103">
        <f>'27'!Q952</f>
        <v>0</v>
      </c>
      <c r="H992" s="160">
        <f>'27'!R952</f>
        <v>0</v>
      </c>
      <c r="I992" s="160">
        <f>'27'!S952</f>
        <v>0</v>
      </c>
      <c r="J992" s="160"/>
      <c r="K992" s="104">
        <f>'27'!T952</f>
        <v>0</v>
      </c>
      <c r="L992" s="36" t="e">
        <f>#REF!</f>
        <v>#REF!</v>
      </c>
      <c r="M992" s="103" t="e">
        <f>#REF!</f>
        <v>#REF!</v>
      </c>
      <c r="N992" s="160"/>
      <c r="O992" s="104" t="e">
        <f>#REF!</f>
        <v>#REF!</v>
      </c>
      <c r="P992" s="52" t="e">
        <f>IF(#REF!=0,"",#REF!)</f>
        <v>#REF!</v>
      </c>
      <c r="Q992" s="109" t="e">
        <f>IF(#REF!=0,"",#REF!)</f>
        <v>#REF!</v>
      </c>
      <c r="R992" s="36" t="e">
        <f>IF(#REF!=0,"",#REF!)</f>
        <v>#REF!</v>
      </c>
      <c r="S992" s="36" t="e">
        <f>IF(#REF!=0,"",#REF!)</f>
        <v>#REF!</v>
      </c>
      <c r="T992" s="268"/>
      <c r="U992" s="268"/>
      <c r="V992" s="268"/>
    </row>
    <row r="993" ht="15" customHeight="1" spans="2:22">
      <c r="B993" s="6" t="e">
        <f t="shared" si="17"/>
        <v>#REF!</v>
      </c>
      <c r="C993" s="83" t="e">
        <f>#REF!</f>
        <v>#REF!</v>
      </c>
      <c r="D993" s="110" t="e">
        <f>IF(#REF!=0,"",#REF!)</f>
        <v>#REF!</v>
      </c>
      <c r="E993" s="85" t="e">
        <f>IF(#REF!=0,"",#REF!)</f>
        <v>#REF!</v>
      </c>
      <c r="F993" s="85" t="e">
        <f>IF(#REF!=0,"",#REF!)</f>
        <v>#REF!</v>
      </c>
      <c r="G993" s="105">
        <f>'27'!Q953</f>
        <v>0</v>
      </c>
      <c r="H993" s="161">
        <f>'27'!R953</f>
        <v>0</v>
      </c>
      <c r="I993" s="161">
        <f>'27'!S953</f>
        <v>0</v>
      </c>
      <c r="J993" s="161"/>
      <c r="K993" s="106">
        <f>'27'!T953</f>
        <v>0</v>
      </c>
      <c r="L993" s="85" t="e">
        <f>#REF!</f>
        <v>#REF!</v>
      </c>
      <c r="M993" s="105" t="e">
        <f>#REF!</f>
        <v>#REF!</v>
      </c>
      <c r="N993" s="161"/>
      <c r="O993" s="106" t="e">
        <f>#REF!</f>
        <v>#REF!</v>
      </c>
      <c r="P993" s="107" t="e">
        <f>IF(#REF!=0,"",#REF!)</f>
        <v>#REF!</v>
      </c>
      <c r="Q993" s="111" t="e">
        <f>IF(#REF!=0,"",#REF!)</f>
        <v>#REF!</v>
      </c>
      <c r="R993" s="85" t="e">
        <f>IF(#REF!=0,"",#REF!)</f>
        <v>#REF!</v>
      </c>
      <c r="S993" s="85" t="e">
        <f>IF(#REF!=0,"",#REF!)</f>
        <v>#REF!</v>
      </c>
      <c r="T993" s="268"/>
      <c r="U993" s="268"/>
      <c r="V993" s="268"/>
    </row>
    <row r="994" ht="15" customHeight="1" spans="2:22">
      <c r="B994" s="6" t="e">
        <f t="shared" si="17"/>
        <v>#REF!</v>
      </c>
      <c r="C994" s="79" t="e">
        <f>#REF!</f>
        <v>#REF!</v>
      </c>
      <c r="D994" s="62" t="e">
        <f>IF(#REF!=0,"",#REF!)</f>
        <v>#REF!</v>
      </c>
      <c r="E994" s="81" t="e">
        <f>IF(#REF!=0,"",#REF!)</f>
        <v>#REF!</v>
      </c>
      <c r="F994" s="81" t="e">
        <f>IF(#REF!=0,"",#REF!)</f>
        <v>#REF!</v>
      </c>
      <c r="G994" s="100" t="e">
        <f>#REF!</f>
        <v>#REF!</v>
      </c>
      <c r="H994" s="159">
        <f>'27'!R954</f>
        <v>0</v>
      </c>
      <c r="I994" s="159">
        <f>'27'!S954</f>
        <v>0</v>
      </c>
      <c r="J994" s="159"/>
      <c r="K994" s="101">
        <f>'27'!T954</f>
        <v>0</v>
      </c>
      <c r="L994" s="81" t="e">
        <f>#REF!</f>
        <v>#REF!</v>
      </c>
      <c r="M994" s="100" t="e">
        <f>#REF!</f>
        <v>#REF!</v>
      </c>
      <c r="N994" s="159"/>
      <c r="O994" s="101" t="e">
        <f>#REF!</f>
        <v>#REF!</v>
      </c>
      <c r="P994" s="102" t="e">
        <f>IF(#REF!=0,"",#REF!)</f>
        <v>#REF!</v>
      </c>
      <c r="Q994" s="108" t="e">
        <f>IF(#REF!=0,"",#REF!)</f>
        <v>#REF!</v>
      </c>
      <c r="R994" s="81" t="e">
        <f>IF(#REF!=0,"",#REF!)</f>
        <v>#REF!</v>
      </c>
      <c r="S994" s="81" t="e">
        <f>IF(#REF!=0,"",#REF!)</f>
        <v>#REF!</v>
      </c>
      <c r="T994" s="268"/>
      <c r="U994" s="268"/>
      <c r="V994" s="268"/>
    </row>
    <row r="995" ht="15" customHeight="1" spans="2:22">
      <c r="B995" s="6" t="e">
        <f t="shared" si="17"/>
        <v>#REF!</v>
      </c>
      <c r="C995" s="31" t="e">
        <f>#REF!</f>
        <v>#REF!</v>
      </c>
      <c r="D995" s="32" t="e">
        <f>IF(#REF!=0,"",#REF!)</f>
        <v>#REF!</v>
      </c>
      <c r="E995" s="36" t="e">
        <f>IF(#REF!=0,"",#REF!)</f>
        <v>#REF!</v>
      </c>
      <c r="F995" s="36" t="e">
        <f>IF(#REF!=0,"",#REF!)</f>
        <v>#REF!</v>
      </c>
      <c r="G995" s="103">
        <f>'27'!Q955</f>
        <v>0</v>
      </c>
      <c r="H995" s="160">
        <f>'27'!R955</f>
        <v>0</v>
      </c>
      <c r="I995" s="160">
        <f>'27'!S955</f>
        <v>0</v>
      </c>
      <c r="J995" s="160"/>
      <c r="K995" s="104">
        <f>'27'!T955</f>
        <v>0</v>
      </c>
      <c r="L995" s="36" t="e">
        <f>#REF!</f>
        <v>#REF!</v>
      </c>
      <c r="M995" s="103" t="e">
        <f>#REF!</f>
        <v>#REF!</v>
      </c>
      <c r="N995" s="160"/>
      <c r="O995" s="104" t="e">
        <f>#REF!</f>
        <v>#REF!</v>
      </c>
      <c r="P995" s="52" t="e">
        <f>IF(#REF!=0,"",#REF!)</f>
        <v>#REF!</v>
      </c>
      <c r="Q995" s="109" t="e">
        <f>IF(#REF!=0,"",#REF!)</f>
        <v>#REF!</v>
      </c>
      <c r="R995" s="36" t="e">
        <f>IF(#REF!=0,"",#REF!)</f>
        <v>#REF!</v>
      </c>
      <c r="S995" s="36" t="e">
        <f>IF(#REF!=0,"",#REF!)</f>
        <v>#REF!</v>
      </c>
      <c r="T995" s="268"/>
      <c r="U995" s="268"/>
      <c r="V995" s="268"/>
    </row>
    <row r="996" ht="15" customHeight="1" spans="2:22">
      <c r="B996" s="6" t="e">
        <f t="shared" si="17"/>
        <v>#REF!</v>
      </c>
      <c r="C996" s="83" t="e">
        <f>#REF!</f>
        <v>#REF!</v>
      </c>
      <c r="D996" s="110" t="e">
        <f>IF(#REF!=0,"",#REF!)</f>
        <v>#REF!</v>
      </c>
      <c r="E996" s="85" t="e">
        <f>IF(#REF!=0,"",#REF!)</f>
        <v>#REF!</v>
      </c>
      <c r="F996" s="85" t="e">
        <f>IF(#REF!=0,"",#REF!)</f>
        <v>#REF!</v>
      </c>
      <c r="G996" s="105">
        <f>'27'!Q956</f>
        <v>0</v>
      </c>
      <c r="H996" s="161">
        <f>'27'!R956</f>
        <v>0</v>
      </c>
      <c r="I996" s="161">
        <f>'27'!S956</f>
        <v>0</v>
      </c>
      <c r="J996" s="161"/>
      <c r="K996" s="106">
        <f>'27'!T956</f>
        <v>0</v>
      </c>
      <c r="L996" s="85" t="e">
        <f>#REF!</f>
        <v>#REF!</v>
      </c>
      <c r="M996" s="105" t="e">
        <f>#REF!</f>
        <v>#REF!</v>
      </c>
      <c r="N996" s="161"/>
      <c r="O996" s="106" t="e">
        <f>#REF!</f>
        <v>#REF!</v>
      </c>
      <c r="P996" s="107" t="e">
        <f>IF(#REF!=0,"",#REF!)</f>
        <v>#REF!</v>
      </c>
      <c r="Q996" s="111" t="e">
        <f>IF(#REF!=0,"",#REF!)</f>
        <v>#REF!</v>
      </c>
      <c r="R996" s="85" t="e">
        <f>IF(#REF!=0,"",#REF!)</f>
        <v>#REF!</v>
      </c>
      <c r="S996" s="85" t="e">
        <f>IF(#REF!=0,"",#REF!)</f>
        <v>#REF!</v>
      </c>
      <c r="T996" s="268"/>
      <c r="U996" s="268"/>
      <c r="V996" s="268"/>
    </row>
    <row r="997" ht="15" customHeight="1" spans="2:22">
      <c r="B997" s="6" t="e">
        <f t="shared" si="17"/>
        <v>#REF!</v>
      </c>
      <c r="C997" s="79" t="e">
        <f>#REF!</f>
        <v>#REF!</v>
      </c>
      <c r="D997" s="62" t="e">
        <f>IF(#REF!=0,"",#REF!)</f>
        <v>#REF!</v>
      </c>
      <c r="E997" s="81" t="e">
        <f>IF(#REF!=0,"",#REF!)</f>
        <v>#REF!</v>
      </c>
      <c r="F997" s="81" t="e">
        <f>IF(#REF!=0,"",#REF!)</f>
        <v>#REF!</v>
      </c>
      <c r="G997" s="100" t="e">
        <f>#REF!</f>
        <v>#REF!</v>
      </c>
      <c r="H997" s="159">
        <f>'27'!R957</f>
        <v>0</v>
      </c>
      <c r="I997" s="159">
        <f>'27'!S957</f>
        <v>0</v>
      </c>
      <c r="J997" s="159"/>
      <c r="K997" s="101">
        <f>'27'!T957</f>
        <v>0</v>
      </c>
      <c r="L997" s="81" t="e">
        <f>#REF!</f>
        <v>#REF!</v>
      </c>
      <c r="M997" s="100" t="e">
        <f>#REF!</f>
        <v>#REF!</v>
      </c>
      <c r="N997" s="159"/>
      <c r="O997" s="101" t="e">
        <f>#REF!</f>
        <v>#REF!</v>
      </c>
      <c r="P997" s="102" t="e">
        <f>IF(#REF!=0,"",#REF!)</f>
        <v>#REF!</v>
      </c>
      <c r="Q997" s="108" t="e">
        <f>IF(#REF!=0,"",#REF!)</f>
        <v>#REF!</v>
      </c>
      <c r="R997" s="81" t="e">
        <f>IF(#REF!=0,"",#REF!)</f>
        <v>#REF!</v>
      </c>
      <c r="S997" s="81" t="e">
        <f>IF(#REF!=0,"",#REF!)</f>
        <v>#REF!</v>
      </c>
      <c r="T997" s="268"/>
      <c r="U997" s="268"/>
      <c r="V997" s="268"/>
    </row>
    <row r="998" ht="15" customHeight="1" spans="2:22">
      <c r="B998" s="6" t="e">
        <f t="shared" si="17"/>
        <v>#REF!</v>
      </c>
      <c r="C998" s="31" t="e">
        <f>#REF!</f>
        <v>#REF!</v>
      </c>
      <c r="D998" s="32" t="e">
        <f>IF(#REF!=0,"",#REF!)</f>
        <v>#REF!</v>
      </c>
      <c r="E998" s="36" t="e">
        <f>IF(#REF!=0,"",#REF!)</f>
        <v>#REF!</v>
      </c>
      <c r="F998" s="36" t="e">
        <f>IF(#REF!=0,"",#REF!)</f>
        <v>#REF!</v>
      </c>
      <c r="G998" s="103">
        <f>'27'!Q958</f>
        <v>0</v>
      </c>
      <c r="H998" s="160">
        <f>'27'!R958</f>
        <v>0</v>
      </c>
      <c r="I998" s="160">
        <f>'27'!S958</f>
        <v>0</v>
      </c>
      <c r="J998" s="160"/>
      <c r="K998" s="104">
        <f>'27'!T958</f>
        <v>0</v>
      </c>
      <c r="L998" s="36" t="e">
        <f>#REF!</f>
        <v>#REF!</v>
      </c>
      <c r="M998" s="103" t="e">
        <f>#REF!</f>
        <v>#REF!</v>
      </c>
      <c r="N998" s="160"/>
      <c r="O998" s="104" t="e">
        <f>#REF!</f>
        <v>#REF!</v>
      </c>
      <c r="P998" s="52" t="e">
        <f>IF(#REF!=0,"",#REF!)</f>
        <v>#REF!</v>
      </c>
      <c r="Q998" s="109" t="e">
        <f>IF(#REF!=0,"",#REF!)</f>
        <v>#REF!</v>
      </c>
      <c r="R998" s="36" t="e">
        <f>IF(#REF!=0,"",#REF!)</f>
        <v>#REF!</v>
      </c>
      <c r="S998" s="36" t="e">
        <f>IF(#REF!=0,"",#REF!)</f>
        <v>#REF!</v>
      </c>
      <c r="T998" s="268"/>
      <c r="U998" s="268"/>
      <c r="V998" s="268"/>
    </row>
    <row r="999" ht="15" customHeight="1" spans="2:22">
      <c r="B999" s="6" t="e">
        <f t="shared" ref="B999:B1061" si="18">COUNTA(C999)-IF(C999=0,1)+B998</f>
        <v>#REF!</v>
      </c>
      <c r="C999" s="83" t="e">
        <f>#REF!</f>
        <v>#REF!</v>
      </c>
      <c r="D999" s="110" t="e">
        <f>IF(#REF!=0,"",#REF!)</f>
        <v>#REF!</v>
      </c>
      <c r="E999" s="85" t="e">
        <f>IF(#REF!=0,"",#REF!)</f>
        <v>#REF!</v>
      </c>
      <c r="F999" s="85" t="e">
        <f>IF(#REF!=0,"",#REF!)</f>
        <v>#REF!</v>
      </c>
      <c r="G999" s="105">
        <f>'27'!Q959</f>
        <v>0</v>
      </c>
      <c r="H999" s="161">
        <f>'27'!R959</f>
        <v>0</v>
      </c>
      <c r="I999" s="161">
        <f>'27'!S959</f>
        <v>0</v>
      </c>
      <c r="J999" s="161"/>
      <c r="K999" s="106">
        <f>'27'!T959</f>
        <v>0</v>
      </c>
      <c r="L999" s="85" t="e">
        <f>#REF!</f>
        <v>#REF!</v>
      </c>
      <c r="M999" s="105" t="e">
        <f>#REF!</f>
        <v>#REF!</v>
      </c>
      <c r="N999" s="161"/>
      <c r="O999" s="106" t="e">
        <f>#REF!</f>
        <v>#REF!</v>
      </c>
      <c r="P999" s="107" t="e">
        <f>IF(#REF!=0,"",#REF!)</f>
        <v>#REF!</v>
      </c>
      <c r="Q999" s="111" t="e">
        <f>IF(#REF!=0,"",#REF!)</f>
        <v>#REF!</v>
      </c>
      <c r="R999" s="85" t="e">
        <f>IF(#REF!=0,"",#REF!)</f>
        <v>#REF!</v>
      </c>
      <c r="S999" s="85" t="e">
        <f>IF(#REF!=0,"",#REF!)</f>
        <v>#REF!</v>
      </c>
      <c r="T999" s="268"/>
      <c r="U999" s="268"/>
      <c r="V999" s="268"/>
    </row>
    <row r="1000" ht="15" customHeight="1" spans="2:22">
      <c r="B1000" s="6" t="e">
        <f t="shared" si="18"/>
        <v>#REF!</v>
      </c>
      <c r="C1000" s="79" t="e">
        <f>#REF!</f>
        <v>#REF!</v>
      </c>
      <c r="D1000" s="62" t="e">
        <f>IF(#REF!=0,"",#REF!)</f>
        <v>#REF!</v>
      </c>
      <c r="E1000" s="81" t="e">
        <f>IF(#REF!=0,"",#REF!)</f>
        <v>#REF!</v>
      </c>
      <c r="F1000" s="81" t="e">
        <f>IF(#REF!=0,"",#REF!)</f>
        <v>#REF!</v>
      </c>
      <c r="G1000" s="100" t="e">
        <f>#REF!</f>
        <v>#REF!</v>
      </c>
      <c r="H1000" s="159">
        <f>'27'!R960</f>
        <v>0</v>
      </c>
      <c r="I1000" s="159">
        <f>'27'!S960</f>
        <v>0</v>
      </c>
      <c r="J1000" s="159"/>
      <c r="K1000" s="101">
        <f>'27'!T960</f>
        <v>0</v>
      </c>
      <c r="L1000" s="81" t="e">
        <f>#REF!</f>
        <v>#REF!</v>
      </c>
      <c r="M1000" s="100" t="e">
        <f>#REF!</f>
        <v>#REF!</v>
      </c>
      <c r="N1000" s="159"/>
      <c r="O1000" s="101" t="e">
        <f>#REF!</f>
        <v>#REF!</v>
      </c>
      <c r="P1000" s="102" t="e">
        <f>IF(#REF!=0,"",#REF!)</f>
        <v>#REF!</v>
      </c>
      <c r="Q1000" s="108" t="e">
        <f>IF(#REF!=0,"",#REF!)</f>
        <v>#REF!</v>
      </c>
      <c r="R1000" s="81" t="e">
        <f>IF(#REF!=0,"",#REF!)</f>
        <v>#REF!</v>
      </c>
      <c r="S1000" s="81" t="e">
        <f>IF(#REF!=0,"",#REF!)</f>
        <v>#REF!</v>
      </c>
      <c r="T1000" s="268"/>
      <c r="U1000" s="268"/>
      <c r="V1000" s="268"/>
    </row>
    <row r="1001" ht="15" customHeight="1" spans="2:22">
      <c r="B1001" s="6" t="e">
        <f t="shared" si="18"/>
        <v>#REF!</v>
      </c>
      <c r="C1001" s="31" t="e">
        <f>#REF!</f>
        <v>#REF!</v>
      </c>
      <c r="D1001" s="32" t="e">
        <f>IF(#REF!=0,"",#REF!)</f>
        <v>#REF!</v>
      </c>
      <c r="E1001" s="36" t="e">
        <f>IF(#REF!=0,"",#REF!)</f>
        <v>#REF!</v>
      </c>
      <c r="F1001" s="36" t="e">
        <f>IF(#REF!=0,"",#REF!)</f>
        <v>#REF!</v>
      </c>
      <c r="G1001" s="103">
        <f>'27'!Q961</f>
        <v>0</v>
      </c>
      <c r="H1001" s="160">
        <f>'27'!R961</f>
        <v>0</v>
      </c>
      <c r="I1001" s="160">
        <f>'27'!S961</f>
        <v>0</v>
      </c>
      <c r="J1001" s="160"/>
      <c r="K1001" s="104">
        <f>'27'!T961</f>
        <v>0</v>
      </c>
      <c r="L1001" s="36" t="e">
        <f>#REF!</f>
        <v>#REF!</v>
      </c>
      <c r="M1001" s="103" t="e">
        <f>#REF!</f>
        <v>#REF!</v>
      </c>
      <c r="N1001" s="160"/>
      <c r="O1001" s="104" t="e">
        <f>#REF!</f>
        <v>#REF!</v>
      </c>
      <c r="P1001" s="52" t="e">
        <f>IF(#REF!=0,"",#REF!)</f>
        <v>#REF!</v>
      </c>
      <c r="Q1001" s="109" t="e">
        <f>IF(#REF!=0,"",#REF!)</f>
        <v>#REF!</v>
      </c>
      <c r="R1001" s="36" t="e">
        <f>IF(#REF!=0,"",#REF!)</f>
        <v>#REF!</v>
      </c>
      <c r="S1001" s="36" t="e">
        <f>IF(#REF!=0,"",#REF!)</f>
        <v>#REF!</v>
      </c>
      <c r="T1001" s="268"/>
      <c r="U1001" s="268"/>
      <c r="V1001" s="268"/>
    </row>
    <row r="1002" ht="15" customHeight="1" spans="2:22">
      <c r="B1002" s="6" t="e">
        <f t="shared" si="18"/>
        <v>#REF!</v>
      </c>
      <c r="C1002" s="83" t="e">
        <f>#REF!</f>
        <v>#REF!</v>
      </c>
      <c r="D1002" s="110" t="e">
        <f>IF(#REF!=0,"",#REF!)</f>
        <v>#REF!</v>
      </c>
      <c r="E1002" s="85" t="e">
        <f>IF(#REF!=0,"",#REF!)</f>
        <v>#REF!</v>
      </c>
      <c r="F1002" s="85" t="e">
        <f>IF(#REF!=0,"",#REF!)</f>
        <v>#REF!</v>
      </c>
      <c r="G1002" s="105">
        <f>'27'!Q962</f>
        <v>0</v>
      </c>
      <c r="H1002" s="161">
        <f>'27'!R962</f>
        <v>0</v>
      </c>
      <c r="I1002" s="161">
        <f>'27'!S962</f>
        <v>0</v>
      </c>
      <c r="J1002" s="161"/>
      <c r="K1002" s="106">
        <f>'27'!T962</f>
        <v>0</v>
      </c>
      <c r="L1002" s="85" t="e">
        <f>#REF!</f>
        <v>#REF!</v>
      </c>
      <c r="M1002" s="105" t="e">
        <f>#REF!</f>
        <v>#REF!</v>
      </c>
      <c r="N1002" s="161"/>
      <c r="O1002" s="106" t="e">
        <f>#REF!</f>
        <v>#REF!</v>
      </c>
      <c r="P1002" s="107" t="e">
        <f>IF(#REF!=0,"",#REF!)</f>
        <v>#REF!</v>
      </c>
      <c r="Q1002" s="111" t="e">
        <f>IF(#REF!=0,"",#REF!)</f>
        <v>#REF!</v>
      </c>
      <c r="R1002" s="85" t="e">
        <f>IF(#REF!=0,"",#REF!)</f>
        <v>#REF!</v>
      </c>
      <c r="S1002" s="85" t="e">
        <f>IF(#REF!=0,"",#REF!)</f>
        <v>#REF!</v>
      </c>
      <c r="T1002" s="268"/>
      <c r="U1002" s="268"/>
      <c r="V1002" s="268"/>
    </row>
    <row r="1003" ht="15" customHeight="1" spans="2:22">
      <c r="B1003" s="6" t="e">
        <f t="shared" si="18"/>
        <v>#REF!</v>
      </c>
      <c r="C1003" s="79" t="e">
        <f>#REF!</f>
        <v>#REF!</v>
      </c>
      <c r="D1003" s="62" t="e">
        <f>IF(#REF!=0,"",#REF!)</f>
        <v>#REF!</v>
      </c>
      <c r="E1003" s="81" t="e">
        <f>IF(#REF!=0,"",#REF!)</f>
        <v>#REF!</v>
      </c>
      <c r="F1003" s="81" t="e">
        <f>IF(#REF!=0,"",#REF!)</f>
        <v>#REF!</v>
      </c>
      <c r="G1003" s="100" t="e">
        <f>#REF!</f>
        <v>#REF!</v>
      </c>
      <c r="H1003" s="159">
        <f>'27'!R963</f>
        <v>0</v>
      </c>
      <c r="I1003" s="159">
        <f>'27'!S963</f>
        <v>0</v>
      </c>
      <c r="J1003" s="159"/>
      <c r="K1003" s="101">
        <f>'27'!T963</f>
        <v>0</v>
      </c>
      <c r="L1003" s="81" t="e">
        <f>#REF!</f>
        <v>#REF!</v>
      </c>
      <c r="M1003" s="100" t="e">
        <f>#REF!</f>
        <v>#REF!</v>
      </c>
      <c r="N1003" s="159"/>
      <c r="O1003" s="101" t="e">
        <f>#REF!</f>
        <v>#REF!</v>
      </c>
      <c r="P1003" s="102" t="e">
        <f>IF(#REF!=0,"",#REF!)</f>
        <v>#REF!</v>
      </c>
      <c r="Q1003" s="108" t="e">
        <f>IF(#REF!=0,"",#REF!)</f>
        <v>#REF!</v>
      </c>
      <c r="R1003" s="81" t="e">
        <f>IF(#REF!=0,"",#REF!)</f>
        <v>#REF!</v>
      </c>
      <c r="S1003" s="81" t="e">
        <f>IF(#REF!=0,"",#REF!)</f>
        <v>#REF!</v>
      </c>
      <c r="T1003" s="268"/>
      <c r="U1003" s="268"/>
      <c r="V1003" s="268"/>
    </row>
    <row r="1004" ht="15" customHeight="1" spans="2:22">
      <c r="B1004" s="6" t="e">
        <f t="shared" si="18"/>
        <v>#REF!</v>
      </c>
      <c r="C1004" s="31" t="e">
        <f>#REF!</f>
        <v>#REF!</v>
      </c>
      <c r="D1004" s="32" t="e">
        <f>IF(#REF!=0,"",#REF!)</f>
        <v>#REF!</v>
      </c>
      <c r="E1004" s="36" t="e">
        <f>IF(#REF!=0,"",#REF!)</f>
        <v>#REF!</v>
      </c>
      <c r="F1004" s="36" t="e">
        <f>IF(#REF!=0,"",#REF!)</f>
        <v>#REF!</v>
      </c>
      <c r="G1004" s="103">
        <f>'27'!Q964</f>
        <v>0</v>
      </c>
      <c r="H1004" s="160">
        <f>'27'!R964</f>
        <v>0</v>
      </c>
      <c r="I1004" s="160">
        <f>'27'!S964</f>
        <v>0</v>
      </c>
      <c r="J1004" s="160"/>
      <c r="K1004" s="104">
        <f>'27'!T964</f>
        <v>0</v>
      </c>
      <c r="L1004" s="36" t="e">
        <f>#REF!</f>
        <v>#REF!</v>
      </c>
      <c r="M1004" s="103" t="e">
        <f>#REF!</f>
        <v>#REF!</v>
      </c>
      <c r="N1004" s="160"/>
      <c r="O1004" s="104" t="e">
        <f>#REF!</f>
        <v>#REF!</v>
      </c>
      <c r="P1004" s="52" t="e">
        <f>IF(#REF!=0,"",#REF!)</f>
        <v>#REF!</v>
      </c>
      <c r="Q1004" s="109" t="e">
        <f>IF(#REF!=0,"",#REF!)</f>
        <v>#REF!</v>
      </c>
      <c r="R1004" s="36" t="e">
        <f>IF(#REF!=0,"",#REF!)</f>
        <v>#REF!</v>
      </c>
      <c r="S1004" s="36" t="e">
        <f>IF(#REF!=0,"",#REF!)</f>
        <v>#REF!</v>
      </c>
      <c r="T1004" s="268"/>
      <c r="U1004" s="268"/>
      <c r="V1004" s="268"/>
    </row>
    <row r="1005" ht="15" customHeight="1" spans="2:22">
      <c r="B1005" s="6" t="e">
        <f t="shared" si="18"/>
        <v>#REF!</v>
      </c>
      <c r="C1005" s="83" t="e">
        <f>#REF!</f>
        <v>#REF!</v>
      </c>
      <c r="D1005" s="110" t="e">
        <f>IF(#REF!=0,"",#REF!)</f>
        <v>#REF!</v>
      </c>
      <c r="E1005" s="85" t="e">
        <f>IF(#REF!=0,"",#REF!)</f>
        <v>#REF!</v>
      </c>
      <c r="F1005" s="85" t="e">
        <f>IF(#REF!=0,"",#REF!)</f>
        <v>#REF!</v>
      </c>
      <c r="G1005" s="105">
        <f>'27'!Q965</f>
        <v>0</v>
      </c>
      <c r="H1005" s="161">
        <f>'27'!R965</f>
        <v>0</v>
      </c>
      <c r="I1005" s="161">
        <f>'27'!S965</f>
        <v>0</v>
      </c>
      <c r="J1005" s="161"/>
      <c r="K1005" s="106">
        <f>'27'!T965</f>
        <v>0</v>
      </c>
      <c r="L1005" s="85" t="e">
        <f>#REF!</f>
        <v>#REF!</v>
      </c>
      <c r="M1005" s="105" t="e">
        <f>#REF!</f>
        <v>#REF!</v>
      </c>
      <c r="N1005" s="161"/>
      <c r="O1005" s="106" t="e">
        <f>#REF!</f>
        <v>#REF!</v>
      </c>
      <c r="P1005" s="107" t="e">
        <f>IF(#REF!=0,"",#REF!)</f>
        <v>#REF!</v>
      </c>
      <c r="Q1005" s="111" t="e">
        <f>IF(#REF!=0,"",#REF!)</f>
        <v>#REF!</v>
      </c>
      <c r="R1005" s="85" t="e">
        <f>IF(#REF!=0,"",#REF!)</f>
        <v>#REF!</v>
      </c>
      <c r="S1005" s="85" t="e">
        <f>IF(#REF!=0,"",#REF!)</f>
        <v>#REF!</v>
      </c>
      <c r="T1005" s="268"/>
      <c r="U1005" s="268"/>
      <c r="V1005" s="268"/>
    </row>
    <row r="1006" ht="15" customHeight="1" spans="2:22">
      <c r="B1006" s="6" t="e">
        <f t="shared" si="18"/>
        <v>#REF!</v>
      </c>
      <c r="C1006" s="79" t="e">
        <f>#REF!</f>
        <v>#REF!</v>
      </c>
      <c r="D1006" s="62" t="e">
        <f>IF(#REF!=0,"",#REF!)</f>
        <v>#REF!</v>
      </c>
      <c r="E1006" s="62" t="e">
        <f>IF(#REF!=0,"",#REF!)</f>
        <v>#REF!</v>
      </c>
      <c r="F1006" s="62" t="e">
        <f>IF(#REF!=0,"",#REF!)</f>
        <v>#REF!</v>
      </c>
      <c r="G1006" s="100" t="e">
        <f>#REF!</f>
        <v>#REF!</v>
      </c>
      <c r="H1006" s="159">
        <f>'27'!R966</f>
        <v>0</v>
      </c>
      <c r="I1006" s="159">
        <f>'27'!S966</f>
        <v>0</v>
      </c>
      <c r="J1006" s="159"/>
      <c r="K1006" s="101">
        <f>'27'!T966</f>
        <v>0</v>
      </c>
      <c r="L1006" s="81" t="e">
        <f>#REF!</f>
        <v>#REF!</v>
      </c>
      <c r="M1006" s="100" t="e">
        <f>#REF!</f>
        <v>#REF!</v>
      </c>
      <c r="N1006" s="159"/>
      <c r="O1006" s="101" t="e">
        <f>#REF!</f>
        <v>#REF!</v>
      </c>
      <c r="P1006" s="102" t="e">
        <f>IF(#REF!=0,"",#REF!)</f>
        <v>#REF!</v>
      </c>
      <c r="Q1006" s="108" t="e">
        <f>IF(#REF!=0,"",#REF!)</f>
        <v>#REF!</v>
      </c>
      <c r="R1006" s="81" t="e">
        <f>IF(#REF!=0,"",#REF!)</f>
        <v>#REF!</v>
      </c>
      <c r="S1006" s="81" t="e">
        <f>IF(#REF!=0,"",#REF!)</f>
        <v>#REF!</v>
      </c>
      <c r="T1006" s="268"/>
      <c r="U1006" s="268"/>
      <c r="V1006" s="268"/>
    </row>
    <row r="1007" ht="15" customHeight="1" spans="2:22">
      <c r="B1007" s="6" t="e">
        <f t="shared" si="18"/>
        <v>#REF!</v>
      </c>
      <c r="C1007" s="31" t="e">
        <f>#REF!</f>
        <v>#REF!</v>
      </c>
      <c r="D1007" s="32" t="e">
        <f>IF(#REF!=0,"",#REF!)</f>
        <v>#REF!</v>
      </c>
      <c r="E1007" s="36" t="e">
        <f>IF(#REF!=0,"",#REF!)</f>
        <v>#REF!</v>
      </c>
      <c r="F1007" s="36" t="e">
        <f>IF(#REF!=0,"",#REF!)</f>
        <v>#REF!</v>
      </c>
      <c r="G1007" s="103">
        <f>'27'!Q967</f>
        <v>0</v>
      </c>
      <c r="H1007" s="160">
        <f>'27'!R967</f>
        <v>0</v>
      </c>
      <c r="I1007" s="160">
        <f>'27'!S967</f>
        <v>0</v>
      </c>
      <c r="J1007" s="160"/>
      <c r="K1007" s="104">
        <f>'27'!T967</f>
        <v>0</v>
      </c>
      <c r="L1007" s="36" t="e">
        <f>#REF!</f>
        <v>#REF!</v>
      </c>
      <c r="M1007" s="103" t="e">
        <f>#REF!</f>
        <v>#REF!</v>
      </c>
      <c r="N1007" s="160"/>
      <c r="O1007" s="104" t="e">
        <f>#REF!</f>
        <v>#REF!</v>
      </c>
      <c r="P1007" s="52" t="e">
        <f>IF(#REF!=0,"",#REF!)</f>
        <v>#REF!</v>
      </c>
      <c r="Q1007" s="109" t="e">
        <f>IF(#REF!=0,"",#REF!)</f>
        <v>#REF!</v>
      </c>
      <c r="R1007" s="36" t="e">
        <f>IF(#REF!=0,"",#REF!)</f>
        <v>#REF!</v>
      </c>
      <c r="S1007" s="36" t="e">
        <f>IF(#REF!=0,"",#REF!)</f>
        <v>#REF!</v>
      </c>
      <c r="T1007" s="268"/>
      <c r="U1007" s="268"/>
      <c r="V1007" s="268"/>
    </row>
    <row r="1008" ht="15" customHeight="1" spans="2:22">
      <c r="B1008" s="6" t="e">
        <f t="shared" si="18"/>
        <v>#REF!</v>
      </c>
      <c r="C1008" s="83" t="e">
        <f>#REF!</f>
        <v>#REF!</v>
      </c>
      <c r="D1008" s="110" t="e">
        <f>IF(#REF!=0,"",#REF!)</f>
        <v>#REF!</v>
      </c>
      <c r="E1008" s="85" t="e">
        <f>IF(#REF!=0,"",#REF!)</f>
        <v>#REF!</v>
      </c>
      <c r="F1008" s="85" t="e">
        <f>IF(#REF!=0,"",#REF!)</f>
        <v>#REF!</v>
      </c>
      <c r="G1008" s="105">
        <f>'27'!Q968</f>
        <v>0</v>
      </c>
      <c r="H1008" s="161">
        <f>'27'!R968</f>
        <v>0</v>
      </c>
      <c r="I1008" s="161">
        <f>'27'!S968</f>
        <v>0</v>
      </c>
      <c r="J1008" s="161"/>
      <c r="K1008" s="106">
        <f>'27'!T968</f>
        <v>0</v>
      </c>
      <c r="L1008" s="85" t="e">
        <f>#REF!</f>
        <v>#REF!</v>
      </c>
      <c r="M1008" s="105" t="e">
        <f>#REF!</f>
        <v>#REF!</v>
      </c>
      <c r="N1008" s="161"/>
      <c r="O1008" s="106" t="e">
        <f>#REF!</f>
        <v>#REF!</v>
      </c>
      <c r="P1008" s="107" t="e">
        <f>IF(#REF!=0,"",#REF!)</f>
        <v>#REF!</v>
      </c>
      <c r="Q1008" s="111" t="e">
        <f>IF(#REF!=0,"",#REF!)</f>
        <v>#REF!</v>
      </c>
      <c r="R1008" s="85" t="e">
        <f>IF(#REF!=0,"",#REF!)</f>
        <v>#REF!</v>
      </c>
      <c r="S1008" s="85" t="e">
        <f>IF(#REF!=0,"",#REF!)</f>
        <v>#REF!</v>
      </c>
      <c r="T1008" s="268"/>
      <c r="U1008" s="268"/>
      <c r="V1008" s="268"/>
    </row>
    <row r="1009" ht="15" customHeight="1" spans="2:22">
      <c r="B1009" s="6" t="e">
        <f t="shared" si="18"/>
        <v>#REF!</v>
      </c>
      <c r="C1009" s="79" t="e">
        <f>#REF!</f>
        <v>#REF!</v>
      </c>
      <c r="D1009" s="62" t="e">
        <f>IF(#REF!=0,"",#REF!)</f>
        <v>#REF!</v>
      </c>
      <c r="E1009" s="81" t="e">
        <f>IF(#REF!=0,"",#REF!)</f>
        <v>#REF!</v>
      </c>
      <c r="F1009" s="81" t="e">
        <f>IF(#REF!=0,"",#REF!)</f>
        <v>#REF!</v>
      </c>
      <c r="G1009" s="100" t="e">
        <f>#REF!</f>
        <v>#REF!</v>
      </c>
      <c r="H1009" s="159">
        <f>'27'!R969</f>
        <v>0</v>
      </c>
      <c r="I1009" s="159">
        <f>'27'!S969</f>
        <v>0</v>
      </c>
      <c r="J1009" s="159"/>
      <c r="K1009" s="101">
        <f>'27'!T969</f>
        <v>0</v>
      </c>
      <c r="L1009" s="81" t="e">
        <f>#REF!</f>
        <v>#REF!</v>
      </c>
      <c r="M1009" s="100" t="e">
        <f>#REF!</f>
        <v>#REF!</v>
      </c>
      <c r="N1009" s="159"/>
      <c r="O1009" s="101" t="e">
        <f>#REF!</f>
        <v>#REF!</v>
      </c>
      <c r="P1009" s="102" t="e">
        <f>IF(#REF!=0,"",#REF!)</f>
        <v>#REF!</v>
      </c>
      <c r="Q1009" s="108" t="e">
        <f>IF(#REF!=0,"",#REF!)</f>
        <v>#REF!</v>
      </c>
      <c r="R1009" s="81" t="e">
        <f>IF(#REF!=0,"",#REF!)</f>
        <v>#REF!</v>
      </c>
      <c r="S1009" s="81" t="e">
        <f>IF(#REF!=0,"",#REF!)</f>
        <v>#REF!</v>
      </c>
      <c r="T1009" s="268"/>
      <c r="U1009" s="268"/>
      <c r="V1009" s="268"/>
    </row>
    <row r="1010" ht="15" customHeight="1" spans="2:22">
      <c r="B1010" s="6" t="e">
        <f t="shared" si="18"/>
        <v>#REF!</v>
      </c>
      <c r="C1010" s="31" t="e">
        <f>#REF!</f>
        <v>#REF!</v>
      </c>
      <c r="D1010" s="32" t="e">
        <f>IF(#REF!=0,"",#REF!)</f>
        <v>#REF!</v>
      </c>
      <c r="E1010" s="36" t="e">
        <f>IF(#REF!=0,"",#REF!)</f>
        <v>#REF!</v>
      </c>
      <c r="F1010" s="36" t="e">
        <f>IF(#REF!=0,"",#REF!)</f>
        <v>#REF!</v>
      </c>
      <c r="G1010" s="103">
        <f>'27'!Q970</f>
        <v>0</v>
      </c>
      <c r="H1010" s="160">
        <f>'27'!R970</f>
        <v>0</v>
      </c>
      <c r="I1010" s="160">
        <f>'27'!S970</f>
        <v>0</v>
      </c>
      <c r="J1010" s="160"/>
      <c r="K1010" s="104">
        <f>'27'!T970</f>
        <v>0</v>
      </c>
      <c r="L1010" s="36" t="e">
        <f>#REF!</f>
        <v>#REF!</v>
      </c>
      <c r="M1010" s="103" t="e">
        <f>#REF!</f>
        <v>#REF!</v>
      </c>
      <c r="N1010" s="160"/>
      <c r="O1010" s="104" t="e">
        <f>#REF!</f>
        <v>#REF!</v>
      </c>
      <c r="P1010" s="52" t="e">
        <f>IF(#REF!=0,"",#REF!)</f>
        <v>#REF!</v>
      </c>
      <c r="Q1010" s="109" t="e">
        <f>IF(#REF!=0,"",#REF!)</f>
        <v>#REF!</v>
      </c>
      <c r="R1010" s="36" t="e">
        <f>IF(#REF!=0,"",#REF!)</f>
        <v>#REF!</v>
      </c>
      <c r="S1010" s="36" t="e">
        <f>IF(#REF!=0,"",#REF!)</f>
        <v>#REF!</v>
      </c>
      <c r="T1010" s="268"/>
      <c r="U1010" s="268"/>
      <c r="V1010" s="268"/>
    </row>
    <row r="1011" ht="15" customHeight="1" spans="2:22">
      <c r="B1011" s="6" t="e">
        <f t="shared" si="18"/>
        <v>#REF!</v>
      </c>
      <c r="C1011" s="83" t="e">
        <f>#REF!</f>
        <v>#REF!</v>
      </c>
      <c r="D1011" s="110" t="e">
        <f>IF(#REF!=0,"",#REF!)</f>
        <v>#REF!</v>
      </c>
      <c r="E1011" s="85" t="e">
        <f>IF(#REF!=0,"",#REF!)</f>
        <v>#REF!</v>
      </c>
      <c r="F1011" s="85" t="e">
        <f>IF(#REF!=0,"",#REF!)</f>
        <v>#REF!</v>
      </c>
      <c r="G1011" s="105">
        <f>'27'!Q971</f>
        <v>0</v>
      </c>
      <c r="H1011" s="161">
        <f>'27'!R971</f>
        <v>0</v>
      </c>
      <c r="I1011" s="161">
        <f>'27'!S971</f>
        <v>0</v>
      </c>
      <c r="J1011" s="161"/>
      <c r="K1011" s="106">
        <f>'27'!T971</f>
        <v>0</v>
      </c>
      <c r="L1011" s="85" t="e">
        <f>#REF!</f>
        <v>#REF!</v>
      </c>
      <c r="M1011" s="105" t="e">
        <f>#REF!</f>
        <v>#REF!</v>
      </c>
      <c r="N1011" s="161"/>
      <c r="O1011" s="106" t="e">
        <f>#REF!</f>
        <v>#REF!</v>
      </c>
      <c r="P1011" s="107" t="e">
        <f>IF(#REF!=0,"",#REF!)</f>
        <v>#REF!</v>
      </c>
      <c r="Q1011" s="111" t="e">
        <f>IF(#REF!=0,"",#REF!)</f>
        <v>#REF!</v>
      </c>
      <c r="R1011" s="85" t="e">
        <f>IF(#REF!=0,"",#REF!)</f>
        <v>#REF!</v>
      </c>
      <c r="S1011" s="85" t="e">
        <f>IF(#REF!=0,"",#REF!)</f>
        <v>#REF!</v>
      </c>
      <c r="T1011" s="268"/>
      <c r="U1011" s="268"/>
      <c r="V1011" s="268"/>
    </row>
    <row r="1012" ht="15" customHeight="1" spans="2:22">
      <c r="B1012" s="6" t="e">
        <f t="shared" si="18"/>
        <v>#REF!</v>
      </c>
      <c r="C1012" s="79" t="e">
        <f>#REF!</f>
        <v>#REF!</v>
      </c>
      <c r="D1012" s="62" t="e">
        <f>IF(#REF!=0,"",#REF!)</f>
        <v>#REF!</v>
      </c>
      <c r="E1012" s="81" t="e">
        <f>IF(#REF!=0,"",#REF!)</f>
        <v>#REF!</v>
      </c>
      <c r="F1012" s="81" t="e">
        <f>IF(#REF!=0,"",#REF!)</f>
        <v>#REF!</v>
      </c>
      <c r="G1012" s="100" t="e">
        <f>#REF!</f>
        <v>#REF!</v>
      </c>
      <c r="H1012" s="159">
        <f>'27'!R972</f>
        <v>0</v>
      </c>
      <c r="I1012" s="159">
        <f>'27'!S972</f>
        <v>0</v>
      </c>
      <c r="J1012" s="159"/>
      <c r="K1012" s="101">
        <f>'27'!T972</f>
        <v>0</v>
      </c>
      <c r="L1012" s="81" t="e">
        <f>#REF!</f>
        <v>#REF!</v>
      </c>
      <c r="M1012" s="100" t="e">
        <f>#REF!</f>
        <v>#REF!</v>
      </c>
      <c r="N1012" s="159"/>
      <c r="O1012" s="101" t="e">
        <f>#REF!</f>
        <v>#REF!</v>
      </c>
      <c r="P1012" s="102" t="e">
        <f>IF(#REF!=0,"",#REF!)</f>
        <v>#REF!</v>
      </c>
      <c r="Q1012" s="108" t="e">
        <f>IF(#REF!=0,"",#REF!)</f>
        <v>#REF!</v>
      </c>
      <c r="R1012" s="81" t="e">
        <f>IF(#REF!=0,"",#REF!)</f>
        <v>#REF!</v>
      </c>
      <c r="S1012" s="81" t="e">
        <f>IF(#REF!=0,"",#REF!)</f>
        <v>#REF!</v>
      </c>
      <c r="T1012" s="268"/>
      <c r="U1012" s="268"/>
      <c r="V1012" s="268"/>
    </row>
    <row r="1013" ht="15" customHeight="1" spans="2:22">
      <c r="B1013" s="6" t="e">
        <f t="shared" si="18"/>
        <v>#REF!</v>
      </c>
      <c r="C1013" s="31" t="e">
        <f>#REF!</f>
        <v>#REF!</v>
      </c>
      <c r="D1013" s="32" t="e">
        <f>IF(#REF!=0,"",#REF!)</f>
        <v>#REF!</v>
      </c>
      <c r="E1013" s="36" t="e">
        <f>IF(#REF!=0,"",#REF!)</f>
        <v>#REF!</v>
      </c>
      <c r="F1013" s="36" t="e">
        <f>IF(#REF!=0,"",#REF!)</f>
        <v>#REF!</v>
      </c>
      <c r="G1013" s="103">
        <f>'27'!Q973</f>
        <v>0</v>
      </c>
      <c r="H1013" s="160">
        <f>'27'!R973</f>
        <v>0</v>
      </c>
      <c r="I1013" s="160">
        <f>'27'!S973</f>
        <v>0</v>
      </c>
      <c r="J1013" s="160"/>
      <c r="K1013" s="104">
        <f>'27'!T973</f>
        <v>0</v>
      </c>
      <c r="L1013" s="36" t="e">
        <f>#REF!</f>
        <v>#REF!</v>
      </c>
      <c r="M1013" s="103" t="e">
        <f>#REF!</f>
        <v>#REF!</v>
      </c>
      <c r="N1013" s="160"/>
      <c r="O1013" s="104" t="e">
        <f>#REF!</f>
        <v>#REF!</v>
      </c>
      <c r="P1013" s="52" t="e">
        <f>IF(#REF!=0,"",#REF!)</f>
        <v>#REF!</v>
      </c>
      <c r="Q1013" s="109" t="e">
        <f>IF(#REF!=0,"",#REF!)</f>
        <v>#REF!</v>
      </c>
      <c r="R1013" s="36" t="e">
        <f>IF(#REF!=0,"",#REF!)</f>
        <v>#REF!</v>
      </c>
      <c r="S1013" s="36" t="e">
        <f>IF(#REF!=0,"",#REF!)</f>
        <v>#REF!</v>
      </c>
      <c r="T1013" s="268"/>
      <c r="U1013" s="268"/>
      <c r="V1013" s="268"/>
    </row>
    <row r="1014" ht="15" customHeight="1" spans="2:22">
      <c r="B1014" s="6" t="e">
        <f t="shared" si="18"/>
        <v>#REF!</v>
      </c>
      <c r="C1014" s="83" t="e">
        <f>#REF!</f>
        <v>#REF!</v>
      </c>
      <c r="D1014" s="110" t="e">
        <f>IF(#REF!=0,"",#REF!)</f>
        <v>#REF!</v>
      </c>
      <c r="E1014" s="85" t="e">
        <f>IF(#REF!=0,"",#REF!)</f>
        <v>#REF!</v>
      </c>
      <c r="F1014" s="85" t="e">
        <f>IF(#REF!=0,"",#REF!)</f>
        <v>#REF!</v>
      </c>
      <c r="G1014" s="105">
        <f>'27'!Q974</f>
        <v>0</v>
      </c>
      <c r="H1014" s="161">
        <f>'27'!R974</f>
        <v>0</v>
      </c>
      <c r="I1014" s="161">
        <f>'27'!S974</f>
        <v>0</v>
      </c>
      <c r="J1014" s="161"/>
      <c r="K1014" s="106">
        <f>'27'!T974</f>
        <v>0</v>
      </c>
      <c r="L1014" s="85" t="e">
        <f>#REF!</f>
        <v>#REF!</v>
      </c>
      <c r="M1014" s="105" t="e">
        <f>#REF!</f>
        <v>#REF!</v>
      </c>
      <c r="N1014" s="161"/>
      <c r="O1014" s="106" t="e">
        <f>#REF!</f>
        <v>#REF!</v>
      </c>
      <c r="P1014" s="107" t="e">
        <f>IF(#REF!=0,"",#REF!)</f>
        <v>#REF!</v>
      </c>
      <c r="Q1014" s="111" t="e">
        <f>IF(#REF!=0,"",#REF!)</f>
        <v>#REF!</v>
      </c>
      <c r="R1014" s="85" t="e">
        <f>IF(#REF!=0,"",#REF!)</f>
        <v>#REF!</v>
      </c>
      <c r="S1014" s="85" t="e">
        <f>IF(#REF!=0,"",#REF!)</f>
        <v>#REF!</v>
      </c>
      <c r="T1014" s="268"/>
      <c r="U1014" s="268"/>
      <c r="V1014" s="268"/>
    </row>
    <row r="1015" ht="15" customHeight="1" spans="2:22">
      <c r="B1015" s="6" t="e">
        <f t="shared" si="18"/>
        <v>#REF!</v>
      </c>
      <c r="C1015" s="79" t="e">
        <f>#REF!</f>
        <v>#REF!</v>
      </c>
      <c r="D1015" s="62" t="e">
        <f>IF(#REF!=0,"",#REF!)</f>
        <v>#REF!</v>
      </c>
      <c r="E1015" s="81" t="e">
        <f>IF(#REF!=0,"",#REF!)</f>
        <v>#REF!</v>
      </c>
      <c r="F1015" s="81" t="e">
        <f>IF(#REF!=0,"",#REF!)</f>
        <v>#REF!</v>
      </c>
      <c r="G1015" s="100" t="e">
        <f>#REF!</f>
        <v>#REF!</v>
      </c>
      <c r="H1015" s="159">
        <f>'27'!R975</f>
        <v>0</v>
      </c>
      <c r="I1015" s="159">
        <f>'27'!S975</f>
        <v>0</v>
      </c>
      <c r="J1015" s="159"/>
      <c r="K1015" s="101">
        <f>'27'!T975</f>
        <v>0</v>
      </c>
      <c r="L1015" s="81" t="e">
        <f>#REF!</f>
        <v>#REF!</v>
      </c>
      <c r="M1015" s="100" t="e">
        <f>#REF!</f>
        <v>#REF!</v>
      </c>
      <c r="N1015" s="159"/>
      <c r="O1015" s="101" t="e">
        <f>#REF!</f>
        <v>#REF!</v>
      </c>
      <c r="P1015" s="102" t="e">
        <f>IF(#REF!=0,"",#REF!)</f>
        <v>#REF!</v>
      </c>
      <c r="Q1015" s="108" t="e">
        <f>IF(#REF!=0,"",#REF!)</f>
        <v>#REF!</v>
      </c>
      <c r="R1015" s="81" t="e">
        <f>IF(#REF!=0,"",#REF!)</f>
        <v>#REF!</v>
      </c>
      <c r="S1015" s="81" t="e">
        <f>IF(#REF!=0,"",#REF!)</f>
        <v>#REF!</v>
      </c>
      <c r="T1015" s="268"/>
      <c r="U1015" s="268"/>
      <c r="V1015" s="268"/>
    </row>
    <row r="1016" ht="15" customHeight="1" spans="2:22">
      <c r="B1016" s="6" t="e">
        <f t="shared" si="18"/>
        <v>#REF!</v>
      </c>
      <c r="C1016" s="31" t="e">
        <f>#REF!</f>
        <v>#REF!</v>
      </c>
      <c r="D1016" s="32" t="e">
        <f>IF(#REF!=0,"",#REF!)</f>
        <v>#REF!</v>
      </c>
      <c r="E1016" s="36" t="e">
        <f>IF(#REF!=0,"",#REF!)</f>
        <v>#REF!</v>
      </c>
      <c r="F1016" s="36" t="e">
        <f>IF(#REF!=0,"",#REF!)</f>
        <v>#REF!</v>
      </c>
      <c r="G1016" s="103">
        <f>'27'!Q976</f>
        <v>0</v>
      </c>
      <c r="H1016" s="160">
        <f>'27'!R976</f>
        <v>0</v>
      </c>
      <c r="I1016" s="160">
        <f>'27'!S976</f>
        <v>0</v>
      </c>
      <c r="J1016" s="160"/>
      <c r="K1016" s="104">
        <f>'27'!T976</f>
        <v>0</v>
      </c>
      <c r="L1016" s="36" t="e">
        <f>#REF!</f>
        <v>#REF!</v>
      </c>
      <c r="M1016" s="103" t="e">
        <f>#REF!</f>
        <v>#REF!</v>
      </c>
      <c r="N1016" s="160"/>
      <c r="O1016" s="104" t="e">
        <f>#REF!</f>
        <v>#REF!</v>
      </c>
      <c r="P1016" s="52" t="e">
        <f>IF(#REF!=0,"",#REF!)</f>
        <v>#REF!</v>
      </c>
      <c r="Q1016" s="109" t="e">
        <f>IF(#REF!=0,"",#REF!)</f>
        <v>#REF!</v>
      </c>
      <c r="R1016" s="36" t="e">
        <f>IF(#REF!=0,"",#REF!)</f>
        <v>#REF!</v>
      </c>
      <c r="S1016" s="36" t="e">
        <f>IF(#REF!=0,"",#REF!)</f>
        <v>#REF!</v>
      </c>
      <c r="T1016" s="268"/>
      <c r="U1016" s="268"/>
      <c r="V1016" s="268"/>
    </row>
    <row r="1017" ht="15" customHeight="1" spans="2:22">
      <c r="B1017" s="6" t="e">
        <f t="shared" si="18"/>
        <v>#REF!</v>
      </c>
      <c r="C1017" s="83" t="e">
        <f>#REF!</f>
        <v>#REF!</v>
      </c>
      <c r="D1017" s="110" t="e">
        <f>IF(#REF!=0,"",#REF!)</f>
        <v>#REF!</v>
      </c>
      <c r="E1017" s="85" t="e">
        <f>IF(#REF!=0,"",#REF!)</f>
        <v>#REF!</v>
      </c>
      <c r="F1017" s="85" t="e">
        <f>IF(#REF!=0,"",#REF!)</f>
        <v>#REF!</v>
      </c>
      <c r="G1017" s="105">
        <f>'27'!Q977</f>
        <v>0</v>
      </c>
      <c r="H1017" s="161">
        <f>'27'!R977</f>
        <v>0</v>
      </c>
      <c r="I1017" s="161">
        <f>'27'!S977</f>
        <v>0</v>
      </c>
      <c r="J1017" s="161"/>
      <c r="K1017" s="106">
        <f>'27'!T977</f>
        <v>0</v>
      </c>
      <c r="L1017" s="85" t="e">
        <f>#REF!</f>
        <v>#REF!</v>
      </c>
      <c r="M1017" s="105" t="e">
        <f>#REF!</f>
        <v>#REF!</v>
      </c>
      <c r="N1017" s="161"/>
      <c r="O1017" s="106" t="e">
        <f>#REF!</f>
        <v>#REF!</v>
      </c>
      <c r="P1017" s="107" t="e">
        <f>IF(#REF!=0,"",#REF!)</f>
        <v>#REF!</v>
      </c>
      <c r="Q1017" s="111" t="e">
        <f>IF(#REF!=0,"",#REF!)</f>
        <v>#REF!</v>
      </c>
      <c r="R1017" s="85" t="e">
        <f>IF(#REF!=0,"",#REF!)</f>
        <v>#REF!</v>
      </c>
      <c r="S1017" s="85" t="e">
        <f>IF(#REF!=0,"",#REF!)</f>
        <v>#REF!</v>
      </c>
      <c r="T1017" s="268"/>
      <c r="U1017" s="268"/>
      <c r="V1017" s="268"/>
    </row>
    <row r="1018" ht="15" customHeight="1" spans="2:22">
      <c r="B1018" s="6" t="e">
        <f t="shared" si="18"/>
        <v>#REF!</v>
      </c>
      <c r="C1018" s="79" t="e">
        <f>#REF!</f>
        <v>#REF!</v>
      </c>
      <c r="D1018" s="62" t="e">
        <f>IF(#REF!=0,"",#REF!)</f>
        <v>#REF!</v>
      </c>
      <c r="E1018" s="81" t="e">
        <f>IF(#REF!=0,"",#REF!)</f>
        <v>#REF!</v>
      </c>
      <c r="F1018" s="81" t="e">
        <f>IF(#REF!=0,"",#REF!)</f>
        <v>#REF!</v>
      </c>
      <c r="G1018" s="100" t="e">
        <f>#REF!</f>
        <v>#REF!</v>
      </c>
      <c r="H1018" s="159">
        <f>'27'!R978</f>
        <v>0</v>
      </c>
      <c r="I1018" s="159">
        <f>'27'!S978</f>
        <v>0</v>
      </c>
      <c r="J1018" s="159"/>
      <c r="K1018" s="101">
        <f>'27'!T978</f>
        <v>0</v>
      </c>
      <c r="L1018" s="81" t="e">
        <f>#REF!</f>
        <v>#REF!</v>
      </c>
      <c r="M1018" s="100" t="e">
        <f>#REF!</f>
        <v>#REF!</v>
      </c>
      <c r="N1018" s="159"/>
      <c r="O1018" s="101" t="e">
        <f>#REF!</f>
        <v>#REF!</v>
      </c>
      <c r="P1018" s="102" t="e">
        <f>IF(#REF!=0,"",#REF!)</f>
        <v>#REF!</v>
      </c>
      <c r="Q1018" s="108" t="e">
        <f>IF(#REF!=0,"",#REF!)</f>
        <v>#REF!</v>
      </c>
      <c r="R1018" s="81" t="e">
        <f>IF(#REF!=0,"",#REF!)</f>
        <v>#REF!</v>
      </c>
      <c r="S1018" s="81" t="e">
        <f>IF(#REF!=0,"",#REF!)</f>
        <v>#REF!</v>
      </c>
      <c r="T1018" s="268"/>
      <c r="U1018" s="268"/>
      <c r="V1018" s="268"/>
    </row>
    <row r="1019" ht="15" customHeight="1" spans="2:22">
      <c r="B1019" s="6" t="e">
        <f t="shared" si="18"/>
        <v>#REF!</v>
      </c>
      <c r="C1019" s="31" t="e">
        <f>#REF!</f>
        <v>#REF!</v>
      </c>
      <c r="D1019" s="32" t="e">
        <f>IF(#REF!=0,"",#REF!)</f>
        <v>#REF!</v>
      </c>
      <c r="E1019" s="36" t="e">
        <f>IF(#REF!=0,"",#REF!)</f>
        <v>#REF!</v>
      </c>
      <c r="F1019" s="36" t="e">
        <f>IF(#REF!=0,"",#REF!)</f>
        <v>#REF!</v>
      </c>
      <c r="G1019" s="103">
        <f>'27'!Q979</f>
        <v>0</v>
      </c>
      <c r="H1019" s="160">
        <f>'27'!R979</f>
        <v>0</v>
      </c>
      <c r="I1019" s="160">
        <f>'27'!S979</f>
        <v>0</v>
      </c>
      <c r="J1019" s="160"/>
      <c r="K1019" s="104">
        <f>'27'!T979</f>
        <v>0</v>
      </c>
      <c r="L1019" s="36" t="e">
        <f>#REF!</f>
        <v>#REF!</v>
      </c>
      <c r="M1019" s="103" t="e">
        <f>#REF!</f>
        <v>#REF!</v>
      </c>
      <c r="N1019" s="160"/>
      <c r="O1019" s="104" t="e">
        <f>#REF!</f>
        <v>#REF!</v>
      </c>
      <c r="P1019" s="52" t="e">
        <f>IF(#REF!=0,"",#REF!)</f>
        <v>#REF!</v>
      </c>
      <c r="Q1019" s="109" t="e">
        <f>IF(#REF!=0,"",#REF!)</f>
        <v>#REF!</v>
      </c>
      <c r="R1019" s="36" t="e">
        <f>IF(#REF!=0,"",#REF!)</f>
        <v>#REF!</v>
      </c>
      <c r="S1019" s="36" t="e">
        <f>IF(#REF!=0,"",#REF!)</f>
        <v>#REF!</v>
      </c>
      <c r="T1019" s="268"/>
      <c r="U1019" s="268"/>
      <c r="V1019" s="268"/>
    </row>
    <row r="1020" ht="15" customHeight="1" spans="2:22">
      <c r="B1020" s="6" t="e">
        <f t="shared" si="18"/>
        <v>#REF!</v>
      </c>
      <c r="C1020" s="83" t="e">
        <f>#REF!</f>
        <v>#REF!</v>
      </c>
      <c r="D1020" s="110" t="e">
        <f>IF(#REF!=0,"",#REF!)</f>
        <v>#REF!</v>
      </c>
      <c r="E1020" s="85" t="e">
        <f>IF(#REF!=0,"",#REF!)</f>
        <v>#REF!</v>
      </c>
      <c r="F1020" s="85" t="e">
        <f>IF(#REF!=0,"",#REF!)</f>
        <v>#REF!</v>
      </c>
      <c r="G1020" s="105">
        <f>'27'!Q980</f>
        <v>0</v>
      </c>
      <c r="H1020" s="161">
        <f>'27'!R980</f>
        <v>0</v>
      </c>
      <c r="I1020" s="161">
        <f>'27'!S980</f>
        <v>0</v>
      </c>
      <c r="J1020" s="161"/>
      <c r="K1020" s="106">
        <f>'27'!T980</f>
        <v>0</v>
      </c>
      <c r="L1020" s="85" t="e">
        <f>#REF!</f>
        <v>#REF!</v>
      </c>
      <c r="M1020" s="105" t="e">
        <f>#REF!</f>
        <v>#REF!</v>
      </c>
      <c r="N1020" s="161"/>
      <c r="O1020" s="106" t="e">
        <f>#REF!</f>
        <v>#REF!</v>
      </c>
      <c r="P1020" s="107" t="e">
        <f>IF(#REF!=0,"",#REF!)</f>
        <v>#REF!</v>
      </c>
      <c r="Q1020" s="111" t="e">
        <f>IF(#REF!=0,"",#REF!)</f>
        <v>#REF!</v>
      </c>
      <c r="R1020" s="85" t="e">
        <f>IF(#REF!=0,"",#REF!)</f>
        <v>#REF!</v>
      </c>
      <c r="S1020" s="85" t="e">
        <f>IF(#REF!=0,"",#REF!)</f>
        <v>#REF!</v>
      </c>
      <c r="T1020" s="268"/>
      <c r="U1020" s="268"/>
      <c r="V1020" s="268"/>
    </row>
    <row r="1021" ht="15" customHeight="1" spans="2:22">
      <c r="B1021" s="6" t="e">
        <f t="shared" si="18"/>
        <v>#REF!</v>
      </c>
      <c r="C1021" s="79" t="e">
        <f>#REF!</f>
        <v>#REF!</v>
      </c>
      <c r="D1021" s="62" t="e">
        <f>IF(#REF!=0,"",#REF!)</f>
        <v>#REF!</v>
      </c>
      <c r="E1021" s="81" t="e">
        <f>IF(#REF!=0,"",#REF!)</f>
        <v>#REF!</v>
      </c>
      <c r="F1021" s="81" t="e">
        <f>IF(#REF!=0,"",#REF!)</f>
        <v>#REF!</v>
      </c>
      <c r="G1021" s="100" t="e">
        <f>#REF!</f>
        <v>#REF!</v>
      </c>
      <c r="H1021" s="159">
        <f>'27'!R981</f>
        <v>0</v>
      </c>
      <c r="I1021" s="159">
        <f>'27'!S981</f>
        <v>0</v>
      </c>
      <c r="J1021" s="159"/>
      <c r="K1021" s="101">
        <f>'27'!T981</f>
        <v>0</v>
      </c>
      <c r="L1021" s="81" t="e">
        <f>#REF!</f>
        <v>#REF!</v>
      </c>
      <c r="M1021" s="100" t="e">
        <f>#REF!</f>
        <v>#REF!</v>
      </c>
      <c r="N1021" s="159"/>
      <c r="O1021" s="101" t="e">
        <f>#REF!</f>
        <v>#REF!</v>
      </c>
      <c r="P1021" s="102" t="e">
        <f>IF(#REF!=0,"",#REF!)</f>
        <v>#REF!</v>
      </c>
      <c r="Q1021" s="108" t="e">
        <f>IF(#REF!=0,"",#REF!)</f>
        <v>#REF!</v>
      </c>
      <c r="R1021" s="81" t="e">
        <f>IF(#REF!=0,"",#REF!)</f>
        <v>#REF!</v>
      </c>
      <c r="S1021" s="81" t="e">
        <f>IF(#REF!=0,"",#REF!)</f>
        <v>#REF!</v>
      </c>
      <c r="T1021" s="268"/>
      <c r="U1021" s="268"/>
      <c r="V1021" s="268"/>
    </row>
    <row r="1022" ht="15" customHeight="1" spans="2:22">
      <c r="B1022" s="6" t="e">
        <f t="shared" si="18"/>
        <v>#REF!</v>
      </c>
      <c r="C1022" s="31" t="e">
        <f>#REF!</f>
        <v>#REF!</v>
      </c>
      <c r="D1022" s="32" t="e">
        <f>IF(#REF!=0,"",#REF!)</f>
        <v>#REF!</v>
      </c>
      <c r="E1022" s="36" t="e">
        <f>IF(#REF!=0,"",#REF!)</f>
        <v>#REF!</v>
      </c>
      <c r="F1022" s="36" t="e">
        <f>IF(#REF!=0,"",#REF!)</f>
        <v>#REF!</v>
      </c>
      <c r="G1022" s="103">
        <f>'27'!Q982</f>
        <v>0</v>
      </c>
      <c r="H1022" s="160">
        <f>'27'!R982</f>
        <v>0</v>
      </c>
      <c r="I1022" s="160">
        <f>'27'!S982</f>
        <v>0</v>
      </c>
      <c r="J1022" s="160"/>
      <c r="K1022" s="104">
        <f>'27'!T982</f>
        <v>0</v>
      </c>
      <c r="L1022" s="36" t="e">
        <f>#REF!</f>
        <v>#REF!</v>
      </c>
      <c r="M1022" s="103" t="e">
        <f>#REF!</f>
        <v>#REF!</v>
      </c>
      <c r="N1022" s="160"/>
      <c r="O1022" s="104" t="e">
        <f>#REF!</f>
        <v>#REF!</v>
      </c>
      <c r="P1022" s="52" t="e">
        <f>IF(#REF!=0,"",#REF!)</f>
        <v>#REF!</v>
      </c>
      <c r="Q1022" s="109" t="e">
        <f>IF(#REF!=0,"",#REF!)</f>
        <v>#REF!</v>
      </c>
      <c r="R1022" s="36" t="e">
        <f>IF(#REF!=0,"",#REF!)</f>
        <v>#REF!</v>
      </c>
      <c r="S1022" s="36" t="e">
        <f>IF(#REF!=0,"",#REF!)</f>
        <v>#REF!</v>
      </c>
      <c r="T1022" s="268"/>
      <c r="U1022" s="268"/>
      <c r="V1022" s="268"/>
    </row>
    <row r="1023" ht="15" customHeight="1" spans="2:22">
      <c r="B1023" s="6" t="e">
        <f t="shared" si="18"/>
        <v>#REF!</v>
      </c>
      <c r="C1023" s="83" t="e">
        <f>#REF!</f>
        <v>#REF!</v>
      </c>
      <c r="D1023" s="110" t="e">
        <f>IF(#REF!=0,"",#REF!)</f>
        <v>#REF!</v>
      </c>
      <c r="E1023" s="85" t="e">
        <f>IF(#REF!=0,"",#REF!)</f>
        <v>#REF!</v>
      </c>
      <c r="F1023" s="85" t="e">
        <f>IF(#REF!=0,"",#REF!)</f>
        <v>#REF!</v>
      </c>
      <c r="G1023" s="105">
        <f>'27'!Q983</f>
        <v>0</v>
      </c>
      <c r="H1023" s="161">
        <f>'27'!R983</f>
        <v>0</v>
      </c>
      <c r="I1023" s="161">
        <f>'27'!S983</f>
        <v>0</v>
      </c>
      <c r="J1023" s="161"/>
      <c r="K1023" s="106">
        <f>'27'!T983</f>
        <v>0</v>
      </c>
      <c r="L1023" s="85" t="e">
        <f>#REF!</f>
        <v>#REF!</v>
      </c>
      <c r="M1023" s="105" t="e">
        <f>#REF!</f>
        <v>#REF!</v>
      </c>
      <c r="N1023" s="161"/>
      <c r="O1023" s="106" t="e">
        <f>#REF!</f>
        <v>#REF!</v>
      </c>
      <c r="P1023" s="107" t="e">
        <f>IF(#REF!=0,"",#REF!)</f>
        <v>#REF!</v>
      </c>
      <c r="Q1023" s="111" t="e">
        <f>IF(#REF!=0,"",#REF!)</f>
        <v>#REF!</v>
      </c>
      <c r="R1023" s="85" t="e">
        <f>IF(#REF!=0,"",#REF!)</f>
        <v>#REF!</v>
      </c>
      <c r="S1023" s="85" t="e">
        <f>IF(#REF!=0,"",#REF!)</f>
        <v>#REF!</v>
      </c>
      <c r="T1023" s="268"/>
      <c r="U1023" s="268"/>
      <c r="V1023" s="268"/>
    </row>
    <row r="1024" ht="15" customHeight="1" spans="2:22">
      <c r="B1024" s="6" t="e">
        <f t="shared" si="18"/>
        <v>#REF!</v>
      </c>
      <c r="C1024" s="79" t="e">
        <f>#REF!</f>
        <v>#REF!</v>
      </c>
      <c r="D1024" s="62" t="e">
        <f>IF(#REF!=0,"",#REF!)</f>
        <v>#REF!</v>
      </c>
      <c r="E1024" s="81" t="e">
        <f>IF(#REF!=0,"",#REF!)</f>
        <v>#REF!</v>
      </c>
      <c r="F1024" s="81" t="e">
        <f>IF(#REF!=0,"",#REF!)</f>
        <v>#REF!</v>
      </c>
      <c r="G1024" s="100" t="e">
        <f>#REF!</f>
        <v>#REF!</v>
      </c>
      <c r="H1024" s="159">
        <f>'27'!R984</f>
        <v>0</v>
      </c>
      <c r="I1024" s="159">
        <f>'27'!S984</f>
        <v>0</v>
      </c>
      <c r="J1024" s="159"/>
      <c r="K1024" s="101">
        <f>'27'!T984</f>
        <v>0</v>
      </c>
      <c r="L1024" s="81" t="e">
        <f>#REF!</f>
        <v>#REF!</v>
      </c>
      <c r="M1024" s="100" t="e">
        <f>#REF!</f>
        <v>#REF!</v>
      </c>
      <c r="N1024" s="159"/>
      <c r="O1024" s="101" t="e">
        <f>#REF!</f>
        <v>#REF!</v>
      </c>
      <c r="P1024" s="102" t="e">
        <f>IF(#REF!=0,"",#REF!)</f>
        <v>#REF!</v>
      </c>
      <c r="Q1024" s="108" t="e">
        <f>IF(#REF!=0,"",#REF!)</f>
        <v>#REF!</v>
      </c>
      <c r="R1024" s="81" t="e">
        <f>IF(#REF!=0,"",#REF!)</f>
        <v>#REF!</v>
      </c>
      <c r="S1024" s="81" t="e">
        <f>IF(#REF!=0,"",#REF!)</f>
        <v>#REF!</v>
      </c>
      <c r="T1024" s="268"/>
      <c r="U1024" s="268"/>
      <c r="V1024" s="268"/>
    </row>
    <row r="1025" ht="15" customHeight="1" spans="2:22">
      <c r="B1025" s="6" t="e">
        <f t="shared" si="18"/>
        <v>#REF!</v>
      </c>
      <c r="C1025" s="31" t="e">
        <f>#REF!</f>
        <v>#REF!</v>
      </c>
      <c r="D1025" s="32" t="e">
        <f>IF(#REF!=0,"",#REF!)</f>
        <v>#REF!</v>
      </c>
      <c r="E1025" s="36" t="e">
        <f>IF(#REF!=0,"",#REF!)</f>
        <v>#REF!</v>
      </c>
      <c r="F1025" s="36" t="e">
        <f>IF(#REF!=0,"",#REF!)</f>
        <v>#REF!</v>
      </c>
      <c r="G1025" s="103">
        <f>'27'!Q985</f>
        <v>0</v>
      </c>
      <c r="H1025" s="160">
        <f>'27'!R985</f>
        <v>0</v>
      </c>
      <c r="I1025" s="160">
        <f>'27'!S985</f>
        <v>0</v>
      </c>
      <c r="J1025" s="160"/>
      <c r="K1025" s="104">
        <f>'27'!T985</f>
        <v>0</v>
      </c>
      <c r="L1025" s="36" t="e">
        <f>#REF!</f>
        <v>#REF!</v>
      </c>
      <c r="M1025" s="103" t="e">
        <f>#REF!</f>
        <v>#REF!</v>
      </c>
      <c r="N1025" s="160"/>
      <c r="O1025" s="104" t="e">
        <f>#REF!</f>
        <v>#REF!</v>
      </c>
      <c r="P1025" s="52" t="e">
        <f>IF(#REF!=0,"",#REF!)</f>
        <v>#REF!</v>
      </c>
      <c r="Q1025" s="109" t="e">
        <f>IF(#REF!=0,"",#REF!)</f>
        <v>#REF!</v>
      </c>
      <c r="R1025" s="36" t="e">
        <f>IF(#REF!=0,"",#REF!)</f>
        <v>#REF!</v>
      </c>
      <c r="S1025" s="36" t="e">
        <f>IF(#REF!=0,"",#REF!)</f>
        <v>#REF!</v>
      </c>
      <c r="T1025" s="268"/>
      <c r="U1025" s="268"/>
      <c r="V1025" s="268"/>
    </row>
    <row r="1026" ht="15" customHeight="1" spans="2:22">
      <c r="B1026" s="6" t="e">
        <f t="shared" si="18"/>
        <v>#REF!</v>
      </c>
      <c r="C1026" s="83" t="e">
        <f>#REF!</f>
        <v>#REF!</v>
      </c>
      <c r="D1026" s="110" t="e">
        <f>IF(#REF!=0,"",#REF!)</f>
        <v>#REF!</v>
      </c>
      <c r="E1026" s="85" t="e">
        <f>IF(#REF!=0,"",#REF!)</f>
        <v>#REF!</v>
      </c>
      <c r="F1026" s="85" t="e">
        <f>IF(#REF!=0,"",#REF!)</f>
        <v>#REF!</v>
      </c>
      <c r="G1026" s="105">
        <f>'27'!Q986</f>
        <v>0</v>
      </c>
      <c r="H1026" s="161">
        <f>'27'!R986</f>
        <v>0</v>
      </c>
      <c r="I1026" s="161">
        <f>'27'!S986</f>
        <v>0</v>
      </c>
      <c r="J1026" s="161"/>
      <c r="K1026" s="106">
        <f>'27'!T986</f>
        <v>0</v>
      </c>
      <c r="L1026" s="85" t="e">
        <f>#REF!</f>
        <v>#REF!</v>
      </c>
      <c r="M1026" s="105" t="e">
        <f>#REF!</f>
        <v>#REF!</v>
      </c>
      <c r="N1026" s="161"/>
      <c r="O1026" s="106" t="e">
        <f>#REF!</f>
        <v>#REF!</v>
      </c>
      <c r="P1026" s="107" t="e">
        <f>IF(#REF!=0,"",#REF!)</f>
        <v>#REF!</v>
      </c>
      <c r="Q1026" s="111" t="e">
        <f>IF(#REF!=0,"",#REF!)</f>
        <v>#REF!</v>
      </c>
      <c r="R1026" s="85" t="e">
        <f>IF(#REF!=0,"",#REF!)</f>
        <v>#REF!</v>
      </c>
      <c r="S1026" s="85" t="e">
        <f>IF(#REF!=0,"",#REF!)</f>
        <v>#REF!</v>
      </c>
      <c r="T1026" s="268"/>
      <c r="U1026" s="268"/>
      <c r="V1026" s="268"/>
    </row>
    <row r="1027" ht="15" customHeight="1" spans="2:22">
      <c r="B1027" s="6" t="e">
        <f t="shared" si="18"/>
        <v>#REF!</v>
      </c>
      <c r="C1027" s="79" t="e">
        <f>#REF!</f>
        <v>#REF!</v>
      </c>
      <c r="D1027" s="62" t="e">
        <f>IF(#REF!=0,"",#REF!)</f>
        <v>#REF!</v>
      </c>
      <c r="E1027" s="81" t="e">
        <f>IF(#REF!=0,"",#REF!)</f>
        <v>#REF!</v>
      </c>
      <c r="F1027" s="81" t="e">
        <f>IF(#REF!=0,"",#REF!)</f>
        <v>#REF!</v>
      </c>
      <c r="G1027" s="100" t="e">
        <f>#REF!</f>
        <v>#REF!</v>
      </c>
      <c r="H1027" s="159">
        <f>'27'!R987</f>
        <v>0</v>
      </c>
      <c r="I1027" s="159">
        <f>'27'!S987</f>
        <v>0</v>
      </c>
      <c r="J1027" s="159"/>
      <c r="K1027" s="101">
        <f>'27'!T987</f>
        <v>0</v>
      </c>
      <c r="L1027" s="81" t="e">
        <f>#REF!</f>
        <v>#REF!</v>
      </c>
      <c r="M1027" s="100" t="e">
        <f>#REF!</f>
        <v>#REF!</v>
      </c>
      <c r="N1027" s="159"/>
      <c r="O1027" s="101" t="e">
        <f>#REF!</f>
        <v>#REF!</v>
      </c>
      <c r="P1027" s="102" t="e">
        <f>IF(#REF!=0,"",#REF!)</f>
        <v>#REF!</v>
      </c>
      <c r="Q1027" s="108" t="e">
        <f>IF(#REF!=0,"",#REF!)</f>
        <v>#REF!</v>
      </c>
      <c r="R1027" s="81" t="e">
        <f>IF(#REF!=0,"",#REF!)</f>
        <v>#REF!</v>
      </c>
      <c r="S1027" s="81" t="e">
        <f>IF(#REF!=0,"",#REF!)</f>
        <v>#REF!</v>
      </c>
      <c r="T1027" s="268"/>
      <c r="U1027" s="268"/>
      <c r="V1027" s="268"/>
    </row>
    <row r="1028" ht="15" customHeight="1" spans="2:22">
      <c r="B1028" s="6" t="e">
        <f t="shared" si="18"/>
        <v>#REF!</v>
      </c>
      <c r="C1028" s="31" t="e">
        <f>#REF!</f>
        <v>#REF!</v>
      </c>
      <c r="D1028" s="32" t="e">
        <f>IF(#REF!=0,"",#REF!)</f>
        <v>#REF!</v>
      </c>
      <c r="E1028" s="36" t="e">
        <f>IF(#REF!=0,"",#REF!)</f>
        <v>#REF!</v>
      </c>
      <c r="F1028" s="36" t="e">
        <f>IF(#REF!=0,"",#REF!)</f>
        <v>#REF!</v>
      </c>
      <c r="G1028" s="103">
        <f>'27'!Q988</f>
        <v>0</v>
      </c>
      <c r="H1028" s="160">
        <f>'27'!R988</f>
        <v>0</v>
      </c>
      <c r="I1028" s="160">
        <f>'27'!S988</f>
        <v>0</v>
      </c>
      <c r="J1028" s="160"/>
      <c r="K1028" s="104">
        <f>'27'!T988</f>
        <v>0</v>
      </c>
      <c r="L1028" s="36" t="e">
        <f>#REF!</f>
        <v>#REF!</v>
      </c>
      <c r="M1028" s="103" t="e">
        <f>#REF!</f>
        <v>#REF!</v>
      </c>
      <c r="N1028" s="160"/>
      <c r="O1028" s="104" t="e">
        <f>#REF!</f>
        <v>#REF!</v>
      </c>
      <c r="P1028" s="52" t="e">
        <f>IF(#REF!=0,"",#REF!)</f>
        <v>#REF!</v>
      </c>
      <c r="Q1028" s="109" t="e">
        <f>IF(#REF!=0,"",#REF!)</f>
        <v>#REF!</v>
      </c>
      <c r="R1028" s="36" t="e">
        <f>IF(#REF!=0,"",#REF!)</f>
        <v>#REF!</v>
      </c>
      <c r="S1028" s="36" t="e">
        <f>IF(#REF!=0,"",#REF!)</f>
        <v>#REF!</v>
      </c>
      <c r="T1028" s="268"/>
      <c r="U1028" s="268"/>
      <c r="V1028" s="268"/>
    </row>
    <row r="1029" ht="15" customHeight="1" spans="2:22">
      <c r="B1029" s="6" t="e">
        <f t="shared" si="18"/>
        <v>#REF!</v>
      </c>
      <c r="C1029" s="83" t="e">
        <f>#REF!</f>
        <v>#REF!</v>
      </c>
      <c r="D1029" s="110" t="e">
        <f>IF(#REF!=0,"",#REF!)</f>
        <v>#REF!</v>
      </c>
      <c r="E1029" s="85" t="e">
        <f>IF(#REF!=0,"",#REF!)</f>
        <v>#REF!</v>
      </c>
      <c r="F1029" s="85" t="e">
        <f>IF(#REF!=0,"",#REF!)</f>
        <v>#REF!</v>
      </c>
      <c r="G1029" s="105">
        <f>'27'!Q989</f>
        <v>0</v>
      </c>
      <c r="H1029" s="161">
        <f>'27'!R989</f>
        <v>0</v>
      </c>
      <c r="I1029" s="161">
        <f>'27'!S989</f>
        <v>0</v>
      </c>
      <c r="J1029" s="161"/>
      <c r="K1029" s="106">
        <f>'27'!T989</f>
        <v>0</v>
      </c>
      <c r="L1029" s="85" t="e">
        <f>#REF!</f>
        <v>#REF!</v>
      </c>
      <c r="M1029" s="105" t="e">
        <f>#REF!</f>
        <v>#REF!</v>
      </c>
      <c r="N1029" s="161"/>
      <c r="O1029" s="106" t="e">
        <f>#REF!</f>
        <v>#REF!</v>
      </c>
      <c r="P1029" s="107" t="e">
        <f>IF(#REF!=0,"",#REF!)</f>
        <v>#REF!</v>
      </c>
      <c r="Q1029" s="111" t="e">
        <f>IF(#REF!=0,"",#REF!)</f>
        <v>#REF!</v>
      </c>
      <c r="R1029" s="85" t="e">
        <f>IF(#REF!=0,"",#REF!)</f>
        <v>#REF!</v>
      </c>
      <c r="S1029" s="85" t="e">
        <f>IF(#REF!=0,"",#REF!)</f>
        <v>#REF!</v>
      </c>
      <c r="T1029" s="268"/>
      <c r="U1029" s="268"/>
      <c r="V1029" s="268"/>
    </row>
    <row r="1030" ht="15" customHeight="1" spans="2:22">
      <c r="B1030" s="6" t="e">
        <f t="shared" si="18"/>
        <v>#REF!</v>
      </c>
      <c r="C1030" s="79" t="e">
        <f>#REF!</f>
        <v>#REF!</v>
      </c>
      <c r="D1030" s="62" t="e">
        <f>IF(#REF!=0,"",#REF!)</f>
        <v>#REF!</v>
      </c>
      <c r="E1030" s="81" t="e">
        <f>IF(#REF!=0,"",#REF!)</f>
        <v>#REF!</v>
      </c>
      <c r="F1030" s="81" t="e">
        <f>IF(#REF!=0,"",#REF!)</f>
        <v>#REF!</v>
      </c>
      <c r="G1030" s="100" t="e">
        <f>#REF!</f>
        <v>#REF!</v>
      </c>
      <c r="H1030" s="159">
        <f>'27'!R990</f>
        <v>0</v>
      </c>
      <c r="I1030" s="159">
        <f>'27'!S990</f>
        <v>0</v>
      </c>
      <c r="J1030" s="159"/>
      <c r="K1030" s="101">
        <f>'27'!T990</f>
        <v>0</v>
      </c>
      <c r="L1030" s="81" t="e">
        <f>#REF!</f>
        <v>#REF!</v>
      </c>
      <c r="M1030" s="100" t="e">
        <f>#REF!</f>
        <v>#REF!</v>
      </c>
      <c r="N1030" s="159"/>
      <c r="O1030" s="101" t="e">
        <f>#REF!</f>
        <v>#REF!</v>
      </c>
      <c r="P1030" s="102" t="e">
        <f>IF(#REF!=0,"",#REF!)</f>
        <v>#REF!</v>
      </c>
      <c r="Q1030" s="108" t="e">
        <f>IF(#REF!=0,"",#REF!)</f>
        <v>#REF!</v>
      </c>
      <c r="R1030" s="81" t="e">
        <f>IF(#REF!=0,"",#REF!)</f>
        <v>#REF!</v>
      </c>
      <c r="S1030" s="81" t="e">
        <f>IF(#REF!=0,"",#REF!)</f>
        <v>#REF!</v>
      </c>
      <c r="T1030" s="268"/>
      <c r="U1030" s="268"/>
      <c r="V1030" s="268"/>
    </row>
    <row r="1031" ht="15" customHeight="1" spans="2:22">
      <c r="B1031" s="6" t="e">
        <f t="shared" si="18"/>
        <v>#REF!</v>
      </c>
      <c r="C1031" s="31" t="e">
        <f>#REF!</f>
        <v>#REF!</v>
      </c>
      <c r="D1031" s="32" t="e">
        <f>IF(#REF!=0,"",#REF!)</f>
        <v>#REF!</v>
      </c>
      <c r="E1031" s="36" t="e">
        <f>IF(#REF!=0,"",#REF!)</f>
        <v>#REF!</v>
      </c>
      <c r="F1031" s="36" t="e">
        <f>IF(#REF!=0,"",#REF!)</f>
        <v>#REF!</v>
      </c>
      <c r="G1031" s="103">
        <f>'27'!Q991</f>
        <v>0</v>
      </c>
      <c r="H1031" s="160">
        <f>'27'!R991</f>
        <v>0</v>
      </c>
      <c r="I1031" s="160">
        <f>'27'!S991</f>
        <v>0</v>
      </c>
      <c r="J1031" s="160"/>
      <c r="K1031" s="104">
        <f>'27'!T991</f>
        <v>0</v>
      </c>
      <c r="L1031" s="36" t="e">
        <f>#REF!</f>
        <v>#REF!</v>
      </c>
      <c r="M1031" s="103" t="e">
        <f>#REF!</f>
        <v>#REF!</v>
      </c>
      <c r="N1031" s="160"/>
      <c r="O1031" s="104" t="e">
        <f>#REF!</f>
        <v>#REF!</v>
      </c>
      <c r="P1031" s="52" t="e">
        <f>IF(#REF!=0,"",#REF!)</f>
        <v>#REF!</v>
      </c>
      <c r="Q1031" s="109" t="e">
        <f>IF(#REF!=0,"",#REF!)</f>
        <v>#REF!</v>
      </c>
      <c r="R1031" s="36" t="e">
        <f>IF(#REF!=0,"",#REF!)</f>
        <v>#REF!</v>
      </c>
      <c r="S1031" s="36" t="e">
        <f>IF(#REF!=0,"",#REF!)</f>
        <v>#REF!</v>
      </c>
      <c r="T1031" s="268"/>
      <c r="U1031" s="268"/>
      <c r="V1031" s="268"/>
    </row>
    <row r="1032" ht="15" customHeight="1" spans="2:22">
      <c r="B1032" s="6" t="e">
        <f t="shared" si="18"/>
        <v>#REF!</v>
      </c>
      <c r="C1032" s="83" t="e">
        <f>#REF!</f>
        <v>#REF!</v>
      </c>
      <c r="D1032" s="110" t="e">
        <f>IF(#REF!=0,"",#REF!)</f>
        <v>#REF!</v>
      </c>
      <c r="E1032" s="85" t="e">
        <f>IF(#REF!=0,"",#REF!)</f>
        <v>#REF!</v>
      </c>
      <c r="F1032" s="85" t="e">
        <f>IF(#REF!=0,"",#REF!)</f>
        <v>#REF!</v>
      </c>
      <c r="G1032" s="105">
        <f>'27'!Q992</f>
        <v>0</v>
      </c>
      <c r="H1032" s="161">
        <f>'27'!R992</f>
        <v>0</v>
      </c>
      <c r="I1032" s="161">
        <f>'27'!S992</f>
        <v>0</v>
      </c>
      <c r="J1032" s="161"/>
      <c r="K1032" s="106">
        <f>'27'!T992</f>
        <v>0</v>
      </c>
      <c r="L1032" s="85" t="e">
        <f>#REF!</f>
        <v>#REF!</v>
      </c>
      <c r="M1032" s="105" t="e">
        <f>#REF!</f>
        <v>#REF!</v>
      </c>
      <c r="N1032" s="161"/>
      <c r="O1032" s="106" t="e">
        <f>#REF!</f>
        <v>#REF!</v>
      </c>
      <c r="P1032" s="107" t="e">
        <f>IF(#REF!=0,"",#REF!)</f>
        <v>#REF!</v>
      </c>
      <c r="Q1032" s="111" t="e">
        <f>IF(#REF!=0,"",#REF!)</f>
        <v>#REF!</v>
      </c>
      <c r="R1032" s="85" t="e">
        <f>IF(#REF!=0,"",#REF!)</f>
        <v>#REF!</v>
      </c>
      <c r="S1032" s="85" t="e">
        <f>IF(#REF!=0,"",#REF!)</f>
        <v>#REF!</v>
      </c>
      <c r="T1032" s="268"/>
      <c r="U1032" s="268"/>
      <c r="V1032" s="268"/>
    </row>
    <row r="1033" ht="15" customHeight="1" spans="2:22">
      <c r="B1033" s="6" t="e">
        <f t="shared" si="18"/>
        <v>#REF!</v>
      </c>
      <c r="C1033" s="79" t="e">
        <f>#REF!</f>
        <v>#REF!</v>
      </c>
      <c r="D1033" s="62" t="e">
        <f>IF(#REF!=0,"",#REF!)</f>
        <v>#REF!</v>
      </c>
      <c r="E1033" s="81" t="e">
        <f>IF(#REF!=0,"",#REF!)</f>
        <v>#REF!</v>
      </c>
      <c r="F1033" s="81" t="e">
        <f>IF(#REF!=0,"",#REF!)</f>
        <v>#REF!</v>
      </c>
      <c r="G1033" s="100" t="e">
        <f>#REF!</f>
        <v>#REF!</v>
      </c>
      <c r="H1033" s="159">
        <f>'27'!R993</f>
        <v>0</v>
      </c>
      <c r="I1033" s="159">
        <f>'27'!S993</f>
        <v>0</v>
      </c>
      <c r="J1033" s="159"/>
      <c r="K1033" s="101">
        <f>'27'!T993</f>
        <v>0</v>
      </c>
      <c r="L1033" s="81" t="e">
        <f>#REF!</f>
        <v>#REF!</v>
      </c>
      <c r="M1033" s="100" t="e">
        <f>#REF!</f>
        <v>#REF!</v>
      </c>
      <c r="N1033" s="159"/>
      <c r="O1033" s="101" t="e">
        <f>#REF!</f>
        <v>#REF!</v>
      </c>
      <c r="P1033" s="102" t="e">
        <f>IF(#REF!=0,"",#REF!)</f>
        <v>#REF!</v>
      </c>
      <c r="Q1033" s="108" t="e">
        <f>IF(#REF!=0,"",#REF!)</f>
        <v>#REF!</v>
      </c>
      <c r="R1033" s="81" t="e">
        <f>IF(#REF!=0,"",#REF!)</f>
        <v>#REF!</v>
      </c>
      <c r="S1033" s="81" t="e">
        <f>IF(#REF!=0,"",#REF!)</f>
        <v>#REF!</v>
      </c>
      <c r="T1033" s="268"/>
      <c r="U1033" s="268"/>
      <c r="V1033" s="268"/>
    </row>
    <row r="1034" ht="15" customHeight="1" spans="2:22">
      <c r="B1034" s="6" t="e">
        <f t="shared" si="18"/>
        <v>#REF!</v>
      </c>
      <c r="C1034" s="31" t="e">
        <f>#REF!</f>
        <v>#REF!</v>
      </c>
      <c r="D1034" s="32" t="e">
        <f>IF(#REF!=0,"",#REF!)</f>
        <v>#REF!</v>
      </c>
      <c r="E1034" s="36" t="e">
        <f>IF(#REF!=0,"",#REF!)</f>
        <v>#REF!</v>
      </c>
      <c r="F1034" s="36" t="e">
        <f>IF(#REF!=0,"",#REF!)</f>
        <v>#REF!</v>
      </c>
      <c r="G1034" s="103">
        <f>'27'!Q994</f>
        <v>0</v>
      </c>
      <c r="H1034" s="160">
        <f>'27'!R994</f>
        <v>0</v>
      </c>
      <c r="I1034" s="160">
        <f>'27'!S994</f>
        <v>0</v>
      </c>
      <c r="J1034" s="160"/>
      <c r="K1034" s="104">
        <f>'27'!T994</f>
        <v>0</v>
      </c>
      <c r="L1034" s="36" t="e">
        <f>#REF!</f>
        <v>#REF!</v>
      </c>
      <c r="M1034" s="103" t="e">
        <f>#REF!</f>
        <v>#REF!</v>
      </c>
      <c r="N1034" s="160"/>
      <c r="O1034" s="104" t="e">
        <f>#REF!</f>
        <v>#REF!</v>
      </c>
      <c r="P1034" s="52" t="e">
        <f>IF(#REF!=0,"",#REF!)</f>
        <v>#REF!</v>
      </c>
      <c r="Q1034" s="109" t="e">
        <f>IF(#REF!=0,"",#REF!)</f>
        <v>#REF!</v>
      </c>
      <c r="R1034" s="36" t="e">
        <f>IF(#REF!=0,"",#REF!)</f>
        <v>#REF!</v>
      </c>
      <c r="S1034" s="36" t="e">
        <f>IF(#REF!=0,"",#REF!)</f>
        <v>#REF!</v>
      </c>
      <c r="T1034" s="268"/>
      <c r="U1034" s="268"/>
      <c r="V1034" s="268"/>
    </row>
    <row r="1035" ht="15" customHeight="1" spans="2:22">
      <c r="B1035" s="6" t="e">
        <f t="shared" si="18"/>
        <v>#REF!</v>
      </c>
      <c r="C1035" s="83" t="e">
        <f>#REF!</f>
        <v>#REF!</v>
      </c>
      <c r="D1035" s="110" t="e">
        <f>IF(#REF!=0,"",#REF!)</f>
        <v>#REF!</v>
      </c>
      <c r="E1035" s="85" t="e">
        <f>IF(#REF!=0,"",#REF!)</f>
        <v>#REF!</v>
      </c>
      <c r="F1035" s="85" t="e">
        <f>IF(#REF!=0,"",#REF!)</f>
        <v>#REF!</v>
      </c>
      <c r="G1035" s="105">
        <f>'27'!Q995</f>
        <v>0</v>
      </c>
      <c r="H1035" s="161">
        <f>'27'!R995</f>
        <v>0</v>
      </c>
      <c r="I1035" s="161">
        <f>'27'!S995</f>
        <v>0</v>
      </c>
      <c r="J1035" s="161"/>
      <c r="K1035" s="106">
        <f>'27'!T995</f>
        <v>0</v>
      </c>
      <c r="L1035" s="85" t="e">
        <f>#REF!</f>
        <v>#REF!</v>
      </c>
      <c r="M1035" s="105" t="e">
        <f>#REF!</f>
        <v>#REF!</v>
      </c>
      <c r="N1035" s="161"/>
      <c r="O1035" s="106" t="e">
        <f>#REF!</f>
        <v>#REF!</v>
      </c>
      <c r="P1035" s="107" t="e">
        <f>IF(#REF!=0,"",#REF!)</f>
        <v>#REF!</v>
      </c>
      <c r="Q1035" s="111" t="e">
        <f>IF(#REF!=0,"",#REF!)</f>
        <v>#REF!</v>
      </c>
      <c r="R1035" s="85" t="e">
        <f>IF(#REF!=0,"",#REF!)</f>
        <v>#REF!</v>
      </c>
      <c r="S1035" s="85" t="e">
        <f>IF(#REF!=0,"",#REF!)</f>
        <v>#REF!</v>
      </c>
      <c r="T1035" s="268"/>
      <c r="U1035" s="268"/>
      <c r="V1035" s="268"/>
    </row>
    <row r="1036" ht="15" customHeight="1" spans="2:22">
      <c r="B1036" s="6" t="e">
        <f t="shared" si="18"/>
        <v>#REF!</v>
      </c>
      <c r="C1036" s="79" t="e">
        <f>#REF!</f>
        <v>#REF!</v>
      </c>
      <c r="D1036" s="62" t="e">
        <f>IF(#REF!=0,"",#REF!)</f>
        <v>#REF!</v>
      </c>
      <c r="E1036" s="81" t="e">
        <f>IF(#REF!=0,"",#REF!)</f>
        <v>#REF!</v>
      </c>
      <c r="F1036" s="81" t="e">
        <f>IF(#REF!=0,"",#REF!)</f>
        <v>#REF!</v>
      </c>
      <c r="G1036" s="100" t="e">
        <f>#REF!</f>
        <v>#REF!</v>
      </c>
      <c r="H1036" s="159">
        <f>'27'!R996</f>
        <v>0</v>
      </c>
      <c r="I1036" s="159">
        <f>'27'!S996</f>
        <v>0</v>
      </c>
      <c r="J1036" s="159"/>
      <c r="K1036" s="101">
        <f>'27'!T996</f>
        <v>0</v>
      </c>
      <c r="L1036" s="81" t="e">
        <f>#REF!</f>
        <v>#REF!</v>
      </c>
      <c r="M1036" s="100" t="e">
        <f>#REF!</f>
        <v>#REF!</v>
      </c>
      <c r="N1036" s="159"/>
      <c r="O1036" s="101" t="e">
        <f>#REF!</f>
        <v>#REF!</v>
      </c>
      <c r="P1036" s="102" t="e">
        <f>IF(#REF!=0,"",#REF!)</f>
        <v>#REF!</v>
      </c>
      <c r="Q1036" s="108" t="e">
        <f>IF(#REF!=0,"",#REF!)</f>
        <v>#REF!</v>
      </c>
      <c r="R1036" s="81" t="e">
        <f>IF(#REF!=0,"",#REF!)</f>
        <v>#REF!</v>
      </c>
      <c r="S1036" s="81" t="e">
        <f>IF(#REF!=0,"",#REF!)</f>
        <v>#REF!</v>
      </c>
      <c r="T1036" s="268"/>
      <c r="U1036" s="268"/>
      <c r="V1036" s="268"/>
    </row>
    <row r="1037" ht="15" customHeight="1" spans="2:22">
      <c r="B1037" s="6" t="e">
        <f t="shared" si="18"/>
        <v>#REF!</v>
      </c>
      <c r="C1037" s="31" t="e">
        <f>#REF!</f>
        <v>#REF!</v>
      </c>
      <c r="D1037" s="32" t="e">
        <f>IF(#REF!=0,"",#REF!)</f>
        <v>#REF!</v>
      </c>
      <c r="E1037" s="36" t="e">
        <f>IF(#REF!=0,"",#REF!)</f>
        <v>#REF!</v>
      </c>
      <c r="F1037" s="36" t="e">
        <f>IF(#REF!=0,"",#REF!)</f>
        <v>#REF!</v>
      </c>
      <c r="G1037" s="103">
        <f>'27'!Q997</f>
        <v>0</v>
      </c>
      <c r="H1037" s="160">
        <f>'27'!R997</f>
        <v>0</v>
      </c>
      <c r="I1037" s="160">
        <f>'27'!S997</f>
        <v>0</v>
      </c>
      <c r="J1037" s="160"/>
      <c r="K1037" s="104">
        <f>'27'!T997</f>
        <v>0</v>
      </c>
      <c r="L1037" s="36" t="e">
        <f>#REF!</f>
        <v>#REF!</v>
      </c>
      <c r="M1037" s="103" t="e">
        <f>#REF!</f>
        <v>#REF!</v>
      </c>
      <c r="N1037" s="160"/>
      <c r="O1037" s="104" t="e">
        <f>#REF!</f>
        <v>#REF!</v>
      </c>
      <c r="P1037" s="52" t="e">
        <f>IF(#REF!=0,"",#REF!)</f>
        <v>#REF!</v>
      </c>
      <c r="Q1037" s="109" t="e">
        <f>IF(#REF!=0,"",#REF!)</f>
        <v>#REF!</v>
      </c>
      <c r="R1037" s="36" t="e">
        <f>IF(#REF!=0,"",#REF!)</f>
        <v>#REF!</v>
      </c>
      <c r="S1037" s="36" t="e">
        <f>IF(#REF!=0,"",#REF!)</f>
        <v>#REF!</v>
      </c>
      <c r="T1037" s="268"/>
      <c r="U1037" s="268"/>
      <c r="V1037" s="268"/>
    </row>
    <row r="1038" ht="15" customHeight="1" spans="2:22">
      <c r="B1038" s="6" t="e">
        <f t="shared" si="18"/>
        <v>#REF!</v>
      </c>
      <c r="C1038" s="83" t="e">
        <f>#REF!</f>
        <v>#REF!</v>
      </c>
      <c r="D1038" s="110" t="e">
        <f>IF(#REF!=0,"",#REF!)</f>
        <v>#REF!</v>
      </c>
      <c r="E1038" s="85" t="e">
        <f>IF(#REF!=0,"",#REF!)</f>
        <v>#REF!</v>
      </c>
      <c r="F1038" s="85" t="e">
        <f>IF(#REF!=0,"",#REF!)</f>
        <v>#REF!</v>
      </c>
      <c r="G1038" s="105">
        <f>'27'!Q998</f>
        <v>0</v>
      </c>
      <c r="H1038" s="161">
        <f>'27'!R998</f>
        <v>0</v>
      </c>
      <c r="I1038" s="161">
        <f>'27'!S998</f>
        <v>0</v>
      </c>
      <c r="J1038" s="161"/>
      <c r="K1038" s="106">
        <f>'27'!T998</f>
        <v>0</v>
      </c>
      <c r="L1038" s="85" t="e">
        <f>#REF!</f>
        <v>#REF!</v>
      </c>
      <c r="M1038" s="105" t="e">
        <f>#REF!</f>
        <v>#REF!</v>
      </c>
      <c r="N1038" s="161"/>
      <c r="O1038" s="106" t="e">
        <f>#REF!</f>
        <v>#REF!</v>
      </c>
      <c r="P1038" s="107" t="e">
        <f>IF(#REF!=0,"",#REF!)</f>
        <v>#REF!</v>
      </c>
      <c r="Q1038" s="111" t="e">
        <f>IF(#REF!=0,"",#REF!)</f>
        <v>#REF!</v>
      </c>
      <c r="R1038" s="85" t="e">
        <f>IF(#REF!=0,"",#REF!)</f>
        <v>#REF!</v>
      </c>
      <c r="S1038" s="85" t="e">
        <f>IF(#REF!=0,"",#REF!)</f>
        <v>#REF!</v>
      </c>
      <c r="T1038" s="268"/>
      <c r="U1038" s="268"/>
      <c r="V1038" s="268"/>
    </row>
    <row r="1039" ht="15" customHeight="1" spans="2:22">
      <c r="B1039" s="6" t="e">
        <f t="shared" si="18"/>
        <v>#REF!</v>
      </c>
      <c r="C1039" s="79" t="e">
        <f>#REF!</f>
        <v>#REF!</v>
      </c>
      <c r="D1039" s="62" t="e">
        <f>IF(#REF!=0,"",#REF!)</f>
        <v>#REF!</v>
      </c>
      <c r="E1039" s="81" t="e">
        <f>IF(#REF!=0,"",#REF!)</f>
        <v>#REF!</v>
      </c>
      <c r="F1039" s="81" t="e">
        <f>IF(#REF!=0,"",#REF!)</f>
        <v>#REF!</v>
      </c>
      <c r="G1039" s="100" t="e">
        <f>#REF!</f>
        <v>#REF!</v>
      </c>
      <c r="H1039" s="159">
        <f>'27'!R999</f>
        <v>0</v>
      </c>
      <c r="I1039" s="159">
        <f>'27'!S999</f>
        <v>0</v>
      </c>
      <c r="J1039" s="159"/>
      <c r="K1039" s="101">
        <f>'27'!T999</f>
        <v>0</v>
      </c>
      <c r="L1039" s="81" t="e">
        <f>#REF!</f>
        <v>#REF!</v>
      </c>
      <c r="M1039" s="100" t="e">
        <f>#REF!</f>
        <v>#REF!</v>
      </c>
      <c r="N1039" s="159"/>
      <c r="O1039" s="101" t="e">
        <f>#REF!</f>
        <v>#REF!</v>
      </c>
      <c r="P1039" s="102" t="e">
        <f>IF(#REF!=0,"",#REF!)</f>
        <v>#REF!</v>
      </c>
      <c r="Q1039" s="108" t="e">
        <f>IF(#REF!=0,"",#REF!)</f>
        <v>#REF!</v>
      </c>
      <c r="R1039" s="81" t="e">
        <f>IF(#REF!=0,"",#REF!)</f>
        <v>#REF!</v>
      </c>
      <c r="S1039" s="81" t="e">
        <f>IF(#REF!=0,"",#REF!)</f>
        <v>#REF!</v>
      </c>
      <c r="T1039" s="268"/>
      <c r="U1039" s="268"/>
      <c r="V1039" s="268"/>
    </row>
    <row r="1040" ht="15" customHeight="1" spans="2:22">
      <c r="B1040" s="6" t="e">
        <f t="shared" si="18"/>
        <v>#REF!</v>
      </c>
      <c r="C1040" s="31" t="e">
        <f>#REF!</f>
        <v>#REF!</v>
      </c>
      <c r="D1040" s="32" t="e">
        <f>IF(#REF!=0,"",#REF!)</f>
        <v>#REF!</v>
      </c>
      <c r="E1040" s="36" t="e">
        <f>IF(#REF!=0,"",#REF!)</f>
        <v>#REF!</v>
      </c>
      <c r="F1040" s="36" t="e">
        <f>IF(#REF!=0,"",#REF!)</f>
        <v>#REF!</v>
      </c>
      <c r="G1040" s="103">
        <f>'27'!Q1000</f>
        <v>0</v>
      </c>
      <c r="H1040" s="160">
        <f>'27'!R1000</f>
        <v>0</v>
      </c>
      <c r="I1040" s="160">
        <f>'27'!S1000</f>
        <v>0</v>
      </c>
      <c r="J1040" s="160"/>
      <c r="K1040" s="104">
        <f>'27'!T1000</f>
        <v>0</v>
      </c>
      <c r="L1040" s="36" t="e">
        <f>#REF!</f>
        <v>#REF!</v>
      </c>
      <c r="M1040" s="103" t="e">
        <f>#REF!</f>
        <v>#REF!</v>
      </c>
      <c r="N1040" s="160"/>
      <c r="O1040" s="104" t="e">
        <f>#REF!</f>
        <v>#REF!</v>
      </c>
      <c r="P1040" s="52" t="e">
        <f>IF(#REF!=0,"",#REF!)</f>
        <v>#REF!</v>
      </c>
      <c r="Q1040" s="109" t="e">
        <f>IF(#REF!=0,"",#REF!)</f>
        <v>#REF!</v>
      </c>
      <c r="R1040" s="36" t="e">
        <f>IF(#REF!=0,"",#REF!)</f>
        <v>#REF!</v>
      </c>
      <c r="S1040" s="36" t="e">
        <f>IF(#REF!=0,"",#REF!)</f>
        <v>#REF!</v>
      </c>
      <c r="T1040" s="268"/>
      <c r="U1040" s="268"/>
      <c r="V1040" s="268"/>
    </row>
    <row r="1041" ht="15" customHeight="1" spans="2:22">
      <c r="B1041" s="6" t="e">
        <f t="shared" si="18"/>
        <v>#REF!</v>
      </c>
      <c r="C1041" s="83" t="e">
        <f>#REF!</f>
        <v>#REF!</v>
      </c>
      <c r="D1041" s="110" t="e">
        <f>IF(#REF!=0,"",#REF!)</f>
        <v>#REF!</v>
      </c>
      <c r="E1041" s="85" t="e">
        <f>IF(#REF!=0,"",#REF!)</f>
        <v>#REF!</v>
      </c>
      <c r="F1041" s="85" t="e">
        <f>IF(#REF!=0,"",#REF!)</f>
        <v>#REF!</v>
      </c>
      <c r="G1041" s="105">
        <f>'27'!Q1001</f>
        <v>0</v>
      </c>
      <c r="H1041" s="161">
        <f>'27'!R1001</f>
        <v>0</v>
      </c>
      <c r="I1041" s="161">
        <f>'27'!S1001</f>
        <v>0</v>
      </c>
      <c r="J1041" s="161"/>
      <c r="K1041" s="106">
        <f>'27'!T1001</f>
        <v>0</v>
      </c>
      <c r="L1041" s="85" t="e">
        <f>#REF!</f>
        <v>#REF!</v>
      </c>
      <c r="M1041" s="105" t="e">
        <f>#REF!</f>
        <v>#REF!</v>
      </c>
      <c r="N1041" s="161"/>
      <c r="O1041" s="106" t="e">
        <f>#REF!</f>
        <v>#REF!</v>
      </c>
      <c r="P1041" s="107" t="e">
        <f>IF(#REF!=0,"",#REF!)</f>
        <v>#REF!</v>
      </c>
      <c r="Q1041" s="111" t="e">
        <f>IF(#REF!=0,"",#REF!)</f>
        <v>#REF!</v>
      </c>
      <c r="R1041" s="85" t="e">
        <f>IF(#REF!=0,"",#REF!)</f>
        <v>#REF!</v>
      </c>
      <c r="S1041" s="85" t="e">
        <f>IF(#REF!=0,"",#REF!)</f>
        <v>#REF!</v>
      </c>
      <c r="T1041" s="268"/>
      <c r="U1041" s="268"/>
      <c r="V1041" s="268"/>
    </row>
    <row r="1042" ht="15" customHeight="1" spans="2:22">
      <c r="B1042" s="6" t="e">
        <f t="shared" si="18"/>
        <v>#REF!</v>
      </c>
      <c r="C1042" s="79" t="e">
        <f>#REF!</f>
        <v>#REF!</v>
      </c>
      <c r="D1042" s="62" t="e">
        <f>IF(#REF!=0,"",#REF!)</f>
        <v>#REF!</v>
      </c>
      <c r="E1042" s="81" t="e">
        <f>IF(#REF!=0,"",#REF!)</f>
        <v>#REF!</v>
      </c>
      <c r="F1042" s="81" t="e">
        <f>IF(#REF!=0,"",#REF!)</f>
        <v>#REF!</v>
      </c>
      <c r="G1042" s="100" t="e">
        <f>#REF!</f>
        <v>#REF!</v>
      </c>
      <c r="H1042" s="159">
        <f>'27'!R1002</f>
        <v>0</v>
      </c>
      <c r="I1042" s="159">
        <f>'27'!S1002</f>
        <v>0</v>
      </c>
      <c r="J1042" s="159"/>
      <c r="K1042" s="101">
        <f>'27'!T1002</f>
        <v>0</v>
      </c>
      <c r="L1042" s="81" t="e">
        <f>#REF!</f>
        <v>#REF!</v>
      </c>
      <c r="M1042" s="100" t="e">
        <f>#REF!</f>
        <v>#REF!</v>
      </c>
      <c r="N1042" s="159"/>
      <c r="O1042" s="101" t="e">
        <f>#REF!</f>
        <v>#REF!</v>
      </c>
      <c r="P1042" s="102" t="e">
        <f>IF(#REF!=0,"",#REF!)</f>
        <v>#REF!</v>
      </c>
      <c r="Q1042" s="108" t="e">
        <f>IF(#REF!=0,"",#REF!)</f>
        <v>#REF!</v>
      </c>
      <c r="R1042" s="81" t="e">
        <f>IF(#REF!=0,"",#REF!)</f>
        <v>#REF!</v>
      </c>
      <c r="S1042" s="81" t="e">
        <f>IF(#REF!=0,"",#REF!)</f>
        <v>#REF!</v>
      </c>
      <c r="T1042" s="268"/>
      <c r="U1042" s="268"/>
      <c r="V1042" s="268"/>
    </row>
    <row r="1043" ht="15" customHeight="1" spans="2:22">
      <c r="B1043" s="6" t="e">
        <f t="shared" si="18"/>
        <v>#REF!</v>
      </c>
      <c r="C1043" s="31" t="e">
        <f>#REF!</f>
        <v>#REF!</v>
      </c>
      <c r="D1043" s="32" t="e">
        <f>IF(#REF!=0,"",#REF!)</f>
        <v>#REF!</v>
      </c>
      <c r="E1043" s="36" t="e">
        <f>IF(#REF!=0,"",#REF!)</f>
        <v>#REF!</v>
      </c>
      <c r="F1043" s="36" t="e">
        <f>IF(#REF!=0,"",#REF!)</f>
        <v>#REF!</v>
      </c>
      <c r="G1043" s="103">
        <f>'27'!Q1003</f>
        <v>0</v>
      </c>
      <c r="H1043" s="160">
        <f>'27'!R1003</f>
        <v>0</v>
      </c>
      <c r="I1043" s="160">
        <f>'27'!S1003</f>
        <v>0</v>
      </c>
      <c r="J1043" s="160"/>
      <c r="K1043" s="104">
        <f>'27'!T1003</f>
        <v>0</v>
      </c>
      <c r="L1043" s="36" t="e">
        <f>#REF!</f>
        <v>#REF!</v>
      </c>
      <c r="M1043" s="103" t="e">
        <f>#REF!</f>
        <v>#REF!</v>
      </c>
      <c r="N1043" s="160"/>
      <c r="O1043" s="104" t="e">
        <f>#REF!</f>
        <v>#REF!</v>
      </c>
      <c r="P1043" s="52" t="e">
        <f>IF(#REF!=0,"",#REF!)</f>
        <v>#REF!</v>
      </c>
      <c r="Q1043" s="109" t="e">
        <f>IF(#REF!=0,"",#REF!)</f>
        <v>#REF!</v>
      </c>
      <c r="R1043" s="36" t="e">
        <f>IF(#REF!=0,"",#REF!)</f>
        <v>#REF!</v>
      </c>
      <c r="S1043" s="36" t="e">
        <f>IF(#REF!=0,"",#REF!)</f>
        <v>#REF!</v>
      </c>
      <c r="T1043" s="268"/>
      <c r="U1043" s="268"/>
      <c r="V1043" s="268"/>
    </row>
    <row r="1044" ht="15" customHeight="1" spans="2:22">
      <c r="B1044" s="6" t="e">
        <f t="shared" si="18"/>
        <v>#REF!</v>
      </c>
      <c r="C1044" s="83" t="e">
        <f>#REF!</f>
        <v>#REF!</v>
      </c>
      <c r="D1044" s="110" t="e">
        <f>IF(#REF!=0,"",#REF!)</f>
        <v>#REF!</v>
      </c>
      <c r="E1044" s="85" t="e">
        <f>IF(#REF!=0,"",#REF!)</f>
        <v>#REF!</v>
      </c>
      <c r="F1044" s="85" t="e">
        <f>IF(#REF!=0,"",#REF!)</f>
        <v>#REF!</v>
      </c>
      <c r="G1044" s="105">
        <f>'27'!Q1004</f>
        <v>0</v>
      </c>
      <c r="H1044" s="161">
        <f>'27'!R1004</f>
        <v>0</v>
      </c>
      <c r="I1044" s="161">
        <f>'27'!S1004</f>
        <v>0</v>
      </c>
      <c r="J1044" s="161"/>
      <c r="K1044" s="106">
        <f>'27'!T1004</f>
        <v>0</v>
      </c>
      <c r="L1044" s="85" t="e">
        <f>#REF!</f>
        <v>#REF!</v>
      </c>
      <c r="M1044" s="105" t="e">
        <f>#REF!</f>
        <v>#REF!</v>
      </c>
      <c r="N1044" s="161"/>
      <c r="O1044" s="106" t="e">
        <f>#REF!</f>
        <v>#REF!</v>
      </c>
      <c r="P1044" s="107" t="e">
        <f>IF(#REF!=0,"",#REF!)</f>
        <v>#REF!</v>
      </c>
      <c r="Q1044" s="111" t="e">
        <f>IF(#REF!=0,"",#REF!)</f>
        <v>#REF!</v>
      </c>
      <c r="R1044" s="85" t="e">
        <f>IF(#REF!=0,"",#REF!)</f>
        <v>#REF!</v>
      </c>
      <c r="S1044" s="85" t="e">
        <f>IF(#REF!=0,"",#REF!)</f>
        <v>#REF!</v>
      </c>
      <c r="T1044" s="268"/>
      <c r="U1044" s="268"/>
      <c r="V1044" s="268"/>
    </row>
    <row r="1045" ht="15" customHeight="1" spans="2:22">
      <c r="B1045" s="6" t="e">
        <f t="shared" si="18"/>
        <v>#REF!</v>
      </c>
      <c r="C1045" s="79" t="e">
        <f>#REF!</f>
        <v>#REF!</v>
      </c>
      <c r="D1045" s="62" t="e">
        <f>IF(#REF!=0,"",#REF!)</f>
        <v>#REF!</v>
      </c>
      <c r="E1045" s="81" t="e">
        <f>IF(#REF!=0,"",#REF!)</f>
        <v>#REF!</v>
      </c>
      <c r="F1045" s="81" t="e">
        <f>IF(#REF!=0,"",#REF!)</f>
        <v>#REF!</v>
      </c>
      <c r="G1045" s="100" t="e">
        <f>#REF!</f>
        <v>#REF!</v>
      </c>
      <c r="H1045" s="159">
        <f>'27'!R1005</f>
        <v>0</v>
      </c>
      <c r="I1045" s="159">
        <f>'27'!S1005</f>
        <v>0</v>
      </c>
      <c r="J1045" s="159"/>
      <c r="K1045" s="101">
        <f>'27'!T1005</f>
        <v>0</v>
      </c>
      <c r="L1045" s="81" t="e">
        <f>#REF!</f>
        <v>#REF!</v>
      </c>
      <c r="M1045" s="100" t="e">
        <f>#REF!</f>
        <v>#REF!</v>
      </c>
      <c r="N1045" s="159"/>
      <c r="O1045" s="101" t="e">
        <f>#REF!</f>
        <v>#REF!</v>
      </c>
      <c r="P1045" s="102" t="e">
        <f>IF(#REF!=0,"",#REF!)</f>
        <v>#REF!</v>
      </c>
      <c r="Q1045" s="108" t="e">
        <f>IF(#REF!=0,"",#REF!)</f>
        <v>#REF!</v>
      </c>
      <c r="R1045" s="81" t="e">
        <f>IF(#REF!=0,"",#REF!)</f>
        <v>#REF!</v>
      </c>
      <c r="S1045" s="81" t="e">
        <f>IF(#REF!=0,"",#REF!)</f>
        <v>#REF!</v>
      </c>
      <c r="T1045" s="268"/>
      <c r="U1045" s="268"/>
      <c r="V1045" s="268"/>
    </row>
    <row r="1046" ht="15" customHeight="1" spans="2:22">
      <c r="B1046" s="6" t="e">
        <f t="shared" si="18"/>
        <v>#REF!</v>
      </c>
      <c r="C1046" s="31" t="e">
        <f>#REF!</f>
        <v>#REF!</v>
      </c>
      <c r="D1046" s="32" t="e">
        <f>IF(#REF!=0,"",#REF!)</f>
        <v>#REF!</v>
      </c>
      <c r="E1046" s="36" t="e">
        <f>IF(#REF!=0,"",#REF!)</f>
        <v>#REF!</v>
      </c>
      <c r="F1046" s="36" t="e">
        <f>IF(#REF!=0,"",#REF!)</f>
        <v>#REF!</v>
      </c>
      <c r="G1046" s="103">
        <f>'27'!Q1006</f>
        <v>0</v>
      </c>
      <c r="H1046" s="160">
        <f>'27'!R1006</f>
        <v>0</v>
      </c>
      <c r="I1046" s="160">
        <f>'27'!S1006</f>
        <v>0</v>
      </c>
      <c r="J1046" s="160"/>
      <c r="K1046" s="104">
        <f>'27'!T1006</f>
        <v>0</v>
      </c>
      <c r="L1046" s="36" t="e">
        <f>#REF!</f>
        <v>#REF!</v>
      </c>
      <c r="M1046" s="103" t="e">
        <f>#REF!</f>
        <v>#REF!</v>
      </c>
      <c r="N1046" s="160"/>
      <c r="O1046" s="104" t="e">
        <f>#REF!</f>
        <v>#REF!</v>
      </c>
      <c r="P1046" s="52" t="e">
        <f>IF(#REF!=0,"",#REF!)</f>
        <v>#REF!</v>
      </c>
      <c r="Q1046" s="109" t="e">
        <f>IF(#REF!=0,"",#REF!)</f>
        <v>#REF!</v>
      </c>
      <c r="R1046" s="36" t="e">
        <f>IF(#REF!=0,"",#REF!)</f>
        <v>#REF!</v>
      </c>
      <c r="S1046" s="36" t="e">
        <f>IF(#REF!=0,"",#REF!)</f>
        <v>#REF!</v>
      </c>
      <c r="T1046" s="268"/>
      <c r="U1046" s="268"/>
      <c r="V1046" s="268"/>
    </row>
    <row r="1047" ht="15" customHeight="1" spans="2:22">
      <c r="B1047" s="6" t="e">
        <f t="shared" si="18"/>
        <v>#REF!</v>
      </c>
      <c r="C1047" s="83" t="e">
        <f>#REF!</f>
        <v>#REF!</v>
      </c>
      <c r="D1047" s="110" t="e">
        <f>IF(#REF!=0,"",#REF!)</f>
        <v>#REF!</v>
      </c>
      <c r="E1047" s="85" t="e">
        <f>IF(#REF!=0,"",#REF!)</f>
        <v>#REF!</v>
      </c>
      <c r="F1047" s="85" t="e">
        <f>IF(#REF!=0,"",#REF!)</f>
        <v>#REF!</v>
      </c>
      <c r="G1047" s="105">
        <f>'27'!Q1007</f>
        <v>0</v>
      </c>
      <c r="H1047" s="161">
        <f>'27'!R1007</f>
        <v>0</v>
      </c>
      <c r="I1047" s="161">
        <f>'27'!S1007</f>
        <v>0</v>
      </c>
      <c r="J1047" s="161"/>
      <c r="K1047" s="106">
        <f>'27'!T1007</f>
        <v>0</v>
      </c>
      <c r="L1047" s="85" t="e">
        <f>#REF!</f>
        <v>#REF!</v>
      </c>
      <c r="M1047" s="105" t="e">
        <f>#REF!</f>
        <v>#REF!</v>
      </c>
      <c r="N1047" s="161"/>
      <c r="O1047" s="106" t="e">
        <f>#REF!</f>
        <v>#REF!</v>
      </c>
      <c r="P1047" s="107" t="e">
        <f>IF(#REF!=0,"",#REF!)</f>
        <v>#REF!</v>
      </c>
      <c r="Q1047" s="111" t="e">
        <f>IF(#REF!=0,"",#REF!)</f>
        <v>#REF!</v>
      </c>
      <c r="R1047" s="85" t="e">
        <f>IF(#REF!=0,"",#REF!)</f>
        <v>#REF!</v>
      </c>
      <c r="S1047" s="85" t="e">
        <f>IF(#REF!=0,"",#REF!)</f>
        <v>#REF!</v>
      </c>
      <c r="T1047" s="268"/>
      <c r="U1047" s="268"/>
      <c r="V1047" s="268"/>
    </row>
    <row r="1048" ht="15" customHeight="1" spans="2:22">
      <c r="B1048" s="6" t="e">
        <f t="shared" si="18"/>
        <v>#REF!</v>
      </c>
      <c r="C1048" s="79" t="e">
        <f>#REF!</f>
        <v>#REF!</v>
      </c>
      <c r="D1048" s="62" t="e">
        <f>IF(#REF!=0,"",#REF!)</f>
        <v>#REF!</v>
      </c>
      <c r="E1048" s="81" t="e">
        <f>IF(#REF!=0,"",#REF!)</f>
        <v>#REF!</v>
      </c>
      <c r="F1048" s="81" t="e">
        <f>IF(#REF!=0,"",#REF!)</f>
        <v>#REF!</v>
      </c>
      <c r="G1048" s="100" t="e">
        <f>#REF!</f>
        <v>#REF!</v>
      </c>
      <c r="H1048" s="159">
        <f>'27'!R1008</f>
        <v>0</v>
      </c>
      <c r="I1048" s="159">
        <f>'27'!S1008</f>
        <v>0</v>
      </c>
      <c r="J1048" s="159"/>
      <c r="K1048" s="101">
        <f>'27'!T1008</f>
        <v>0</v>
      </c>
      <c r="L1048" s="81" t="e">
        <f>#REF!</f>
        <v>#REF!</v>
      </c>
      <c r="M1048" s="100" t="e">
        <f>#REF!</f>
        <v>#REF!</v>
      </c>
      <c r="N1048" s="159"/>
      <c r="O1048" s="101" t="e">
        <f>#REF!</f>
        <v>#REF!</v>
      </c>
      <c r="P1048" s="102" t="e">
        <f>IF(#REF!=0,"",#REF!)</f>
        <v>#REF!</v>
      </c>
      <c r="Q1048" s="108" t="e">
        <f>IF(#REF!=0,"",#REF!)</f>
        <v>#REF!</v>
      </c>
      <c r="R1048" s="81" t="e">
        <f>IF(#REF!=0,"",#REF!)</f>
        <v>#REF!</v>
      </c>
      <c r="S1048" s="81" t="e">
        <f>IF(#REF!=0,"",#REF!)</f>
        <v>#REF!</v>
      </c>
      <c r="T1048" s="268"/>
      <c r="U1048" s="268"/>
      <c r="V1048" s="268"/>
    </row>
    <row r="1049" ht="15" customHeight="1" spans="2:22">
      <c r="B1049" s="6" t="e">
        <f t="shared" si="18"/>
        <v>#REF!</v>
      </c>
      <c r="C1049" s="31" t="e">
        <f>#REF!</f>
        <v>#REF!</v>
      </c>
      <c r="D1049" s="32" t="e">
        <f>IF(#REF!=0,"",#REF!)</f>
        <v>#REF!</v>
      </c>
      <c r="E1049" s="36" t="e">
        <f>IF(#REF!=0,"",#REF!)</f>
        <v>#REF!</v>
      </c>
      <c r="F1049" s="36" t="e">
        <f>IF(#REF!=0,"",#REF!)</f>
        <v>#REF!</v>
      </c>
      <c r="G1049" s="103">
        <f>'27'!Q1009</f>
        <v>0</v>
      </c>
      <c r="H1049" s="160">
        <f>'27'!R1009</f>
        <v>0</v>
      </c>
      <c r="I1049" s="160">
        <f>'27'!S1009</f>
        <v>0</v>
      </c>
      <c r="J1049" s="160"/>
      <c r="K1049" s="104">
        <f>'27'!T1009</f>
        <v>0</v>
      </c>
      <c r="L1049" s="36" t="e">
        <f>#REF!</f>
        <v>#REF!</v>
      </c>
      <c r="M1049" s="103" t="e">
        <f>#REF!</f>
        <v>#REF!</v>
      </c>
      <c r="N1049" s="160"/>
      <c r="O1049" s="104" t="e">
        <f>#REF!</f>
        <v>#REF!</v>
      </c>
      <c r="P1049" s="52" t="e">
        <f>IF(#REF!=0,"",#REF!)</f>
        <v>#REF!</v>
      </c>
      <c r="Q1049" s="109" t="e">
        <f>IF(#REF!=0,"",#REF!)</f>
        <v>#REF!</v>
      </c>
      <c r="R1049" s="36" t="e">
        <f>IF(#REF!=0,"",#REF!)</f>
        <v>#REF!</v>
      </c>
      <c r="S1049" s="36" t="e">
        <f>IF(#REF!=0,"",#REF!)</f>
        <v>#REF!</v>
      </c>
      <c r="T1049" s="268"/>
      <c r="U1049" s="268"/>
      <c r="V1049" s="268"/>
    </row>
    <row r="1050" ht="15" customHeight="1" spans="2:22">
      <c r="B1050" s="6" t="e">
        <f t="shared" si="18"/>
        <v>#REF!</v>
      </c>
      <c r="C1050" s="83" t="e">
        <f>#REF!</f>
        <v>#REF!</v>
      </c>
      <c r="D1050" s="110" t="e">
        <f>IF(#REF!=0,"",#REF!)</f>
        <v>#REF!</v>
      </c>
      <c r="E1050" s="85" t="e">
        <f>IF(#REF!=0,"",#REF!)</f>
        <v>#REF!</v>
      </c>
      <c r="F1050" s="85" t="e">
        <f>IF(#REF!=0,"",#REF!)</f>
        <v>#REF!</v>
      </c>
      <c r="G1050" s="105">
        <f>'27'!Q1010</f>
        <v>0</v>
      </c>
      <c r="H1050" s="161">
        <f>'27'!R1010</f>
        <v>0</v>
      </c>
      <c r="I1050" s="161">
        <f>'27'!S1010</f>
        <v>0</v>
      </c>
      <c r="J1050" s="161"/>
      <c r="K1050" s="106">
        <f>'27'!T1010</f>
        <v>0</v>
      </c>
      <c r="L1050" s="85" t="e">
        <f>#REF!</f>
        <v>#REF!</v>
      </c>
      <c r="M1050" s="105" t="e">
        <f>#REF!</f>
        <v>#REF!</v>
      </c>
      <c r="N1050" s="161"/>
      <c r="O1050" s="106" t="e">
        <f>#REF!</f>
        <v>#REF!</v>
      </c>
      <c r="P1050" s="107" t="e">
        <f>IF(#REF!=0,"",#REF!)</f>
        <v>#REF!</v>
      </c>
      <c r="Q1050" s="111" t="e">
        <f>IF(#REF!=0,"",#REF!)</f>
        <v>#REF!</v>
      </c>
      <c r="R1050" s="85" t="e">
        <f>IF(#REF!=0,"",#REF!)</f>
        <v>#REF!</v>
      </c>
      <c r="S1050" s="85" t="e">
        <f>IF(#REF!=0,"",#REF!)</f>
        <v>#REF!</v>
      </c>
      <c r="T1050" s="268"/>
      <c r="U1050" s="268"/>
      <c r="V1050" s="268"/>
    </row>
    <row r="1051" ht="15" customHeight="1" spans="2:22">
      <c r="B1051" s="6" t="e">
        <f t="shared" si="18"/>
        <v>#REF!</v>
      </c>
      <c r="C1051" s="79" t="e">
        <f>#REF!</f>
        <v>#REF!</v>
      </c>
      <c r="D1051" s="62" t="e">
        <f>IF(#REF!=0,"",#REF!)</f>
        <v>#REF!</v>
      </c>
      <c r="E1051" s="81" t="e">
        <f>IF(#REF!=0,"",#REF!)</f>
        <v>#REF!</v>
      </c>
      <c r="F1051" s="81" t="e">
        <f>IF(#REF!=0,"",#REF!)</f>
        <v>#REF!</v>
      </c>
      <c r="G1051" s="100" t="e">
        <f>#REF!</f>
        <v>#REF!</v>
      </c>
      <c r="H1051" s="159">
        <f>'27'!R1011</f>
        <v>0</v>
      </c>
      <c r="I1051" s="159">
        <f>'27'!S1011</f>
        <v>0</v>
      </c>
      <c r="J1051" s="159"/>
      <c r="K1051" s="101">
        <f>'27'!T1011</f>
        <v>0</v>
      </c>
      <c r="L1051" s="81" t="e">
        <f>#REF!</f>
        <v>#REF!</v>
      </c>
      <c r="M1051" s="100" t="e">
        <f>#REF!</f>
        <v>#REF!</v>
      </c>
      <c r="N1051" s="159"/>
      <c r="O1051" s="101" t="e">
        <f>#REF!</f>
        <v>#REF!</v>
      </c>
      <c r="P1051" s="102" t="e">
        <f>IF(#REF!=0,"",#REF!)</f>
        <v>#REF!</v>
      </c>
      <c r="Q1051" s="108" t="e">
        <f>IF(#REF!=0,"",#REF!)</f>
        <v>#REF!</v>
      </c>
      <c r="R1051" s="81" t="e">
        <f>IF(#REF!=0,"",#REF!)</f>
        <v>#REF!</v>
      </c>
      <c r="S1051" s="81" t="e">
        <f>IF(#REF!=0,"",#REF!)</f>
        <v>#REF!</v>
      </c>
      <c r="T1051" s="268"/>
      <c r="U1051" s="268"/>
      <c r="V1051" s="268"/>
    </row>
    <row r="1052" ht="15" customHeight="1" spans="2:22">
      <c r="B1052" s="6" t="e">
        <f t="shared" si="18"/>
        <v>#REF!</v>
      </c>
      <c r="C1052" s="31" t="e">
        <f>#REF!</f>
        <v>#REF!</v>
      </c>
      <c r="D1052" s="32" t="e">
        <f>IF(#REF!=0,"",#REF!)</f>
        <v>#REF!</v>
      </c>
      <c r="E1052" s="36" t="e">
        <f>IF(#REF!=0,"",#REF!)</f>
        <v>#REF!</v>
      </c>
      <c r="F1052" s="36" t="e">
        <f>IF(#REF!=0,"",#REF!)</f>
        <v>#REF!</v>
      </c>
      <c r="G1052" s="103">
        <f>'27'!Q1012</f>
        <v>0</v>
      </c>
      <c r="H1052" s="160">
        <f>'27'!R1012</f>
        <v>0</v>
      </c>
      <c r="I1052" s="160">
        <f>'27'!S1012</f>
        <v>0</v>
      </c>
      <c r="J1052" s="160"/>
      <c r="K1052" s="104">
        <f>'27'!T1012</f>
        <v>0</v>
      </c>
      <c r="L1052" s="36" t="e">
        <f>#REF!</f>
        <v>#REF!</v>
      </c>
      <c r="M1052" s="103" t="e">
        <f>#REF!</f>
        <v>#REF!</v>
      </c>
      <c r="N1052" s="160"/>
      <c r="O1052" s="104" t="e">
        <f>#REF!</f>
        <v>#REF!</v>
      </c>
      <c r="P1052" s="52" t="e">
        <f>IF(#REF!=0,"",#REF!)</f>
        <v>#REF!</v>
      </c>
      <c r="Q1052" s="109" t="e">
        <f>IF(#REF!=0,"",#REF!)</f>
        <v>#REF!</v>
      </c>
      <c r="R1052" s="36" t="e">
        <f>IF(#REF!=0,"",#REF!)</f>
        <v>#REF!</v>
      </c>
      <c r="S1052" s="36" t="e">
        <f>IF(#REF!=0,"",#REF!)</f>
        <v>#REF!</v>
      </c>
      <c r="T1052" s="268"/>
      <c r="U1052" s="268"/>
      <c r="V1052" s="268"/>
    </row>
    <row r="1053" ht="15" customHeight="1" spans="2:22">
      <c r="B1053" s="6" t="e">
        <f t="shared" si="18"/>
        <v>#REF!</v>
      </c>
      <c r="C1053" s="83" t="e">
        <f>#REF!</f>
        <v>#REF!</v>
      </c>
      <c r="D1053" s="110" t="e">
        <f>IF(#REF!=0,"",#REF!)</f>
        <v>#REF!</v>
      </c>
      <c r="E1053" s="85" t="e">
        <f>IF(#REF!=0,"",#REF!)</f>
        <v>#REF!</v>
      </c>
      <c r="F1053" s="85" t="e">
        <f>IF(#REF!=0,"",#REF!)</f>
        <v>#REF!</v>
      </c>
      <c r="G1053" s="105">
        <f>'27'!Q1013</f>
        <v>0</v>
      </c>
      <c r="H1053" s="161">
        <f>'27'!R1013</f>
        <v>0</v>
      </c>
      <c r="I1053" s="161">
        <f>'27'!S1013</f>
        <v>0</v>
      </c>
      <c r="J1053" s="161"/>
      <c r="K1053" s="106">
        <f>'27'!T1013</f>
        <v>0</v>
      </c>
      <c r="L1053" s="85" t="e">
        <f>#REF!</f>
        <v>#REF!</v>
      </c>
      <c r="M1053" s="105" t="e">
        <f>#REF!</f>
        <v>#REF!</v>
      </c>
      <c r="N1053" s="161"/>
      <c r="O1053" s="106" t="e">
        <f>#REF!</f>
        <v>#REF!</v>
      </c>
      <c r="P1053" s="107" t="e">
        <f>IF(#REF!=0,"",#REF!)</f>
        <v>#REF!</v>
      </c>
      <c r="Q1053" s="111" t="e">
        <f>IF(#REF!=0,"",#REF!)</f>
        <v>#REF!</v>
      </c>
      <c r="R1053" s="85" t="e">
        <f>IF(#REF!=0,"",#REF!)</f>
        <v>#REF!</v>
      </c>
      <c r="S1053" s="85" t="e">
        <f>IF(#REF!=0,"",#REF!)</f>
        <v>#REF!</v>
      </c>
      <c r="T1053" s="268"/>
      <c r="U1053" s="268"/>
      <c r="V1053" s="268"/>
    </row>
    <row r="1054" ht="15" customHeight="1" spans="2:22">
      <c r="B1054" s="6" t="e">
        <f t="shared" si="18"/>
        <v>#REF!</v>
      </c>
      <c r="C1054" s="79" t="e">
        <f>#REF!</f>
        <v>#REF!</v>
      </c>
      <c r="D1054" s="62" t="e">
        <f>IF(#REF!=0,"",#REF!)</f>
        <v>#REF!</v>
      </c>
      <c r="E1054" s="81" t="e">
        <f>IF(#REF!=0,"",#REF!)</f>
        <v>#REF!</v>
      </c>
      <c r="F1054" s="81" t="e">
        <f>IF(#REF!=0,"",#REF!)</f>
        <v>#REF!</v>
      </c>
      <c r="G1054" s="100" t="e">
        <f>#REF!</f>
        <v>#REF!</v>
      </c>
      <c r="H1054" s="159">
        <f>'27'!R1014</f>
        <v>0</v>
      </c>
      <c r="I1054" s="159">
        <f>'27'!S1014</f>
        <v>0</v>
      </c>
      <c r="J1054" s="159"/>
      <c r="K1054" s="101">
        <f>'27'!T1014</f>
        <v>0</v>
      </c>
      <c r="L1054" s="81" t="e">
        <f>#REF!</f>
        <v>#REF!</v>
      </c>
      <c r="M1054" s="100" t="e">
        <f>#REF!</f>
        <v>#REF!</v>
      </c>
      <c r="N1054" s="159"/>
      <c r="O1054" s="101" t="e">
        <f>#REF!</f>
        <v>#REF!</v>
      </c>
      <c r="P1054" s="102" t="e">
        <f>IF(#REF!=0,"",#REF!)</f>
        <v>#REF!</v>
      </c>
      <c r="Q1054" s="108" t="e">
        <f>IF(#REF!=0,"",#REF!)</f>
        <v>#REF!</v>
      </c>
      <c r="R1054" s="81" t="e">
        <f>IF(#REF!=0,"",#REF!)</f>
        <v>#REF!</v>
      </c>
      <c r="S1054" s="81" t="e">
        <f>IF(#REF!=0,"",#REF!)</f>
        <v>#REF!</v>
      </c>
      <c r="T1054" s="268"/>
      <c r="U1054" s="268"/>
      <c r="V1054" s="268"/>
    </row>
    <row r="1055" ht="15" customHeight="1" spans="2:22">
      <c r="B1055" s="6" t="e">
        <f t="shared" si="18"/>
        <v>#REF!</v>
      </c>
      <c r="C1055" s="31" t="e">
        <f>#REF!</f>
        <v>#REF!</v>
      </c>
      <c r="D1055" s="32" t="e">
        <f>IF(#REF!=0,"",#REF!)</f>
        <v>#REF!</v>
      </c>
      <c r="E1055" s="36" t="e">
        <f>IF(#REF!=0,"",#REF!)</f>
        <v>#REF!</v>
      </c>
      <c r="F1055" s="36" t="e">
        <f>IF(#REF!=0,"",#REF!)</f>
        <v>#REF!</v>
      </c>
      <c r="G1055" s="103">
        <f>'27'!Q1015</f>
        <v>0</v>
      </c>
      <c r="H1055" s="160">
        <f>'27'!R1015</f>
        <v>0</v>
      </c>
      <c r="I1055" s="160">
        <f>'27'!S1015</f>
        <v>0</v>
      </c>
      <c r="J1055" s="160"/>
      <c r="K1055" s="104">
        <f>'27'!T1015</f>
        <v>0</v>
      </c>
      <c r="L1055" s="36" t="e">
        <f>#REF!</f>
        <v>#REF!</v>
      </c>
      <c r="M1055" s="103" t="e">
        <f>#REF!</f>
        <v>#REF!</v>
      </c>
      <c r="N1055" s="160"/>
      <c r="O1055" s="104" t="e">
        <f>#REF!</f>
        <v>#REF!</v>
      </c>
      <c r="P1055" s="52" t="e">
        <f>IF(#REF!=0,"",#REF!)</f>
        <v>#REF!</v>
      </c>
      <c r="Q1055" s="109" t="e">
        <f>IF(#REF!=0,"",#REF!)</f>
        <v>#REF!</v>
      </c>
      <c r="R1055" s="36" t="e">
        <f>IF(#REF!=0,"",#REF!)</f>
        <v>#REF!</v>
      </c>
      <c r="S1055" s="36" t="e">
        <f>IF(#REF!=0,"",#REF!)</f>
        <v>#REF!</v>
      </c>
      <c r="T1055" s="268"/>
      <c r="U1055" s="268"/>
      <c r="V1055" s="268"/>
    </row>
    <row r="1056" ht="15" customHeight="1" spans="2:22">
      <c r="B1056" s="6" t="e">
        <f t="shared" si="18"/>
        <v>#REF!</v>
      </c>
      <c r="C1056" s="83" t="e">
        <f>#REF!</f>
        <v>#REF!</v>
      </c>
      <c r="D1056" s="110" t="e">
        <f>IF(#REF!=0,"",#REF!)</f>
        <v>#REF!</v>
      </c>
      <c r="E1056" s="85" t="e">
        <f>IF(#REF!=0,"",#REF!)</f>
        <v>#REF!</v>
      </c>
      <c r="F1056" s="85" t="e">
        <f>IF(#REF!=0,"",#REF!)</f>
        <v>#REF!</v>
      </c>
      <c r="G1056" s="105">
        <f>'27'!Q1016</f>
        <v>0</v>
      </c>
      <c r="H1056" s="161">
        <f>'27'!R1016</f>
        <v>0</v>
      </c>
      <c r="I1056" s="161">
        <f>'27'!S1016</f>
        <v>0</v>
      </c>
      <c r="J1056" s="161"/>
      <c r="K1056" s="106">
        <f>'27'!T1016</f>
        <v>0</v>
      </c>
      <c r="L1056" s="85" t="e">
        <f>#REF!</f>
        <v>#REF!</v>
      </c>
      <c r="M1056" s="105" t="e">
        <f>#REF!</f>
        <v>#REF!</v>
      </c>
      <c r="N1056" s="161"/>
      <c r="O1056" s="106" t="e">
        <f>#REF!</f>
        <v>#REF!</v>
      </c>
      <c r="P1056" s="107" t="e">
        <f>IF(#REF!=0,"",#REF!)</f>
        <v>#REF!</v>
      </c>
      <c r="Q1056" s="111" t="e">
        <f>IF(#REF!=0,"",#REF!)</f>
        <v>#REF!</v>
      </c>
      <c r="R1056" s="85" t="e">
        <f>IF(#REF!=0,"",#REF!)</f>
        <v>#REF!</v>
      </c>
      <c r="S1056" s="85" t="e">
        <f>IF(#REF!=0,"",#REF!)</f>
        <v>#REF!</v>
      </c>
      <c r="T1056" s="268"/>
      <c r="U1056" s="268"/>
      <c r="V1056" s="268"/>
    </row>
    <row r="1057" ht="15" customHeight="1" spans="2:22">
      <c r="B1057" s="6" t="e">
        <f t="shared" si="18"/>
        <v>#REF!</v>
      </c>
      <c r="C1057" s="79" t="e">
        <f>#REF!</f>
        <v>#REF!</v>
      </c>
      <c r="D1057" s="62" t="e">
        <f>IF(#REF!=0,"",#REF!)</f>
        <v>#REF!</v>
      </c>
      <c r="E1057" s="81" t="e">
        <f>IF(#REF!=0,"",#REF!)</f>
        <v>#REF!</v>
      </c>
      <c r="F1057" s="81" t="e">
        <f>IF(#REF!=0,"",#REF!)</f>
        <v>#REF!</v>
      </c>
      <c r="G1057" s="100" t="e">
        <f>#REF!</f>
        <v>#REF!</v>
      </c>
      <c r="H1057" s="159">
        <f>'27'!R1017</f>
        <v>0</v>
      </c>
      <c r="I1057" s="159">
        <f>'27'!S1017</f>
        <v>0</v>
      </c>
      <c r="J1057" s="159"/>
      <c r="K1057" s="101">
        <f>'27'!T1017</f>
        <v>0</v>
      </c>
      <c r="L1057" s="81" t="e">
        <f>#REF!</f>
        <v>#REF!</v>
      </c>
      <c r="M1057" s="100" t="e">
        <f>#REF!</f>
        <v>#REF!</v>
      </c>
      <c r="N1057" s="159"/>
      <c r="O1057" s="101" t="e">
        <f>#REF!</f>
        <v>#REF!</v>
      </c>
      <c r="P1057" s="102" t="e">
        <f>IF(#REF!=0,"",#REF!)</f>
        <v>#REF!</v>
      </c>
      <c r="Q1057" s="108" t="e">
        <f>IF(#REF!=0,"",#REF!)</f>
        <v>#REF!</v>
      </c>
      <c r="R1057" s="81" t="e">
        <f>IF(#REF!=0,"",#REF!)</f>
        <v>#REF!</v>
      </c>
      <c r="S1057" s="81" t="e">
        <f>IF(#REF!=0,"",#REF!)</f>
        <v>#REF!</v>
      </c>
      <c r="T1057" s="268"/>
      <c r="U1057" s="268"/>
      <c r="V1057" s="268"/>
    </row>
    <row r="1058" ht="15" customHeight="1" spans="2:22">
      <c r="B1058" s="6" t="e">
        <f t="shared" si="18"/>
        <v>#REF!</v>
      </c>
      <c r="C1058" s="31" t="e">
        <f>#REF!</f>
        <v>#REF!</v>
      </c>
      <c r="D1058" s="32" t="e">
        <f>IF(#REF!=0,"",#REF!)</f>
        <v>#REF!</v>
      </c>
      <c r="E1058" s="36" t="e">
        <f>IF(#REF!=0,"",#REF!)</f>
        <v>#REF!</v>
      </c>
      <c r="F1058" s="36" t="e">
        <f>IF(#REF!=0,"",#REF!)</f>
        <v>#REF!</v>
      </c>
      <c r="G1058" s="103">
        <f>'27'!Q1018</f>
        <v>0</v>
      </c>
      <c r="H1058" s="160">
        <f>'27'!R1018</f>
        <v>0</v>
      </c>
      <c r="I1058" s="160">
        <f>'27'!S1018</f>
        <v>0</v>
      </c>
      <c r="J1058" s="160"/>
      <c r="K1058" s="104">
        <f>'27'!T1018</f>
        <v>0</v>
      </c>
      <c r="L1058" s="36" t="e">
        <f>#REF!</f>
        <v>#REF!</v>
      </c>
      <c r="M1058" s="103" t="e">
        <f>#REF!</f>
        <v>#REF!</v>
      </c>
      <c r="N1058" s="160"/>
      <c r="O1058" s="104" t="e">
        <f>#REF!</f>
        <v>#REF!</v>
      </c>
      <c r="P1058" s="52" t="e">
        <f>IF(#REF!=0,"",#REF!)</f>
        <v>#REF!</v>
      </c>
      <c r="Q1058" s="109" t="e">
        <f>IF(#REF!=0,"",#REF!)</f>
        <v>#REF!</v>
      </c>
      <c r="R1058" s="36" t="e">
        <f>IF(#REF!=0,"",#REF!)</f>
        <v>#REF!</v>
      </c>
      <c r="S1058" s="36" t="e">
        <f>IF(#REF!=0,"",#REF!)</f>
        <v>#REF!</v>
      </c>
      <c r="T1058" s="268" t="s">
        <v>6594</v>
      </c>
      <c r="U1058" s="268"/>
      <c r="V1058" s="268"/>
    </row>
    <row r="1059" ht="15" customHeight="1" spans="2:22">
      <c r="B1059" s="6" t="e">
        <f t="shared" si="18"/>
        <v>#REF!</v>
      </c>
      <c r="C1059" s="83" t="e">
        <f>#REF!</f>
        <v>#REF!</v>
      </c>
      <c r="D1059" s="110" t="e">
        <f>IF(#REF!=0,"",#REF!)</f>
        <v>#REF!</v>
      </c>
      <c r="E1059" s="85" t="e">
        <f>IF(#REF!=0,"",#REF!)</f>
        <v>#REF!</v>
      </c>
      <c r="F1059" s="85" t="e">
        <f>IF(#REF!=0,"",#REF!)</f>
        <v>#REF!</v>
      </c>
      <c r="G1059" s="105">
        <f>'27'!Q1019</f>
        <v>0</v>
      </c>
      <c r="H1059" s="161">
        <f>'27'!R1019</f>
        <v>0</v>
      </c>
      <c r="I1059" s="161">
        <f>'27'!S1019</f>
        <v>0</v>
      </c>
      <c r="J1059" s="161"/>
      <c r="K1059" s="106">
        <f>'27'!T1019</f>
        <v>0</v>
      </c>
      <c r="L1059" s="85" t="e">
        <f>#REF!</f>
        <v>#REF!</v>
      </c>
      <c r="M1059" s="105" t="e">
        <f>#REF!</f>
        <v>#REF!</v>
      </c>
      <c r="N1059" s="161"/>
      <c r="O1059" s="106" t="e">
        <f>#REF!</f>
        <v>#REF!</v>
      </c>
      <c r="P1059" s="107" t="e">
        <f>IF(#REF!=0,"",#REF!)</f>
        <v>#REF!</v>
      </c>
      <c r="Q1059" s="111" t="e">
        <f>IF(#REF!=0,"",#REF!)</f>
        <v>#REF!</v>
      </c>
      <c r="R1059" s="85" t="e">
        <f>IF(#REF!=0,"",#REF!)</f>
        <v>#REF!</v>
      </c>
      <c r="S1059" s="85" t="e">
        <f>IF(#REF!=0,"",#REF!)</f>
        <v>#REF!</v>
      </c>
      <c r="T1059" s="268"/>
      <c r="U1059" s="268"/>
      <c r="V1059" s="268"/>
    </row>
    <row r="1060" ht="15" customHeight="1" spans="2:22">
      <c r="B1060" s="6" t="e">
        <f t="shared" si="18"/>
        <v>#REF!</v>
      </c>
      <c r="C1060" s="79" t="e">
        <f>#REF!</f>
        <v>#REF!</v>
      </c>
      <c r="D1060" s="62" t="e">
        <f>IF(#REF!=0,"",#REF!)</f>
        <v>#REF!</v>
      </c>
      <c r="E1060" s="81" t="e">
        <f>IF(#REF!=0,"",#REF!)</f>
        <v>#REF!</v>
      </c>
      <c r="F1060" s="81" t="e">
        <f>IF(#REF!=0,"",#REF!)</f>
        <v>#REF!</v>
      </c>
      <c r="G1060" s="100" t="e">
        <f>#REF!</f>
        <v>#REF!</v>
      </c>
      <c r="H1060" s="159">
        <f>'27'!R1020</f>
        <v>0</v>
      </c>
      <c r="I1060" s="159">
        <f>'27'!S1020</f>
        <v>0</v>
      </c>
      <c r="J1060" s="159"/>
      <c r="K1060" s="101">
        <f>'27'!T1020</f>
        <v>0</v>
      </c>
      <c r="L1060" s="81" t="e">
        <f>#REF!</f>
        <v>#REF!</v>
      </c>
      <c r="M1060" s="100" t="e">
        <f>#REF!</f>
        <v>#REF!</v>
      </c>
      <c r="N1060" s="159"/>
      <c r="O1060" s="101" t="e">
        <f>#REF!</f>
        <v>#REF!</v>
      </c>
      <c r="P1060" s="102" t="e">
        <f>IF(#REF!=0,"",#REF!)</f>
        <v>#REF!</v>
      </c>
      <c r="Q1060" s="108" t="e">
        <f>IF(#REF!=0,"",#REF!)</f>
        <v>#REF!</v>
      </c>
      <c r="R1060" s="81" t="e">
        <f>IF(#REF!=0,"",#REF!)</f>
        <v>#REF!</v>
      </c>
      <c r="S1060" s="81" t="e">
        <f>IF(#REF!=0,"",#REF!)</f>
        <v>#REF!</v>
      </c>
      <c r="T1060" s="268"/>
      <c r="U1060" s="268"/>
      <c r="V1060" s="268"/>
    </row>
    <row r="1061" ht="15" customHeight="1" spans="2:22">
      <c r="B1061" s="6" t="e">
        <f t="shared" si="18"/>
        <v>#REF!</v>
      </c>
      <c r="C1061" s="31" t="e">
        <f>#REF!</f>
        <v>#REF!</v>
      </c>
      <c r="D1061" s="32" t="e">
        <f>IF(#REF!=0,"",#REF!)</f>
        <v>#REF!</v>
      </c>
      <c r="E1061" s="36" t="e">
        <f>IF(#REF!=0,"",#REF!)</f>
        <v>#REF!</v>
      </c>
      <c r="F1061" s="36" t="e">
        <f>IF(#REF!=0,"",#REF!)</f>
        <v>#REF!</v>
      </c>
      <c r="G1061" s="103">
        <f>'27'!Q1021</f>
        <v>0</v>
      </c>
      <c r="H1061" s="160">
        <f>'27'!R1021</f>
        <v>0</v>
      </c>
      <c r="I1061" s="160">
        <f>'27'!S1021</f>
        <v>0</v>
      </c>
      <c r="J1061" s="160"/>
      <c r="K1061" s="104">
        <f>'27'!T1021</f>
        <v>0</v>
      </c>
      <c r="L1061" s="36" t="e">
        <f>#REF!</f>
        <v>#REF!</v>
      </c>
      <c r="M1061" s="103" t="e">
        <f>#REF!</f>
        <v>#REF!</v>
      </c>
      <c r="N1061" s="160"/>
      <c r="O1061" s="104" t="e">
        <f>#REF!</f>
        <v>#REF!</v>
      </c>
      <c r="P1061" s="52" t="e">
        <f>IF(#REF!=0,"",#REF!)</f>
        <v>#REF!</v>
      </c>
      <c r="Q1061" s="109" t="e">
        <f>IF(#REF!=0,"",#REF!)</f>
        <v>#REF!</v>
      </c>
      <c r="R1061" s="36" t="e">
        <f>IF(#REF!=0,"",#REF!)</f>
        <v>#REF!</v>
      </c>
      <c r="S1061" s="36" t="e">
        <f>IF(#REF!=0,"",#REF!)</f>
        <v>#REF!</v>
      </c>
      <c r="T1061" s="268"/>
      <c r="U1061" s="268"/>
      <c r="V1061" s="268"/>
    </row>
    <row r="1062" ht="15" customHeight="1" spans="2:22">
      <c r="B1062" s="6" t="e">
        <f t="shared" ref="B1062:B1125" si="19">COUNTA(C1062)-IF(C1062=0,1)+B1061</f>
        <v>#REF!</v>
      </c>
      <c r="C1062" s="83" t="e">
        <f>#REF!</f>
        <v>#REF!</v>
      </c>
      <c r="D1062" s="110" t="e">
        <f>IF(#REF!=0,"",#REF!)</f>
        <v>#REF!</v>
      </c>
      <c r="E1062" s="85" t="e">
        <f>IF(#REF!=0,"",#REF!)</f>
        <v>#REF!</v>
      </c>
      <c r="F1062" s="85" t="e">
        <f>IF(#REF!=0,"",#REF!)</f>
        <v>#REF!</v>
      </c>
      <c r="G1062" s="105">
        <f>'27'!Q1022</f>
        <v>0</v>
      </c>
      <c r="H1062" s="161">
        <f>'27'!R1022</f>
        <v>0</v>
      </c>
      <c r="I1062" s="161">
        <f>'27'!S1022</f>
        <v>0</v>
      </c>
      <c r="J1062" s="161"/>
      <c r="K1062" s="106">
        <f>'27'!T1022</f>
        <v>0</v>
      </c>
      <c r="L1062" s="85" t="e">
        <f>#REF!</f>
        <v>#REF!</v>
      </c>
      <c r="M1062" s="105" t="e">
        <f>#REF!</f>
        <v>#REF!</v>
      </c>
      <c r="N1062" s="161"/>
      <c r="O1062" s="106" t="e">
        <f>#REF!</f>
        <v>#REF!</v>
      </c>
      <c r="P1062" s="107" t="e">
        <f>IF(#REF!=0,"",#REF!)</f>
        <v>#REF!</v>
      </c>
      <c r="Q1062" s="111" t="e">
        <f>IF(#REF!=0,"",#REF!)</f>
        <v>#REF!</v>
      </c>
      <c r="R1062" s="85" t="e">
        <f>IF(#REF!=0,"",#REF!)</f>
        <v>#REF!</v>
      </c>
      <c r="S1062" s="85" t="e">
        <f>IF(#REF!=0,"",#REF!)</f>
        <v>#REF!</v>
      </c>
      <c r="T1062" s="268"/>
      <c r="U1062" s="268"/>
      <c r="V1062" s="268"/>
    </row>
    <row r="1063" ht="15" customHeight="1" spans="2:22">
      <c r="B1063" s="6" t="e">
        <f t="shared" si="19"/>
        <v>#REF!</v>
      </c>
      <c r="C1063" s="79" t="e">
        <f>#REF!</f>
        <v>#REF!</v>
      </c>
      <c r="D1063" s="62" t="e">
        <f>IF(#REF!=0,"",#REF!)</f>
        <v>#REF!</v>
      </c>
      <c r="E1063" s="81" t="e">
        <f>IF(#REF!=0,"",#REF!)</f>
        <v>#REF!</v>
      </c>
      <c r="F1063" s="81" t="e">
        <f>IF(#REF!=0,"",#REF!)</f>
        <v>#REF!</v>
      </c>
      <c r="G1063" s="100" t="e">
        <f>#REF!</f>
        <v>#REF!</v>
      </c>
      <c r="H1063" s="159">
        <f>'27'!R1023</f>
        <v>0</v>
      </c>
      <c r="I1063" s="159">
        <f>'27'!S1023</f>
        <v>0</v>
      </c>
      <c r="J1063" s="159"/>
      <c r="K1063" s="101">
        <f>'27'!T1023</f>
        <v>0</v>
      </c>
      <c r="L1063" s="81" t="e">
        <f>#REF!</f>
        <v>#REF!</v>
      </c>
      <c r="M1063" s="100" t="e">
        <f>#REF!</f>
        <v>#REF!</v>
      </c>
      <c r="N1063" s="159"/>
      <c r="O1063" s="101" t="e">
        <f>#REF!</f>
        <v>#REF!</v>
      </c>
      <c r="P1063" s="102" t="e">
        <f>IF(#REF!=0,"",#REF!)</f>
        <v>#REF!</v>
      </c>
      <c r="Q1063" s="108" t="e">
        <f>IF(#REF!=0,"",#REF!)</f>
        <v>#REF!</v>
      </c>
      <c r="R1063" s="81" t="e">
        <f>IF(#REF!=0,"",#REF!)</f>
        <v>#REF!</v>
      </c>
      <c r="S1063" s="81" t="e">
        <f>IF(#REF!=0,"",#REF!)</f>
        <v>#REF!</v>
      </c>
      <c r="T1063" s="268"/>
      <c r="U1063" s="268"/>
      <c r="V1063" s="268"/>
    </row>
    <row r="1064" ht="15" customHeight="1" spans="2:22">
      <c r="B1064" s="6" t="e">
        <f t="shared" si="19"/>
        <v>#REF!</v>
      </c>
      <c r="C1064" s="31" t="e">
        <f>#REF!</f>
        <v>#REF!</v>
      </c>
      <c r="D1064" s="32" t="e">
        <f>IF(#REF!=0,"",#REF!)</f>
        <v>#REF!</v>
      </c>
      <c r="E1064" s="36" t="e">
        <f>IF(#REF!=0,"",#REF!)</f>
        <v>#REF!</v>
      </c>
      <c r="F1064" s="36" t="e">
        <f>IF(#REF!=0,"",#REF!)</f>
        <v>#REF!</v>
      </c>
      <c r="G1064" s="103">
        <f>'27'!Q1024</f>
        <v>0</v>
      </c>
      <c r="H1064" s="160">
        <f>'27'!R1024</f>
        <v>0</v>
      </c>
      <c r="I1064" s="160">
        <f>'27'!S1024</f>
        <v>0</v>
      </c>
      <c r="J1064" s="160"/>
      <c r="K1064" s="104">
        <f>'27'!T1024</f>
        <v>0</v>
      </c>
      <c r="L1064" s="36" t="e">
        <f>#REF!</f>
        <v>#REF!</v>
      </c>
      <c r="M1064" s="103" t="e">
        <f>#REF!</f>
        <v>#REF!</v>
      </c>
      <c r="N1064" s="160"/>
      <c r="O1064" s="104" t="e">
        <f>#REF!</f>
        <v>#REF!</v>
      </c>
      <c r="P1064" s="52" t="e">
        <f>IF(#REF!=0,"",#REF!)</f>
        <v>#REF!</v>
      </c>
      <c r="Q1064" s="109" t="e">
        <f>IF(#REF!=0,"",#REF!)</f>
        <v>#REF!</v>
      </c>
      <c r="R1064" s="36" t="e">
        <f>IF(#REF!=0,"",#REF!)</f>
        <v>#REF!</v>
      </c>
      <c r="S1064" s="36" t="e">
        <f>IF(#REF!=0,"",#REF!)</f>
        <v>#REF!</v>
      </c>
      <c r="T1064" s="268"/>
      <c r="U1064" s="268"/>
      <c r="V1064" s="268"/>
    </row>
    <row r="1065" ht="15" customHeight="1" spans="2:22">
      <c r="B1065" s="6" t="e">
        <f t="shared" si="19"/>
        <v>#REF!</v>
      </c>
      <c r="C1065" s="83" t="e">
        <f>#REF!</f>
        <v>#REF!</v>
      </c>
      <c r="D1065" s="110" t="e">
        <f>IF(#REF!=0,"",#REF!)</f>
        <v>#REF!</v>
      </c>
      <c r="E1065" s="85" t="e">
        <f>IF(#REF!=0,"",#REF!)</f>
        <v>#REF!</v>
      </c>
      <c r="F1065" s="85" t="e">
        <f>IF(#REF!=0,"",#REF!)</f>
        <v>#REF!</v>
      </c>
      <c r="G1065" s="105">
        <f>'27'!Q1025</f>
        <v>0</v>
      </c>
      <c r="H1065" s="161">
        <f>'27'!R1025</f>
        <v>0</v>
      </c>
      <c r="I1065" s="161">
        <f>'27'!S1025</f>
        <v>0</v>
      </c>
      <c r="J1065" s="161"/>
      <c r="K1065" s="106">
        <f>'27'!T1025</f>
        <v>0</v>
      </c>
      <c r="L1065" s="85" t="e">
        <f>#REF!</f>
        <v>#REF!</v>
      </c>
      <c r="M1065" s="105" t="e">
        <f>#REF!</f>
        <v>#REF!</v>
      </c>
      <c r="N1065" s="161"/>
      <c r="O1065" s="106" t="e">
        <f>#REF!</f>
        <v>#REF!</v>
      </c>
      <c r="P1065" s="107" t="e">
        <f>IF(#REF!=0,"",#REF!)</f>
        <v>#REF!</v>
      </c>
      <c r="Q1065" s="111" t="e">
        <f>IF(#REF!=0,"",#REF!)</f>
        <v>#REF!</v>
      </c>
      <c r="R1065" s="85" t="e">
        <f>IF(#REF!=0,"",#REF!)</f>
        <v>#REF!</v>
      </c>
      <c r="S1065" s="85" t="e">
        <f>IF(#REF!=0,"",#REF!)</f>
        <v>#REF!</v>
      </c>
      <c r="T1065" s="268"/>
      <c r="U1065" s="268"/>
      <c r="V1065" s="268"/>
    </row>
    <row r="1066" ht="15" customHeight="1" spans="2:22">
      <c r="B1066" s="6" t="e">
        <f t="shared" si="19"/>
        <v>#REF!</v>
      </c>
      <c r="C1066" s="79" t="e">
        <f>#REF!</f>
        <v>#REF!</v>
      </c>
      <c r="D1066" s="62" t="e">
        <f>IF(#REF!=0,"",#REF!)</f>
        <v>#REF!</v>
      </c>
      <c r="E1066" s="81" t="e">
        <f>IF(#REF!=0,"",#REF!)</f>
        <v>#REF!</v>
      </c>
      <c r="F1066" s="81" t="e">
        <f>IF(#REF!=0,"",#REF!)</f>
        <v>#REF!</v>
      </c>
      <c r="G1066" s="100" t="e">
        <f>#REF!</f>
        <v>#REF!</v>
      </c>
      <c r="H1066" s="159">
        <f>'27'!R1026</f>
        <v>0</v>
      </c>
      <c r="I1066" s="159">
        <f>'27'!S1026</f>
        <v>0</v>
      </c>
      <c r="J1066" s="159"/>
      <c r="K1066" s="101">
        <f>'27'!T1026</f>
        <v>0</v>
      </c>
      <c r="L1066" s="81" t="e">
        <f>#REF!</f>
        <v>#REF!</v>
      </c>
      <c r="M1066" s="100" t="e">
        <f>#REF!</f>
        <v>#REF!</v>
      </c>
      <c r="N1066" s="159"/>
      <c r="O1066" s="101" t="e">
        <f>#REF!</f>
        <v>#REF!</v>
      </c>
      <c r="P1066" s="102" t="e">
        <f>IF(#REF!=0,"",#REF!)</f>
        <v>#REF!</v>
      </c>
      <c r="Q1066" s="108" t="e">
        <f>IF(#REF!=0,"",#REF!)</f>
        <v>#REF!</v>
      </c>
      <c r="R1066" s="81" t="e">
        <f>IF(#REF!=0,"",#REF!)</f>
        <v>#REF!</v>
      </c>
      <c r="S1066" s="81" t="e">
        <f>IF(#REF!=0,"",#REF!)</f>
        <v>#REF!</v>
      </c>
      <c r="T1066" s="268"/>
      <c r="U1066" s="268"/>
      <c r="V1066" s="268"/>
    </row>
    <row r="1067" ht="15" customHeight="1" spans="2:22">
      <c r="B1067" s="6" t="e">
        <f t="shared" si="19"/>
        <v>#REF!</v>
      </c>
      <c r="C1067" s="31" t="e">
        <f>#REF!</f>
        <v>#REF!</v>
      </c>
      <c r="D1067" s="32" t="e">
        <f>IF(#REF!=0,"",#REF!)</f>
        <v>#REF!</v>
      </c>
      <c r="E1067" s="36" t="e">
        <f>IF(#REF!=0,"",#REF!)</f>
        <v>#REF!</v>
      </c>
      <c r="F1067" s="36" t="e">
        <f>IF(#REF!=0,"",#REF!)</f>
        <v>#REF!</v>
      </c>
      <c r="G1067" s="103">
        <f>'27'!Q1027</f>
        <v>0</v>
      </c>
      <c r="H1067" s="160">
        <f>'27'!R1027</f>
        <v>0</v>
      </c>
      <c r="I1067" s="160">
        <f>'27'!S1027</f>
        <v>0</v>
      </c>
      <c r="J1067" s="160"/>
      <c r="K1067" s="104">
        <f>'27'!T1027</f>
        <v>0</v>
      </c>
      <c r="L1067" s="36" t="e">
        <f>#REF!</f>
        <v>#REF!</v>
      </c>
      <c r="M1067" s="103" t="e">
        <f>#REF!</f>
        <v>#REF!</v>
      </c>
      <c r="N1067" s="160"/>
      <c r="O1067" s="104" t="e">
        <f>#REF!</f>
        <v>#REF!</v>
      </c>
      <c r="P1067" s="52" t="e">
        <f>IF(#REF!=0,"",#REF!)</f>
        <v>#REF!</v>
      </c>
      <c r="Q1067" s="109" t="e">
        <f>IF(#REF!=0,"",#REF!)</f>
        <v>#REF!</v>
      </c>
      <c r="R1067" s="36" t="e">
        <f>IF(#REF!=0,"",#REF!)</f>
        <v>#REF!</v>
      </c>
      <c r="S1067" s="36" t="e">
        <f>IF(#REF!=0,"",#REF!)</f>
        <v>#REF!</v>
      </c>
      <c r="T1067" s="268"/>
      <c r="U1067" s="268"/>
      <c r="V1067" s="268"/>
    </row>
    <row r="1068" ht="15" customHeight="1" spans="2:22">
      <c r="B1068" s="6" t="e">
        <f t="shared" si="19"/>
        <v>#REF!</v>
      </c>
      <c r="C1068" s="83" t="e">
        <f>#REF!</f>
        <v>#REF!</v>
      </c>
      <c r="D1068" s="110" t="e">
        <f>IF(#REF!=0,"",#REF!)</f>
        <v>#REF!</v>
      </c>
      <c r="E1068" s="85" t="e">
        <f>IF(#REF!=0,"",#REF!)</f>
        <v>#REF!</v>
      </c>
      <c r="F1068" s="85" t="e">
        <f>IF(#REF!=0,"",#REF!)</f>
        <v>#REF!</v>
      </c>
      <c r="G1068" s="105">
        <f>'27'!Q1028</f>
        <v>0</v>
      </c>
      <c r="H1068" s="161">
        <f>'27'!R1028</f>
        <v>0</v>
      </c>
      <c r="I1068" s="161">
        <f>'27'!S1028</f>
        <v>0</v>
      </c>
      <c r="J1068" s="161"/>
      <c r="K1068" s="106">
        <f>'27'!T1028</f>
        <v>0</v>
      </c>
      <c r="L1068" s="85" t="e">
        <f>#REF!</f>
        <v>#REF!</v>
      </c>
      <c r="M1068" s="105" t="e">
        <f>#REF!</f>
        <v>#REF!</v>
      </c>
      <c r="N1068" s="161"/>
      <c r="O1068" s="106" t="e">
        <f>#REF!</f>
        <v>#REF!</v>
      </c>
      <c r="P1068" s="107" t="e">
        <f>IF(#REF!=0,"",#REF!)</f>
        <v>#REF!</v>
      </c>
      <c r="Q1068" s="111" t="e">
        <f>IF(#REF!=0,"",#REF!)</f>
        <v>#REF!</v>
      </c>
      <c r="R1068" s="85" t="e">
        <f>IF(#REF!=0,"",#REF!)</f>
        <v>#REF!</v>
      </c>
      <c r="S1068" s="85" t="e">
        <f>IF(#REF!=0,"",#REF!)</f>
        <v>#REF!</v>
      </c>
      <c r="T1068" s="268"/>
      <c r="U1068" s="268"/>
      <c r="V1068" s="268"/>
    </row>
    <row r="1069" ht="15" customHeight="1" spans="2:22">
      <c r="B1069" s="6" t="e">
        <f t="shared" si="19"/>
        <v>#REF!</v>
      </c>
      <c r="C1069" s="79" t="e">
        <f>#REF!</f>
        <v>#REF!</v>
      </c>
      <c r="D1069" s="62" t="e">
        <f>IF(#REF!=0,"",#REF!)</f>
        <v>#REF!</v>
      </c>
      <c r="E1069" s="81" t="e">
        <f>IF(#REF!=0,"",#REF!)</f>
        <v>#REF!</v>
      </c>
      <c r="F1069" s="81" t="e">
        <f>IF(#REF!=0,"",#REF!)</f>
        <v>#REF!</v>
      </c>
      <c r="G1069" s="100" t="e">
        <f>#REF!</f>
        <v>#REF!</v>
      </c>
      <c r="H1069" s="159">
        <f>'27'!R1029</f>
        <v>0</v>
      </c>
      <c r="I1069" s="159">
        <f>'27'!S1029</f>
        <v>0</v>
      </c>
      <c r="J1069" s="159"/>
      <c r="K1069" s="101">
        <f>'27'!T1029</f>
        <v>0</v>
      </c>
      <c r="L1069" s="81" t="e">
        <f>#REF!</f>
        <v>#REF!</v>
      </c>
      <c r="M1069" s="100" t="e">
        <f>#REF!</f>
        <v>#REF!</v>
      </c>
      <c r="N1069" s="159"/>
      <c r="O1069" s="101" t="e">
        <f>#REF!</f>
        <v>#REF!</v>
      </c>
      <c r="P1069" s="102" t="e">
        <f>IF(#REF!=0,"",#REF!)</f>
        <v>#REF!</v>
      </c>
      <c r="Q1069" s="108" t="e">
        <f>IF(#REF!=0,"",#REF!)</f>
        <v>#REF!</v>
      </c>
      <c r="R1069" s="81" t="e">
        <f>IF(#REF!=0,"",#REF!)</f>
        <v>#REF!</v>
      </c>
      <c r="S1069" s="81" t="e">
        <f>IF(#REF!=0,"",#REF!)</f>
        <v>#REF!</v>
      </c>
      <c r="T1069" s="268"/>
      <c r="U1069" s="268"/>
      <c r="V1069" s="268"/>
    </row>
    <row r="1070" ht="15" customHeight="1" spans="2:22">
      <c r="B1070" s="6" t="e">
        <f t="shared" si="19"/>
        <v>#REF!</v>
      </c>
      <c r="C1070" s="31" t="e">
        <f>#REF!</f>
        <v>#REF!</v>
      </c>
      <c r="D1070" s="32" t="e">
        <f>IF(#REF!=0,"",#REF!)</f>
        <v>#REF!</v>
      </c>
      <c r="E1070" s="36" t="e">
        <f>IF(#REF!=0,"",#REF!)</f>
        <v>#REF!</v>
      </c>
      <c r="F1070" s="36" t="e">
        <f>IF(#REF!=0,"",#REF!)</f>
        <v>#REF!</v>
      </c>
      <c r="G1070" s="103">
        <f>'27'!Q1030</f>
        <v>0</v>
      </c>
      <c r="H1070" s="160">
        <f>'27'!R1030</f>
        <v>0</v>
      </c>
      <c r="I1070" s="160">
        <f>'27'!S1030</f>
        <v>0</v>
      </c>
      <c r="J1070" s="160"/>
      <c r="K1070" s="104">
        <f>'27'!T1030</f>
        <v>0</v>
      </c>
      <c r="L1070" s="36" t="e">
        <f>#REF!</f>
        <v>#REF!</v>
      </c>
      <c r="M1070" s="103" t="e">
        <f>#REF!</f>
        <v>#REF!</v>
      </c>
      <c r="N1070" s="160"/>
      <c r="O1070" s="104" t="e">
        <f>#REF!</f>
        <v>#REF!</v>
      </c>
      <c r="P1070" s="52" t="e">
        <f>IF(#REF!=0,"",#REF!)</f>
        <v>#REF!</v>
      </c>
      <c r="Q1070" s="109" t="e">
        <f>IF(#REF!=0,"",#REF!)</f>
        <v>#REF!</v>
      </c>
      <c r="R1070" s="36" t="e">
        <f>IF(#REF!=0,"",#REF!)</f>
        <v>#REF!</v>
      </c>
      <c r="S1070" s="36" t="e">
        <f>IF(#REF!=0,"",#REF!)</f>
        <v>#REF!</v>
      </c>
      <c r="T1070" s="268"/>
      <c r="U1070" s="268"/>
      <c r="V1070" s="268"/>
    </row>
    <row r="1071" ht="15" customHeight="1" spans="2:22">
      <c r="B1071" s="6" t="e">
        <f t="shared" si="19"/>
        <v>#REF!</v>
      </c>
      <c r="C1071" s="83" t="e">
        <f>#REF!</f>
        <v>#REF!</v>
      </c>
      <c r="D1071" s="110" t="e">
        <f>IF(#REF!=0,"",#REF!)</f>
        <v>#REF!</v>
      </c>
      <c r="E1071" s="85" t="e">
        <f>IF(#REF!=0,"",#REF!)</f>
        <v>#REF!</v>
      </c>
      <c r="F1071" s="85" t="e">
        <f>IF(#REF!=0,"",#REF!)</f>
        <v>#REF!</v>
      </c>
      <c r="G1071" s="105">
        <f>'27'!Q1031</f>
        <v>0</v>
      </c>
      <c r="H1071" s="161">
        <f>'27'!R1031</f>
        <v>0</v>
      </c>
      <c r="I1071" s="161">
        <f>'27'!S1031</f>
        <v>0</v>
      </c>
      <c r="J1071" s="161"/>
      <c r="K1071" s="106">
        <f>'27'!T1031</f>
        <v>0</v>
      </c>
      <c r="L1071" s="85" t="e">
        <f>#REF!</f>
        <v>#REF!</v>
      </c>
      <c r="M1071" s="105" t="e">
        <f>#REF!</f>
        <v>#REF!</v>
      </c>
      <c r="N1071" s="161"/>
      <c r="O1071" s="106" t="e">
        <f>#REF!</f>
        <v>#REF!</v>
      </c>
      <c r="P1071" s="107" t="e">
        <f>IF(#REF!=0,"",#REF!)</f>
        <v>#REF!</v>
      </c>
      <c r="Q1071" s="111" t="e">
        <f>IF(#REF!=0,"",#REF!)</f>
        <v>#REF!</v>
      </c>
      <c r="R1071" s="85" t="e">
        <f>IF(#REF!=0,"",#REF!)</f>
        <v>#REF!</v>
      </c>
      <c r="S1071" s="85" t="e">
        <f>IF(#REF!=0,"",#REF!)</f>
        <v>#REF!</v>
      </c>
      <c r="T1071" s="268"/>
      <c r="U1071" s="268"/>
      <c r="V1071" s="268"/>
    </row>
    <row r="1072" ht="15" customHeight="1" spans="2:22">
      <c r="B1072" s="6" t="e">
        <f t="shared" si="19"/>
        <v>#REF!</v>
      </c>
      <c r="C1072" s="79" t="e">
        <f>#REF!</f>
        <v>#REF!</v>
      </c>
      <c r="D1072" s="62" t="e">
        <f>IF(#REF!=0,"",#REF!)</f>
        <v>#REF!</v>
      </c>
      <c r="E1072" s="81" t="e">
        <f>IF(#REF!=0,"",#REF!)</f>
        <v>#REF!</v>
      </c>
      <c r="F1072" s="81" t="e">
        <f>IF(#REF!=0,"",#REF!)</f>
        <v>#REF!</v>
      </c>
      <c r="G1072" s="100" t="e">
        <f>#REF!</f>
        <v>#REF!</v>
      </c>
      <c r="H1072" s="159">
        <f>'27'!R1032</f>
        <v>0</v>
      </c>
      <c r="I1072" s="159">
        <f>'27'!S1032</f>
        <v>0</v>
      </c>
      <c r="J1072" s="159"/>
      <c r="K1072" s="101">
        <f>'27'!T1032</f>
        <v>0</v>
      </c>
      <c r="L1072" s="81" t="e">
        <f>#REF!</f>
        <v>#REF!</v>
      </c>
      <c r="M1072" s="100" t="e">
        <f>#REF!</f>
        <v>#REF!</v>
      </c>
      <c r="N1072" s="159"/>
      <c r="O1072" s="101" t="e">
        <f>#REF!</f>
        <v>#REF!</v>
      </c>
      <c r="P1072" s="102" t="e">
        <f>IF(#REF!=0,"",#REF!)</f>
        <v>#REF!</v>
      </c>
      <c r="Q1072" s="108" t="e">
        <f>IF(#REF!=0,"",#REF!)</f>
        <v>#REF!</v>
      </c>
      <c r="R1072" s="81" t="e">
        <f>IF(#REF!=0,"",#REF!)</f>
        <v>#REF!</v>
      </c>
      <c r="S1072" s="81" t="e">
        <f>IF(#REF!=0,"",#REF!)</f>
        <v>#REF!</v>
      </c>
      <c r="T1072" s="268"/>
      <c r="U1072" s="268"/>
      <c r="V1072" s="268"/>
    </row>
    <row r="1073" ht="15" customHeight="1" spans="2:22">
      <c r="B1073" s="6" t="e">
        <f t="shared" si="19"/>
        <v>#REF!</v>
      </c>
      <c r="C1073" s="31" t="e">
        <f>#REF!</f>
        <v>#REF!</v>
      </c>
      <c r="D1073" s="32" t="e">
        <f>IF(#REF!=0,"",#REF!)</f>
        <v>#REF!</v>
      </c>
      <c r="E1073" s="36" t="e">
        <f>IF(#REF!=0,"",#REF!)</f>
        <v>#REF!</v>
      </c>
      <c r="F1073" s="36" t="e">
        <f>IF(#REF!=0,"",#REF!)</f>
        <v>#REF!</v>
      </c>
      <c r="G1073" s="103">
        <f>'27'!Q1033</f>
        <v>0</v>
      </c>
      <c r="H1073" s="160">
        <f>'27'!R1033</f>
        <v>0</v>
      </c>
      <c r="I1073" s="160">
        <f>'27'!S1033</f>
        <v>0</v>
      </c>
      <c r="J1073" s="160"/>
      <c r="K1073" s="104">
        <f>'27'!T1033</f>
        <v>0</v>
      </c>
      <c r="L1073" s="36" t="e">
        <f>#REF!</f>
        <v>#REF!</v>
      </c>
      <c r="M1073" s="103" t="e">
        <f>#REF!</f>
        <v>#REF!</v>
      </c>
      <c r="N1073" s="160"/>
      <c r="O1073" s="104" t="e">
        <f>#REF!</f>
        <v>#REF!</v>
      </c>
      <c r="P1073" s="52" t="e">
        <f>IF(#REF!=0,"",#REF!)</f>
        <v>#REF!</v>
      </c>
      <c r="Q1073" s="109" t="e">
        <f>IF(#REF!=0,"",#REF!)</f>
        <v>#REF!</v>
      </c>
      <c r="R1073" s="36" t="e">
        <f>IF(#REF!=0,"",#REF!)</f>
        <v>#REF!</v>
      </c>
      <c r="S1073" s="36" t="e">
        <f>IF(#REF!=0,"",#REF!)</f>
        <v>#REF!</v>
      </c>
      <c r="T1073" s="268"/>
      <c r="U1073" s="268"/>
      <c r="V1073" s="268"/>
    </row>
    <row r="1074" ht="15" customHeight="1" spans="2:22">
      <c r="B1074" s="6" t="e">
        <f t="shared" si="19"/>
        <v>#REF!</v>
      </c>
      <c r="C1074" s="83" t="e">
        <f>#REF!</f>
        <v>#REF!</v>
      </c>
      <c r="D1074" s="110" t="e">
        <f>IF(#REF!=0,"",#REF!)</f>
        <v>#REF!</v>
      </c>
      <c r="E1074" s="85" t="e">
        <f>IF(#REF!=0,"",#REF!)</f>
        <v>#REF!</v>
      </c>
      <c r="F1074" s="85" t="e">
        <f>IF(#REF!=0,"",#REF!)</f>
        <v>#REF!</v>
      </c>
      <c r="G1074" s="105">
        <f>'27'!Q1034</f>
        <v>0</v>
      </c>
      <c r="H1074" s="161">
        <f>'27'!R1034</f>
        <v>0</v>
      </c>
      <c r="I1074" s="161">
        <f>'27'!S1034</f>
        <v>0</v>
      </c>
      <c r="J1074" s="161"/>
      <c r="K1074" s="106">
        <f>'27'!T1034</f>
        <v>0</v>
      </c>
      <c r="L1074" s="85" t="e">
        <f>#REF!</f>
        <v>#REF!</v>
      </c>
      <c r="M1074" s="105" t="e">
        <f>#REF!</f>
        <v>#REF!</v>
      </c>
      <c r="N1074" s="161"/>
      <c r="O1074" s="106" t="e">
        <f>#REF!</f>
        <v>#REF!</v>
      </c>
      <c r="P1074" s="107" t="e">
        <f>IF(#REF!=0,"",#REF!)</f>
        <v>#REF!</v>
      </c>
      <c r="Q1074" s="111" t="e">
        <f>IF(#REF!=0,"",#REF!)</f>
        <v>#REF!</v>
      </c>
      <c r="R1074" s="85" t="e">
        <f>IF(#REF!=0,"",#REF!)</f>
        <v>#REF!</v>
      </c>
      <c r="S1074" s="85" t="e">
        <f>IF(#REF!=0,"",#REF!)</f>
        <v>#REF!</v>
      </c>
      <c r="T1074" s="268"/>
      <c r="U1074" s="268"/>
      <c r="V1074" s="268"/>
    </row>
    <row r="1075" ht="15" customHeight="1" spans="2:22">
      <c r="B1075" s="6" t="e">
        <f t="shared" si="19"/>
        <v>#REF!</v>
      </c>
      <c r="C1075" s="79" t="e">
        <f>#REF!</f>
        <v>#REF!</v>
      </c>
      <c r="D1075" s="62" t="e">
        <f>IF(#REF!=0,"",#REF!)</f>
        <v>#REF!</v>
      </c>
      <c r="E1075" s="81" t="e">
        <f>IF(#REF!=0,"",#REF!)</f>
        <v>#REF!</v>
      </c>
      <c r="F1075" s="81" t="e">
        <f>IF(#REF!=0,"",#REF!)</f>
        <v>#REF!</v>
      </c>
      <c r="G1075" s="100" t="e">
        <f>#REF!</f>
        <v>#REF!</v>
      </c>
      <c r="H1075" s="159">
        <f>'27'!R1035</f>
        <v>0</v>
      </c>
      <c r="I1075" s="159">
        <f>'27'!S1035</f>
        <v>0</v>
      </c>
      <c r="J1075" s="159"/>
      <c r="K1075" s="101">
        <f>'27'!T1035</f>
        <v>0</v>
      </c>
      <c r="L1075" s="81" t="e">
        <f>#REF!</f>
        <v>#REF!</v>
      </c>
      <c r="M1075" s="100" t="e">
        <f>#REF!</f>
        <v>#REF!</v>
      </c>
      <c r="N1075" s="159"/>
      <c r="O1075" s="101" t="e">
        <f>#REF!</f>
        <v>#REF!</v>
      </c>
      <c r="P1075" s="102" t="e">
        <f>IF(#REF!=0,"",#REF!)</f>
        <v>#REF!</v>
      </c>
      <c r="Q1075" s="108" t="e">
        <f>IF(#REF!=0,"",#REF!)</f>
        <v>#REF!</v>
      </c>
      <c r="R1075" s="81" t="e">
        <f>IF(#REF!=0,"",#REF!)</f>
        <v>#REF!</v>
      </c>
      <c r="S1075" s="81" t="e">
        <f>IF(#REF!=0,"",#REF!)</f>
        <v>#REF!</v>
      </c>
      <c r="T1075" s="268"/>
      <c r="U1075" s="268"/>
      <c r="V1075" s="268"/>
    </row>
    <row r="1076" ht="15" customHeight="1" spans="2:22">
      <c r="B1076" s="6" t="e">
        <f t="shared" si="19"/>
        <v>#REF!</v>
      </c>
      <c r="C1076" s="31" t="e">
        <f>#REF!</f>
        <v>#REF!</v>
      </c>
      <c r="D1076" s="32" t="e">
        <f>IF(#REF!=0,"",#REF!)</f>
        <v>#REF!</v>
      </c>
      <c r="E1076" s="36" t="e">
        <f>IF(#REF!=0,"",#REF!)</f>
        <v>#REF!</v>
      </c>
      <c r="F1076" s="36" t="e">
        <f>IF(#REF!=0,"",#REF!)</f>
        <v>#REF!</v>
      </c>
      <c r="G1076" s="103">
        <f>'27'!Q1036</f>
        <v>0</v>
      </c>
      <c r="H1076" s="160">
        <f>'27'!R1036</f>
        <v>0</v>
      </c>
      <c r="I1076" s="160">
        <f>'27'!S1036</f>
        <v>0</v>
      </c>
      <c r="J1076" s="160"/>
      <c r="K1076" s="104">
        <f>'27'!T1036</f>
        <v>0</v>
      </c>
      <c r="L1076" s="36" t="e">
        <f>#REF!</f>
        <v>#REF!</v>
      </c>
      <c r="M1076" s="103" t="e">
        <f>#REF!</f>
        <v>#REF!</v>
      </c>
      <c r="N1076" s="160"/>
      <c r="O1076" s="104" t="e">
        <f>#REF!</f>
        <v>#REF!</v>
      </c>
      <c r="P1076" s="52" t="e">
        <f>IF(#REF!=0,"",#REF!)</f>
        <v>#REF!</v>
      </c>
      <c r="Q1076" s="109" t="e">
        <f>IF(#REF!=0,"",#REF!)</f>
        <v>#REF!</v>
      </c>
      <c r="R1076" s="36" t="e">
        <f>IF(#REF!=0,"",#REF!)</f>
        <v>#REF!</v>
      </c>
      <c r="S1076" s="36" t="e">
        <f>IF(#REF!=0,"",#REF!)</f>
        <v>#REF!</v>
      </c>
      <c r="T1076" s="268"/>
      <c r="U1076" s="268"/>
      <c r="V1076" s="268"/>
    </row>
    <row r="1077" ht="15" customHeight="1" spans="2:22">
      <c r="B1077" s="6" t="e">
        <f t="shared" si="19"/>
        <v>#REF!</v>
      </c>
      <c r="C1077" s="83" t="e">
        <f>#REF!</f>
        <v>#REF!</v>
      </c>
      <c r="D1077" s="110" t="e">
        <f>IF(#REF!=0,"",#REF!)</f>
        <v>#REF!</v>
      </c>
      <c r="E1077" s="85" t="e">
        <f>IF(#REF!=0,"",#REF!)</f>
        <v>#REF!</v>
      </c>
      <c r="F1077" s="85" t="e">
        <f>IF(#REF!=0,"",#REF!)</f>
        <v>#REF!</v>
      </c>
      <c r="G1077" s="105">
        <f>'27'!Q1037</f>
        <v>0</v>
      </c>
      <c r="H1077" s="161">
        <f>'27'!R1037</f>
        <v>0</v>
      </c>
      <c r="I1077" s="161">
        <f>'27'!S1037</f>
        <v>0</v>
      </c>
      <c r="J1077" s="161"/>
      <c r="K1077" s="106">
        <f>'27'!T1037</f>
        <v>0</v>
      </c>
      <c r="L1077" s="85" t="e">
        <f>#REF!</f>
        <v>#REF!</v>
      </c>
      <c r="M1077" s="105" t="e">
        <f>#REF!</f>
        <v>#REF!</v>
      </c>
      <c r="N1077" s="161"/>
      <c r="O1077" s="106" t="e">
        <f>#REF!</f>
        <v>#REF!</v>
      </c>
      <c r="P1077" s="107" t="e">
        <f>IF(#REF!=0,"",#REF!)</f>
        <v>#REF!</v>
      </c>
      <c r="Q1077" s="111" t="e">
        <f>IF(#REF!=0,"",#REF!)</f>
        <v>#REF!</v>
      </c>
      <c r="R1077" s="85" t="e">
        <f>IF(#REF!=0,"",#REF!)</f>
        <v>#REF!</v>
      </c>
      <c r="S1077" s="85" t="e">
        <f>IF(#REF!=0,"",#REF!)</f>
        <v>#REF!</v>
      </c>
      <c r="T1077" s="268"/>
      <c r="U1077" s="268"/>
      <c r="V1077" s="268"/>
    </row>
    <row r="1078" ht="15" customHeight="1" spans="2:22">
      <c r="B1078" s="6" t="e">
        <f t="shared" si="19"/>
        <v>#REF!</v>
      </c>
      <c r="C1078" s="79" t="e">
        <f>#REF!</f>
        <v>#REF!</v>
      </c>
      <c r="D1078" s="62" t="e">
        <f>IF(#REF!=0,"",#REF!)</f>
        <v>#REF!</v>
      </c>
      <c r="E1078" s="81" t="e">
        <f>IF(#REF!=0,"",#REF!)</f>
        <v>#REF!</v>
      </c>
      <c r="F1078" s="81" t="e">
        <f>IF(#REF!=0,"",#REF!)</f>
        <v>#REF!</v>
      </c>
      <c r="G1078" s="100" t="e">
        <f>#REF!</f>
        <v>#REF!</v>
      </c>
      <c r="H1078" s="159">
        <f>'27'!R1038</f>
        <v>0</v>
      </c>
      <c r="I1078" s="159">
        <f>'27'!S1038</f>
        <v>0</v>
      </c>
      <c r="J1078" s="159"/>
      <c r="K1078" s="101">
        <f>'27'!T1038</f>
        <v>0</v>
      </c>
      <c r="L1078" s="81" t="e">
        <f>#REF!</f>
        <v>#REF!</v>
      </c>
      <c r="M1078" s="100" t="e">
        <f>#REF!</f>
        <v>#REF!</v>
      </c>
      <c r="N1078" s="159"/>
      <c r="O1078" s="101" t="e">
        <f>#REF!</f>
        <v>#REF!</v>
      </c>
      <c r="P1078" s="102" t="e">
        <f>IF(#REF!=0,"",#REF!)</f>
        <v>#REF!</v>
      </c>
      <c r="Q1078" s="108" t="e">
        <f>IF(#REF!=0,"",#REF!)</f>
        <v>#REF!</v>
      </c>
      <c r="R1078" s="81" t="e">
        <f>IF(#REF!=0,"",#REF!)</f>
        <v>#REF!</v>
      </c>
      <c r="S1078" s="81" t="e">
        <f>IF(#REF!=0,"",#REF!)</f>
        <v>#REF!</v>
      </c>
      <c r="T1078" s="268"/>
      <c r="U1078" s="268"/>
      <c r="V1078" s="268"/>
    </row>
    <row r="1079" ht="15" customHeight="1" spans="2:22">
      <c r="B1079" s="6" t="e">
        <f t="shared" si="19"/>
        <v>#REF!</v>
      </c>
      <c r="C1079" s="31" t="e">
        <f>#REF!</f>
        <v>#REF!</v>
      </c>
      <c r="D1079" s="32" t="e">
        <f>IF(#REF!=0,"",#REF!)</f>
        <v>#REF!</v>
      </c>
      <c r="E1079" s="36" t="e">
        <f>IF(#REF!=0,"",#REF!)</f>
        <v>#REF!</v>
      </c>
      <c r="F1079" s="36" t="e">
        <f>IF(#REF!=0,"",#REF!)</f>
        <v>#REF!</v>
      </c>
      <c r="G1079" s="103">
        <f>'27'!Q1039</f>
        <v>0</v>
      </c>
      <c r="H1079" s="160">
        <f>'27'!R1039</f>
        <v>0</v>
      </c>
      <c r="I1079" s="160">
        <f>'27'!S1039</f>
        <v>0</v>
      </c>
      <c r="J1079" s="160"/>
      <c r="K1079" s="104">
        <f>'27'!T1039</f>
        <v>0</v>
      </c>
      <c r="L1079" s="36" t="e">
        <f>#REF!</f>
        <v>#REF!</v>
      </c>
      <c r="M1079" s="103" t="e">
        <f>#REF!</f>
        <v>#REF!</v>
      </c>
      <c r="N1079" s="160"/>
      <c r="O1079" s="104" t="e">
        <f>#REF!</f>
        <v>#REF!</v>
      </c>
      <c r="P1079" s="52" t="e">
        <f>IF(#REF!=0,"",#REF!)</f>
        <v>#REF!</v>
      </c>
      <c r="Q1079" s="109" t="e">
        <f>IF(#REF!=0,"",#REF!)</f>
        <v>#REF!</v>
      </c>
      <c r="R1079" s="36" t="e">
        <f>IF(#REF!=0,"",#REF!)</f>
        <v>#REF!</v>
      </c>
      <c r="S1079" s="36" t="e">
        <f>IF(#REF!=0,"",#REF!)</f>
        <v>#REF!</v>
      </c>
      <c r="T1079" s="268"/>
      <c r="U1079" s="268"/>
      <c r="V1079" s="268"/>
    </row>
    <row r="1080" ht="15" customHeight="1" spans="2:22">
      <c r="B1080" s="6" t="e">
        <f t="shared" si="19"/>
        <v>#REF!</v>
      </c>
      <c r="C1080" s="83" t="e">
        <f>#REF!</f>
        <v>#REF!</v>
      </c>
      <c r="D1080" s="110" t="e">
        <f>IF(#REF!=0,"",#REF!)</f>
        <v>#REF!</v>
      </c>
      <c r="E1080" s="85" t="e">
        <f>IF(#REF!=0,"",#REF!)</f>
        <v>#REF!</v>
      </c>
      <c r="F1080" s="85" t="e">
        <f>IF(#REF!=0,"",#REF!)</f>
        <v>#REF!</v>
      </c>
      <c r="G1080" s="105">
        <f>'27'!Q1040</f>
        <v>0</v>
      </c>
      <c r="H1080" s="161">
        <f>'27'!R1040</f>
        <v>0</v>
      </c>
      <c r="I1080" s="161">
        <f>'27'!S1040</f>
        <v>0</v>
      </c>
      <c r="J1080" s="161"/>
      <c r="K1080" s="106">
        <f>'27'!T1040</f>
        <v>0</v>
      </c>
      <c r="L1080" s="85" t="e">
        <f>#REF!</f>
        <v>#REF!</v>
      </c>
      <c r="M1080" s="105" t="e">
        <f>#REF!</f>
        <v>#REF!</v>
      </c>
      <c r="N1080" s="161"/>
      <c r="O1080" s="106" t="e">
        <f>#REF!</f>
        <v>#REF!</v>
      </c>
      <c r="P1080" s="107" t="e">
        <f>IF(#REF!=0,"",#REF!)</f>
        <v>#REF!</v>
      </c>
      <c r="Q1080" s="111" t="e">
        <f>IF(#REF!=0,"",#REF!)</f>
        <v>#REF!</v>
      </c>
      <c r="R1080" s="85" t="e">
        <f>IF(#REF!=0,"",#REF!)</f>
        <v>#REF!</v>
      </c>
      <c r="S1080" s="85" t="e">
        <f>IF(#REF!=0,"",#REF!)</f>
        <v>#REF!</v>
      </c>
      <c r="T1080" s="268"/>
      <c r="U1080" s="268"/>
      <c r="V1080" s="268"/>
    </row>
    <row r="1081" ht="15" customHeight="1" spans="2:22">
      <c r="B1081" s="6" t="e">
        <f t="shared" si="19"/>
        <v>#REF!</v>
      </c>
      <c r="C1081" s="79" t="e">
        <f>#REF!</f>
        <v>#REF!</v>
      </c>
      <c r="D1081" s="62" t="e">
        <f>IF(#REF!=0,"",#REF!)</f>
        <v>#REF!</v>
      </c>
      <c r="E1081" s="81" t="e">
        <f>IF(#REF!=0,"",#REF!)</f>
        <v>#REF!</v>
      </c>
      <c r="F1081" s="81" t="e">
        <f>IF(#REF!=0,"",#REF!)</f>
        <v>#REF!</v>
      </c>
      <c r="G1081" s="100" t="e">
        <f>#REF!</f>
        <v>#REF!</v>
      </c>
      <c r="H1081" s="159">
        <f>'27'!R1041</f>
        <v>0</v>
      </c>
      <c r="I1081" s="159">
        <f>'27'!S1041</f>
        <v>0</v>
      </c>
      <c r="J1081" s="159"/>
      <c r="K1081" s="101">
        <f>'27'!T1041</f>
        <v>0</v>
      </c>
      <c r="L1081" s="81" t="e">
        <f>#REF!</f>
        <v>#REF!</v>
      </c>
      <c r="M1081" s="100" t="e">
        <f>#REF!</f>
        <v>#REF!</v>
      </c>
      <c r="N1081" s="159"/>
      <c r="O1081" s="101" t="e">
        <f>#REF!</f>
        <v>#REF!</v>
      </c>
      <c r="P1081" s="102" t="e">
        <f>IF(#REF!=0,"",#REF!)</f>
        <v>#REF!</v>
      </c>
      <c r="Q1081" s="108" t="e">
        <f>IF(#REF!=0,"",#REF!)</f>
        <v>#REF!</v>
      </c>
      <c r="R1081" s="81" t="e">
        <f>IF(#REF!=0,"",#REF!)</f>
        <v>#REF!</v>
      </c>
      <c r="S1081" s="81" t="e">
        <f>IF(#REF!=0,"",#REF!)</f>
        <v>#REF!</v>
      </c>
      <c r="T1081" s="268"/>
      <c r="U1081" s="268"/>
      <c r="V1081" s="268"/>
    </row>
    <row r="1082" ht="15" customHeight="1" spans="2:22">
      <c r="B1082" s="6" t="e">
        <f t="shared" si="19"/>
        <v>#REF!</v>
      </c>
      <c r="C1082" s="31" t="e">
        <f>#REF!</f>
        <v>#REF!</v>
      </c>
      <c r="D1082" s="32" t="e">
        <f>IF(#REF!=0,"",#REF!)</f>
        <v>#REF!</v>
      </c>
      <c r="E1082" s="36" t="e">
        <f>IF(#REF!=0,"",#REF!)</f>
        <v>#REF!</v>
      </c>
      <c r="F1082" s="36" t="e">
        <f>IF(#REF!=0,"",#REF!)</f>
        <v>#REF!</v>
      </c>
      <c r="G1082" s="103">
        <f>'27'!Q1042</f>
        <v>0</v>
      </c>
      <c r="H1082" s="160">
        <f>'27'!R1042</f>
        <v>0</v>
      </c>
      <c r="I1082" s="160">
        <f>'27'!S1042</f>
        <v>0</v>
      </c>
      <c r="J1082" s="160"/>
      <c r="K1082" s="104">
        <f>'27'!T1042</f>
        <v>0</v>
      </c>
      <c r="L1082" s="36" t="e">
        <f>#REF!</f>
        <v>#REF!</v>
      </c>
      <c r="M1082" s="103" t="e">
        <f>#REF!</f>
        <v>#REF!</v>
      </c>
      <c r="N1082" s="160"/>
      <c r="O1082" s="104" t="e">
        <f>#REF!</f>
        <v>#REF!</v>
      </c>
      <c r="P1082" s="52" t="e">
        <f>IF(#REF!=0,"",#REF!)</f>
        <v>#REF!</v>
      </c>
      <c r="Q1082" s="109" t="e">
        <f>IF(#REF!=0,"",#REF!)</f>
        <v>#REF!</v>
      </c>
      <c r="R1082" s="36" t="e">
        <f>IF(#REF!=0,"",#REF!)</f>
        <v>#REF!</v>
      </c>
      <c r="S1082" s="36" t="e">
        <f>IF(#REF!=0,"",#REF!)</f>
        <v>#REF!</v>
      </c>
      <c r="T1082" s="268"/>
      <c r="U1082" s="268"/>
      <c r="V1082" s="268"/>
    </row>
    <row r="1083" ht="15" customHeight="1" spans="2:22">
      <c r="B1083" s="6" t="e">
        <f t="shared" si="19"/>
        <v>#REF!</v>
      </c>
      <c r="C1083" s="83" t="e">
        <f>#REF!</f>
        <v>#REF!</v>
      </c>
      <c r="D1083" s="110" t="e">
        <f>IF(#REF!=0,"",#REF!)</f>
        <v>#REF!</v>
      </c>
      <c r="E1083" s="85" t="e">
        <f>IF(#REF!=0,"",#REF!)</f>
        <v>#REF!</v>
      </c>
      <c r="F1083" s="85" t="e">
        <f>IF(#REF!=0,"",#REF!)</f>
        <v>#REF!</v>
      </c>
      <c r="G1083" s="105">
        <f>'27'!Q1043</f>
        <v>0</v>
      </c>
      <c r="H1083" s="161">
        <f>'27'!R1043</f>
        <v>0</v>
      </c>
      <c r="I1083" s="161">
        <f>'27'!S1043</f>
        <v>0</v>
      </c>
      <c r="J1083" s="161"/>
      <c r="K1083" s="106">
        <f>'27'!T1043</f>
        <v>0</v>
      </c>
      <c r="L1083" s="85" t="e">
        <f>#REF!</f>
        <v>#REF!</v>
      </c>
      <c r="M1083" s="105" t="e">
        <f>#REF!</f>
        <v>#REF!</v>
      </c>
      <c r="N1083" s="161"/>
      <c r="O1083" s="106" t="e">
        <f>#REF!</f>
        <v>#REF!</v>
      </c>
      <c r="P1083" s="107" t="e">
        <f>IF(#REF!=0,"",#REF!)</f>
        <v>#REF!</v>
      </c>
      <c r="Q1083" s="111" t="e">
        <f>IF(#REF!=0,"",#REF!)</f>
        <v>#REF!</v>
      </c>
      <c r="R1083" s="85" t="e">
        <f>IF(#REF!=0,"",#REF!)</f>
        <v>#REF!</v>
      </c>
      <c r="S1083" s="85" t="e">
        <f>IF(#REF!=0,"",#REF!)</f>
        <v>#REF!</v>
      </c>
      <c r="T1083" s="268"/>
      <c r="U1083" s="268"/>
      <c r="V1083" s="268"/>
    </row>
    <row r="1084" ht="15" customHeight="1" spans="2:22">
      <c r="B1084" s="6" t="e">
        <f t="shared" si="19"/>
        <v>#REF!</v>
      </c>
      <c r="C1084" s="79" t="e">
        <f>#REF!</f>
        <v>#REF!</v>
      </c>
      <c r="D1084" s="62" t="e">
        <f>IF(#REF!=0,"",#REF!)</f>
        <v>#REF!</v>
      </c>
      <c r="E1084" s="81" t="e">
        <f>IF(#REF!=0,"",#REF!)</f>
        <v>#REF!</v>
      </c>
      <c r="F1084" s="81" t="e">
        <f>IF(#REF!=0,"",#REF!)</f>
        <v>#REF!</v>
      </c>
      <c r="G1084" s="100" t="e">
        <f>#REF!</f>
        <v>#REF!</v>
      </c>
      <c r="H1084" s="159">
        <f>'27'!R1044</f>
        <v>0</v>
      </c>
      <c r="I1084" s="159">
        <f>'27'!S1044</f>
        <v>0</v>
      </c>
      <c r="J1084" s="159"/>
      <c r="K1084" s="101">
        <f>'27'!T1044</f>
        <v>0</v>
      </c>
      <c r="L1084" s="81" t="e">
        <f>#REF!</f>
        <v>#REF!</v>
      </c>
      <c r="M1084" s="100" t="e">
        <f>#REF!</f>
        <v>#REF!</v>
      </c>
      <c r="N1084" s="159"/>
      <c r="O1084" s="101" t="e">
        <f>#REF!</f>
        <v>#REF!</v>
      </c>
      <c r="P1084" s="102" t="e">
        <f>IF(#REF!=0,"",#REF!)</f>
        <v>#REF!</v>
      </c>
      <c r="Q1084" s="108" t="e">
        <f>IF(#REF!=0,"",#REF!)</f>
        <v>#REF!</v>
      </c>
      <c r="R1084" s="81" t="e">
        <f>IF(#REF!=0,"",#REF!)</f>
        <v>#REF!</v>
      </c>
      <c r="S1084" s="81" t="e">
        <f>IF(#REF!=0,"",#REF!)</f>
        <v>#REF!</v>
      </c>
      <c r="T1084" s="268"/>
      <c r="U1084" s="268"/>
      <c r="V1084" s="268"/>
    </row>
    <row r="1085" ht="15" customHeight="1" spans="2:22">
      <c r="B1085" s="6" t="e">
        <f t="shared" si="19"/>
        <v>#REF!</v>
      </c>
      <c r="C1085" s="31" t="e">
        <f>#REF!</f>
        <v>#REF!</v>
      </c>
      <c r="D1085" s="32" t="e">
        <f>IF(#REF!=0,"",#REF!)</f>
        <v>#REF!</v>
      </c>
      <c r="E1085" s="36" t="e">
        <f>IF(#REF!=0,"",#REF!)</f>
        <v>#REF!</v>
      </c>
      <c r="F1085" s="36" t="e">
        <f>IF(#REF!=0,"",#REF!)</f>
        <v>#REF!</v>
      </c>
      <c r="G1085" s="103">
        <f>'27'!Q1045</f>
        <v>0</v>
      </c>
      <c r="H1085" s="160">
        <f>'27'!R1045</f>
        <v>0</v>
      </c>
      <c r="I1085" s="160">
        <f>'27'!S1045</f>
        <v>0</v>
      </c>
      <c r="J1085" s="160"/>
      <c r="K1085" s="104">
        <f>'27'!T1045</f>
        <v>0</v>
      </c>
      <c r="L1085" s="36" t="e">
        <f>#REF!</f>
        <v>#REF!</v>
      </c>
      <c r="M1085" s="103" t="e">
        <f>#REF!</f>
        <v>#REF!</v>
      </c>
      <c r="N1085" s="160"/>
      <c r="O1085" s="104" t="e">
        <f>#REF!</f>
        <v>#REF!</v>
      </c>
      <c r="P1085" s="52" t="e">
        <f>IF(#REF!=0,"",#REF!)</f>
        <v>#REF!</v>
      </c>
      <c r="Q1085" s="109" t="e">
        <f>IF(#REF!=0,"",#REF!)</f>
        <v>#REF!</v>
      </c>
      <c r="R1085" s="36" t="e">
        <f>IF(#REF!=0,"",#REF!)</f>
        <v>#REF!</v>
      </c>
      <c r="S1085" s="36" t="e">
        <f>IF(#REF!=0,"",#REF!)</f>
        <v>#REF!</v>
      </c>
      <c r="T1085" s="268"/>
      <c r="U1085" s="268"/>
      <c r="V1085" s="268"/>
    </row>
    <row r="1086" ht="15" customHeight="1" spans="2:22">
      <c r="B1086" s="6" t="e">
        <f t="shared" si="19"/>
        <v>#REF!</v>
      </c>
      <c r="C1086" s="83" t="e">
        <f>#REF!</f>
        <v>#REF!</v>
      </c>
      <c r="D1086" s="110" t="e">
        <f>IF(#REF!=0,"",#REF!)</f>
        <v>#REF!</v>
      </c>
      <c r="E1086" s="85" t="e">
        <f>IF(#REF!=0,"",#REF!)</f>
        <v>#REF!</v>
      </c>
      <c r="F1086" s="85" t="e">
        <f>IF(#REF!=0,"",#REF!)</f>
        <v>#REF!</v>
      </c>
      <c r="G1086" s="105">
        <f>'27'!Q1046</f>
        <v>0</v>
      </c>
      <c r="H1086" s="161">
        <f>'27'!R1046</f>
        <v>0</v>
      </c>
      <c r="I1086" s="161">
        <f>'27'!S1046</f>
        <v>0</v>
      </c>
      <c r="J1086" s="161"/>
      <c r="K1086" s="106">
        <f>'27'!T1046</f>
        <v>0</v>
      </c>
      <c r="L1086" s="85" t="e">
        <f>#REF!</f>
        <v>#REF!</v>
      </c>
      <c r="M1086" s="105" t="e">
        <f>#REF!</f>
        <v>#REF!</v>
      </c>
      <c r="N1086" s="161"/>
      <c r="O1086" s="106" t="e">
        <f>#REF!</f>
        <v>#REF!</v>
      </c>
      <c r="P1086" s="107" t="e">
        <f>IF(#REF!=0,"",#REF!)</f>
        <v>#REF!</v>
      </c>
      <c r="Q1086" s="111" t="e">
        <f>IF(#REF!=0,"",#REF!)</f>
        <v>#REF!</v>
      </c>
      <c r="R1086" s="85" t="e">
        <f>IF(#REF!=0,"",#REF!)</f>
        <v>#REF!</v>
      </c>
      <c r="S1086" s="85" t="e">
        <f>IF(#REF!=0,"",#REF!)</f>
        <v>#REF!</v>
      </c>
      <c r="T1086" s="268"/>
      <c r="U1086" s="268"/>
      <c r="V1086" s="268"/>
    </row>
    <row r="1087" ht="15" customHeight="1" spans="2:22">
      <c r="B1087" s="6" t="e">
        <f t="shared" si="19"/>
        <v>#REF!</v>
      </c>
      <c r="C1087" s="79" t="e">
        <f>#REF!</f>
        <v>#REF!</v>
      </c>
      <c r="D1087" s="62" t="e">
        <f>IF(#REF!=0,"",#REF!)</f>
        <v>#REF!</v>
      </c>
      <c r="E1087" s="81" t="e">
        <f>IF(#REF!=0,"",#REF!)</f>
        <v>#REF!</v>
      </c>
      <c r="F1087" s="81" t="e">
        <f>IF(#REF!=0,"",#REF!)</f>
        <v>#REF!</v>
      </c>
      <c r="G1087" s="100" t="e">
        <f>#REF!</f>
        <v>#REF!</v>
      </c>
      <c r="H1087" s="159">
        <f>'27'!R1047</f>
        <v>0</v>
      </c>
      <c r="I1087" s="159">
        <f>'27'!S1047</f>
        <v>0</v>
      </c>
      <c r="J1087" s="159"/>
      <c r="K1087" s="101">
        <f>'27'!T1047</f>
        <v>0</v>
      </c>
      <c r="L1087" s="81" t="e">
        <f>#REF!</f>
        <v>#REF!</v>
      </c>
      <c r="M1087" s="100" t="e">
        <f>#REF!</f>
        <v>#REF!</v>
      </c>
      <c r="N1087" s="159"/>
      <c r="O1087" s="101" t="e">
        <f>#REF!</f>
        <v>#REF!</v>
      </c>
      <c r="P1087" s="102" t="e">
        <f>IF(#REF!=0,"",#REF!)</f>
        <v>#REF!</v>
      </c>
      <c r="Q1087" s="108" t="e">
        <f>IF(#REF!=0,"",#REF!)</f>
        <v>#REF!</v>
      </c>
      <c r="R1087" s="81" t="e">
        <f>IF(#REF!=0,"",#REF!)</f>
        <v>#REF!</v>
      </c>
      <c r="S1087" s="81" t="e">
        <f>IF(#REF!=0,"",#REF!)</f>
        <v>#REF!</v>
      </c>
      <c r="T1087" s="268"/>
      <c r="U1087" s="268"/>
      <c r="V1087" s="268"/>
    </row>
    <row r="1088" ht="15" customHeight="1" spans="2:22">
      <c r="B1088" s="6" t="e">
        <f t="shared" si="19"/>
        <v>#REF!</v>
      </c>
      <c r="C1088" s="31" t="e">
        <f>#REF!</f>
        <v>#REF!</v>
      </c>
      <c r="D1088" s="32" t="e">
        <f>IF(#REF!=0,"",#REF!)</f>
        <v>#REF!</v>
      </c>
      <c r="E1088" s="36" t="e">
        <f>IF(#REF!=0,"",#REF!)</f>
        <v>#REF!</v>
      </c>
      <c r="F1088" s="36" t="e">
        <f>IF(#REF!=0,"",#REF!)</f>
        <v>#REF!</v>
      </c>
      <c r="G1088" s="103">
        <f>'27'!Q1048</f>
        <v>0</v>
      </c>
      <c r="H1088" s="160">
        <f>'27'!R1048</f>
        <v>0</v>
      </c>
      <c r="I1088" s="160">
        <f>'27'!S1048</f>
        <v>0</v>
      </c>
      <c r="J1088" s="160"/>
      <c r="K1088" s="104">
        <f>'27'!T1048</f>
        <v>0</v>
      </c>
      <c r="L1088" s="36" t="e">
        <f>#REF!</f>
        <v>#REF!</v>
      </c>
      <c r="M1088" s="103" t="e">
        <f>#REF!</f>
        <v>#REF!</v>
      </c>
      <c r="N1088" s="160"/>
      <c r="O1088" s="104" t="e">
        <f>#REF!</f>
        <v>#REF!</v>
      </c>
      <c r="P1088" s="52" t="e">
        <f>IF(#REF!=0,"",#REF!)</f>
        <v>#REF!</v>
      </c>
      <c r="Q1088" s="109" t="e">
        <f>IF(#REF!=0,"",#REF!)</f>
        <v>#REF!</v>
      </c>
      <c r="R1088" s="36" t="e">
        <f>IF(#REF!=0,"",#REF!)</f>
        <v>#REF!</v>
      </c>
      <c r="S1088" s="36" t="e">
        <f>IF(#REF!=0,"",#REF!)</f>
        <v>#REF!</v>
      </c>
      <c r="T1088" s="268"/>
      <c r="U1088" s="268"/>
      <c r="V1088" s="268"/>
    </row>
    <row r="1089" ht="15" customHeight="1" spans="2:22">
      <c r="B1089" s="6" t="e">
        <f t="shared" si="19"/>
        <v>#REF!</v>
      </c>
      <c r="C1089" s="83" t="e">
        <f>#REF!</f>
        <v>#REF!</v>
      </c>
      <c r="D1089" s="110" t="e">
        <f>IF(#REF!=0,"",#REF!)</f>
        <v>#REF!</v>
      </c>
      <c r="E1089" s="85" t="e">
        <f>IF(#REF!=0,"",#REF!)</f>
        <v>#REF!</v>
      </c>
      <c r="F1089" s="85" t="e">
        <f>IF(#REF!=0,"",#REF!)</f>
        <v>#REF!</v>
      </c>
      <c r="G1089" s="105">
        <f>'27'!Q1049</f>
        <v>0</v>
      </c>
      <c r="H1089" s="161">
        <f>'27'!R1049</f>
        <v>0</v>
      </c>
      <c r="I1089" s="161">
        <f>'27'!S1049</f>
        <v>0</v>
      </c>
      <c r="J1089" s="161"/>
      <c r="K1089" s="106">
        <f>'27'!T1049</f>
        <v>0</v>
      </c>
      <c r="L1089" s="85" t="e">
        <f>#REF!</f>
        <v>#REF!</v>
      </c>
      <c r="M1089" s="105" t="e">
        <f>#REF!</f>
        <v>#REF!</v>
      </c>
      <c r="N1089" s="161"/>
      <c r="O1089" s="106" t="e">
        <f>#REF!</f>
        <v>#REF!</v>
      </c>
      <c r="P1089" s="107" t="e">
        <f>IF(#REF!=0,"",#REF!)</f>
        <v>#REF!</v>
      </c>
      <c r="Q1089" s="111" t="e">
        <f>IF(#REF!=0,"",#REF!)</f>
        <v>#REF!</v>
      </c>
      <c r="R1089" s="85" t="e">
        <f>IF(#REF!=0,"",#REF!)</f>
        <v>#REF!</v>
      </c>
      <c r="S1089" s="85" t="e">
        <f>IF(#REF!=0,"",#REF!)</f>
        <v>#REF!</v>
      </c>
      <c r="T1089" s="268"/>
      <c r="U1089" s="268"/>
      <c r="V1089" s="268"/>
    </row>
    <row r="1090" ht="15" customHeight="1" spans="2:22">
      <c r="B1090" s="6" t="e">
        <f t="shared" si="19"/>
        <v>#REF!</v>
      </c>
      <c r="C1090" s="79" t="e">
        <f>#REF!</f>
        <v>#REF!</v>
      </c>
      <c r="D1090" s="62" t="e">
        <f>IF(#REF!=0,"",#REF!)</f>
        <v>#REF!</v>
      </c>
      <c r="E1090" s="81" t="e">
        <f>IF(#REF!=0,"",#REF!)</f>
        <v>#REF!</v>
      </c>
      <c r="F1090" s="81" t="e">
        <f>IF(#REF!=0,"",#REF!)</f>
        <v>#REF!</v>
      </c>
      <c r="G1090" s="100" t="e">
        <f>#REF!</f>
        <v>#REF!</v>
      </c>
      <c r="H1090" s="159">
        <f>'27'!R1050</f>
        <v>0</v>
      </c>
      <c r="I1090" s="159">
        <f>'27'!S1050</f>
        <v>0</v>
      </c>
      <c r="J1090" s="159"/>
      <c r="K1090" s="101">
        <f>'27'!T1050</f>
        <v>0</v>
      </c>
      <c r="L1090" s="81" t="e">
        <f>#REF!</f>
        <v>#REF!</v>
      </c>
      <c r="M1090" s="100" t="e">
        <f>#REF!</f>
        <v>#REF!</v>
      </c>
      <c r="N1090" s="159"/>
      <c r="O1090" s="101" t="e">
        <f>#REF!</f>
        <v>#REF!</v>
      </c>
      <c r="P1090" s="102" t="e">
        <f>IF(#REF!=0,"",#REF!)</f>
        <v>#REF!</v>
      </c>
      <c r="Q1090" s="108" t="e">
        <f>IF(#REF!=0,"",#REF!)</f>
        <v>#REF!</v>
      </c>
      <c r="R1090" s="81" t="e">
        <f>IF(#REF!=0,"",#REF!)</f>
        <v>#REF!</v>
      </c>
      <c r="S1090" s="81" t="e">
        <f>IF(#REF!=0,"",#REF!)</f>
        <v>#REF!</v>
      </c>
      <c r="T1090" s="268"/>
      <c r="U1090" s="268"/>
      <c r="V1090" s="268"/>
    </row>
    <row r="1091" ht="15" customHeight="1" spans="2:22">
      <c r="B1091" s="6" t="e">
        <f t="shared" si="19"/>
        <v>#REF!</v>
      </c>
      <c r="C1091" s="31" t="e">
        <f>#REF!</f>
        <v>#REF!</v>
      </c>
      <c r="D1091" s="32" t="e">
        <f>IF(#REF!=0,"",#REF!)</f>
        <v>#REF!</v>
      </c>
      <c r="E1091" s="36" t="e">
        <f>IF(#REF!=0,"",#REF!)</f>
        <v>#REF!</v>
      </c>
      <c r="F1091" s="36" t="e">
        <f>IF(#REF!=0,"",#REF!)</f>
        <v>#REF!</v>
      </c>
      <c r="G1091" s="103">
        <f>'27'!Q1051</f>
        <v>0</v>
      </c>
      <c r="H1091" s="160">
        <f>'27'!R1051</f>
        <v>0</v>
      </c>
      <c r="I1091" s="160">
        <f>'27'!S1051</f>
        <v>0</v>
      </c>
      <c r="J1091" s="160"/>
      <c r="K1091" s="104">
        <f>'27'!T1051</f>
        <v>0</v>
      </c>
      <c r="L1091" s="36" t="e">
        <f>#REF!</f>
        <v>#REF!</v>
      </c>
      <c r="M1091" s="103" t="e">
        <f>#REF!</f>
        <v>#REF!</v>
      </c>
      <c r="N1091" s="160"/>
      <c r="O1091" s="104" t="e">
        <f>#REF!</f>
        <v>#REF!</v>
      </c>
      <c r="P1091" s="52" t="e">
        <f>IF(#REF!=0,"",#REF!)</f>
        <v>#REF!</v>
      </c>
      <c r="Q1091" s="109" t="e">
        <f>IF(#REF!=0,"",#REF!)</f>
        <v>#REF!</v>
      </c>
      <c r="R1091" s="36" t="e">
        <f>IF(#REF!=0,"",#REF!)</f>
        <v>#REF!</v>
      </c>
      <c r="S1091" s="36" t="e">
        <f>IF(#REF!=0,"",#REF!)</f>
        <v>#REF!</v>
      </c>
      <c r="T1091" s="268"/>
      <c r="U1091" s="268"/>
      <c r="V1091" s="268"/>
    </row>
    <row r="1092" ht="15" customHeight="1" spans="2:22">
      <c r="B1092" s="6" t="e">
        <f t="shared" si="19"/>
        <v>#REF!</v>
      </c>
      <c r="C1092" s="83" t="e">
        <f>#REF!</f>
        <v>#REF!</v>
      </c>
      <c r="D1092" s="110" t="e">
        <f>IF(#REF!=0,"",#REF!)</f>
        <v>#REF!</v>
      </c>
      <c r="E1092" s="85" t="e">
        <f>IF(#REF!=0,"",#REF!)</f>
        <v>#REF!</v>
      </c>
      <c r="F1092" s="85" t="e">
        <f>IF(#REF!=0,"",#REF!)</f>
        <v>#REF!</v>
      </c>
      <c r="G1092" s="105">
        <f>'27'!Q1052</f>
        <v>0</v>
      </c>
      <c r="H1092" s="161">
        <f>'27'!R1052</f>
        <v>0</v>
      </c>
      <c r="I1092" s="161">
        <f>'27'!S1052</f>
        <v>0</v>
      </c>
      <c r="J1092" s="161"/>
      <c r="K1092" s="106">
        <f>'27'!T1052</f>
        <v>0</v>
      </c>
      <c r="L1092" s="85" t="e">
        <f>#REF!</f>
        <v>#REF!</v>
      </c>
      <c r="M1092" s="105" t="e">
        <f>#REF!</f>
        <v>#REF!</v>
      </c>
      <c r="N1092" s="161"/>
      <c r="O1092" s="106" t="e">
        <f>#REF!</f>
        <v>#REF!</v>
      </c>
      <c r="P1092" s="107" t="e">
        <f>IF(#REF!=0,"",#REF!)</f>
        <v>#REF!</v>
      </c>
      <c r="Q1092" s="111" t="e">
        <f>IF(#REF!=0,"",#REF!)</f>
        <v>#REF!</v>
      </c>
      <c r="R1092" s="85" t="e">
        <f>IF(#REF!=0,"",#REF!)</f>
        <v>#REF!</v>
      </c>
      <c r="S1092" s="85" t="e">
        <f>IF(#REF!=0,"",#REF!)</f>
        <v>#REF!</v>
      </c>
      <c r="T1092" s="268"/>
      <c r="U1092" s="268"/>
      <c r="V1092" s="268"/>
    </row>
    <row r="1093" ht="15" customHeight="1" spans="2:22">
      <c r="B1093" s="6" t="e">
        <f t="shared" si="19"/>
        <v>#REF!</v>
      </c>
      <c r="C1093" s="79" t="e">
        <f>#REF!</f>
        <v>#REF!</v>
      </c>
      <c r="D1093" s="62" t="e">
        <f>IF(#REF!=0,"",#REF!)</f>
        <v>#REF!</v>
      </c>
      <c r="E1093" s="81" t="e">
        <f>IF(#REF!=0,"",#REF!)</f>
        <v>#REF!</v>
      </c>
      <c r="F1093" s="81" t="e">
        <f>IF(#REF!=0,"",#REF!)</f>
        <v>#REF!</v>
      </c>
      <c r="G1093" s="100" t="e">
        <f>#REF!</f>
        <v>#REF!</v>
      </c>
      <c r="H1093" s="159">
        <f>'27'!R1053</f>
        <v>0</v>
      </c>
      <c r="I1093" s="159">
        <f>'27'!S1053</f>
        <v>0</v>
      </c>
      <c r="J1093" s="159"/>
      <c r="K1093" s="101">
        <f>'27'!T1053</f>
        <v>0</v>
      </c>
      <c r="L1093" s="81" t="e">
        <f>#REF!</f>
        <v>#REF!</v>
      </c>
      <c r="M1093" s="100" t="e">
        <f>#REF!</f>
        <v>#REF!</v>
      </c>
      <c r="N1093" s="159"/>
      <c r="O1093" s="101" t="e">
        <f>#REF!</f>
        <v>#REF!</v>
      </c>
      <c r="P1093" s="102" t="e">
        <f>IF(#REF!=0,"",#REF!)</f>
        <v>#REF!</v>
      </c>
      <c r="Q1093" s="108" t="e">
        <f>IF(#REF!=0,"",#REF!)</f>
        <v>#REF!</v>
      </c>
      <c r="R1093" s="81" t="e">
        <f>IF(#REF!=0,"",#REF!)</f>
        <v>#REF!</v>
      </c>
      <c r="S1093" s="81" t="e">
        <f>IF(#REF!=0,"",#REF!)</f>
        <v>#REF!</v>
      </c>
      <c r="T1093" s="268"/>
      <c r="U1093" s="268"/>
      <c r="V1093" s="268"/>
    </row>
    <row r="1094" ht="15" customHeight="1" spans="2:22">
      <c r="B1094" s="6" t="e">
        <f t="shared" si="19"/>
        <v>#REF!</v>
      </c>
      <c r="C1094" s="31" t="e">
        <f>#REF!</f>
        <v>#REF!</v>
      </c>
      <c r="D1094" s="32" t="e">
        <f>IF(#REF!=0,"",#REF!)</f>
        <v>#REF!</v>
      </c>
      <c r="E1094" s="36" t="e">
        <f>IF(#REF!=0,"",#REF!)</f>
        <v>#REF!</v>
      </c>
      <c r="F1094" s="36" t="e">
        <f>IF(#REF!=0,"",#REF!)</f>
        <v>#REF!</v>
      </c>
      <c r="G1094" s="103">
        <f>'27'!Q1054</f>
        <v>0</v>
      </c>
      <c r="H1094" s="160">
        <f>'27'!R1054</f>
        <v>0</v>
      </c>
      <c r="I1094" s="160">
        <f>'27'!S1054</f>
        <v>0</v>
      </c>
      <c r="J1094" s="160"/>
      <c r="K1094" s="104">
        <f>'27'!T1054</f>
        <v>0</v>
      </c>
      <c r="L1094" s="36" t="e">
        <f>#REF!</f>
        <v>#REF!</v>
      </c>
      <c r="M1094" s="103" t="e">
        <f>#REF!</f>
        <v>#REF!</v>
      </c>
      <c r="N1094" s="160"/>
      <c r="O1094" s="104" t="e">
        <f>#REF!</f>
        <v>#REF!</v>
      </c>
      <c r="P1094" s="52" t="e">
        <f>IF(#REF!=0,"",#REF!)</f>
        <v>#REF!</v>
      </c>
      <c r="Q1094" s="109" t="e">
        <f>IF(#REF!=0,"",#REF!)</f>
        <v>#REF!</v>
      </c>
      <c r="R1094" s="36" t="e">
        <f>IF(#REF!=0,"",#REF!)</f>
        <v>#REF!</v>
      </c>
      <c r="S1094" s="36" t="e">
        <f>IF(#REF!=0,"",#REF!)</f>
        <v>#REF!</v>
      </c>
      <c r="T1094" s="268"/>
      <c r="U1094" s="268"/>
      <c r="V1094" s="268"/>
    </row>
    <row r="1095" ht="15" customHeight="1" spans="2:22">
      <c r="B1095" s="6" t="e">
        <f t="shared" si="19"/>
        <v>#REF!</v>
      </c>
      <c r="C1095" s="83" t="e">
        <f>#REF!</f>
        <v>#REF!</v>
      </c>
      <c r="D1095" s="110" t="e">
        <f>IF(#REF!=0,"",#REF!)</f>
        <v>#REF!</v>
      </c>
      <c r="E1095" s="85" t="e">
        <f>IF(#REF!=0,"",#REF!)</f>
        <v>#REF!</v>
      </c>
      <c r="F1095" s="85" t="e">
        <f>IF(#REF!=0,"",#REF!)</f>
        <v>#REF!</v>
      </c>
      <c r="G1095" s="105">
        <f>'27'!Q1055</f>
        <v>0</v>
      </c>
      <c r="H1095" s="161">
        <f>'27'!R1055</f>
        <v>0</v>
      </c>
      <c r="I1095" s="161">
        <f>'27'!S1055</f>
        <v>0</v>
      </c>
      <c r="J1095" s="161"/>
      <c r="K1095" s="106">
        <f>'27'!T1055</f>
        <v>0</v>
      </c>
      <c r="L1095" s="85" t="e">
        <f>#REF!</f>
        <v>#REF!</v>
      </c>
      <c r="M1095" s="105" t="e">
        <f>#REF!</f>
        <v>#REF!</v>
      </c>
      <c r="N1095" s="161"/>
      <c r="O1095" s="106" t="e">
        <f>#REF!</f>
        <v>#REF!</v>
      </c>
      <c r="P1095" s="107" t="e">
        <f>IF(#REF!=0,"",#REF!)</f>
        <v>#REF!</v>
      </c>
      <c r="Q1095" s="111" t="e">
        <f>IF(#REF!=0,"",#REF!)</f>
        <v>#REF!</v>
      </c>
      <c r="R1095" s="85" t="e">
        <f>IF(#REF!=0,"",#REF!)</f>
        <v>#REF!</v>
      </c>
      <c r="S1095" s="85" t="e">
        <f>IF(#REF!=0,"",#REF!)</f>
        <v>#REF!</v>
      </c>
      <c r="T1095" s="268"/>
      <c r="U1095" s="268"/>
      <c r="V1095" s="268"/>
    </row>
    <row r="1096" ht="15" customHeight="1" spans="2:22">
      <c r="B1096" s="6" t="e">
        <f t="shared" si="19"/>
        <v>#REF!</v>
      </c>
      <c r="C1096" s="79" t="e">
        <f>#REF!</f>
        <v>#REF!</v>
      </c>
      <c r="D1096" s="62" t="e">
        <f>IF(#REF!=0,"",#REF!)</f>
        <v>#REF!</v>
      </c>
      <c r="E1096" s="81" t="e">
        <f>IF(#REF!=0,"",#REF!)</f>
        <v>#REF!</v>
      </c>
      <c r="F1096" s="81" t="e">
        <f>IF(#REF!=0,"",#REF!)</f>
        <v>#REF!</v>
      </c>
      <c r="G1096" s="100" t="e">
        <f>#REF!</f>
        <v>#REF!</v>
      </c>
      <c r="H1096" s="159">
        <f>'27'!R1056</f>
        <v>0</v>
      </c>
      <c r="I1096" s="159">
        <f>'27'!S1056</f>
        <v>0</v>
      </c>
      <c r="J1096" s="159"/>
      <c r="K1096" s="101">
        <f>'27'!T1056</f>
        <v>0</v>
      </c>
      <c r="L1096" s="81" t="e">
        <f>#REF!</f>
        <v>#REF!</v>
      </c>
      <c r="M1096" s="100" t="e">
        <f>#REF!</f>
        <v>#REF!</v>
      </c>
      <c r="N1096" s="159"/>
      <c r="O1096" s="101" t="e">
        <f>#REF!</f>
        <v>#REF!</v>
      </c>
      <c r="P1096" s="102" t="e">
        <f>IF(#REF!=0,"",#REF!)</f>
        <v>#REF!</v>
      </c>
      <c r="Q1096" s="108" t="e">
        <f>IF(#REF!=0,"",#REF!)</f>
        <v>#REF!</v>
      </c>
      <c r="R1096" s="81" t="e">
        <f>IF(#REF!=0,"",#REF!)</f>
        <v>#REF!</v>
      </c>
      <c r="S1096" s="81" t="e">
        <f>IF(#REF!=0,"",#REF!)</f>
        <v>#REF!</v>
      </c>
      <c r="T1096" s="268"/>
      <c r="U1096" s="268"/>
      <c r="V1096" s="268"/>
    </row>
    <row r="1097" ht="15" customHeight="1" spans="2:22">
      <c r="B1097" s="6" t="e">
        <f t="shared" si="19"/>
        <v>#REF!</v>
      </c>
      <c r="C1097" s="31" t="e">
        <f>#REF!</f>
        <v>#REF!</v>
      </c>
      <c r="D1097" s="32" t="e">
        <f>IF(#REF!=0,"",#REF!)</f>
        <v>#REF!</v>
      </c>
      <c r="E1097" s="36" t="e">
        <f>IF(#REF!=0,"",#REF!)</f>
        <v>#REF!</v>
      </c>
      <c r="F1097" s="36" t="e">
        <f>IF(#REF!=0,"",#REF!)</f>
        <v>#REF!</v>
      </c>
      <c r="G1097" s="103">
        <f>'27'!Q1057</f>
        <v>0</v>
      </c>
      <c r="H1097" s="160">
        <f>'27'!R1057</f>
        <v>0</v>
      </c>
      <c r="I1097" s="160">
        <f>'27'!S1057</f>
        <v>0</v>
      </c>
      <c r="J1097" s="160"/>
      <c r="K1097" s="104">
        <f>'27'!T1057</f>
        <v>0</v>
      </c>
      <c r="L1097" s="36" t="e">
        <f>#REF!</f>
        <v>#REF!</v>
      </c>
      <c r="M1097" s="103" t="e">
        <f>#REF!</f>
        <v>#REF!</v>
      </c>
      <c r="N1097" s="160"/>
      <c r="O1097" s="104" t="e">
        <f>#REF!</f>
        <v>#REF!</v>
      </c>
      <c r="P1097" s="52" t="e">
        <f>IF(#REF!=0,"",#REF!)</f>
        <v>#REF!</v>
      </c>
      <c r="Q1097" s="109" t="e">
        <f>IF(#REF!=0,"",#REF!)</f>
        <v>#REF!</v>
      </c>
      <c r="R1097" s="36" t="e">
        <f>IF(#REF!=0,"",#REF!)</f>
        <v>#REF!</v>
      </c>
      <c r="S1097" s="36" t="e">
        <f>IF(#REF!=0,"",#REF!)</f>
        <v>#REF!</v>
      </c>
      <c r="T1097" s="268"/>
      <c r="U1097" s="268"/>
      <c r="V1097" s="268"/>
    </row>
    <row r="1098" ht="15" customHeight="1" spans="2:22">
      <c r="B1098" s="6" t="e">
        <f t="shared" si="19"/>
        <v>#REF!</v>
      </c>
      <c r="C1098" s="83" t="e">
        <f>#REF!</f>
        <v>#REF!</v>
      </c>
      <c r="D1098" s="110" t="e">
        <f>IF(#REF!=0,"",#REF!)</f>
        <v>#REF!</v>
      </c>
      <c r="E1098" s="85" t="e">
        <f>IF(#REF!=0,"",#REF!)</f>
        <v>#REF!</v>
      </c>
      <c r="F1098" s="85" t="e">
        <f>IF(#REF!=0,"",#REF!)</f>
        <v>#REF!</v>
      </c>
      <c r="G1098" s="105">
        <f>'27'!Q1058</f>
        <v>0</v>
      </c>
      <c r="H1098" s="161">
        <f>'27'!R1058</f>
        <v>0</v>
      </c>
      <c r="I1098" s="161">
        <f>'27'!S1058</f>
        <v>0</v>
      </c>
      <c r="J1098" s="161"/>
      <c r="K1098" s="106">
        <f>'27'!T1058</f>
        <v>0</v>
      </c>
      <c r="L1098" s="85" t="e">
        <f>#REF!</f>
        <v>#REF!</v>
      </c>
      <c r="M1098" s="105" t="e">
        <f>#REF!</f>
        <v>#REF!</v>
      </c>
      <c r="N1098" s="161"/>
      <c r="O1098" s="106" t="e">
        <f>#REF!</f>
        <v>#REF!</v>
      </c>
      <c r="P1098" s="107" t="e">
        <f>IF(#REF!=0,"",#REF!)</f>
        <v>#REF!</v>
      </c>
      <c r="Q1098" s="111" t="e">
        <f>IF(#REF!=0,"",#REF!)</f>
        <v>#REF!</v>
      </c>
      <c r="R1098" s="85" t="e">
        <f>IF(#REF!=0,"",#REF!)</f>
        <v>#REF!</v>
      </c>
      <c r="S1098" s="85" t="e">
        <f>IF(#REF!=0,"",#REF!)</f>
        <v>#REF!</v>
      </c>
      <c r="T1098" s="268"/>
      <c r="U1098" s="268"/>
      <c r="V1098" s="268"/>
    </row>
    <row r="1099" ht="15" customHeight="1" spans="2:22">
      <c r="B1099" s="6" t="e">
        <f t="shared" si="19"/>
        <v>#REF!</v>
      </c>
      <c r="C1099" s="79" t="e">
        <f>#REF!</f>
        <v>#REF!</v>
      </c>
      <c r="D1099" s="62" t="e">
        <f>IF(#REF!=0,"",#REF!)</f>
        <v>#REF!</v>
      </c>
      <c r="E1099" s="81" t="e">
        <f>IF(#REF!=0,"",#REF!)</f>
        <v>#REF!</v>
      </c>
      <c r="F1099" s="81" t="e">
        <f>IF(#REF!=0,"",#REF!)</f>
        <v>#REF!</v>
      </c>
      <c r="G1099" s="100" t="e">
        <f>#REF!</f>
        <v>#REF!</v>
      </c>
      <c r="H1099" s="159">
        <f>'27'!R1059</f>
        <v>0</v>
      </c>
      <c r="I1099" s="159">
        <f>'27'!S1059</f>
        <v>0</v>
      </c>
      <c r="J1099" s="159"/>
      <c r="K1099" s="101">
        <f>'27'!T1059</f>
        <v>0</v>
      </c>
      <c r="L1099" s="81" t="e">
        <f>#REF!</f>
        <v>#REF!</v>
      </c>
      <c r="M1099" s="100" t="e">
        <f>#REF!</f>
        <v>#REF!</v>
      </c>
      <c r="N1099" s="159"/>
      <c r="O1099" s="101" t="e">
        <f>#REF!</f>
        <v>#REF!</v>
      </c>
      <c r="P1099" s="102" t="e">
        <f>IF(#REF!=0,"",#REF!)</f>
        <v>#REF!</v>
      </c>
      <c r="Q1099" s="108" t="e">
        <f>IF(#REF!=0,"",#REF!)</f>
        <v>#REF!</v>
      </c>
      <c r="R1099" s="81" t="e">
        <f>IF(#REF!=0,"",#REF!)</f>
        <v>#REF!</v>
      </c>
      <c r="S1099" s="81" t="e">
        <f>IF(#REF!=0,"",#REF!)</f>
        <v>#REF!</v>
      </c>
      <c r="T1099" s="268"/>
      <c r="U1099" s="268"/>
      <c r="V1099" s="268"/>
    </row>
    <row r="1100" ht="15" customHeight="1" spans="2:22">
      <c r="B1100" s="6" t="e">
        <f t="shared" si="19"/>
        <v>#REF!</v>
      </c>
      <c r="C1100" s="31" t="e">
        <f>#REF!</f>
        <v>#REF!</v>
      </c>
      <c r="D1100" s="32" t="e">
        <f>IF(#REF!=0,"",#REF!)</f>
        <v>#REF!</v>
      </c>
      <c r="E1100" s="36" t="e">
        <f>IF(#REF!=0,"",#REF!)</f>
        <v>#REF!</v>
      </c>
      <c r="F1100" s="36" t="e">
        <f>IF(#REF!=0,"",#REF!)</f>
        <v>#REF!</v>
      </c>
      <c r="G1100" s="103">
        <f>'27'!Q1060</f>
        <v>0</v>
      </c>
      <c r="H1100" s="160">
        <f>'27'!R1060</f>
        <v>0</v>
      </c>
      <c r="I1100" s="160">
        <f>'27'!S1060</f>
        <v>0</v>
      </c>
      <c r="J1100" s="160"/>
      <c r="K1100" s="104">
        <f>'27'!T1060</f>
        <v>0</v>
      </c>
      <c r="L1100" s="36" t="e">
        <f>#REF!</f>
        <v>#REF!</v>
      </c>
      <c r="M1100" s="103" t="e">
        <f>#REF!</f>
        <v>#REF!</v>
      </c>
      <c r="N1100" s="160"/>
      <c r="O1100" s="104" t="e">
        <f>#REF!</f>
        <v>#REF!</v>
      </c>
      <c r="P1100" s="52" t="e">
        <f>IF(#REF!=0,"",#REF!)</f>
        <v>#REF!</v>
      </c>
      <c r="Q1100" s="109" t="e">
        <f>IF(#REF!=0,"",#REF!)</f>
        <v>#REF!</v>
      </c>
      <c r="R1100" s="36" t="e">
        <f>IF(#REF!=0,"",#REF!)</f>
        <v>#REF!</v>
      </c>
      <c r="S1100" s="36" t="e">
        <f>IF(#REF!=0,"",#REF!)</f>
        <v>#REF!</v>
      </c>
      <c r="T1100" s="268"/>
      <c r="U1100" s="268"/>
      <c r="V1100" s="268"/>
    </row>
    <row r="1101" ht="15" customHeight="1" spans="2:22">
      <c r="B1101" s="6" t="e">
        <f t="shared" si="19"/>
        <v>#REF!</v>
      </c>
      <c r="C1101" s="83" t="e">
        <f>#REF!</f>
        <v>#REF!</v>
      </c>
      <c r="D1101" s="110" t="e">
        <f>IF(#REF!=0,"",#REF!)</f>
        <v>#REF!</v>
      </c>
      <c r="E1101" s="85" t="e">
        <f>IF(#REF!=0,"",#REF!)</f>
        <v>#REF!</v>
      </c>
      <c r="F1101" s="85" t="e">
        <f>IF(#REF!=0,"",#REF!)</f>
        <v>#REF!</v>
      </c>
      <c r="G1101" s="105">
        <f>'27'!Q1061</f>
        <v>0</v>
      </c>
      <c r="H1101" s="161">
        <f>'27'!R1061</f>
        <v>0</v>
      </c>
      <c r="I1101" s="161">
        <f>'27'!S1061</f>
        <v>0</v>
      </c>
      <c r="J1101" s="161"/>
      <c r="K1101" s="106">
        <f>'27'!T1061</f>
        <v>0</v>
      </c>
      <c r="L1101" s="85" t="e">
        <f>#REF!</f>
        <v>#REF!</v>
      </c>
      <c r="M1101" s="105" t="e">
        <f>#REF!</f>
        <v>#REF!</v>
      </c>
      <c r="N1101" s="161"/>
      <c r="O1101" s="106" t="e">
        <f>#REF!</f>
        <v>#REF!</v>
      </c>
      <c r="P1101" s="107" t="e">
        <f>IF(#REF!=0,"",#REF!)</f>
        <v>#REF!</v>
      </c>
      <c r="Q1101" s="111" t="e">
        <f>IF(#REF!=0,"",#REF!)</f>
        <v>#REF!</v>
      </c>
      <c r="R1101" s="85" t="e">
        <f>IF(#REF!=0,"",#REF!)</f>
        <v>#REF!</v>
      </c>
      <c r="S1101" s="85" t="e">
        <f>IF(#REF!=0,"",#REF!)</f>
        <v>#REF!</v>
      </c>
      <c r="T1101" s="268"/>
      <c r="U1101" s="268"/>
      <c r="V1101" s="268"/>
    </row>
    <row r="1102" ht="15" customHeight="1" spans="2:22">
      <c r="B1102" s="6" t="e">
        <f t="shared" si="19"/>
        <v>#REF!</v>
      </c>
      <c r="C1102" s="79" t="e">
        <f>#REF!</f>
        <v>#REF!</v>
      </c>
      <c r="D1102" s="62" t="e">
        <f>IF(#REF!=0,"",#REF!)</f>
        <v>#REF!</v>
      </c>
      <c r="E1102" s="81" t="e">
        <f>IF(#REF!=0,"",#REF!)</f>
        <v>#REF!</v>
      </c>
      <c r="F1102" s="81" t="e">
        <f>IF(#REF!=0,"",#REF!)</f>
        <v>#REF!</v>
      </c>
      <c r="G1102" s="100" t="e">
        <f>#REF!</f>
        <v>#REF!</v>
      </c>
      <c r="H1102" s="159">
        <f>'27'!R1062</f>
        <v>0</v>
      </c>
      <c r="I1102" s="159">
        <f>'27'!S1062</f>
        <v>0</v>
      </c>
      <c r="J1102" s="159"/>
      <c r="K1102" s="101">
        <f>'27'!T1062</f>
        <v>0</v>
      </c>
      <c r="L1102" s="81" t="e">
        <f>#REF!</f>
        <v>#REF!</v>
      </c>
      <c r="M1102" s="100" t="e">
        <f>#REF!</f>
        <v>#REF!</v>
      </c>
      <c r="N1102" s="159"/>
      <c r="O1102" s="101" t="e">
        <f>#REF!</f>
        <v>#REF!</v>
      </c>
      <c r="P1102" s="102" t="e">
        <f>IF(#REF!=0,"",#REF!)</f>
        <v>#REF!</v>
      </c>
      <c r="Q1102" s="108" t="e">
        <f>IF(#REF!=0,"",#REF!)</f>
        <v>#REF!</v>
      </c>
      <c r="R1102" s="81" t="e">
        <f>IF(#REF!=0,"",#REF!)</f>
        <v>#REF!</v>
      </c>
      <c r="S1102" s="81" t="e">
        <f>IF(#REF!=0,"",#REF!)</f>
        <v>#REF!</v>
      </c>
      <c r="T1102" s="268"/>
      <c r="U1102" s="268"/>
      <c r="V1102" s="268"/>
    </row>
    <row r="1103" ht="15" customHeight="1" spans="2:22">
      <c r="B1103" s="6" t="e">
        <f t="shared" si="19"/>
        <v>#REF!</v>
      </c>
      <c r="C1103" s="31" t="e">
        <f>#REF!</f>
        <v>#REF!</v>
      </c>
      <c r="D1103" s="32" t="e">
        <f>IF(#REF!=0,"",#REF!)</f>
        <v>#REF!</v>
      </c>
      <c r="E1103" s="36" t="e">
        <f>IF(#REF!=0,"",#REF!)</f>
        <v>#REF!</v>
      </c>
      <c r="F1103" s="36" t="e">
        <f>IF(#REF!=0,"",#REF!)</f>
        <v>#REF!</v>
      </c>
      <c r="G1103" s="103">
        <f>'27'!Q1063</f>
        <v>0</v>
      </c>
      <c r="H1103" s="160">
        <f>'27'!R1063</f>
        <v>0</v>
      </c>
      <c r="I1103" s="160">
        <f>'27'!S1063</f>
        <v>0</v>
      </c>
      <c r="J1103" s="160"/>
      <c r="K1103" s="104">
        <f>'27'!T1063</f>
        <v>0</v>
      </c>
      <c r="L1103" s="36" t="e">
        <f>#REF!</f>
        <v>#REF!</v>
      </c>
      <c r="M1103" s="103" t="e">
        <f>#REF!</f>
        <v>#REF!</v>
      </c>
      <c r="N1103" s="160"/>
      <c r="O1103" s="104" t="e">
        <f>#REF!</f>
        <v>#REF!</v>
      </c>
      <c r="P1103" s="52" t="e">
        <f>IF(#REF!=0,"",#REF!)</f>
        <v>#REF!</v>
      </c>
      <c r="Q1103" s="109" t="e">
        <f>IF(#REF!=0,"",#REF!)</f>
        <v>#REF!</v>
      </c>
      <c r="R1103" s="36" t="e">
        <f>IF(#REF!=0,"",#REF!)</f>
        <v>#REF!</v>
      </c>
      <c r="S1103" s="36" t="e">
        <f>IF(#REF!=0,"",#REF!)</f>
        <v>#REF!</v>
      </c>
      <c r="T1103" s="268"/>
      <c r="U1103" s="268"/>
      <c r="V1103" s="268"/>
    </row>
    <row r="1104" ht="15" customHeight="1" spans="2:22">
      <c r="B1104" s="6" t="e">
        <f t="shared" si="19"/>
        <v>#REF!</v>
      </c>
      <c r="C1104" s="83" t="e">
        <f>#REF!</f>
        <v>#REF!</v>
      </c>
      <c r="D1104" s="110" t="e">
        <f>IF(#REF!=0,"",#REF!)</f>
        <v>#REF!</v>
      </c>
      <c r="E1104" s="85" t="e">
        <f>IF(#REF!=0,"",#REF!)</f>
        <v>#REF!</v>
      </c>
      <c r="F1104" s="85" t="e">
        <f>IF(#REF!=0,"",#REF!)</f>
        <v>#REF!</v>
      </c>
      <c r="G1104" s="105">
        <f>'27'!Q1064</f>
        <v>0</v>
      </c>
      <c r="H1104" s="161">
        <f>'27'!R1064</f>
        <v>0</v>
      </c>
      <c r="I1104" s="161">
        <f>'27'!S1064</f>
        <v>0</v>
      </c>
      <c r="J1104" s="161"/>
      <c r="K1104" s="106">
        <f>'27'!T1064</f>
        <v>0</v>
      </c>
      <c r="L1104" s="85" t="e">
        <f>#REF!</f>
        <v>#REF!</v>
      </c>
      <c r="M1104" s="105" t="e">
        <f>#REF!</f>
        <v>#REF!</v>
      </c>
      <c r="N1104" s="161"/>
      <c r="O1104" s="106" t="e">
        <f>#REF!</f>
        <v>#REF!</v>
      </c>
      <c r="P1104" s="107" t="e">
        <f>IF(#REF!=0,"",#REF!)</f>
        <v>#REF!</v>
      </c>
      <c r="Q1104" s="111" t="e">
        <f>IF(#REF!=0,"",#REF!)</f>
        <v>#REF!</v>
      </c>
      <c r="R1104" s="85" t="e">
        <f>IF(#REF!=0,"",#REF!)</f>
        <v>#REF!</v>
      </c>
      <c r="S1104" s="85" t="e">
        <f>IF(#REF!=0,"",#REF!)</f>
        <v>#REF!</v>
      </c>
      <c r="T1104" s="268"/>
      <c r="U1104" s="268"/>
      <c r="V1104" s="268"/>
    </row>
    <row r="1105" ht="15" customHeight="1" spans="2:22">
      <c r="B1105" s="6" t="e">
        <f t="shared" si="19"/>
        <v>#REF!</v>
      </c>
      <c r="C1105" s="79" t="e">
        <f>#REF!</f>
        <v>#REF!</v>
      </c>
      <c r="D1105" s="62" t="e">
        <f>IF(#REF!=0,"",#REF!)</f>
        <v>#REF!</v>
      </c>
      <c r="E1105" s="81" t="e">
        <f>IF(#REF!=0,"",#REF!)</f>
        <v>#REF!</v>
      </c>
      <c r="F1105" s="81" t="e">
        <f>IF(#REF!=0,"",#REF!)</f>
        <v>#REF!</v>
      </c>
      <c r="G1105" s="100" t="e">
        <f>#REF!</f>
        <v>#REF!</v>
      </c>
      <c r="H1105" s="159">
        <f>'27'!R1065</f>
        <v>0</v>
      </c>
      <c r="I1105" s="159">
        <f>'27'!S1065</f>
        <v>0</v>
      </c>
      <c r="J1105" s="159"/>
      <c r="K1105" s="101">
        <f>'27'!T1065</f>
        <v>0</v>
      </c>
      <c r="L1105" s="81" t="e">
        <f>#REF!</f>
        <v>#REF!</v>
      </c>
      <c r="M1105" s="100" t="e">
        <f>#REF!</f>
        <v>#REF!</v>
      </c>
      <c r="N1105" s="159"/>
      <c r="O1105" s="101" t="e">
        <f>#REF!</f>
        <v>#REF!</v>
      </c>
      <c r="P1105" s="102" t="e">
        <f>IF(#REF!=0,"",#REF!)</f>
        <v>#REF!</v>
      </c>
      <c r="Q1105" s="108" t="e">
        <f>IF(#REF!=0,"",#REF!)</f>
        <v>#REF!</v>
      </c>
      <c r="R1105" s="81" t="e">
        <f>IF(#REF!=0,"",#REF!)</f>
        <v>#REF!</v>
      </c>
      <c r="S1105" s="81" t="e">
        <f>IF(#REF!=0,"",#REF!)</f>
        <v>#REF!</v>
      </c>
      <c r="T1105" s="268"/>
      <c r="U1105" s="268"/>
      <c r="V1105" s="268"/>
    </row>
    <row r="1106" ht="15" customHeight="1" spans="2:22">
      <c r="B1106" s="6" t="e">
        <f t="shared" si="19"/>
        <v>#REF!</v>
      </c>
      <c r="C1106" s="31" t="e">
        <f>#REF!</f>
        <v>#REF!</v>
      </c>
      <c r="D1106" s="32" t="e">
        <f>IF(#REF!=0,"",#REF!)</f>
        <v>#REF!</v>
      </c>
      <c r="E1106" s="36" t="e">
        <f>IF(#REF!=0,"",#REF!)</f>
        <v>#REF!</v>
      </c>
      <c r="F1106" s="36" t="e">
        <f>IF(#REF!=0,"",#REF!)</f>
        <v>#REF!</v>
      </c>
      <c r="G1106" s="103">
        <f>'27'!Q1066</f>
        <v>0</v>
      </c>
      <c r="H1106" s="160">
        <f>'27'!R1066</f>
        <v>0</v>
      </c>
      <c r="I1106" s="160">
        <f>'27'!S1066</f>
        <v>0</v>
      </c>
      <c r="J1106" s="160"/>
      <c r="K1106" s="104">
        <f>'27'!T1066</f>
        <v>0</v>
      </c>
      <c r="L1106" s="36" t="e">
        <f>#REF!</f>
        <v>#REF!</v>
      </c>
      <c r="M1106" s="103" t="e">
        <f>#REF!</f>
        <v>#REF!</v>
      </c>
      <c r="N1106" s="160"/>
      <c r="O1106" s="104" t="e">
        <f>#REF!</f>
        <v>#REF!</v>
      </c>
      <c r="P1106" s="52" t="e">
        <f>IF(#REF!=0,"",#REF!)</f>
        <v>#REF!</v>
      </c>
      <c r="Q1106" s="109" t="e">
        <f>IF(#REF!=0,"",#REF!)</f>
        <v>#REF!</v>
      </c>
      <c r="R1106" s="36" t="e">
        <f>IF(#REF!=0,"",#REF!)</f>
        <v>#REF!</v>
      </c>
      <c r="S1106" s="36" t="e">
        <f>IF(#REF!=0,"",#REF!)</f>
        <v>#REF!</v>
      </c>
      <c r="T1106" s="268"/>
      <c r="U1106" s="268"/>
      <c r="V1106" s="268"/>
    </row>
    <row r="1107" ht="15" customHeight="1" spans="2:22">
      <c r="B1107" s="6" t="e">
        <f t="shared" si="19"/>
        <v>#REF!</v>
      </c>
      <c r="C1107" s="83" t="e">
        <f>#REF!</f>
        <v>#REF!</v>
      </c>
      <c r="D1107" s="110" t="e">
        <f>IF(#REF!=0,"",#REF!)</f>
        <v>#REF!</v>
      </c>
      <c r="E1107" s="85" t="e">
        <f>IF(#REF!=0,"",#REF!)</f>
        <v>#REF!</v>
      </c>
      <c r="F1107" s="85" t="e">
        <f>IF(#REF!=0,"",#REF!)</f>
        <v>#REF!</v>
      </c>
      <c r="G1107" s="105">
        <f>'27'!Q1067</f>
        <v>0</v>
      </c>
      <c r="H1107" s="161">
        <f>'27'!R1067</f>
        <v>0</v>
      </c>
      <c r="I1107" s="161">
        <f>'27'!S1067</f>
        <v>0</v>
      </c>
      <c r="J1107" s="161"/>
      <c r="K1107" s="106">
        <f>'27'!T1067</f>
        <v>0</v>
      </c>
      <c r="L1107" s="85" t="e">
        <f>#REF!</f>
        <v>#REF!</v>
      </c>
      <c r="M1107" s="105" t="e">
        <f>#REF!</f>
        <v>#REF!</v>
      </c>
      <c r="N1107" s="161"/>
      <c r="O1107" s="106" t="e">
        <f>#REF!</f>
        <v>#REF!</v>
      </c>
      <c r="P1107" s="107" t="e">
        <f>IF(#REF!=0,"",#REF!)</f>
        <v>#REF!</v>
      </c>
      <c r="Q1107" s="111" t="e">
        <f>IF(#REF!=0,"",#REF!)</f>
        <v>#REF!</v>
      </c>
      <c r="R1107" s="85" t="e">
        <f>IF(#REF!=0,"",#REF!)</f>
        <v>#REF!</v>
      </c>
      <c r="S1107" s="85" t="e">
        <f>IF(#REF!=0,"",#REF!)</f>
        <v>#REF!</v>
      </c>
      <c r="T1107" s="268"/>
      <c r="U1107" s="268"/>
      <c r="V1107" s="268"/>
    </row>
    <row r="1108" ht="15" customHeight="1" spans="2:22">
      <c r="B1108" s="6" t="e">
        <f t="shared" si="19"/>
        <v>#REF!</v>
      </c>
      <c r="C1108" s="79" t="e">
        <f>#REF!</f>
        <v>#REF!</v>
      </c>
      <c r="D1108" s="62" t="e">
        <f>IF(#REF!=0,"",#REF!)</f>
        <v>#REF!</v>
      </c>
      <c r="E1108" s="81" t="e">
        <f>IF(#REF!=0,"",#REF!)</f>
        <v>#REF!</v>
      </c>
      <c r="F1108" s="81" t="e">
        <f>IF(#REF!=0,"",#REF!)</f>
        <v>#REF!</v>
      </c>
      <c r="G1108" s="100" t="e">
        <f>#REF!</f>
        <v>#REF!</v>
      </c>
      <c r="H1108" s="159">
        <f>'27'!R1068</f>
        <v>0</v>
      </c>
      <c r="I1108" s="159">
        <f>'27'!S1068</f>
        <v>0</v>
      </c>
      <c r="J1108" s="159"/>
      <c r="K1108" s="101">
        <f>'27'!T1068</f>
        <v>0</v>
      </c>
      <c r="L1108" s="81" t="e">
        <f>#REF!</f>
        <v>#REF!</v>
      </c>
      <c r="M1108" s="100" t="e">
        <f>#REF!</f>
        <v>#REF!</v>
      </c>
      <c r="N1108" s="159"/>
      <c r="O1108" s="101" t="e">
        <f>#REF!</f>
        <v>#REF!</v>
      </c>
      <c r="P1108" s="102" t="e">
        <f>IF(#REF!=0,"",#REF!)</f>
        <v>#REF!</v>
      </c>
      <c r="Q1108" s="108" t="e">
        <f>IF(#REF!=0,"",#REF!)</f>
        <v>#REF!</v>
      </c>
      <c r="R1108" s="81" t="e">
        <f>IF(#REF!=0,"",#REF!)</f>
        <v>#REF!</v>
      </c>
      <c r="S1108" s="81" t="e">
        <f>IF(#REF!=0,"",#REF!)</f>
        <v>#REF!</v>
      </c>
      <c r="T1108" s="268"/>
      <c r="U1108" s="268"/>
      <c r="V1108" s="268"/>
    </row>
    <row r="1109" ht="15" customHeight="1" spans="2:22">
      <c r="B1109" s="6" t="e">
        <f t="shared" si="19"/>
        <v>#REF!</v>
      </c>
      <c r="C1109" s="31" t="e">
        <f>#REF!</f>
        <v>#REF!</v>
      </c>
      <c r="D1109" s="32" t="e">
        <f>IF(#REF!=0,"",#REF!)</f>
        <v>#REF!</v>
      </c>
      <c r="E1109" s="36" t="e">
        <f>IF(#REF!=0,"",#REF!)</f>
        <v>#REF!</v>
      </c>
      <c r="F1109" s="36" t="e">
        <f>IF(#REF!=0,"",#REF!)</f>
        <v>#REF!</v>
      </c>
      <c r="G1109" s="103">
        <f>'27'!Q1069</f>
        <v>0</v>
      </c>
      <c r="H1109" s="160">
        <f>'27'!R1069</f>
        <v>0</v>
      </c>
      <c r="I1109" s="160">
        <f>'27'!S1069</f>
        <v>0</v>
      </c>
      <c r="J1109" s="160"/>
      <c r="K1109" s="104">
        <f>'27'!T1069</f>
        <v>0</v>
      </c>
      <c r="L1109" s="36" t="e">
        <f>#REF!</f>
        <v>#REF!</v>
      </c>
      <c r="M1109" s="103" t="e">
        <f>#REF!</f>
        <v>#REF!</v>
      </c>
      <c r="N1109" s="160"/>
      <c r="O1109" s="104" t="e">
        <f>#REF!</f>
        <v>#REF!</v>
      </c>
      <c r="P1109" s="52" t="e">
        <f>IF(#REF!=0,"",#REF!)</f>
        <v>#REF!</v>
      </c>
      <c r="Q1109" s="109" t="e">
        <f>IF(#REF!=0,"",#REF!)</f>
        <v>#REF!</v>
      </c>
      <c r="R1109" s="36" t="e">
        <f>IF(#REF!=0,"",#REF!)</f>
        <v>#REF!</v>
      </c>
      <c r="S1109" s="36" t="e">
        <f>IF(#REF!=0,"",#REF!)</f>
        <v>#REF!</v>
      </c>
      <c r="T1109" s="268"/>
      <c r="U1109" s="268"/>
      <c r="V1109" s="268"/>
    </row>
    <row r="1110" ht="15" customHeight="1" spans="2:22">
      <c r="B1110" s="6" t="e">
        <f t="shared" si="19"/>
        <v>#REF!</v>
      </c>
      <c r="C1110" s="83" t="e">
        <f>#REF!</f>
        <v>#REF!</v>
      </c>
      <c r="D1110" s="110" t="e">
        <f>IF(#REF!=0,"",#REF!)</f>
        <v>#REF!</v>
      </c>
      <c r="E1110" s="85" t="e">
        <f>IF(#REF!=0,"",#REF!)</f>
        <v>#REF!</v>
      </c>
      <c r="F1110" s="85" t="e">
        <f>IF(#REF!=0,"",#REF!)</f>
        <v>#REF!</v>
      </c>
      <c r="G1110" s="105">
        <f>'27'!Q1070</f>
        <v>0</v>
      </c>
      <c r="H1110" s="161">
        <f>'27'!R1070</f>
        <v>0</v>
      </c>
      <c r="I1110" s="161">
        <f>'27'!S1070</f>
        <v>0</v>
      </c>
      <c r="J1110" s="161"/>
      <c r="K1110" s="106">
        <f>'27'!T1070</f>
        <v>0</v>
      </c>
      <c r="L1110" s="85" t="e">
        <f>#REF!</f>
        <v>#REF!</v>
      </c>
      <c r="M1110" s="105" t="e">
        <f>#REF!</f>
        <v>#REF!</v>
      </c>
      <c r="N1110" s="161"/>
      <c r="O1110" s="106" t="e">
        <f>#REF!</f>
        <v>#REF!</v>
      </c>
      <c r="P1110" s="107" t="e">
        <f>IF(#REF!=0,"",#REF!)</f>
        <v>#REF!</v>
      </c>
      <c r="Q1110" s="111" t="e">
        <f>IF(#REF!=0,"",#REF!)</f>
        <v>#REF!</v>
      </c>
      <c r="R1110" s="85" t="e">
        <f>IF(#REF!=0,"",#REF!)</f>
        <v>#REF!</v>
      </c>
      <c r="S1110" s="85" t="e">
        <f>IF(#REF!=0,"",#REF!)</f>
        <v>#REF!</v>
      </c>
      <c r="T1110" s="268"/>
      <c r="U1110" s="268"/>
      <c r="V1110" s="268"/>
    </row>
    <row r="1111" ht="15" customHeight="1" spans="2:22">
      <c r="B1111" s="6" t="e">
        <f t="shared" si="19"/>
        <v>#REF!</v>
      </c>
      <c r="C1111" s="79" t="e">
        <f>#REF!</f>
        <v>#REF!</v>
      </c>
      <c r="D1111" s="62" t="e">
        <f>IF(#REF!=0,"",#REF!)</f>
        <v>#REF!</v>
      </c>
      <c r="E1111" s="81" t="e">
        <f>IF(#REF!=0,"",#REF!)</f>
        <v>#REF!</v>
      </c>
      <c r="F1111" s="81" t="e">
        <f>IF(#REF!=0,"",#REF!)</f>
        <v>#REF!</v>
      </c>
      <c r="G1111" s="100" t="e">
        <f>#REF!</f>
        <v>#REF!</v>
      </c>
      <c r="H1111" s="159">
        <f>'27'!R1071</f>
        <v>0</v>
      </c>
      <c r="I1111" s="159">
        <f>'27'!S1071</f>
        <v>0</v>
      </c>
      <c r="J1111" s="159"/>
      <c r="K1111" s="101">
        <f>'27'!T1071</f>
        <v>0</v>
      </c>
      <c r="L1111" s="81" t="e">
        <f>#REF!</f>
        <v>#REF!</v>
      </c>
      <c r="M1111" s="100" t="e">
        <f>#REF!</f>
        <v>#REF!</v>
      </c>
      <c r="N1111" s="159"/>
      <c r="O1111" s="101" t="e">
        <f>#REF!</f>
        <v>#REF!</v>
      </c>
      <c r="P1111" s="102" t="e">
        <f>IF(#REF!=0,"",#REF!)</f>
        <v>#REF!</v>
      </c>
      <c r="Q1111" s="108" t="e">
        <f>IF(#REF!=0,"",#REF!)</f>
        <v>#REF!</v>
      </c>
      <c r="R1111" s="81" t="e">
        <f>IF(#REF!=0,"",#REF!)</f>
        <v>#REF!</v>
      </c>
      <c r="S1111" s="81" t="e">
        <f>IF(#REF!=0,"",#REF!)</f>
        <v>#REF!</v>
      </c>
      <c r="T1111" s="268"/>
      <c r="U1111" s="268"/>
      <c r="V1111" s="268"/>
    </row>
    <row r="1112" ht="15" customHeight="1" spans="2:22">
      <c r="B1112" s="6" t="e">
        <f t="shared" si="19"/>
        <v>#REF!</v>
      </c>
      <c r="C1112" s="31" t="e">
        <f>#REF!</f>
        <v>#REF!</v>
      </c>
      <c r="D1112" s="32" t="e">
        <f>IF(#REF!=0,"",#REF!)</f>
        <v>#REF!</v>
      </c>
      <c r="E1112" s="36" t="e">
        <f>IF(#REF!=0,"",#REF!)</f>
        <v>#REF!</v>
      </c>
      <c r="F1112" s="36" t="e">
        <f>IF(#REF!=0,"",#REF!)</f>
        <v>#REF!</v>
      </c>
      <c r="G1112" s="103">
        <f>'27'!Q1072</f>
        <v>0</v>
      </c>
      <c r="H1112" s="160">
        <f>'27'!R1072</f>
        <v>0</v>
      </c>
      <c r="I1112" s="160">
        <f>'27'!S1072</f>
        <v>0</v>
      </c>
      <c r="J1112" s="160"/>
      <c r="K1112" s="104">
        <f>'27'!T1072</f>
        <v>0</v>
      </c>
      <c r="L1112" s="36" t="e">
        <f>#REF!</f>
        <v>#REF!</v>
      </c>
      <c r="M1112" s="103" t="e">
        <f>#REF!</f>
        <v>#REF!</v>
      </c>
      <c r="N1112" s="160"/>
      <c r="O1112" s="104" t="e">
        <f>#REF!</f>
        <v>#REF!</v>
      </c>
      <c r="P1112" s="52" t="e">
        <f>IF(#REF!=0,"",#REF!)</f>
        <v>#REF!</v>
      </c>
      <c r="Q1112" s="109" t="e">
        <f>IF(#REF!=0,"",#REF!)</f>
        <v>#REF!</v>
      </c>
      <c r="R1112" s="36" t="e">
        <f>IF(#REF!=0,"",#REF!)</f>
        <v>#REF!</v>
      </c>
      <c r="S1112" s="36" t="e">
        <f>IF(#REF!=0,"",#REF!)</f>
        <v>#REF!</v>
      </c>
      <c r="T1112" s="268"/>
      <c r="U1112" s="268"/>
      <c r="V1112" s="268"/>
    </row>
    <row r="1113" ht="15" customHeight="1" spans="2:22">
      <c r="B1113" s="6" t="e">
        <f t="shared" si="19"/>
        <v>#REF!</v>
      </c>
      <c r="C1113" s="83" t="e">
        <f>#REF!</f>
        <v>#REF!</v>
      </c>
      <c r="D1113" s="110" t="e">
        <f>IF(#REF!=0,"",#REF!)</f>
        <v>#REF!</v>
      </c>
      <c r="E1113" s="85" t="e">
        <f>IF(#REF!=0,"",#REF!)</f>
        <v>#REF!</v>
      </c>
      <c r="F1113" s="85" t="e">
        <f>IF(#REF!=0,"",#REF!)</f>
        <v>#REF!</v>
      </c>
      <c r="G1113" s="105">
        <f>'27'!Q1073</f>
        <v>0</v>
      </c>
      <c r="H1113" s="161">
        <f>'27'!R1073</f>
        <v>0</v>
      </c>
      <c r="I1113" s="161">
        <f>'27'!S1073</f>
        <v>0</v>
      </c>
      <c r="J1113" s="161"/>
      <c r="K1113" s="106">
        <f>'27'!T1073</f>
        <v>0</v>
      </c>
      <c r="L1113" s="85" t="e">
        <f>#REF!</f>
        <v>#REF!</v>
      </c>
      <c r="M1113" s="105" t="e">
        <f>#REF!</f>
        <v>#REF!</v>
      </c>
      <c r="N1113" s="161"/>
      <c r="O1113" s="106" t="e">
        <f>#REF!</f>
        <v>#REF!</v>
      </c>
      <c r="P1113" s="107" t="e">
        <f>IF(#REF!=0,"",#REF!)</f>
        <v>#REF!</v>
      </c>
      <c r="Q1113" s="111" t="e">
        <f>IF(#REF!=0,"",#REF!)</f>
        <v>#REF!</v>
      </c>
      <c r="R1113" s="85" t="e">
        <f>IF(#REF!=0,"",#REF!)</f>
        <v>#REF!</v>
      </c>
      <c r="S1113" s="85" t="e">
        <f>IF(#REF!=0,"",#REF!)</f>
        <v>#REF!</v>
      </c>
      <c r="T1113" s="268"/>
      <c r="U1113" s="268"/>
      <c r="V1113" s="268"/>
    </row>
    <row r="1114" ht="15" customHeight="1" spans="2:22">
      <c r="B1114" s="6" t="e">
        <f t="shared" si="19"/>
        <v>#REF!</v>
      </c>
      <c r="C1114" s="79" t="e">
        <f>#REF!</f>
        <v>#REF!</v>
      </c>
      <c r="D1114" s="62" t="e">
        <f>IF(#REF!=0,"",#REF!)</f>
        <v>#REF!</v>
      </c>
      <c r="E1114" s="81" t="e">
        <f>IF(#REF!=0,"",#REF!)</f>
        <v>#REF!</v>
      </c>
      <c r="F1114" s="81" t="e">
        <f>IF(#REF!=0,"",#REF!)</f>
        <v>#REF!</v>
      </c>
      <c r="G1114" s="100" t="e">
        <f>#REF!</f>
        <v>#REF!</v>
      </c>
      <c r="H1114" s="159">
        <f>'27'!R1074</f>
        <v>0</v>
      </c>
      <c r="I1114" s="159">
        <f>'27'!S1074</f>
        <v>0</v>
      </c>
      <c r="J1114" s="159"/>
      <c r="K1114" s="101">
        <f>'27'!T1074</f>
        <v>0</v>
      </c>
      <c r="L1114" s="81" t="e">
        <f>#REF!</f>
        <v>#REF!</v>
      </c>
      <c r="M1114" s="100" t="e">
        <f>#REF!</f>
        <v>#REF!</v>
      </c>
      <c r="N1114" s="159"/>
      <c r="O1114" s="101" t="e">
        <f>#REF!</f>
        <v>#REF!</v>
      </c>
      <c r="P1114" s="102" t="e">
        <f>IF(#REF!=0,"",#REF!)</f>
        <v>#REF!</v>
      </c>
      <c r="Q1114" s="108" t="e">
        <f>IF(#REF!=0,"",#REF!)</f>
        <v>#REF!</v>
      </c>
      <c r="R1114" s="81" t="e">
        <f>IF(#REF!=0,"",#REF!)</f>
        <v>#REF!</v>
      </c>
      <c r="S1114" s="81" t="e">
        <f>IF(#REF!=0,"",#REF!)</f>
        <v>#REF!</v>
      </c>
      <c r="T1114" s="268"/>
      <c r="U1114" s="268"/>
      <c r="V1114" s="268"/>
    </row>
    <row r="1115" ht="15" customHeight="1" spans="2:22">
      <c r="B1115" s="6" t="e">
        <f t="shared" si="19"/>
        <v>#REF!</v>
      </c>
      <c r="C1115" s="31" t="e">
        <f>#REF!</f>
        <v>#REF!</v>
      </c>
      <c r="D1115" s="32" t="e">
        <f>IF(#REF!=0,"",#REF!)</f>
        <v>#REF!</v>
      </c>
      <c r="E1115" s="36" t="e">
        <f>IF(#REF!=0,"",#REF!)</f>
        <v>#REF!</v>
      </c>
      <c r="F1115" s="36" t="e">
        <f>IF(#REF!=0,"",#REF!)</f>
        <v>#REF!</v>
      </c>
      <c r="G1115" s="103">
        <f>'27'!Q1075</f>
        <v>0</v>
      </c>
      <c r="H1115" s="160">
        <f>'27'!R1075</f>
        <v>0</v>
      </c>
      <c r="I1115" s="160">
        <f>'27'!S1075</f>
        <v>0</v>
      </c>
      <c r="J1115" s="160"/>
      <c r="K1115" s="104">
        <f>'27'!T1075</f>
        <v>0</v>
      </c>
      <c r="L1115" s="36" t="e">
        <f>#REF!</f>
        <v>#REF!</v>
      </c>
      <c r="M1115" s="103" t="e">
        <f>#REF!</f>
        <v>#REF!</v>
      </c>
      <c r="N1115" s="160"/>
      <c r="O1115" s="104" t="e">
        <f>#REF!</f>
        <v>#REF!</v>
      </c>
      <c r="P1115" s="52" t="e">
        <f>IF(#REF!=0,"",#REF!)</f>
        <v>#REF!</v>
      </c>
      <c r="Q1115" s="109" t="e">
        <f>IF(#REF!=0,"",#REF!)</f>
        <v>#REF!</v>
      </c>
      <c r="R1115" s="36" t="e">
        <f>IF(#REF!=0,"",#REF!)</f>
        <v>#REF!</v>
      </c>
      <c r="S1115" s="36" t="e">
        <f>IF(#REF!=0,"",#REF!)</f>
        <v>#REF!</v>
      </c>
      <c r="T1115" s="268"/>
      <c r="U1115" s="268"/>
      <c r="V1115" s="268"/>
    </row>
    <row r="1116" ht="15" customHeight="1" spans="2:22">
      <c r="B1116" s="6" t="e">
        <f t="shared" si="19"/>
        <v>#REF!</v>
      </c>
      <c r="C1116" s="83" t="e">
        <f>#REF!</f>
        <v>#REF!</v>
      </c>
      <c r="D1116" s="110" t="e">
        <f>IF(#REF!=0,"",#REF!)</f>
        <v>#REF!</v>
      </c>
      <c r="E1116" s="85" t="e">
        <f>IF(#REF!=0,"",#REF!)</f>
        <v>#REF!</v>
      </c>
      <c r="F1116" s="85" t="e">
        <f>IF(#REF!=0,"",#REF!)</f>
        <v>#REF!</v>
      </c>
      <c r="G1116" s="105">
        <f>'27'!Q1076</f>
        <v>0</v>
      </c>
      <c r="H1116" s="161">
        <f>'27'!R1076</f>
        <v>0</v>
      </c>
      <c r="I1116" s="161">
        <f>'27'!S1076</f>
        <v>0</v>
      </c>
      <c r="J1116" s="161"/>
      <c r="K1116" s="106">
        <f>'27'!T1076</f>
        <v>0</v>
      </c>
      <c r="L1116" s="85" t="e">
        <f>#REF!</f>
        <v>#REF!</v>
      </c>
      <c r="M1116" s="105" t="e">
        <f>#REF!</f>
        <v>#REF!</v>
      </c>
      <c r="N1116" s="161"/>
      <c r="O1116" s="106" t="e">
        <f>#REF!</f>
        <v>#REF!</v>
      </c>
      <c r="P1116" s="107" t="e">
        <f>IF(#REF!=0,"",#REF!)</f>
        <v>#REF!</v>
      </c>
      <c r="Q1116" s="111" t="e">
        <f>IF(#REF!=0,"",#REF!)</f>
        <v>#REF!</v>
      </c>
      <c r="R1116" s="85" t="e">
        <f>IF(#REF!=0,"",#REF!)</f>
        <v>#REF!</v>
      </c>
      <c r="S1116" s="85" t="e">
        <f>IF(#REF!=0,"",#REF!)</f>
        <v>#REF!</v>
      </c>
      <c r="T1116" s="268"/>
      <c r="U1116" s="268"/>
      <c r="V1116" s="268"/>
    </row>
    <row r="1117" ht="15" customHeight="1" spans="2:22">
      <c r="B1117" s="6" t="e">
        <f t="shared" si="19"/>
        <v>#REF!</v>
      </c>
      <c r="C1117" s="79" t="e">
        <f>#REF!</f>
        <v>#REF!</v>
      </c>
      <c r="D1117" s="62" t="e">
        <f>IF(#REF!=0,"",#REF!)</f>
        <v>#REF!</v>
      </c>
      <c r="E1117" s="81" t="e">
        <f>IF(#REF!=0,"",#REF!)</f>
        <v>#REF!</v>
      </c>
      <c r="F1117" s="81" t="e">
        <f>IF(#REF!=0,"",#REF!)</f>
        <v>#REF!</v>
      </c>
      <c r="G1117" s="100" t="e">
        <f>#REF!</f>
        <v>#REF!</v>
      </c>
      <c r="H1117" s="159">
        <f>'27'!R1077</f>
        <v>0</v>
      </c>
      <c r="I1117" s="159">
        <f>'27'!S1077</f>
        <v>0</v>
      </c>
      <c r="J1117" s="159"/>
      <c r="K1117" s="101">
        <f>'27'!T1077</f>
        <v>0</v>
      </c>
      <c r="L1117" s="81" t="e">
        <f>#REF!</f>
        <v>#REF!</v>
      </c>
      <c r="M1117" s="100" t="e">
        <f>#REF!</f>
        <v>#REF!</v>
      </c>
      <c r="N1117" s="159"/>
      <c r="O1117" s="101" t="e">
        <f>#REF!</f>
        <v>#REF!</v>
      </c>
      <c r="P1117" s="102" t="e">
        <f>IF(#REF!=0,"",#REF!)</f>
        <v>#REF!</v>
      </c>
      <c r="Q1117" s="108" t="e">
        <f>IF(#REF!=0,"",#REF!)</f>
        <v>#REF!</v>
      </c>
      <c r="R1117" s="81" t="e">
        <f>IF(#REF!=0,"",#REF!)</f>
        <v>#REF!</v>
      </c>
      <c r="S1117" s="81" t="e">
        <f>IF(#REF!=0,"",#REF!)</f>
        <v>#REF!</v>
      </c>
      <c r="T1117" s="268"/>
      <c r="U1117" s="268"/>
      <c r="V1117" s="268"/>
    </row>
    <row r="1118" ht="15" customHeight="1" spans="2:22">
      <c r="B1118" s="6" t="e">
        <f t="shared" si="19"/>
        <v>#REF!</v>
      </c>
      <c r="C1118" s="31" t="e">
        <f>#REF!</f>
        <v>#REF!</v>
      </c>
      <c r="D1118" s="32" t="e">
        <f>IF(#REF!=0,"",#REF!)</f>
        <v>#REF!</v>
      </c>
      <c r="E1118" s="36" t="e">
        <f>IF(#REF!=0,"",#REF!)</f>
        <v>#REF!</v>
      </c>
      <c r="F1118" s="36" t="e">
        <f>IF(#REF!=0,"",#REF!)</f>
        <v>#REF!</v>
      </c>
      <c r="G1118" s="103">
        <f>'27'!Q1078</f>
        <v>0</v>
      </c>
      <c r="H1118" s="160">
        <f>'27'!R1078</f>
        <v>0</v>
      </c>
      <c r="I1118" s="160">
        <f>'27'!S1078</f>
        <v>0</v>
      </c>
      <c r="J1118" s="160"/>
      <c r="K1118" s="104">
        <f>'27'!T1078</f>
        <v>0</v>
      </c>
      <c r="L1118" s="36" t="e">
        <f>#REF!</f>
        <v>#REF!</v>
      </c>
      <c r="M1118" s="103" t="e">
        <f>#REF!</f>
        <v>#REF!</v>
      </c>
      <c r="N1118" s="160"/>
      <c r="O1118" s="104" t="e">
        <f>#REF!</f>
        <v>#REF!</v>
      </c>
      <c r="P1118" s="52" t="e">
        <f>IF(#REF!=0,"",#REF!)</f>
        <v>#REF!</v>
      </c>
      <c r="Q1118" s="109" t="e">
        <f>IF(#REF!=0,"",#REF!)</f>
        <v>#REF!</v>
      </c>
      <c r="R1118" s="36" t="e">
        <f>IF(#REF!=0,"",#REF!)</f>
        <v>#REF!</v>
      </c>
      <c r="S1118" s="36" t="e">
        <f>IF(#REF!=0,"",#REF!)</f>
        <v>#REF!</v>
      </c>
      <c r="T1118" s="268"/>
      <c r="U1118" s="268"/>
      <c r="V1118" s="268"/>
    </row>
    <row r="1119" ht="15" customHeight="1" spans="2:22">
      <c r="B1119" s="6" t="e">
        <f t="shared" si="19"/>
        <v>#REF!</v>
      </c>
      <c r="C1119" s="83" t="e">
        <f>#REF!</f>
        <v>#REF!</v>
      </c>
      <c r="D1119" s="110" t="e">
        <f>IF(#REF!=0,"",#REF!)</f>
        <v>#REF!</v>
      </c>
      <c r="E1119" s="85" t="e">
        <f>IF(#REF!=0,"",#REF!)</f>
        <v>#REF!</v>
      </c>
      <c r="F1119" s="85" t="e">
        <f>IF(#REF!=0,"",#REF!)</f>
        <v>#REF!</v>
      </c>
      <c r="G1119" s="105">
        <f>'27'!Q1079</f>
        <v>0</v>
      </c>
      <c r="H1119" s="161">
        <f>'27'!R1079</f>
        <v>0</v>
      </c>
      <c r="I1119" s="161">
        <f>'27'!S1079</f>
        <v>0</v>
      </c>
      <c r="J1119" s="161"/>
      <c r="K1119" s="106">
        <f>'27'!T1079</f>
        <v>0</v>
      </c>
      <c r="L1119" s="85" t="e">
        <f>#REF!</f>
        <v>#REF!</v>
      </c>
      <c r="M1119" s="105" t="e">
        <f>#REF!</f>
        <v>#REF!</v>
      </c>
      <c r="N1119" s="161"/>
      <c r="O1119" s="106" t="e">
        <f>#REF!</f>
        <v>#REF!</v>
      </c>
      <c r="P1119" s="107" t="e">
        <f>IF(#REF!=0,"",#REF!)</f>
        <v>#REF!</v>
      </c>
      <c r="Q1119" s="111" t="e">
        <f>IF(#REF!=0,"",#REF!)</f>
        <v>#REF!</v>
      </c>
      <c r="R1119" s="85" t="e">
        <f>IF(#REF!=0,"",#REF!)</f>
        <v>#REF!</v>
      </c>
      <c r="S1119" s="85" t="e">
        <f>IF(#REF!=0,"",#REF!)</f>
        <v>#REF!</v>
      </c>
      <c r="T1119" s="268"/>
      <c r="U1119" s="268"/>
      <c r="V1119" s="268"/>
    </row>
    <row r="1120" ht="15" customHeight="1" spans="2:22">
      <c r="B1120" s="6" t="e">
        <f t="shared" si="19"/>
        <v>#REF!</v>
      </c>
      <c r="C1120" s="79" t="e">
        <f>#REF!</f>
        <v>#REF!</v>
      </c>
      <c r="D1120" s="62" t="e">
        <f>IF(#REF!=0,"",#REF!)</f>
        <v>#REF!</v>
      </c>
      <c r="E1120" s="81" t="e">
        <f>IF(#REF!=0,"",#REF!)</f>
        <v>#REF!</v>
      </c>
      <c r="F1120" s="81" t="e">
        <f>IF(#REF!=0,"",#REF!)</f>
        <v>#REF!</v>
      </c>
      <c r="G1120" s="100" t="e">
        <f>#REF!</f>
        <v>#REF!</v>
      </c>
      <c r="H1120" s="159">
        <f>'27'!R1080</f>
        <v>0</v>
      </c>
      <c r="I1120" s="159">
        <f>'27'!S1080</f>
        <v>0</v>
      </c>
      <c r="J1120" s="159"/>
      <c r="K1120" s="101">
        <f>'27'!T1080</f>
        <v>0</v>
      </c>
      <c r="L1120" s="81" t="e">
        <f>#REF!</f>
        <v>#REF!</v>
      </c>
      <c r="M1120" s="100" t="e">
        <f>#REF!</f>
        <v>#REF!</v>
      </c>
      <c r="N1120" s="159"/>
      <c r="O1120" s="101" t="e">
        <f>#REF!</f>
        <v>#REF!</v>
      </c>
      <c r="P1120" s="102" t="e">
        <f>IF(#REF!=0,"",#REF!)</f>
        <v>#REF!</v>
      </c>
      <c r="Q1120" s="108" t="e">
        <f>IF(#REF!=0,"",#REF!)</f>
        <v>#REF!</v>
      </c>
      <c r="R1120" s="81" t="e">
        <f>IF(#REF!=0,"",#REF!)</f>
        <v>#REF!</v>
      </c>
      <c r="S1120" s="81" t="e">
        <f>IF(#REF!=0,"",#REF!)</f>
        <v>#REF!</v>
      </c>
      <c r="T1120" s="268"/>
      <c r="U1120" s="268"/>
      <c r="V1120" s="268"/>
    </row>
    <row r="1121" ht="15" customHeight="1" spans="2:22">
      <c r="B1121" s="6" t="e">
        <f t="shared" si="19"/>
        <v>#REF!</v>
      </c>
      <c r="C1121" s="31" t="e">
        <f>#REF!</f>
        <v>#REF!</v>
      </c>
      <c r="D1121" s="32" t="e">
        <f>IF(#REF!=0,"",#REF!)</f>
        <v>#REF!</v>
      </c>
      <c r="E1121" s="36" t="e">
        <f>IF(#REF!=0,"",#REF!)</f>
        <v>#REF!</v>
      </c>
      <c r="F1121" s="36" t="e">
        <f>IF(#REF!=0,"",#REF!)</f>
        <v>#REF!</v>
      </c>
      <c r="G1121" s="103">
        <f>'27'!Q1081</f>
        <v>0</v>
      </c>
      <c r="H1121" s="160">
        <f>'27'!R1081</f>
        <v>0</v>
      </c>
      <c r="I1121" s="160">
        <f>'27'!S1081</f>
        <v>0</v>
      </c>
      <c r="J1121" s="160"/>
      <c r="K1121" s="104">
        <f>'27'!T1081</f>
        <v>0</v>
      </c>
      <c r="L1121" s="36" t="e">
        <f>#REF!</f>
        <v>#REF!</v>
      </c>
      <c r="M1121" s="103" t="e">
        <f>#REF!</f>
        <v>#REF!</v>
      </c>
      <c r="N1121" s="160"/>
      <c r="O1121" s="104" t="e">
        <f>#REF!</f>
        <v>#REF!</v>
      </c>
      <c r="P1121" s="52" t="e">
        <f>IF(#REF!=0,"",#REF!)</f>
        <v>#REF!</v>
      </c>
      <c r="Q1121" s="109" t="e">
        <f>IF(#REF!=0,"",#REF!)</f>
        <v>#REF!</v>
      </c>
      <c r="R1121" s="36" t="e">
        <f>IF(#REF!=0,"",#REF!)</f>
        <v>#REF!</v>
      </c>
      <c r="S1121" s="36" t="e">
        <f>IF(#REF!=0,"",#REF!)</f>
        <v>#REF!</v>
      </c>
      <c r="T1121" s="268"/>
      <c r="U1121" s="268"/>
      <c r="V1121" s="268"/>
    </row>
    <row r="1122" ht="15" customHeight="1" spans="2:22">
      <c r="B1122" s="6" t="e">
        <f t="shared" si="19"/>
        <v>#REF!</v>
      </c>
      <c r="C1122" s="83" t="e">
        <f>#REF!</f>
        <v>#REF!</v>
      </c>
      <c r="D1122" s="110" t="e">
        <f>IF(#REF!=0,"",#REF!)</f>
        <v>#REF!</v>
      </c>
      <c r="E1122" s="85" t="e">
        <f>IF(#REF!=0,"",#REF!)</f>
        <v>#REF!</v>
      </c>
      <c r="F1122" s="85" t="e">
        <f>IF(#REF!=0,"",#REF!)</f>
        <v>#REF!</v>
      </c>
      <c r="G1122" s="105">
        <f>'27'!Q1082</f>
        <v>0</v>
      </c>
      <c r="H1122" s="161">
        <f>'27'!R1082</f>
        <v>0</v>
      </c>
      <c r="I1122" s="161">
        <f>'27'!S1082</f>
        <v>0</v>
      </c>
      <c r="J1122" s="161"/>
      <c r="K1122" s="106">
        <f>'27'!T1082</f>
        <v>0</v>
      </c>
      <c r="L1122" s="85" t="e">
        <f>#REF!</f>
        <v>#REF!</v>
      </c>
      <c r="M1122" s="105" t="e">
        <f>#REF!</f>
        <v>#REF!</v>
      </c>
      <c r="N1122" s="161"/>
      <c r="O1122" s="106" t="e">
        <f>#REF!</f>
        <v>#REF!</v>
      </c>
      <c r="P1122" s="107" t="e">
        <f>IF(#REF!=0,"",#REF!)</f>
        <v>#REF!</v>
      </c>
      <c r="Q1122" s="111" t="e">
        <f>IF(#REF!=0,"",#REF!)</f>
        <v>#REF!</v>
      </c>
      <c r="R1122" s="85" t="e">
        <f>IF(#REF!=0,"",#REF!)</f>
        <v>#REF!</v>
      </c>
      <c r="S1122" s="85" t="e">
        <f>IF(#REF!=0,"",#REF!)</f>
        <v>#REF!</v>
      </c>
      <c r="T1122" s="268"/>
      <c r="U1122" s="268"/>
      <c r="V1122" s="268"/>
    </row>
    <row r="1123" ht="15" customHeight="1" spans="2:22">
      <c r="B1123" s="6" t="e">
        <f t="shared" si="19"/>
        <v>#REF!</v>
      </c>
      <c r="C1123" s="79" t="e">
        <f>#REF!</f>
        <v>#REF!</v>
      </c>
      <c r="D1123" s="62" t="e">
        <f>IF(#REF!=0,"",#REF!)</f>
        <v>#REF!</v>
      </c>
      <c r="E1123" s="81" t="e">
        <f>IF(#REF!=0,"",#REF!)</f>
        <v>#REF!</v>
      </c>
      <c r="F1123" s="81" t="e">
        <f>IF(#REF!=0,"",#REF!)</f>
        <v>#REF!</v>
      </c>
      <c r="G1123" s="100" t="e">
        <f>#REF!</f>
        <v>#REF!</v>
      </c>
      <c r="H1123" s="159">
        <f>'27'!R1083</f>
        <v>0</v>
      </c>
      <c r="I1123" s="159">
        <f>'27'!S1083</f>
        <v>0</v>
      </c>
      <c r="J1123" s="159"/>
      <c r="K1123" s="101">
        <f>'27'!T1083</f>
        <v>0</v>
      </c>
      <c r="L1123" s="81" t="e">
        <f>#REF!</f>
        <v>#REF!</v>
      </c>
      <c r="M1123" s="100" t="e">
        <f>#REF!</f>
        <v>#REF!</v>
      </c>
      <c r="N1123" s="159"/>
      <c r="O1123" s="101" t="e">
        <f>#REF!</f>
        <v>#REF!</v>
      </c>
      <c r="P1123" s="102" t="e">
        <f>IF(#REF!=0,"",#REF!)</f>
        <v>#REF!</v>
      </c>
      <c r="Q1123" s="108" t="e">
        <f>IF(#REF!=0,"",#REF!)</f>
        <v>#REF!</v>
      </c>
      <c r="R1123" s="81" t="e">
        <f>IF(#REF!=0,"",#REF!)</f>
        <v>#REF!</v>
      </c>
      <c r="S1123" s="81" t="e">
        <f>IF(#REF!=0,"",#REF!)</f>
        <v>#REF!</v>
      </c>
      <c r="T1123" s="268"/>
      <c r="U1123" s="268"/>
      <c r="V1123" s="268"/>
    </row>
    <row r="1124" ht="15" customHeight="1" spans="2:22">
      <c r="B1124" s="6" t="e">
        <f t="shared" si="19"/>
        <v>#REF!</v>
      </c>
      <c r="C1124" s="31" t="e">
        <f>#REF!</f>
        <v>#REF!</v>
      </c>
      <c r="D1124" s="32" t="e">
        <f>IF(#REF!=0,"",#REF!)</f>
        <v>#REF!</v>
      </c>
      <c r="E1124" s="36" t="e">
        <f>IF(#REF!=0,"",#REF!)</f>
        <v>#REF!</v>
      </c>
      <c r="F1124" s="36" t="e">
        <f>IF(#REF!=0,"",#REF!)</f>
        <v>#REF!</v>
      </c>
      <c r="G1124" s="103">
        <f>'27'!Q1084</f>
        <v>0</v>
      </c>
      <c r="H1124" s="160">
        <f>'27'!R1084</f>
        <v>0</v>
      </c>
      <c r="I1124" s="160">
        <f>'27'!S1084</f>
        <v>0</v>
      </c>
      <c r="J1124" s="160"/>
      <c r="K1124" s="104">
        <f>'27'!T1084</f>
        <v>0</v>
      </c>
      <c r="L1124" s="36" t="e">
        <f>#REF!</f>
        <v>#REF!</v>
      </c>
      <c r="M1124" s="103" t="e">
        <f>#REF!</f>
        <v>#REF!</v>
      </c>
      <c r="N1124" s="160"/>
      <c r="O1124" s="104" t="e">
        <f>#REF!</f>
        <v>#REF!</v>
      </c>
      <c r="P1124" s="52" t="e">
        <f>IF(#REF!=0,"",#REF!)</f>
        <v>#REF!</v>
      </c>
      <c r="Q1124" s="109" t="e">
        <f>IF(#REF!=0,"",#REF!)</f>
        <v>#REF!</v>
      </c>
      <c r="R1124" s="36" t="e">
        <f>IF(#REF!=0,"",#REF!)</f>
        <v>#REF!</v>
      </c>
      <c r="S1124" s="36" t="e">
        <f>IF(#REF!=0,"",#REF!)</f>
        <v>#REF!</v>
      </c>
      <c r="T1124" s="268"/>
      <c r="U1124" s="268"/>
      <c r="V1124" s="268"/>
    </row>
    <row r="1125" ht="15" customHeight="1" spans="2:22">
      <c r="B1125" s="6" t="e">
        <f t="shared" si="19"/>
        <v>#REF!</v>
      </c>
      <c r="C1125" s="83" t="e">
        <f>#REF!</f>
        <v>#REF!</v>
      </c>
      <c r="D1125" s="110" t="e">
        <f>IF(#REF!=0,"",#REF!)</f>
        <v>#REF!</v>
      </c>
      <c r="E1125" s="85" t="e">
        <f>IF(#REF!=0,"",#REF!)</f>
        <v>#REF!</v>
      </c>
      <c r="F1125" s="85" t="e">
        <f>IF(#REF!=0,"",#REF!)</f>
        <v>#REF!</v>
      </c>
      <c r="G1125" s="105">
        <f>'27'!Q1085</f>
        <v>0</v>
      </c>
      <c r="H1125" s="161">
        <f>'27'!R1085</f>
        <v>0</v>
      </c>
      <c r="I1125" s="161">
        <f>'27'!S1085</f>
        <v>0</v>
      </c>
      <c r="J1125" s="161"/>
      <c r="K1125" s="106">
        <f>'27'!T1085</f>
        <v>0</v>
      </c>
      <c r="L1125" s="85" t="e">
        <f>#REF!</f>
        <v>#REF!</v>
      </c>
      <c r="M1125" s="105" t="e">
        <f>#REF!</f>
        <v>#REF!</v>
      </c>
      <c r="N1125" s="161"/>
      <c r="O1125" s="106" t="e">
        <f>#REF!</f>
        <v>#REF!</v>
      </c>
      <c r="P1125" s="107" t="e">
        <f>IF(#REF!=0,"",#REF!)</f>
        <v>#REF!</v>
      </c>
      <c r="Q1125" s="111" t="e">
        <f>IF(#REF!=0,"",#REF!)</f>
        <v>#REF!</v>
      </c>
      <c r="R1125" s="85" t="e">
        <f>IF(#REF!=0,"",#REF!)</f>
        <v>#REF!</v>
      </c>
      <c r="S1125" s="85" t="e">
        <f>IF(#REF!=0,"",#REF!)</f>
        <v>#REF!</v>
      </c>
      <c r="T1125" s="268"/>
      <c r="U1125" s="268"/>
      <c r="V1125" s="268"/>
    </row>
    <row r="1126" ht="15" customHeight="1" spans="2:22">
      <c r="B1126" s="6" t="e">
        <f>COUNTA(C1126)-IF(C1126=0,1)+B1125</f>
        <v>#REF!</v>
      </c>
      <c r="C1126" s="79" t="e">
        <f>#REF!</f>
        <v>#REF!</v>
      </c>
      <c r="D1126" s="62" t="e">
        <f>IF(#REF!=0,"",#REF!)</f>
        <v>#REF!</v>
      </c>
      <c r="E1126" s="62" t="e">
        <f>IF(#REF!=0,"",#REF!)</f>
        <v>#REF!</v>
      </c>
      <c r="F1126" s="62" t="e">
        <f>IF(#REF!=0,"",#REF!)</f>
        <v>#REF!</v>
      </c>
      <c r="G1126" s="100" t="e">
        <f>#REF!</f>
        <v>#REF!</v>
      </c>
      <c r="H1126" s="159">
        <f>'27'!R1086</f>
        <v>0</v>
      </c>
      <c r="I1126" s="159">
        <f>'27'!S1086</f>
        <v>0</v>
      </c>
      <c r="J1126" s="159"/>
      <c r="K1126" s="101">
        <f>'27'!T1086</f>
        <v>0</v>
      </c>
      <c r="L1126" s="81" t="e">
        <f>#REF!</f>
        <v>#REF!</v>
      </c>
      <c r="M1126" s="100" t="e">
        <f>#REF!</f>
        <v>#REF!</v>
      </c>
      <c r="N1126" s="159"/>
      <c r="O1126" s="101" t="e">
        <f>#REF!</f>
        <v>#REF!</v>
      </c>
      <c r="P1126" s="102" t="e">
        <f>IF(#REF!=0,"",#REF!)</f>
        <v>#REF!</v>
      </c>
      <c r="Q1126" s="108" t="e">
        <f>IF(#REF!=0,"",#REF!)</f>
        <v>#REF!</v>
      </c>
      <c r="R1126" s="81" t="e">
        <f>IF(#REF!=0,"",#REF!)</f>
        <v>#REF!</v>
      </c>
      <c r="S1126" s="81" t="e">
        <f>IF(#REF!=0,"",#REF!)</f>
        <v>#REF!</v>
      </c>
      <c r="T1126" s="268"/>
      <c r="U1126" s="268"/>
      <c r="V1126" s="268"/>
    </row>
    <row r="1127" ht="15" customHeight="1" spans="2:22">
      <c r="B1127" s="6" t="e">
        <f t="shared" ref="B1127:B1188" si="20">COUNTA(C1127)-IF(C1127=0,1)+B1126</f>
        <v>#REF!</v>
      </c>
      <c r="C1127" s="31" t="e">
        <f>#REF!</f>
        <v>#REF!</v>
      </c>
      <c r="D1127" s="32" t="e">
        <f>IF(#REF!=0,"",#REF!)</f>
        <v>#REF!</v>
      </c>
      <c r="E1127" s="36" t="e">
        <f>IF(#REF!=0,"",#REF!)</f>
        <v>#REF!</v>
      </c>
      <c r="F1127" s="36" t="e">
        <f>IF(#REF!=0,"",#REF!)</f>
        <v>#REF!</v>
      </c>
      <c r="G1127" s="103">
        <f>'27'!Q1087</f>
        <v>0</v>
      </c>
      <c r="H1127" s="160">
        <f>'27'!R1087</f>
        <v>0</v>
      </c>
      <c r="I1127" s="160">
        <f>'27'!S1087</f>
        <v>0</v>
      </c>
      <c r="J1127" s="160"/>
      <c r="K1127" s="104">
        <f>'27'!T1087</f>
        <v>0</v>
      </c>
      <c r="L1127" s="36" t="e">
        <f>#REF!</f>
        <v>#REF!</v>
      </c>
      <c r="M1127" s="103" t="e">
        <f>#REF!</f>
        <v>#REF!</v>
      </c>
      <c r="N1127" s="160"/>
      <c r="O1127" s="104" t="e">
        <f>#REF!</f>
        <v>#REF!</v>
      </c>
      <c r="P1127" s="52" t="e">
        <f>IF(#REF!=0,"",#REF!)</f>
        <v>#REF!</v>
      </c>
      <c r="Q1127" s="109" t="e">
        <f>IF(#REF!=0,"",#REF!)</f>
        <v>#REF!</v>
      </c>
      <c r="R1127" s="36" t="e">
        <f>IF(#REF!=0,"",#REF!)</f>
        <v>#REF!</v>
      </c>
      <c r="S1127" s="36" t="e">
        <f>IF(#REF!=0,"",#REF!)</f>
        <v>#REF!</v>
      </c>
      <c r="T1127" s="268"/>
      <c r="U1127" s="268"/>
      <c r="V1127" s="268"/>
    </row>
    <row r="1128" ht="15" customHeight="1" spans="2:22">
      <c r="B1128" s="6" t="e">
        <f t="shared" si="20"/>
        <v>#REF!</v>
      </c>
      <c r="C1128" s="83" t="e">
        <f>#REF!</f>
        <v>#REF!</v>
      </c>
      <c r="D1128" s="110" t="e">
        <f>IF(#REF!=0,"",#REF!)</f>
        <v>#REF!</v>
      </c>
      <c r="E1128" s="85" t="e">
        <f>IF(#REF!=0,"",#REF!)</f>
        <v>#REF!</v>
      </c>
      <c r="F1128" s="85" t="e">
        <f>IF(#REF!=0,"",#REF!)</f>
        <v>#REF!</v>
      </c>
      <c r="G1128" s="105">
        <f>'27'!Q1088</f>
        <v>0</v>
      </c>
      <c r="H1128" s="161">
        <f>'27'!R1088</f>
        <v>0</v>
      </c>
      <c r="I1128" s="161">
        <f>'27'!S1088</f>
        <v>0</v>
      </c>
      <c r="J1128" s="161"/>
      <c r="K1128" s="106">
        <f>'27'!T1088</f>
        <v>0</v>
      </c>
      <c r="L1128" s="85" t="e">
        <f>#REF!</f>
        <v>#REF!</v>
      </c>
      <c r="M1128" s="105" t="e">
        <f>#REF!</f>
        <v>#REF!</v>
      </c>
      <c r="N1128" s="161"/>
      <c r="O1128" s="106" t="e">
        <f>#REF!</f>
        <v>#REF!</v>
      </c>
      <c r="P1128" s="107" t="e">
        <f>IF(#REF!=0,"",#REF!)</f>
        <v>#REF!</v>
      </c>
      <c r="Q1128" s="111" t="e">
        <f>IF(#REF!=0,"",#REF!)</f>
        <v>#REF!</v>
      </c>
      <c r="R1128" s="85" t="e">
        <f>IF(#REF!=0,"",#REF!)</f>
        <v>#REF!</v>
      </c>
      <c r="S1128" s="85" t="e">
        <f>IF(#REF!=0,"",#REF!)</f>
        <v>#REF!</v>
      </c>
      <c r="T1128" s="268"/>
      <c r="U1128" s="268"/>
      <c r="V1128" s="268"/>
    </row>
    <row r="1129" ht="15" customHeight="1" spans="2:22">
      <c r="B1129" s="6" t="e">
        <f t="shared" si="20"/>
        <v>#REF!</v>
      </c>
      <c r="C1129" s="79" t="e">
        <f>#REF!</f>
        <v>#REF!</v>
      </c>
      <c r="D1129" s="62" t="e">
        <f>IF(#REF!=0,"",#REF!)</f>
        <v>#REF!</v>
      </c>
      <c r="E1129" s="81" t="e">
        <f>IF(#REF!=0,"",#REF!)</f>
        <v>#REF!</v>
      </c>
      <c r="F1129" s="81" t="e">
        <f>IF(#REF!=0,"",#REF!)</f>
        <v>#REF!</v>
      </c>
      <c r="G1129" s="100" t="e">
        <f>#REF!</f>
        <v>#REF!</v>
      </c>
      <c r="H1129" s="159">
        <f>'27'!R1089</f>
        <v>0</v>
      </c>
      <c r="I1129" s="159">
        <f>'27'!S1089</f>
        <v>0</v>
      </c>
      <c r="J1129" s="159"/>
      <c r="K1129" s="101">
        <f>'27'!T1089</f>
        <v>0</v>
      </c>
      <c r="L1129" s="81" t="e">
        <f>#REF!</f>
        <v>#REF!</v>
      </c>
      <c r="M1129" s="100" t="e">
        <f>#REF!</f>
        <v>#REF!</v>
      </c>
      <c r="N1129" s="159"/>
      <c r="O1129" s="101" t="e">
        <f>#REF!</f>
        <v>#REF!</v>
      </c>
      <c r="P1129" s="102" t="e">
        <f>IF(#REF!=0,"",#REF!)</f>
        <v>#REF!</v>
      </c>
      <c r="Q1129" s="108" t="e">
        <f>IF(#REF!=0,"",#REF!)</f>
        <v>#REF!</v>
      </c>
      <c r="R1129" s="81" t="e">
        <f>IF(#REF!=0,"",#REF!)</f>
        <v>#REF!</v>
      </c>
      <c r="S1129" s="81" t="e">
        <f>IF(#REF!=0,"",#REF!)</f>
        <v>#REF!</v>
      </c>
      <c r="T1129" s="268"/>
      <c r="U1129" s="268"/>
      <c r="V1129" s="268"/>
    </row>
    <row r="1130" ht="15" customHeight="1" spans="2:22">
      <c r="B1130" s="6" t="e">
        <f t="shared" si="20"/>
        <v>#REF!</v>
      </c>
      <c r="C1130" s="31" t="e">
        <f>#REF!</f>
        <v>#REF!</v>
      </c>
      <c r="D1130" s="32" t="e">
        <f>IF(#REF!=0,"",#REF!)</f>
        <v>#REF!</v>
      </c>
      <c r="E1130" s="36" t="e">
        <f>IF(#REF!=0,"",#REF!)</f>
        <v>#REF!</v>
      </c>
      <c r="F1130" s="36" t="e">
        <f>IF(#REF!=0,"",#REF!)</f>
        <v>#REF!</v>
      </c>
      <c r="G1130" s="103">
        <f>'27'!Q1090</f>
        <v>0</v>
      </c>
      <c r="H1130" s="160">
        <f>'27'!R1090</f>
        <v>0</v>
      </c>
      <c r="I1130" s="160">
        <f>'27'!S1090</f>
        <v>0</v>
      </c>
      <c r="J1130" s="160"/>
      <c r="K1130" s="104">
        <f>'27'!T1090</f>
        <v>0</v>
      </c>
      <c r="L1130" s="36" t="e">
        <f>#REF!</f>
        <v>#REF!</v>
      </c>
      <c r="M1130" s="103" t="e">
        <f>#REF!</f>
        <v>#REF!</v>
      </c>
      <c r="N1130" s="160"/>
      <c r="O1130" s="104" t="e">
        <f>#REF!</f>
        <v>#REF!</v>
      </c>
      <c r="P1130" s="52" t="e">
        <f>IF(#REF!=0,"",#REF!)</f>
        <v>#REF!</v>
      </c>
      <c r="Q1130" s="109" t="e">
        <f>IF(#REF!=0,"",#REF!)</f>
        <v>#REF!</v>
      </c>
      <c r="R1130" s="36" t="e">
        <f>IF(#REF!=0,"",#REF!)</f>
        <v>#REF!</v>
      </c>
      <c r="S1130" s="36" t="e">
        <f>IF(#REF!=0,"",#REF!)</f>
        <v>#REF!</v>
      </c>
      <c r="T1130" s="268"/>
      <c r="U1130" s="268"/>
      <c r="V1130" s="268"/>
    </row>
    <row r="1131" ht="15" customHeight="1" spans="2:22">
      <c r="B1131" s="6" t="e">
        <f t="shared" si="20"/>
        <v>#REF!</v>
      </c>
      <c r="C1131" s="83" t="e">
        <f>#REF!</f>
        <v>#REF!</v>
      </c>
      <c r="D1131" s="110" t="e">
        <f>IF(#REF!=0,"",#REF!)</f>
        <v>#REF!</v>
      </c>
      <c r="E1131" s="85" t="e">
        <f>IF(#REF!=0,"",#REF!)</f>
        <v>#REF!</v>
      </c>
      <c r="F1131" s="85" t="e">
        <f>IF(#REF!=0,"",#REF!)</f>
        <v>#REF!</v>
      </c>
      <c r="G1131" s="105">
        <f>'27'!Q1091</f>
        <v>0</v>
      </c>
      <c r="H1131" s="161">
        <f>'27'!R1091</f>
        <v>0</v>
      </c>
      <c r="I1131" s="161">
        <f>'27'!S1091</f>
        <v>0</v>
      </c>
      <c r="J1131" s="161"/>
      <c r="K1131" s="106">
        <f>'27'!T1091</f>
        <v>0</v>
      </c>
      <c r="L1131" s="85" t="e">
        <f>#REF!</f>
        <v>#REF!</v>
      </c>
      <c r="M1131" s="105" t="e">
        <f>#REF!</f>
        <v>#REF!</v>
      </c>
      <c r="N1131" s="161"/>
      <c r="O1131" s="106" t="e">
        <f>#REF!</f>
        <v>#REF!</v>
      </c>
      <c r="P1131" s="107" t="e">
        <f>IF(#REF!=0,"",#REF!)</f>
        <v>#REF!</v>
      </c>
      <c r="Q1131" s="111" t="e">
        <f>IF(#REF!=0,"",#REF!)</f>
        <v>#REF!</v>
      </c>
      <c r="R1131" s="85" t="e">
        <f>IF(#REF!=0,"",#REF!)</f>
        <v>#REF!</v>
      </c>
      <c r="S1131" s="85" t="e">
        <f>IF(#REF!=0,"",#REF!)</f>
        <v>#REF!</v>
      </c>
      <c r="T1131" s="268"/>
      <c r="U1131" s="268"/>
      <c r="V1131" s="268"/>
    </row>
    <row r="1132" ht="15" customHeight="1" spans="2:22">
      <c r="B1132" s="6" t="e">
        <f t="shared" si="20"/>
        <v>#REF!</v>
      </c>
      <c r="C1132" s="79" t="e">
        <f>#REF!</f>
        <v>#REF!</v>
      </c>
      <c r="D1132" s="62" t="e">
        <f>IF(#REF!=0,"",#REF!)</f>
        <v>#REF!</v>
      </c>
      <c r="E1132" s="81" t="e">
        <f>IF(#REF!=0,"",#REF!)</f>
        <v>#REF!</v>
      </c>
      <c r="F1132" s="81" t="e">
        <f>IF(#REF!=0,"",#REF!)</f>
        <v>#REF!</v>
      </c>
      <c r="G1132" s="100" t="e">
        <f>#REF!</f>
        <v>#REF!</v>
      </c>
      <c r="H1132" s="159">
        <f>'27'!R1092</f>
        <v>0</v>
      </c>
      <c r="I1132" s="159">
        <f>'27'!S1092</f>
        <v>0</v>
      </c>
      <c r="J1132" s="159"/>
      <c r="K1132" s="101">
        <f>'27'!T1092</f>
        <v>0</v>
      </c>
      <c r="L1132" s="81" t="e">
        <f>#REF!</f>
        <v>#REF!</v>
      </c>
      <c r="M1132" s="100" t="e">
        <f>#REF!</f>
        <v>#REF!</v>
      </c>
      <c r="N1132" s="159"/>
      <c r="O1132" s="101" t="e">
        <f>#REF!</f>
        <v>#REF!</v>
      </c>
      <c r="P1132" s="102" t="e">
        <f>IF(#REF!=0,"",#REF!)</f>
        <v>#REF!</v>
      </c>
      <c r="Q1132" s="108" t="e">
        <f>IF(#REF!=0,"",#REF!)</f>
        <v>#REF!</v>
      </c>
      <c r="R1132" s="81" t="e">
        <f>IF(#REF!=0,"",#REF!)</f>
        <v>#REF!</v>
      </c>
      <c r="S1132" s="81" t="e">
        <f>IF(#REF!=0,"",#REF!)</f>
        <v>#REF!</v>
      </c>
      <c r="T1132" s="268"/>
      <c r="U1132" s="268"/>
      <c r="V1132" s="268"/>
    </row>
    <row r="1133" ht="15" customHeight="1" spans="2:22">
      <c r="B1133" s="6" t="e">
        <f t="shared" si="20"/>
        <v>#REF!</v>
      </c>
      <c r="C1133" s="31" t="e">
        <f>#REF!</f>
        <v>#REF!</v>
      </c>
      <c r="D1133" s="32" t="e">
        <f>IF(#REF!=0,"",#REF!)</f>
        <v>#REF!</v>
      </c>
      <c r="E1133" s="36" t="e">
        <f>IF(#REF!=0,"",#REF!)</f>
        <v>#REF!</v>
      </c>
      <c r="F1133" s="36" t="e">
        <f>IF(#REF!=0,"",#REF!)</f>
        <v>#REF!</v>
      </c>
      <c r="G1133" s="103">
        <f>'27'!Q1093</f>
        <v>0</v>
      </c>
      <c r="H1133" s="160">
        <f>'27'!R1093</f>
        <v>0</v>
      </c>
      <c r="I1133" s="160">
        <f>'27'!S1093</f>
        <v>0</v>
      </c>
      <c r="J1133" s="160"/>
      <c r="K1133" s="104">
        <f>'27'!T1093</f>
        <v>0</v>
      </c>
      <c r="L1133" s="36" t="e">
        <f>#REF!</f>
        <v>#REF!</v>
      </c>
      <c r="M1133" s="103" t="e">
        <f>#REF!</f>
        <v>#REF!</v>
      </c>
      <c r="N1133" s="160"/>
      <c r="O1133" s="104" t="e">
        <f>#REF!</f>
        <v>#REF!</v>
      </c>
      <c r="P1133" s="52" t="e">
        <f>IF(#REF!=0,"",#REF!)</f>
        <v>#REF!</v>
      </c>
      <c r="Q1133" s="109" t="e">
        <f>IF(#REF!=0,"",#REF!)</f>
        <v>#REF!</v>
      </c>
      <c r="R1133" s="36" t="e">
        <f>IF(#REF!=0,"",#REF!)</f>
        <v>#REF!</v>
      </c>
      <c r="S1133" s="36" t="e">
        <f>IF(#REF!=0,"",#REF!)</f>
        <v>#REF!</v>
      </c>
      <c r="T1133" s="268"/>
      <c r="U1133" s="268"/>
      <c r="V1133" s="268"/>
    </row>
    <row r="1134" ht="15" customHeight="1" spans="2:22">
      <c r="B1134" s="6" t="e">
        <f t="shared" si="20"/>
        <v>#REF!</v>
      </c>
      <c r="C1134" s="83" t="e">
        <f>#REF!</f>
        <v>#REF!</v>
      </c>
      <c r="D1134" s="110" t="e">
        <f>IF(#REF!=0,"",#REF!)</f>
        <v>#REF!</v>
      </c>
      <c r="E1134" s="85" t="e">
        <f>IF(#REF!=0,"",#REF!)</f>
        <v>#REF!</v>
      </c>
      <c r="F1134" s="85" t="e">
        <f>IF(#REF!=0,"",#REF!)</f>
        <v>#REF!</v>
      </c>
      <c r="G1134" s="105">
        <f>'27'!Q1094</f>
        <v>0</v>
      </c>
      <c r="H1134" s="161">
        <f>'27'!R1094</f>
        <v>0</v>
      </c>
      <c r="I1134" s="161">
        <f>'27'!S1094</f>
        <v>0</v>
      </c>
      <c r="J1134" s="161"/>
      <c r="K1134" s="106">
        <f>'27'!T1094</f>
        <v>0</v>
      </c>
      <c r="L1134" s="85" t="e">
        <f>#REF!</f>
        <v>#REF!</v>
      </c>
      <c r="M1134" s="105" t="e">
        <f>#REF!</f>
        <v>#REF!</v>
      </c>
      <c r="N1134" s="161"/>
      <c r="O1134" s="106" t="e">
        <f>#REF!</f>
        <v>#REF!</v>
      </c>
      <c r="P1134" s="107" t="e">
        <f>IF(#REF!=0,"",#REF!)</f>
        <v>#REF!</v>
      </c>
      <c r="Q1134" s="111" t="e">
        <f>IF(#REF!=0,"",#REF!)</f>
        <v>#REF!</v>
      </c>
      <c r="R1134" s="85" t="e">
        <f>IF(#REF!=0,"",#REF!)</f>
        <v>#REF!</v>
      </c>
      <c r="S1134" s="85" t="e">
        <f>IF(#REF!=0,"",#REF!)</f>
        <v>#REF!</v>
      </c>
      <c r="T1134" s="268"/>
      <c r="U1134" s="268"/>
      <c r="V1134" s="268"/>
    </row>
    <row r="1135" ht="15" customHeight="1" spans="2:22">
      <c r="B1135" s="6" t="e">
        <f t="shared" si="20"/>
        <v>#REF!</v>
      </c>
      <c r="C1135" s="79" t="e">
        <f>#REF!</f>
        <v>#REF!</v>
      </c>
      <c r="D1135" s="62" t="e">
        <f>IF(#REF!=0,"",#REF!)</f>
        <v>#REF!</v>
      </c>
      <c r="E1135" s="81" t="e">
        <f>IF(#REF!=0,"",#REF!)</f>
        <v>#REF!</v>
      </c>
      <c r="F1135" s="81" t="e">
        <f>IF(#REF!=0,"",#REF!)</f>
        <v>#REF!</v>
      </c>
      <c r="G1135" s="100" t="e">
        <f>#REF!</f>
        <v>#REF!</v>
      </c>
      <c r="H1135" s="159">
        <f>'27'!R1095</f>
        <v>0</v>
      </c>
      <c r="I1135" s="159">
        <f>'27'!S1095</f>
        <v>0</v>
      </c>
      <c r="J1135" s="159"/>
      <c r="K1135" s="101">
        <f>'27'!T1095</f>
        <v>0</v>
      </c>
      <c r="L1135" s="81" t="e">
        <f>#REF!</f>
        <v>#REF!</v>
      </c>
      <c r="M1135" s="100" t="e">
        <f>#REF!</f>
        <v>#REF!</v>
      </c>
      <c r="N1135" s="159"/>
      <c r="O1135" s="101" t="e">
        <f>#REF!</f>
        <v>#REF!</v>
      </c>
      <c r="P1135" s="102" t="e">
        <f>IF(#REF!=0,"",#REF!)</f>
        <v>#REF!</v>
      </c>
      <c r="Q1135" s="108" t="e">
        <f>IF(#REF!=0,"",#REF!)</f>
        <v>#REF!</v>
      </c>
      <c r="R1135" s="81" t="e">
        <f>IF(#REF!=0,"",#REF!)</f>
        <v>#REF!</v>
      </c>
      <c r="S1135" s="81" t="e">
        <f>IF(#REF!=0,"",#REF!)</f>
        <v>#REF!</v>
      </c>
      <c r="T1135" s="268"/>
      <c r="U1135" s="268"/>
      <c r="V1135" s="268"/>
    </row>
    <row r="1136" ht="15" customHeight="1" spans="2:22">
      <c r="B1136" s="6" t="e">
        <f t="shared" si="20"/>
        <v>#REF!</v>
      </c>
      <c r="C1136" s="31" t="e">
        <f>#REF!</f>
        <v>#REF!</v>
      </c>
      <c r="D1136" s="32" t="e">
        <f>IF(#REF!=0,"",#REF!)</f>
        <v>#REF!</v>
      </c>
      <c r="E1136" s="36" t="e">
        <f>IF(#REF!=0,"",#REF!)</f>
        <v>#REF!</v>
      </c>
      <c r="F1136" s="36" t="e">
        <f>IF(#REF!=0,"",#REF!)</f>
        <v>#REF!</v>
      </c>
      <c r="G1136" s="103">
        <f>'27'!Q1096</f>
        <v>0</v>
      </c>
      <c r="H1136" s="160">
        <f>'27'!R1096</f>
        <v>0</v>
      </c>
      <c r="I1136" s="160">
        <f>'27'!S1096</f>
        <v>0</v>
      </c>
      <c r="J1136" s="160"/>
      <c r="K1136" s="104">
        <f>'27'!T1096</f>
        <v>0</v>
      </c>
      <c r="L1136" s="36" t="e">
        <f>#REF!</f>
        <v>#REF!</v>
      </c>
      <c r="M1136" s="103" t="e">
        <f>#REF!</f>
        <v>#REF!</v>
      </c>
      <c r="N1136" s="160"/>
      <c r="O1136" s="104" t="e">
        <f>#REF!</f>
        <v>#REF!</v>
      </c>
      <c r="P1136" s="52" t="e">
        <f>IF(#REF!=0,"",#REF!)</f>
        <v>#REF!</v>
      </c>
      <c r="Q1136" s="109" t="e">
        <f>IF(#REF!=0,"",#REF!)</f>
        <v>#REF!</v>
      </c>
      <c r="R1136" s="36" t="e">
        <f>IF(#REF!=0,"",#REF!)</f>
        <v>#REF!</v>
      </c>
      <c r="S1136" s="36" t="e">
        <f>IF(#REF!=0,"",#REF!)</f>
        <v>#REF!</v>
      </c>
      <c r="T1136" s="268"/>
      <c r="U1136" s="268"/>
      <c r="V1136" s="268"/>
    </row>
    <row r="1137" ht="15" customHeight="1" spans="2:22">
      <c r="B1137" s="6" t="e">
        <f t="shared" si="20"/>
        <v>#REF!</v>
      </c>
      <c r="C1137" s="83" t="e">
        <f>#REF!</f>
        <v>#REF!</v>
      </c>
      <c r="D1137" s="110" t="e">
        <f>IF(#REF!=0,"",#REF!)</f>
        <v>#REF!</v>
      </c>
      <c r="E1137" s="85" t="e">
        <f>IF(#REF!=0,"",#REF!)</f>
        <v>#REF!</v>
      </c>
      <c r="F1137" s="85" t="e">
        <f>IF(#REF!=0,"",#REF!)</f>
        <v>#REF!</v>
      </c>
      <c r="G1137" s="105">
        <f>'27'!Q1097</f>
        <v>0</v>
      </c>
      <c r="H1137" s="161">
        <f>'27'!R1097</f>
        <v>0</v>
      </c>
      <c r="I1137" s="161">
        <f>'27'!S1097</f>
        <v>0</v>
      </c>
      <c r="J1137" s="161"/>
      <c r="K1137" s="106">
        <f>'27'!T1097</f>
        <v>0</v>
      </c>
      <c r="L1137" s="85" t="e">
        <f>#REF!</f>
        <v>#REF!</v>
      </c>
      <c r="M1137" s="105" t="e">
        <f>#REF!</f>
        <v>#REF!</v>
      </c>
      <c r="N1137" s="161"/>
      <c r="O1137" s="106" t="e">
        <f>#REF!</f>
        <v>#REF!</v>
      </c>
      <c r="P1137" s="107" t="e">
        <f>IF(#REF!=0,"",#REF!)</f>
        <v>#REF!</v>
      </c>
      <c r="Q1137" s="111" t="e">
        <f>IF(#REF!=0,"",#REF!)</f>
        <v>#REF!</v>
      </c>
      <c r="R1137" s="85" t="e">
        <f>IF(#REF!=0,"",#REF!)</f>
        <v>#REF!</v>
      </c>
      <c r="S1137" s="85" t="e">
        <f>IF(#REF!=0,"",#REF!)</f>
        <v>#REF!</v>
      </c>
      <c r="T1137" s="268"/>
      <c r="U1137" s="268"/>
      <c r="V1137" s="268"/>
    </row>
    <row r="1138" ht="15" customHeight="1" spans="2:22">
      <c r="B1138" s="6" t="e">
        <f t="shared" si="20"/>
        <v>#REF!</v>
      </c>
      <c r="C1138" s="79" t="e">
        <f>#REF!</f>
        <v>#REF!</v>
      </c>
      <c r="D1138" s="62" t="e">
        <f>IF(#REF!=0,"",#REF!)</f>
        <v>#REF!</v>
      </c>
      <c r="E1138" s="81" t="e">
        <f>IF(#REF!=0,"",#REF!)</f>
        <v>#REF!</v>
      </c>
      <c r="F1138" s="81" t="e">
        <f>IF(#REF!=0,"",#REF!)</f>
        <v>#REF!</v>
      </c>
      <c r="G1138" s="100" t="e">
        <f>#REF!</f>
        <v>#REF!</v>
      </c>
      <c r="H1138" s="159">
        <f>'27'!R1098</f>
        <v>0</v>
      </c>
      <c r="I1138" s="159">
        <f>'27'!S1098</f>
        <v>0</v>
      </c>
      <c r="J1138" s="159"/>
      <c r="K1138" s="101">
        <f>'27'!T1098</f>
        <v>0</v>
      </c>
      <c r="L1138" s="81" t="e">
        <f>#REF!</f>
        <v>#REF!</v>
      </c>
      <c r="M1138" s="100" t="e">
        <f>#REF!</f>
        <v>#REF!</v>
      </c>
      <c r="N1138" s="159"/>
      <c r="O1138" s="101" t="e">
        <f>#REF!</f>
        <v>#REF!</v>
      </c>
      <c r="P1138" s="102" t="e">
        <f>IF(#REF!=0,"",#REF!)</f>
        <v>#REF!</v>
      </c>
      <c r="Q1138" s="108" t="e">
        <f>IF(#REF!=0,"",#REF!)</f>
        <v>#REF!</v>
      </c>
      <c r="R1138" s="81" t="e">
        <f>IF(#REF!=0,"",#REF!)</f>
        <v>#REF!</v>
      </c>
      <c r="S1138" s="81" t="e">
        <f>IF(#REF!=0,"",#REF!)</f>
        <v>#REF!</v>
      </c>
      <c r="T1138" s="268"/>
      <c r="U1138" s="268"/>
      <c r="V1138" s="268"/>
    </row>
    <row r="1139" ht="15" customHeight="1" spans="2:22">
      <c r="B1139" s="6" t="e">
        <f t="shared" si="20"/>
        <v>#REF!</v>
      </c>
      <c r="C1139" s="31" t="e">
        <f>#REF!</f>
        <v>#REF!</v>
      </c>
      <c r="D1139" s="32" t="e">
        <f>IF(#REF!=0,"",#REF!)</f>
        <v>#REF!</v>
      </c>
      <c r="E1139" s="36" t="e">
        <f>IF(#REF!=0,"",#REF!)</f>
        <v>#REF!</v>
      </c>
      <c r="F1139" s="36" t="e">
        <f>IF(#REF!=0,"",#REF!)</f>
        <v>#REF!</v>
      </c>
      <c r="G1139" s="103">
        <f>'27'!Q1099</f>
        <v>0</v>
      </c>
      <c r="H1139" s="160">
        <f>'27'!R1099</f>
        <v>0</v>
      </c>
      <c r="I1139" s="160">
        <f>'27'!S1099</f>
        <v>0</v>
      </c>
      <c r="J1139" s="160"/>
      <c r="K1139" s="104">
        <f>'27'!T1099</f>
        <v>0</v>
      </c>
      <c r="L1139" s="36" t="e">
        <f>#REF!</f>
        <v>#REF!</v>
      </c>
      <c r="M1139" s="103" t="e">
        <f>#REF!</f>
        <v>#REF!</v>
      </c>
      <c r="N1139" s="160"/>
      <c r="O1139" s="104" t="e">
        <f>#REF!</f>
        <v>#REF!</v>
      </c>
      <c r="P1139" s="52" t="e">
        <f>IF(#REF!=0,"",#REF!)</f>
        <v>#REF!</v>
      </c>
      <c r="Q1139" s="109" t="e">
        <f>IF(#REF!=0,"",#REF!)</f>
        <v>#REF!</v>
      </c>
      <c r="R1139" s="36" t="e">
        <f>IF(#REF!=0,"",#REF!)</f>
        <v>#REF!</v>
      </c>
      <c r="S1139" s="36" t="e">
        <f>IF(#REF!=0,"",#REF!)</f>
        <v>#REF!</v>
      </c>
      <c r="T1139" s="268"/>
      <c r="U1139" s="268"/>
      <c r="V1139" s="268"/>
    </row>
    <row r="1140" ht="15" customHeight="1" spans="2:22">
      <c r="B1140" s="6" t="e">
        <f t="shared" si="20"/>
        <v>#REF!</v>
      </c>
      <c r="C1140" s="83" t="e">
        <f>#REF!</f>
        <v>#REF!</v>
      </c>
      <c r="D1140" s="110" t="e">
        <f>IF(#REF!=0,"",#REF!)</f>
        <v>#REF!</v>
      </c>
      <c r="E1140" s="85" t="e">
        <f>IF(#REF!=0,"",#REF!)</f>
        <v>#REF!</v>
      </c>
      <c r="F1140" s="85" t="e">
        <f>IF(#REF!=0,"",#REF!)</f>
        <v>#REF!</v>
      </c>
      <c r="G1140" s="105">
        <f>'27'!Q1100</f>
        <v>0</v>
      </c>
      <c r="H1140" s="161">
        <f>'27'!R1100</f>
        <v>0</v>
      </c>
      <c r="I1140" s="161">
        <f>'27'!S1100</f>
        <v>0</v>
      </c>
      <c r="J1140" s="161"/>
      <c r="K1140" s="106">
        <f>'27'!T1100</f>
        <v>0</v>
      </c>
      <c r="L1140" s="85" t="e">
        <f>#REF!</f>
        <v>#REF!</v>
      </c>
      <c r="M1140" s="105" t="e">
        <f>#REF!</f>
        <v>#REF!</v>
      </c>
      <c r="N1140" s="161"/>
      <c r="O1140" s="106" t="e">
        <f>#REF!</f>
        <v>#REF!</v>
      </c>
      <c r="P1140" s="107" t="e">
        <f>IF(#REF!=0,"",#REF!)</f>
        <v>#REF!</v>
      </c>
      <c r="Q1140" s="111" t="e">
        <f>IF(#REF!=0,"",#REF!)</f>
        <v>#REF!</v>
      </c>
      <c r="R1140" s="85" t="e">
        <f>IF(#REF!=0,"",#REF!)</f>
        <v>#REF!</v>
      </c>
      <c r="S1140" s="85" t="e">
        <f>IF(#REF!=0,"",#REF!)</f>
        <v>#REF!</v>
      </c>
      <c r="T1140" s="268"/>
      <c r="U1140" s="268"/>
      <c r="V1140" s="268"/>
    </row>
    <row r="1141" ht="15" customHeight="1" spans="2:22">
      <c r="B1141" s="6" t="e">
        <f t="shared" si="20"/>
        <v>#REF!</v>
      </c>
      <c r="C1141" s="79" t="e">
        <f>#REF!</f>
        <v>#REF!</v>
      </c>
      <c r="D1141" s="62" t="e">
        <f>IF(#REF!=0,"",#REF!)</f>
        <v>#REF!</v>
      </c>
      <c r="E1141" s="81" t="e">
        <f>IF(#REF!=0,"",#REF!)</f>
        <v>#REF!</v>
      </c>
      <c r="F1141" s="81" t="e">
        <f>IF(#REF!=0,"",#REF!)</f>
        <v>#REF!</v>
      </c>
      <c r="G1141" s="100" t="e">
        <f>#REF!</f>
        <v>#REF!</v>
      </c>
      <c r="H1141" s="159">
        <f>'27'!R1101</f>
        <v>0</v>
      </c>
      <c r="I1141" s="159">
        <f>'27'!S1101</f>
        <v>0</v>
      </c>
      <c r="J1141" s="159"/>
      <c r="K1141" s="101">
        <f>'27'!T1101</f>
        <v>0</v>
      </c>
      <c r="L1141" s="81" t="e">
        <f>#REF!</f>
        <v>#REF!</v>
      </c>
      <c r="M1141" s="100" t="e">
        <f>#REF!</f>
        <v>#REF!</v>
      </c>
      <c r="N1141" s="159"/>
      <c r="O1141" s="101" t="e">
        <f>#REF!</f>
        <v>#REF!</v>
      </c>
      <c r="P1141" s="102" t="e">
        <f>IF(#REF!=0,"",#REF!)</f>
        <v>#REF!</v>
      </c>
      <c r="Q1141" s="108" t="e">
        <f>IF(#REF!=0,"",#REF!)</f>
        <v>#REF!</v>
      </c>
      <c r="R1141" s="81" t="e">
        <f>IF(#REF!=0,"",#REF!)</f>
        <v>#REF!</v>
      </c>
      <c r="S1141" s="81" t="e">
        <f>IF(#REF!=0,"",#REF!)</f>
        <v>#REF!</v>
      </c>
      <c r="T1141" s="268"/>
      <c r="U1141" s="268"/>
      <c r="V1141" s="268"/>
    </row>
    <row r="1142" ht="15" customHeight="1" spans="2:22">
      <c r="B1142" s="6" t="e">
        <f t="shared" si="20"/>
        <v>#REF!</v>
      </c>
      <c r="C1142" s="31" t="e">
        <f>#REF!</f>
        <v>#REF!</v>
      </c>
      <c r="D1142" s="32" t="e">
        <f>IF(#REF!=0,"",#REF!)</f>
        <v>#REF!</v>
      </c>
      <c r="E1142" s="36" t="e">
        <f>IF(#REF!=0,"",#REF!)</f>
        <v>#REF!</v>
      </c>
      <c r="F1142" s="36" t="e">
        <f>IF(#REF!=0,"",#REF!)</f>
        <v>#REF!</v>
      </c>
      <c r="G1142" s="103">
        <f>'27'!Q1102</f>
        <v>0</v>
      </c>
      <c r="H1142" s="160">
        <f>'27'!R1102</f>
        <v>0</v>
      </c>
      <c r="I1142" s="160">
        <f>'27'!S1102</f>
        <v>0</v>
      </c>
      <c r="J1142" s="160"/>
      <c r="K1142" s="104">
        <f>'27'!T1102</f>
        <v>0</v>
      </c>
      <c r="L1142" s="36" t="e">
        <f>#REF!</f>
        <v>#REF!</v>
      </c>
      <c r="M1142" s="103" t="e">
        <f>#REF!</f>
        <v>#REF!</v>
      </c>
      <c r="N1142" s="160"/>
      <c r="O1142" s="104" t="e">
        <f>#REF!</f>
        <v>#REF!</v>
      </c>
      <c r="P1142" s="52" t="e">
        <f>IF(#REF!=0,"",#REF!)</f>
        <v>#REF!</v>
      </c>
      <c r="Q1142" s="109" t="e">
        <f>IF(#REF!=0,"",#REF!)</f>
        <v>#REF!</v>
      </c>
      <c r="R1142" s="36" t="e">
        <f>IF(#REF!=0,"",#REF!)</f>
        <v>#REF!</v>
      </c>
      <c r="S1142" s="36" t="e">
        <f>IF(#REF!=0,"",#REF!)</f>
        <v>#REF!</v>
      </c>
      <c r="T1142" s="268"/>
      <c r="U1142" s="268"/>
      <c r="V1142" s="268"/>
    </row>
    <row r="1143" ht="15" customHeight="1" spans="2:22">
      <c r="B1143" s="6" t="e">
        <f t="shared" si="20"/>
        <v>#REF!</v>
      </c>
      <c r="C1143" s="83" t="e">
        <f>#REF!</f>
        <v>#REF!</v>
      </c>
      <c r="D1143" s="110" t="e">
        <f>IF(#REF!=0,"",#REF!)</f>
        <v>#REF!</v>
      </c>
      <c r="E1143" s="85" t="e">
        <f>IF(#REF!=0,"",#REF!)</f>
        <v>#REF!</v>
      </c>
      <c r="F1143" s="85" t="e">
        <f>IF(#REF!=0,"",#REF!)</f>
        <v>#REF!</v>
      </c>
      <c r="G1143" s="105">
        <f>'27'!Q1103</f>
        <v>0</v>
      </c>
      <c r="H1143" s="161">
        <f>'27'!R1103</f>
        <v>0</v>
      </c>
      <c r="I1143" s="161">
        <f>'27'!S1103</f>
        <v>0</v>
      </c>
      <c r="J1143" s="161"/>
      <c r="K1143" s="106">
        <f>'27'!T1103</f>
        <v>0</v>
      </c>
      <c r="L1143" s="85" t="e">
        <f>#REF!</f>
        <v>#REF!</v>
      </c>
      <c r="M1143" s="105" t="e">
        <f>#REF!</f>
        <v>#REF!</v>
      </c>
      <c r="N1143" s="161"/>
      <c r="O1143" s="106" t="e">
        <f>#REF!</f>
        <v>#REF!</v>
      </c>
      <c r="P1143" s="107" t="e">
        <f>IF(#REF!=0,"",#REF!)</f>
        <v>#REF!</v>
      </c>
      <c r="Q1143" s="111" t="e">
        <f>IF(#REF!=0,"",#REF!)</f>
        <v>#REF!</v>
      </c>
      <c r="R1143" s="85" t="e">
        <f>IF(#REF!=0,"",#REF!)</f>
        <v>#REF!</v>
      </c>
      <c r="S1143" s="85" t="e">
        <f>IF(#REF!=0,"",#REF!)</f>
        <v>#REF!</v>
      </c>
      <c r="T1143" s="268"/>
      <c r="U1143" s="268"/>
      <c r="V1143" s="268"/>
    </row>
    <row r="1144" ht="15" customHeight="1" spans="2:22">
      <c r="B1144" s="6" t="e">
        <f t="shared" si="20"/>
        <v>#REF!</v>
      </c>
      <c r="C1144" s="79" t="e">
        <f>#REF!</f>
        <v>#REF!</v>
      </c>
      <c r="D1144" s="62" t="e">
        <f>IF(#REF!=0,"",#REF!)</f>
        <v>#REF!</v>
      </c>
      <c r="E1144" s="81" t="e">
        <f>IF(#REF!=0,"",#REF!)</f>
        <v>#REF!</v>
      </c>
      <c r="F1144" s="81" t="e">
        <f>IF(#REF!=0,"",#REF!)</f>
        <v>#REF!</v>
      </c>
      <c r="G1144" s="100" t="e">
        <f>#REF!</f>
        <v>#REF!</v>
      </c>
      <c r="H1144" s="159">
        <f>'27'!R1104</f>
        <v>0</v>
      </c>
      <c r="I1144" s="159">
        <f>'27'!S1104</f>
        <v>0</v>
      </c>
      <c r="J1144" s="159"/>
      <c r="K1144" s="101">
        <f>'27'!T1104</f>
        <v>0</v>
      </c>
      <c r="L1144" s="81" t="e">
        <f>#REF!</f>
        <v>#REF!</v>
      </c>
      <c r="M1144" s="100" t="e">
        <f>#REF!</f>
        <v>#REF!</v>
      </c>
      <c r="N1144" s="159"/>
      <c r="O1144" s="101" t="e">
        <f>#REF!</f>
        <v>#REF!</v>
      </c>
      <c r="P1144" s="102" t="e">
        <f>IF(#REF!=0,"",#REF!)</f>
        <v>#REF!</v>
      </c>
      <c r="Q1144" s="108" t="e">
        <f>IF(#REF!=0,"",#REF!)</f>
        <v>#REF!</v>
      </c>
      <c r="R1144" s="81" t="e">
        <f>IF(#REF!=0,"",#REF!)</f>
        <v>#REF!</v>
      </c>
      <c r="S1144" s="81" t="e">
        <f>IF(#REF!=0,"",#REF!)</f>
        <v>#REF!</v>
      </c>
      <c r="T1144" s="268"/>
      <c r="U1144" s="268"/>
      <c r="V1144" s="268"/>
    </row>
    <row r="1145" ht="15" customHeight="1" spans="2:22">
      <c r="B1145" s="6" t="e">
        <f t="shared" si="20"/>
        <v>#REF!</v>
      </c>
      <c r="C1145" s="31" t="e">
        <f>#REF!</f>
        <v>#REF!</v>
      </c>
      <c r="D1145" s="32" t="e">
        <f>IF(#REF!=0,"",#REF!)</f>
        <v>#REF!</v>
      </c>
      <c r="E1145" s="36" t="e">
        <f>IF(#REF!=0,"",#REF!)</f>
        <v>#REF!</v>
      </c>
      <c r="F1145" s="36" t="e">
        <f>IF(#REF!=0,"",#REF!)</f>
        <v>#REF!</v>
      </c>
      <c r="G1145" s="103">
        <f>'27'!Q1105</f>
        <v>0</v>
      </c>
      <c r="H1145" s="160">
        <f>'27'!R1105</f>
        <v>0</v>
      </c>
      <c r="I1145" s="160">
        <f>'27'!S1105</f>
        <v>0</v>
      </c>
      <c r="J1145" s="160"/>
      <c r="K1145" s="104">
        <f>'27'!T1105</f>
        <v>0</v>
      </c>
      <c r="L1145" s="36" t="e">
        <f>#REF!</f>
        <v>#REF!</v>
      </c>
      <c r="M1145" s="103" t="e">
        <f>#REF!</f>
        <v>#REF!</v>
      </c>
      <c r="N1145" s="160"/>
      <c r="O1145" s="104" t="e">
        <f>#REF!</f>
        <v>#REF!</v>
      </c>
      <c r="P1145" s="52" t="e">
        <f>IF(#REF!=0,"",#REF!)</f>
        <v>#REF!</v>
      </c>
      <c r="Q1145" s="109" t="e">
        <f>IF(#REF!=0,"",#REF!)</f>
        <v>#REF!</v>
      </c>
      <c r="R1145" s="36" t="e">
        <f>IF(#REF!=0,"",#REF!)</f>
        <v>#REF!</v>
      </c>
      <c r="S1145" s="36" t="e">
        <f>IF(#REF!=0,"",#REF!)</f>
        <v>#REF!</v>
      </c>
      <c r="T1145" s="268"/>
      <c r="U1145" s="268"/>
      <c r="V1145" s="268"/>
    </row>
    <row r="1146" ht="15" customHeight="1" spans="2:22">
      <c r="B1146" s="6" t="e">
        <f t="shared" si="20"/>
        <v>#REF!</v>
      </c>
      <c r="C1146" s="83" t="e">
        <f>#REF!</f>
        <v>#REF!</v>
      </c>
      <c r="D1146" s="110" t="e">
        <f>IF(#REF!=0,"",#REF!)</f>
        <v>#REF!</v>
      </c>
      <c r="E1146" s="85" t="e">
        <f>IF(#REF!=0,"",#REF!)</f>
        <v>#REF!</v>
      </c>
      <c r="F1146" s="85" t="e">
        <f>IF(#REF!=0,"",#REF!)</f>
        <v>#REF!</v>
      </c>
      <c r="G1146" s="105">
        <f>'27'!Q1106</f>
        <v>0</v>
      </c>
      <c r="H1146" s="161">
        <f>'27'!R1106</f>
        <v>0</v>
      </c>
      <c r="I1146" s="161">
        <f>'27'!S1106</f>
        <v>0</v>
      </c>
      <c r="J1146" s="161"/>
      <c r="K1146" s="106">
        <f>'27'!T1106</f>
        <v>0</v>
      </c>
      <c r="L1146" s="85" t="e">
        <f>#REF!</f>
        <v>#REF!</v>
      </c>
      <c r="M1146" s="105" t="e">
        <f>#REF!</f>
        <v>#REF!</v>
      </c>
      <c r="N1146" s="161"/>
      <c r="O1146" s="106" t="e">
        <f>#REF!</f>
        <v>#REF!</v>
      </c>
      <c r="P1146" s="107" t="e">
        <f>IF(#REF!=0,"",#REF!)</f>
        <v>#REF!</v>
      </c>
      <c r="Q1146" s="111" t="e">
        <f>IF(#REF!=0,"",#REF!)</f>
        <v>#REF!</v>
      </c>
      <c r="R1146" s="85" t="e">
        <f>IF(#REF!=0,"",#REF!)</f>
        <v>#REF!</v>
      </c>
      <c r="S1146" s="85" t="e">
        <f>IF(#REF!=0,"",#REF!)</f>
        <v>#REF!</v>
      </c>
      <c r="T1146" s="268"/>
      <c r="U1146" s="268"/>
      <c r="V1146" s="268"/>
    </row>
    <row r="1147" ht="15" customHeight="1" spans="2:22">
      <c r="B1147" s="6" t="e">
        <f t="shared" si="20"/>
        <v>#REF!</v>
      </c>
      <c r="C1147" s="79" t="e">
        <f>#REF!</f>
        <v>#REF!</v>
      </c>
      <c r="D1147" s="62" t="e">
        <f>IF(#REF!=0,"",#REF!)</f>
        <v>#REF!</v>
      </c>
      <c r="E1147" s="81" t="e">
        <f>IF(#REF!=0,"",#REF!)</f>
        <v>#REF!</v>
      </c>
      <c r="F1147" s="81" t="e">
        <f>IF(#REF!=0,"",#REF!)</f>
        <v>#REF!</v>
      </c>
      <c r="G1147" s="100" t="e">
        <f>#REF!</f>
        <v>#REF!</v>
      </c>
      <c r="H1147" s="159">
        <f>'27'!R1107</f>
        <v>0</v>
      </c>
      <c r="I1147" s="159">
        <f>'27'!S1107</f>
        <v>0</v>
      </c>
      <c r="J1147" s="159"/>
      <c r="K1147" s="101">
        <f>'27'!T1107</f>
        <v>0</v>
      </c>
      <c r="L1147" s="81" t="e">
        <f>#REF!</f>
        <v>#REF!</v>
      </c>
      <c r="M1147" s="100" t="e">
        <f>#REF!</f>
        <v>#REF!</v>
      </c>
      <c r="N1147" s="159"/>
      <c r="O1147" s="101" t="e">
        <f>#REF!</f>
        <v>#REF!</v>
      </c>
      <c r="P1147" s="102" t="e">
        <f>IF(#REF!=0,"",#REF!)</f>
        <v>#REF!</v>
      </c>
      <c r="Q1147" s="108" t="e">
        <f>IF(#REF!=0,"",#REF!)</f>
        <v>#REF!</v>
      </c>
      <c r="R1147" s="81" t="e">
        <f>IF(#REF!=0,"",#REF!)</f>
        <v>#REF!</v>
      </c>
      <c r="S1147" s="81" t="e">
        <f>IF(#REF!=0,"",#REF!)</f>
        <v>#REF!</v>
      </c>
      <c r="T1147" s="268"/>
      <c r="U1147" s="268"/>
      <c r="V1147" s="268"/>
    </row>
    <row r="1148" ht="15" customHeight="1" spans="2:22">
      <c r="B1148" s="6" t="e">
        <f t="shared" si="20"/>
        <v>#REF!</v>
      </c>
      <c r="C1148" s="31" t="e">
        <f>#REF!</f>
        <v>#REF!</v>
      </c>
      <c r="D1148" s="32" t="e">
        <f>IF(#REF!=0,"",#REF!)</f>
        <v>#REF!</v>
      </c>
      <c r="E1148" s="36" t="e">
        <f>IF(#REF!=0,"",#REF!)</f>
        <v>#REF!</v>
      </c>
      <c r="F1148" s="36" t="e">
        <f>IF(#REF!=0,"",#REF!)</f>
        <v>#REF!</v>
      </c>
      <c r="G1148" s="103">
        <f>'27'!Q1108</f>
        <v>0</v>
      </c>
      <c r="H1148" s="160">
        <f>'27'!R1108</f>
        <v>0</v>
      </c>
      <c r="I1148" s="160">
        <f>'27'!S1108</f>
        <v>0</v>
      </c>
      <c r="J1148" s="160"/>
      <c r="K1148" s="104">
        <f>'27'!T1108</f>
        <v>0</v>
      </c>
      <c r="L1148" s="36" t="e">
        <f>#REF!</f>
        <v>#REF!</v>
      </c>
      <c r="M1148" s="103" t="e">
        <f>#REF!</f>
        <v>#REF!</v>
      </c>
      <c r="N1148" s="160"/>
      <c r="O1148" s="104" t="e">
        <f>#REF!</f>
        <v>#REF!</v>
      </c>
      <c r="P1148" s="52" t="e">
        <f>IF(#REF!=0,"",#REF!)</f>
        <v>#REF!</v>
      </c>
      <c r="Q1148" s="109" t="e">
        <f>IF(#REF!=0,"",#REF!)</f>
        <v>#REF!</v>
      </c>
      <c r="R1148" s="36" t="e">
        <f>IF(#REF!=0,"",#REF!)</f>
        <v>#REF!</v>
      </c>
      <c r="S1148" s="36" t="e">
        <f>IF(#REF!=0,"",#REF!)</f>
        <v>#REF!</v>
      </c>
      <c r="T1148" s="268"/>
      <c r="U1148" s="268"/>
      <c r="V1148" s="268"/>
    </row>
    <row r="1149" ht="15" customHeight="1" spans="2:22">
      <c r="B1149" s="6" t="e">
        <f t="shared" si="20"/>
        <v>#REF!</v>
      </c>
      <c r="C1149" s="83" t="e">
        <f>#REF!</f>
        <v>#REF!</v>
      </c>
      <c r="D1149" s="110" t="e">
        <f>IF(#REF!=0,"",#REF!)</f>
        <v>#REF!</v>
      </c>
      <c r="E1149" s="85" t="e">
        <f>IF(#REF!=0,"",#REF!)</f>
        <v>#REF!</v>
      </c>
      <c r="F1149" s="85" t="e">
        <f>IF(#REF!=0,"",#REF!)</f>
        <v>#REF!</v>
      </c>
      <c r="G1149" s="105">
        <f>'27'!Q1109</f>
        <v>0</v>
      </c>
      <c r="H1149" s="161">
        <f>'27'!R1109</f>
        <v>0</v>
      </c>
      <c r="I1149" s="161">
        <f>'27'!S1109</f>
        <v>0</v>
      </c>
      <c r="J1149" s="161"/>
      <c r="K1149" s="106">
        <f>'27'!T1109</f>
        <v>0</v>
      </c>
      <c r="L1149" s="85" t="e">
        <f>#REF!</f>
        <v>#REF!</v>
      </c>
      <c r="M1149" s="105" t="e">
        <f>#REF!</f>
        <v>#REF!</v>
      </c>
      <c r="N1149" s="161"/>
      <c r="O1149" s="106" t="e">
        <f>#REF!</f>
        <v>#REF!</v>
      </c>
      <c r="P1149" s="107" t="e">
        <f>IF(#REF!=0,"",#REF!)</f>
        <v>#REF!</v>
      </c>
      <c r="Q1149" s="111" t="e">
        <f>IF(#REF!=0,"",#REF!)</f>
        <v>#REF!</v>
      </c>
      <c r="R1149" s="85" t="e">
        <f>IF(#REF!=0,"",#REF!)</f>
        <v>#REF!</v>
      </c>
      <c r="S1149" s="85" t="e">
        <f>IF(#REF!=0,"",#REF!)</f>
        <v>#REF!</v>
      </c>
      <c r="T1149" s="268"/>
      <c r="U1149" s="268"/>
      <c r="V1149" s="268"/>
    </row>
    <row r="1150" ht="15" customHeight="1" spans="2:22">
      <c r="B1150" s="6" t="e">
        <f t="shared" si="20"/>
        <v>#REF!</v>
      </c>
      <c r="C1150" s="79" t="e">
        <f>#REF!</f>
        <v>#REF!</v>
      </c>
      <c r="D1150" s="62" t="e">
        <f>IF(#REF!=0,"",#REF!)</f>
        <v>#REF!</v>
      </c>
      <c r="E1150" s="81" t="e">
        <f>IF(#REF!=0,"",#REF!)</f>
        <v>#REF!</v>
      </c>
      <c r="F1150" s="81" t="e">
        <f>IF(#REF!=0,"",#REF!)</f>
        <v>#REF!</v>
      </c>
      <c r="G1150" s="100" t="e">
        <f>#REF!</f>
        <v>#REF!</v>
      </c>
      <c r="H1150" s="159">
        <f>'27'!R1110</f>
        <v>0</v>
      </c>
      <c r="I1150" s="159">
        <f>'27'!S1110</f>
        <v>0</v>
      </c>
      <c r="J1150" s="159"/>
      <c r="K1150" s="101">
        <f>'27'!T1110</f>
        <v>0</v>
      </c>
      <c r="L1150" s="81" t="e">
        <f>#REF!</f>
        <v>#REF!</v>
      </c>
      <c r="M1150" s="100" t="e">
        <f>#REF!</f>
        <v>#REF!</v>
      </c>
      <c r="N1150" s="159"/>
      <c r="O1150" s="101" t="e">
        <f>#REF!</f>
        <v>#REF!</v>
      </c>
      <c r="P1150" s="102" t="e">
        <f>IF(#REF!=0,"",#REF!)</f>
        <v>#REF!</v>
      </c>
      <c r="Q1150" s="108" t="e">
        <f>IF(#REF!=0,"",#REF!)</f>
        <v>#REF!</v>
      </c>
      <c r="R1150" s="81" t="e">
        <f>IF(#REF!=0,"",#REF!)</f>
        <v>#REF!</v>
      </c>
      <c r="S1150" s="81" t="e">
        <f>IF(#REF!=0,"",#REF!)</f>
        <v>#REF!</v>
      </c>
      <c r="T1150" s="268"/>
      <c r="U1150" s="268"/>
      <c r="V1150" s="268"/>
    </row>
    <row r="1151" ht="15" customHeight="1" spans="2:22">
      <c r="B1151" s="6" t="e">
        <f t="shared" si="20"/>
        <v>#REF!</v>
      </c>
      <c r="C1151" s="31" t="e">
        <f>#REF!</f>
        <v>#REF!</v>
      </c>
      <c r="D1151" s="32" t="e">
        <f>IF(#REF!=0,"",#REF!)</f>
        <v>#REF!</v>
      </c>
      <c r="E1151" s="36" t="e">
        <f>IF(#REF!=0,"",#REF!)</f>
        <v>#REF!</v>
      </c>
      <c r="F1151" s="36" t="e">
        <f>IF(#REF!=0,"",#REF!)</f>
        <v>#REF!</v>
      </c>
      <c r="G1151" s="103">
        <f>'27'!Q1111</f>
        <v>0</v>
      </c>
      <c r="H1151" s="160">
        <f>'27'!R1111</f>
        <v>0</v>
      </c>
      <c r="I1151" s="160">
        <f>'27'!S1111</f>
        <v>0</v>
      </c>
      <c r="J1151" s="160"/>
      <c r="K1151" s="104">
        <f>'27'!T1111</f>
        <v>0</v>
      </c>
      <c r="L1151" s="36" t="e">
        <f>#REF!</f>
        <v>#REF!</v>
      </c>
      <c r="M1151" s="103" t="e">
        <f>#REF!</f>
        <v>#REF!</v>
      </c>
      <c r="N1151" s="160"/>
      <c r="O1151" s="104" t="e">
        <f>#REF!</f>
        <v>#REF!</v>
      </c>
      <c r="P1151" s="52" t="e">
        <f>IF(#REF!=0,"",#REF!)</f>
        <v>#REF!</v>
      </c>
      <c r="Q1151" s="109" t="e">
        <f>IF(#REF!=0,"",#REF!)</f>
        <v>#REF!</v>
      </c>
      <c r="R1151" s="36" t="e">
        <f>IF(#REF!=0,"",#REF!)</f>
        <v>#REF!</v>
      </c>
      <c r="S1151" s="36" t="e">
        <f>IF(#REF!=0,"",#REF!)</f>
        <v>#REF!</v>
      </c>
      <c r="T1151" s="268"/>
      <c r="U1151" s="268"/>
      <c r="V1151" s="268"/>
    </row>
    <row r="1152" ht="15" customHeight="1" spans="2:22">
      <c r="B1152" s="6" t="e">
        <f t="shared" si="20"/>
        <v>#REF!</v>
      </c>
      <c r="C1152" s="83" t="e">
        <f>#REF!</f>
        <v>#REF!</v>
      </c>
      <c r="D1152" s="110" t="e">
        <f>IF(#REF!=0,"",#REF!)</f>
        <v>#REF!</v>
      </c>
      <c r="E1152" s="85" t="e">
        <f>IF(#REF!=0,"",#REF!)</f>
        <v>#REF!</v>
      </c>
      <c r="F1152" s="85" t="e">
        <f>IF(#REF!=0,"",#REF!)</f>
        <v>#REF!</v>
      </c>
      <c r="G1152" s="105">
        <f>'27'!Q1112</f>
        <v>0</v>
      </c>
      <c r="H1152" s="161">
        <f>'27'!R1112</f>
        <v>0</v>
      </c>
      <c r="I1152" s="161">
        <f>'27'!S1112</f>
        <v>0</v>
      </c>
      <c r="J1152" s="161"/>
      <c r="K1152" s="106">
        <f>'27'!T1112</f>
        <v>0</v>
      </c>
      <c r="L1152" s="85" t="e">
        <f>#REF!</f>
        <v>#REF!</v>
      </c>
      <c r="M1152" s="105" t="e">
        <f>#REF!</f>
        <v>#REF!</v>
      </c>
      <c r="N1152" s="161"/>
      <c r="O1152" s="106" t="e">
        <f>#REF!</f>
        <v>#REF!</v>
      </c>
      <c r="P1152" s="107" t="e">
        <f>IF(#REF!=0,"",#REF!)</f>
        <v>#REF!</v>
      </c>
      <c r="Q1152" s="111" t="e">
        <f>IF(#REF!=0,"",#REF!)</f>
        <v>#REF!</v>
      </c>
      <c r="R1152" s="85" t="e">
        <f>IF(#REF!=0,"",#REF!)</f>
        <v>#REF!</v>
      </c>
      <c r="S1152" s="85" t="e">
        <f>IF(#REF!=0,"",#REF!)</f>
        <v>#REF!</v>
      </c>
      <c r="T1152" s="268"/>
      <c r="U1152" s="268"/>
      <c r="V1152" s="268"/>
    </row>
    <row r="1153" ht="15" customHeight="1" spans="2:22">
      <c r="B1153" s="6" t="e">
        <f t="shared" si="20"/>
        <v>#REF!</v>
      </c>
      <c r="C1153" s="79" t="e">
        <f>#REF!</f>
        <v>#REF!</v>
      </c>
      <c r="D1153" s="62" t="e">
        <f>IF(#REF!=0,"",#REF!)</f>
        <v>#REF!</v>
      </c>
      <c r="E1153" s="81" t="e">
        <f>IF(#REF!=0,"",#REF!)</f>
        <v>#REF!</v>
      </c>
      <c r="F1153" s="81" t="e">
        <f>IF(#REF!=0,"",#REF!)</f>
        <v>#REF!</v>
      </c>
      <c r="G1153" s="100" t="e">
        <f>#REF!</f>
        <v>#REF!</v>
      </c>
      <c r="H1153" s="159">
        <f>'27'!R1113</f>
        <v>0</v>
      </c>
      <c r="I1153" s="159">
        <f>'27'!S1113</f>
        <v>0</v>
      </c>
      <c r="J1153" s="159"/>
      <c r="K1153" s="101">
        <f>'27'!T1113</f>
        <v>0</v>
      </c>
      <c r="L1153" s="81" t="e">
        <f>#REF!</f>
        <v>#REF!</v>
      </c>
      <c r="M1153" s="100" t="e">
        <f>#REF!</f>
        <v>#REF!</v>
      </c>
      <c r="N1153" s="159"/>
      <c r="O1153" s="101" t="e">
        <f>#REF!</f>
        <v>#REF!</v>
      </c>
      <c r="P1153" s="102" t="e">
        <f>IF(#REF!=0,"",#REF!)</f>
        <v>#REF!</v>
      </c>
      <c r="Q1153" s="108" t="e">
        <f>IF(#REF!=0,"",#REF!)</f>
        <v>#REF!</v>
      </c>
      <c r="R1153" s="81" t="e">
        <f>IF(#REF!=0,"",#REF!)</f>
        <v>#REF!</v>
      </c>
      <c r="S1153" s="81" t="e">
        <f>IF(#REF!=0,"",#REF!)</f>
        <v>#REF!</v>
      </c>
      <c r="T1153" s="268"/>
      <c r="U1153" s="268"/>
      <c r="V1153" s="268"/>
    </row>
    <row r="1154" ht="15" customHeight="1" spans="2:22">
      <c r="B1154" s="6" t="e">
        <f t="shared" si="20"/>
        <v>#REF!</v>
      </c>
      <c r="C1154" s="31" t="e">
        <f>#REF!</f>
        <v>#REF!</v>
      </c>
      <c r="D1154" s="32" t="e">
        <f>IF(#REF!=0,"",#REF!)</f>
        <v>#REF!</v>
      </c>
      <c r="E1154" s="36" t="e">
        <f>IF(#REF!=0,"",#REF!)</f>
        <v>#REF!</v>
      </c>
      <c r="F1154" s="36" t="e">
        <f>IF(#REF!=0,"",#REF!)</f>
        <v>#REF!</v>
      </c>
      <c r="G1154" s="103">
        <f>'27'!Q1114</f>
        <v>0</v>
      </c>
      <c r="H1154" s="160">
        <f>'27'!R1114</f>
        <v>0</v>
      </c>
      <c r="I1154" s="160">
        <f>'27'!S1114</f>
        <v>0</v>
      </c>
      <c r="J1154" s="160"/>
      <c r="K1154" s="104">
        <f>'27'!T1114</f>
        <v>0</v>
      </c>
      <c r="L1154" s="36" t="e">
        <f>#REF!</f>
        <v>#REF!</v>
      </c>
      <c r="M1154" s="103" t="e">
        <f>#REF!</f>
        <v>#REF!</v>
      </c>
      <c r="N1154" s="160"/>
      <c r="O1154" s="104" t="e">
        <f>#REF!</f>
        <v>#REF!</v>
      </c>
      <c r="P1154" s="52" t="e">
        <f>IF(#REF!=0,"",#REF!)</f>
        <v>#REF!</v>
      </c>
      <c r="Q1154" s="109" t="e">
        <f>IF(#REF!=0,"",#REF!)</f>
        <v>#REF!</v>
      </c>
      <c r="R1154" s="36" t="e">
        <f>IF(#REF!=0,"",#REF!)</f>
        <v>#REF!</v>
      </c>
      <c r="S1154" s="36" t="e">
        <f>IF(#REF!=0,"",#REF!)</f>
        <v>#REF!</v>
      </c>
      <c r="T1154" s="268"/>
      <c r="U1154" s="268"/>
      <c r="V1154" s="268"/>
    </row>
    <row r="1155" ht="15" customHeight="1" spans="2:22">
      <c r="B1155" s="6" t="e">
        <f t="shared" si="20"/>
        <v>#REF!</v>
      </c>
      <c r="C1155" s="83" t="e">
        <f>#REF!</f>
        <v>#REF!</v>
      </c>
      <c r="D1155" s="110" t="e">
        <f>IF(#REF!=0,"",#REF!)</f>
        <v>#REF!</v>
      </c>
      <c r="E1155" s="85" t="e">
        <f>IF(#REF!=0,"",#REF!)</f>
        <v>#REF!</v>
      </c>
      <c r="F1155" s="85" t="e">
        <f>IF(#REF!=0,"",#REF!)</f>
        <v>#REF!</v>
      </c>
      <c r="G1155" s="105">
        <f>'27'!Q1115</f>
        <v>0</v>
      </c>
      <c r="H1155" s="161">
        <f>'27'!R1115</f>
        <v>0</v>
      </c>
      <c r="I1155" s="161">
        <f>'27'!S1115</f>
        <v>0</v>
      </c>
      <c r="J1155" s="161"/>
      <c r="K1155" s="106">
        <f>'27'!T1115</f>
        <v>0</v>
      </c>
      <c r="L1155" s="85" t="e">
        <f>#REF!</f>
        <v>#REF!</v>
      </c>
      <c r="M1155" s="105" t="e">
        <f>#REF!</f>
        <v>#REF!</v>
      </c>
      <c r="N1155" s="161"/>
      <c r="O1155" s="106" t="e">
        <f>#REF!</f>
        <v>#REF!</v>
      </c>
      <c r="P1155" s="107" t="e">
        <f>IF(#REF!=0,"",#REF!)</f>
        <v>#REF!</v>
      </c>
      <c r="Q1155" s="111" t="e">
        <f>IF(#REF!=0,"",#REF!)</f>
        <v>#REF!</v>
      </c>
      <c r="R1155" s="85" t="e">
        <f>IF(#REF!=0,"",#REF!)</f>
        <v>#REF!</v>
      </c>
      <c r="S1155" s="85" t="e">
        <f>IF(#REF!=0,"",#REF!)</f>
        <v>#REF!</v>
      </c>
      <c r="T1155" s="268"/>
      <c r="U1155" s="268"/>
      <c r="V1155" s="268"/>
    </row>
    <row r="1156" ht="15" customHeight="1" spans="2:22">
      <c r="B1156" s="6" t="e">
        <f t="shared" si="20"/>
        <v>#REF!</v>
      </c>
      <c r="C1156" s="79" t="e">
        <f>#REF!</f>
        <v>#REF!</v>
      </c>
      <c r="D1156" s="62" t="e">
        <f>IF(#REF!=0,"",#REF!)</f>
        <v>#REF!</v>
      </c>
      <c r="E1156" s="81" t="e">
        <f>IF(#REF!=0,"",#REF!)</f>
        <v>#REF!</v>
      </c>
      <c r="F1156" s="81" t="e">
        <f>IF(#REF!=0,"",#REF!)</f>
        <v>#REF!</v>
      </c>
      <c r="G1156" s="100" t="e">
        <f>#REF!</f>
        <v>#REF!</v>
      </c>
      <c r="H1156" s="159">
        <f>'27'!R1116</f>
        <v>0</v>
      </c>
      <c r="I1156" s="159">
        <f>'27'!S1116</f>
        <v>0</v>
      </c>
      <c r="J1156" s="159"/>
      <c r="K1156" s="101">
        <f>'27'!T1116</f>
        <v>0</v>
      </c>
      <c r="L1156" s="81" t="e">
        <f>#REF!</f>
        <v>#REF!</v>
      </c>
      <c r="M1156" s="100" t="e">
        <f>#REF!</f>
        <v>#REF!</v>
      </c>
      <c r="N1156" s="159"/>
      <c r="O1156" s="101" t="e">
        <f>#REF!</f>
        <v>#REF!</v>
      </c>
      <c r="P1156" s="102" t="e">
        <f>IF(#REF!=0,"",#REF!)</f>
        <v>#REF!</v>
      </c>
      <c r="Q1156" s="108" t="e">
        <f>IF(#REF!=0,"",#REF!)</f>
        <v>#REF!</v>
      </c>
      <c r="R1156" s="81" t="e">
        <f>IF(#REF!=0,"",#REF!)</f>
        <v>#REF!</v>
      </c>
      <c r="S1156" s="81" t="e">
        <f>IF(#REF!=0,"",#REF!)</f>
        <v>#REF!</v>
      </c>
      <c r="T1156" s="268"/>
      <c r="U1156" s="268"/>
      <c r="V1156" s="268"/>
    </row>
    <row r="1157" ht="15" customHeight="1" spans="2:22">
      <c r="B1157" s="6" t="e">
        <f t="shared" si="20"/>
        <v>#REF!</v>
      </c>
      <c r="C1157" s="31" t="e">
        <f>#REF!</f>
        <v>#REF!</v>
      </c>
      <c r="D1157" s="32" t="e">
        <f>IF(#REF!=0,"",#REF!)</f>
        <v>#REF!</v>
      </c>
      <c r="E1157" s="36" t="e">
        <f>IF(#REF!=0,"",#REF!)</f>
        <v>#REF!</v>
      </c>
      <c r="F1157" s="36" t="e">
        <f>IF(#REF!=0,"",#REF!)</f>
        <v>#REF!</v>
      </c>
      <c r="G1157" s="103">
        <f>'27'!Q1117</f>
        <v>0</v>
      </c>
      <c r="H1157" s="160">
        <f>'27'!R1117</f>
        <v>0</v>
      </c>
      <c r="I1157" s="160">
        <f>'27'!S1117</f>
        <v>0</v>
      </c>
      <c r="J1157" s="160"/>
      <c r="K1157" s="104">
        <f>'27'!T1117</f>
        <v>0</v>
      </c>
      <c r="L1157" s="36" t="e">
        <f>#REF!</f>
        <v>#REF!</v>
      </c>
      <c r="M1157" s="103" t="e">
        <f>#REF!</f>
        <v>#REF!</v>
      </c>
      <c r="N1157" s="160"/>
      <c r="O1157" s="104" t="e">
        <f>#REF!</f>
        <v>#REF!</v>
      </c>
      <c r="P1157" s="52" t="e">
        <f>IF(#REF!=0,"",#REF!)</f>
        <v>#REF!</v>
      </c>
      <c r="Q1157" s="109" t="e">
        <f>IF(#REF!=0,"",#REF!)</f>
        <v>#REF!</v>
      </c>
      <c r="R1157" s="36" t="e">
        <f>IF(#REF!=0,"",#REF!)</f>
        <v>#REF!</v>
      </c>
      <c r="S1157" s="36" t="e">
        <f>IF(#REF!=0,"",#REF!)</f>
        <v>#REF!</v>
      </c>
      <c r="T1157" s="268"/>
      <c r="U1157" s="268"/>
      <c r="V1157" s="268"/>
    </row>
    <row r="1158" ht="15" customHeight="1" spans="2:22">
      <c r="B1158" s="6" t="e">
        <f t="shared" si="20"/>
        <v>#REF!</v>
      </c>
      <c r="C1158" s="83" t="e">
        <f>#REF!</f>
        <v>#REF!</v>
      </c>
      <c r="D1158" s="110" t="e">
        <f>IF(#REF!=0,"",#REF!)</f>
        <v>#REF!</v>
      </c>
      <c r="E1158" s="85" t="e">
        <f>IF(#REF!=0,"",#REF!)</f>
        <v>#REF!</v>
      </c>
      <c r="F1158" s="85" t="e">
        <f>IF(#REF!=0,"",#REF!)</f>
        <v>#REF!</v>
      </c>
      <c r="G1158" s="105">
        <f>'27'!Q1118</f>
        <v>0</v>
      </c>
      <c r="H1158" s="161">
        <f>'27'!R1118</f>
        <v>0</v>
      </c>
      <c r="I1158" s="161">
        <f>'27'!S1118</f>
        <v>0</v>
      </c>
      <c r="J1158" s="161"/>
      <c r="K1158" s="106">
        <f>'27'!T1118</f>
        <v>0</v>
      </c>
      <c r="L1158" s="85" t="e">
        <f>#REF!</f>
        <v>#REF!</v>
      </c>
      <c r="M1158" s="105" t="e">
        <f>#REF!</f>
        <v>#REF!</v>
      </c>
      <c r="N1158" s="161"/>
      <c r="O1158" s="106" t="e">
        <f>#REF!</f>
        <v>#REF!</v>
      </c>
      <c r="P1158" s="107" t="e">
        <f>IF(#REF!=0,"",#REF!)</f>
        <v>#REF!</v>
      </c>
      <c r="Q1158" s="111" t="e">
        <f>IF(#REF!=0,"",#REF!)</f>
        <v>#REF!</v>
      </c>
      <c r="R1158" s="85" t="e">
        <f>IF(#REF!=0,"",#REF!)</f>
        <v>#REF!</v>
      </c>
      <c r="S1158" s="85" t="e">
        <f>IF(#REF!=0,"",#REF!)</f>
        <v>#REF!</v>
      </c>
      <c r="T1158" s="268"/>
      <c r="U1158" s="268"/>
      <c r="V1158" s="268"/>
    </row>
    <row r="1159" ht="15" customHeight="1" spans="2:22">
      <c r="B1159" s="6" t="e">
        <f t="shared" si="20"/>
        <v>#REF!</v>
      </c>
      <c r="C1159" s="79" t="e">
        <f>#REF!</f>
        <v>#REF!</v>
      </c>
      <c r="D1159" s="62" t="e">
        <f>IF(#REF!=0,"",#REF!)</f>
        <v>#REF!</v>
      </c>
      <c r="E1159" s="81" t="e">
        <f>IF(#REF!=0,"",#REF!)</f>
        <v>#REF!</v>
      </c>
      <c r="F1159" s="81" t="e">
        <f>IF(#REF!=0,"",#REF!)</f>
        <v>#REF!</v>
      </c>
      <c r="G1159" s="100" t="e">
        <f>#REF!</f>
        <v>#REF!</v>
      </c>
      <c r="H1159" s="159">
        <f>'27'!R1119</f>
        <v>0</v>
      </c>
      <c r="I1159" s="159">
        <f>'27'!S1119</f>
        <v>0</v>
      </c>
      <c r="J1159" s="159"/>
      <c r="K1159" s="101">
        <f>'27'!T1119</f>
        <v>0</v>
      </c>
      <c r="L1159" s="81" t="e">
        <f>#REF!</f>
        <v>#REF!</v>
      </c>
      <c r="M1159" s="100" t="e">
        <f>#REF!</f>
        <v>#REF!</v>
      </c>
      <c r="N1159" s="159"/>
      <c r="O1159" s="101" t="e">
        <f>#REF!</f>
        <v>#REF!</v>
      </c>
      <c r="P1159" s="102" t="e">
        <f>IF(#REF!=0,"",#REF!)</f>
        <v>#REF!</v>
      </c>
      <c r="Q1159" s="108" t="e">
        <f>IF(#REF!=0,"",#REF!)</f>
        <v>#REF!</v>
      </c>
      <c r="R1159" s="81" t="e">
        <f>IF(#REF!=0,"",#REF!)</f>
        <v>#REF!</v>
      </c>
      <c r="S1159" s="81" t="e">
        <f>IF(#REF!=0,"",#REF!)</f>
        <v>#REF!</v>
      </c>
      <c r="T1159" s="268"/>
      <c r="U1159" s="268"/>
      <c r="V1159" s="268"/>
    </row>
    <row r="1160" ht="15" customHeight="1" spans="2:22">
      <c r="B1160" s="6" t="e">
        <f t="shared" si="20"/>
        <v>#REF!</v>
      </c>
      <c r="C1160" s="31" t="e">
        <f>#REF!</f>
        <v>#REF!</v>
      </c>
      <c r="D1160" s="32" t="e">
        <f>IF(#REF!=0,"",#REF!)</f>
        <v>#REF!</v>
      </c>
      <c r="E1160" s="36" t="e">
        <f>IF(#REF!=0,"",#REF!)</f>
        <v>#REF!</v>
      </c>
      <c r="F1160" s="36" t="e">
        <f>IF(#REF!=0,"",#REF!)</f>
        <v>#REF!</v>
      </c>
      <c r="G1160" s="103">
        <f>'27'!Q1120</f>
        <v>0</v>
      </c>
      <c r="H1160" s="160">
        <f>'27'!R1120</f>
        <v>0</v>
      </c>
      <c r="I1160" s="160">
        <f>'27'!S1120</f>
        <v>0</v>
      </c>
      <c r="J1160" s="160"/>
      <c r="K1160" s="104">
        <f>'27'!T1120</f>
        <v>0</v>
      </c>
      <c r="L1160" s="36" t="e">
        <f>#REF!</f>
        <v>#REF!</v>
      </c>
      <c r="M1160" s="103" t="e">
        <f>#REF!</f>
        <v>#REF!</v>
      </c>
      <c r="N1160" s="160"/>
      <c r="O1160" s="104" t="e">
        <f>#REF!</f>
        <v>#REF!</v>
      </c>
      <c r="P1160" s="52" t="e">
        <f>IF(#REF!=0,"",#REF!)</f>
        <v>#REF!</v>
      </c>
      <c r="Q1160" s="109" t="e">
        <f>IF(#REF!=0,"",#REF!)</f>
        <v>#REF!</v>
      </c>
      <c r="R1160" s="36" t="e">
        <f>IF(#REF!=0,"",#REF!)</f>
        <v>#REF!</v>
      </c>
      <c r="S1160" s="36" t="e">
        <f>IF(#REF!=0,"",#REF!)</f>
        <v>#REF!</v>
      </c>
      <c r="T1160" s="268"/>
      <c r="U1160" s="268"/>
      <c r="V1160" s="268"/>
    </row>
    <row r="1161" ht="15" customHeight="1" spans="2:22">
      <c r="B1161" s="6" t="e">
        <f t="shared" si="20"/>
        <v>#REF!</v>
      </c>
      <c r="C1161" s="83" t="e">
        <f>#REF!</f>
        <v>#REF!</v>
      </c>
      <c r="D1161" s="110" t="e">
        <f>IF(#REF!=0,"",#REF!)</f>
        <v>#REF!</v>
      </c>
      <c r="E1161" s="85" t="e">
        <f>IF(#REF!=0,"",#REF!)</f>
        <v>#REF!</v>
      </c>
      <c r="F1161" s="85" t="e">
        <f>IF(#REF!=0,"",#REF!)</f>
        <v>#REF!</v>
      </c>
      <c r="G1161" s="105">
        <f>'27'!Q1121</f>
        <v>0</v>
      </c>
      <c r="H1161" s="161">
        <f>'27'!R1121</f>
        <v>0</v>
      </c>
      <c r="I1161" s="161">
        <f>'27'!S1121</f>
        <v>0</v>
      </c>
      <c r="J1161" s="161"/>
      <c r="K1161" s="106">
        <f>'27'!T1121</f>
        <v>0</v>
      </c>
      <c r="L1161" s="85" t="e">
        <f>#REF!</f>
        <v>#REF!</v>
      </c>
      <c r="M1161" s="105" t="e">
        <f>#REF!</f>
        <v>#REF!</v>
      </c>
      <c r="N1161" s="161"/>
      <c r="O1161" s="106" t="e">
        <f>#REF!</f>
        <v>#REF!</v>
      </c>
      <c r="P1161" s="107" t="e">
        <f>IF(#REF!=0,"",#REF!)</f>
        <v>#REF!</v>
      </c>
      <c r="Q1161" s="111" t="e">
        <f>IF(#REF!=0,"",#REF!)</f>
        <v>#REF!</v>
      </c>
      <c r="R1161" s="85" t="e">
        <f>IF(#REF!=0,"",#REF!)</f>
        <v>#REF!</v>
      </c>
      <c r="S1161" s="85" t="e">
        <f>IF(#REF!=0,"",#REF!)</f>
        <v>#REF!</v>
      </c>
      <c r="T1161" s="268"/>
      <c r="U1161" s="268"/>
      <c r="V1161" s="268"/>
    </row>
    <row r="1162" ht="15" customHeight="1" spans="2:22">
      <c r="B1162" s="6" t="e">
        <f t="shared" si="20"/>
        <v>#REF!</v>
      </c>
      <c r="C1162" s="79" t="e">
        <f>#REF!</f>
        <v>#REF!</v>
      </c>
      <c r="D1162" s="62" t="e">
        <f>IF(#REF!=0,"",#REF!)</f>
        <v>#REF!</v>
      </c>
      <c r="E1162" s="81" t="e">
        <f>IF(#REF!=0,"",#REF!)</f>
        <v>#REF!</v>
      </c>
      <c r="F1162" s="81" t="e">
        <f>IF(#REF!=0,"",#REF!)</f>
        <v>#REF!</v>
      </c>
      <c r="G1162" s="100" t="e">
        <f>#REF!</f>
        <v>#REF!</v>
      </c>
      <c r="H1162" s="159">
        <f>'27'!R1122</f>
        <v>0</v>
      </c>
      <c r="I1162" s="159">
        <f>'27'!S1122</f>
        <v>0</v>
      </c>
      <c r="J1162" s="159"/>
      <c r="K1162" s="101">
        <f>'27'!T1122</f>
        <v>0</v>
      </c>
      <c r="L1162" s="81" t="e">
        <f>#REF!</f>
        <v>#REF!</v>
      </c>
      <c r="M1162" s="100" t="e">
        <f>#REF!</f>
        <v>#REF!</v>
      </c>
      <c r="N1162" s="159"/>
      <c r="O1162" s="101" t="e">
        <f>#REF!</f>
        <v>#REF!</v>
      </c>
      <c r="P1162" s="102" t="e">
        <f>IF(#REF!=0,"",#REF!)</f>
        <v>#REF!</v>
      </c>
      <c r="Q1162" s="108" t="e">
        <f>IF(#REF!=0,"",#REF!)</f>
        <v>#REF!</v>
      </c>
      <c r="R1162" s="81" t="e">
        <f>IF(#REF!=0,"",#REF!)</f>
        <v>#REF!</v>
      </c>
      <c r="S1162" s="81" t="e">
        <f>IF(#REF!=0,"",#REF!)</f>
        <v>#REF!</v>
      </c>
      <c r="T1162" s="268"/>
      <c r="U1162" s="268"/>
      <c r="V1162" s="268"/>
    </row>
    <row r="1163" ht="15" customHeight="1" spans="2:22">
      <c r="B1163" s="6" t="e">
        <f t="shared" si="20"/>
        <v>#REF!</v>
      </c>
      <c r="C1163" s="31" t="e">
        <f>#REF!</f>
        <v>#REF!</v>
      </c>
      <c r="D1163" s="32" t="e">
        <f>IF(#REF!=0,"",#REF!)</f>
        <v>#REF!</v>
      </c>
      <c r="E1163" s="36" t="e">
        <f>IF(#REF!=0,"",#REF!)</f>
        <v>#REF!</v>
      </c>
      <c r="F1163" s="36" t="e">
        <f>IF(#REF!=0,"",#REF!)</f>
        <v>#REF!</v>
      </c>
      <c r="G1163" s="103">
        <f>'27'!Q1123</f>
        <v>0</v>
      </c>
      <c r="H1163" s="160">
        <f>'27'!R1123</f>
        <v>0</v>
      </c>
      <c r="I1163" s="160">
        <f>'27'!S1123</f>
        <v>0</v>
      </c>
      <c r="J1163" s="160"/>
      <c r="K1163" s="104">
        <f>'27'!T1123</f>
        <v>0</v>
      </c>
      <c r="L1163" s="36" t="e">
        <f>#REF!</f>
        <v>#REF!</v>
      </c>
      <c r="M1163" s="103" t="e">
        <f>#REF!</f>
        <v>#REF!</v>
      </c>
      <c r="N1163" s="160"/>
      <c r="O1163" s="104" t="e">
        <f>#REF!</f>
        <v>#REF!</v>
      </c>
      <c r="P1163" s="52" t="e">
        <f>IF(#REF!=0,"",#REF!)</f>
        <v>#REF!</v>
      </c>
      <c r="Q1163" s="109" t="e">
        <f>IF(#REF!=0,"",#REF!)</f>
        <v>#REF!</v>
      </c>
      <c r="R1163" s="36" t="e">
        <f>IF(#REF!=0,"",#REF!)</f>
        <v>#REF!</v>
      </c>
      <c r="S1163" s="36" t="e">
        <f>IF(#REF!=0,"",#REF!)</f>
        <v>#REF!</v>
      </c>
      <c r="T1163" s="268"/>
      <c r="U1163" s="268"/>
      <c r="V1163" s="268"/>
    </row>
    <row r="1164" ht="15" customHeight="1" spans="2:22">
      <c r="B1164" s="6" t="e">
        <f t="shared" si="20"/>
        <v>#REF!</v>
      </c>
      <c r="C1164" s="83" t="e">
        <f>#REF!</f>
        <v>#REF!</v>
      </c>
      <c r="D1164" s="110" t="e">
        <f>IF(#REF!=0,"",#REF!)</f>
        <v>#REF!</v>
      </c>
      <c r="E1164" s="85" t="e">
        <f>IF(#REF!=0,"",#REF!)</f>
        <v>#REF!</v>
      </c>
      <c r="F1164" s="85" t="e">
        <f>IF(#REF!=0,"",#REF!)</f>
        <v>#REF!</v>
      </c>
      <c r="G1164" s="105">
        <f>'27'!Q1124</f>
        <v>0</v>
      </c>
      <c r="H1164" s="161">
        <f>'27'!R1124</f>
        <v>0</v>
      </c>
      <c r="I1164" s="161">
        <f>'27'!S1124</f>
        <v>0</v>
      </c>
      <c r="J1164" s="161"/>
      <c r="K1164" s="106">
        <f>'27'!T1124</f>
        <v>0</v>
      </c>
      <c r="L1164" s="85" t="e">
        <f>#REF!</f>
        <v>#REF!</v>
      </c>
      <c r="M1164" s="105" t="e">
        <f>#REF!</f>
        <v>#REF!</v>
      </c>
      <c r="N1164" s="161"/>
      <c r="O1164" s="106" t="e">
        <f>#REF!</f>
        <v>#REF!</v>
      </c>
      <c r="P1164" s="107" t="e">
        <f>IF(#REF!=0,"",#REF!)</f>
        <v>#REF!</v>
      </c>
      <c r="Q1164" s="111" t="e">
        <f>IF(#REF!=0,"",#REF!)</f>
        <v>#REF!</v>
      </c>
      <c r="R1164" s="85" t="e">
        <f>IF(#REF!=0,"",#REF!)</f>
        <v>#REF!</v>
      </c>
      <c r="S1164" s="85" t="e">
        <f>IF(#REF!=0,"",#REF!)</f>
        <v>#REF!</v>
      </c>
      <c r="T1164" s="268"/>
      <c r="U1164" s="268"/>
      <c r="V1164" s="268"/>
    </row>
    <row r="1165" ht="15" customHeight="1" spans="2:22">
      <c r="B1165" s="6" t="e">
        <f t="shared" si="20"/>
        <v>#REF!</v>
      </c>
      <c r="C1165" s="79" t="e">
        <f>#REF!</f>
        <v>#REF!</v>
      </c>
      <c r="D1165" s="62" t="e">
        <f>IF(#REF!=0,"",#REF!)</f>
        <v>#REF!</v>
      </c>
      <c r="E1165" s="81" t="e">
        <f>IF(#REF!=0,"",#REF!)</f>
        <v>#REF!</v>
      </c>
      <c r="F1165" s="81" t="e">
        <f>IF(#REF!=0,"",#REF!)</f>
        <v>#REF!</v>
      </c>
      <c r="G1165" s="100" t="e">
        <f>#REF!</f>
        <v>#REF!</v>
      </c>
      <c r="H1165" s="159">
        <f>'27'!R1125</f>
        <v>0</v>
      </c>
      <c r="I1165" s="159">
        <f>'27'!S1125</f>
        <v>0</v>
      </c>
      <c r="J1165" s="159"/>
      <c r="K1165" s="101">
        <f>'27'!T1125</f>
        <v>0</v>
      </c>
      <c r="L1165" s="81" t="e">
        <f>#REF!</f>
        <v>#REF!</v>
      </c>
      <c r="M1165" s="100" t="e">
        <f>#REF!</f>
        <v>#REF!</v>
      </c>
      <c r="N1165" s="159"/>
      <c r="O1165" s="101" t="e">
        <f>#REF!</f>
        <v>#REF!</v>
      </c>
      <c r="P1165" s="102" t="e">
        <f>IF(#REF!=0,"",#REF!)</f>
        <v>#REF!</v>
      </c>
      <c r="Q1165" s="108" t="e">
        <f>IF(#REF!=0,"",#REF!)</f>
        <v>#REF!</v>
      </c>
      <c r="R1165" s="81" t="e">
        <f>IF(#REF!=0,"",#REF!)</f>
        <v>#REF!</v>
      </c>
      <c r="S1165" s="81" t="e">
        <f>IF(#REF!=0,"",#REF!)</f>
        <v>#REF!</v>
      </c>
      <c r="T1165" s="268"/>
      <c r="U1165" s="268"/>
      <c r="V1165" s="268"/>
    </row>
    <row r="1166" ht="15" customHeight="1" spans="2:22">
      <c r="B1166" s="6" t="e">
        <f t="shared" si="20"/>
        <v>#REF!</v>
      </c>
      <c r="C1166" s="31" t="e">
        <f>#REF!</f>
        <v>#REF!</v>
      </c>
      <c r="D1166" s="32" t="e">
        <f>IF(#REF!=0,"",#REF!)</f>
        <v>#REF!</v>
      </c>
      <c r="E1166" s="36" t="e">
        <f>IF(#REF!=0,"",#REF!)</f>
        <v>#REF!</v>
      </c>
      <c r="F1166" s="36" t="e">
        <f>IF(#REF!=0,"",#REF!)</f>
        <v>#REF!</v>
      </c>
      <c r="G1166" s="103">
        <f>'27'!Q1126</f>
        <v>0</v>
      </c>
      <c r="H1166" s="160">
        <f>'27'!R1126</f>
        <v>0</v>
      </c>
      <c r="I1166" s="160">
        <f>'27'!S1126</f>
        <v>0</v>
      </c>
      <c r="J1166" s="160"/>
      <c r="K1166" s="104">
        <f>'27'!T1126</f>
        <v>0</v>
      </c>
      <c r="L1166" s="36" t="e">
        <f>#REF!</f>
        <v>#REF!</v>
      </c>
      <c r="M1166" s="103" t="e">
        <f>#REF!</f>
        <v>#REF!</v>
      </c>
      <c r="N1166" s="160"/>
      <c r="O1166" s="104" t="e">
        <f>#REF!</f>
        <v>#REF!</v>
      </c>
      <c r="P1166" s="52" t="e">
        <f>IF(#REF!=0,"",#REF!)</f>
        <v>#REF!</v>
      </c>
      <c r="Q1166" s="109" t="e">
        <f>IF(#REF!=0,"",#REF!)</f>
        <v>#REF!</v>
      </c>
      <c r="R1166" s="36" t="e">
        <f>IF(#REF!=0,"",#REF!)</f>
        <v>#REF!</v>
      </c>
      <c r="S1166" s="36" t="e">
        <f>IF(#REF!=0,"",#REF!)</f>
        <v>#REF!</v>
      </c>
      <c r="T1166" s="268"/>
      <c r="U1166" s="268"/>
      <c r="V1166" s="268"/>
    </row>
    <row r="1167" ht="15" customHeight="1" spans="2:22">
      <c r="B1167" s="6" t="e">
        <f t="shared" si="20"/>
        <v>#REF!</v>
      </c>
      <c r="C1167" s="83" t="e">
        <f>#REF!</f>
        <v>#REF!</v>
      </c>
      <c r="D1167" s="110" t="e">
        <f>IF(#REF!=0,"",#REF!)</f>
        <v>#REF!</v>
      </c>
      <c r="E1167" s="85" t="e">
        <f>IF(#REF!=0,"",#REF!)</f>
        <v>#REF!</v>
      </c>
      <c r="F1167" s="85" t="e">
        <f>IF(#REF!=0,"",#REF!)</f>
        <v>#REF!</v>
      </c>
      <c r="G1167" s="105">
        <f>'27'!Q1127</f>
        <v>0</v>
      </c>
      <c r="H1167" s="161">
        <f>'27'!R1127</f>
        <v>0</v>
      </c>
      <c r="I1167" s="161">
        <f>'27'!S1127</f>
        <v>0</v>
      </c>
      <c r="J1167" s="161"/>
      <c r="K1167" s="106">
        <f>'27'!T1127</f>
        <v>0</v>
      </c>
      <c r="L1167" s="85" t="e">
        <f>#REF!</f>
        <v>#REF!</v>
      </c>
      <c r="M1167" s="105" t="e">
        <f>#REF!</f>
        <v>#REF!</v>
      </c>
      <c r="N1167" s="161"/>
      <c r="O1167" s="106" t="e">
        <f>#REF!</f>
        <v>#REF!</v>
      </c>
      <c r="P1167" s="107" t="e">
        <f>IF(#REF!=0,"",#REF!)</f>
        <v>#REF!</v>
      </c>
      <c r="Q1167" s="111" t="e">
        <f>IF(#REF!=0,"",#REF!)</f>
        <v>#REF!</v>
      </c>
      <c r="R1167" s="85" t="e">
        <f>IF(#REF!=0,"",#REF!)</f>
        <v>#REF!</v>
      </c>
      <c r="S1167" s="85" t="e">
        <f>IF(#REF!=0,"",#REF!)</f>
        <v>#REF!</v>
      </c>
      <c r="T1167" s="268"/>
      <c r="U1167" s="268"/>
      <c r="V1167" s="268"/>
    </row>
    <row r="1168" ht="15" customHeight="1" spans="2:22">
      <c r="B1168" s="6" t="e">
        <f t="shared" si="20"/>
        <v>#REF!</v>
      </c>
      <c r="C1168" s="79" t="e">
        <f>#REF!</f>
        <v>#REF!</v>
      </c>
      <c r="D1168" s="62" t="e">
        <f>IF(#REF!=0,"",#REF!)</f>
        <v>#REF!</v>
      </c>
      <c r="E1168" s="81" t="e">
        <f>IF(#REF!=0,"",#REF!)</f>
        <v>#REF!</v>
      </c>
      <c r="F1168" s="81" t="e">
        <f>IF(#REF!=0,"",#REF!)</f>
        <v>#REF!</v>
      </c>
      <c r="G1168" s="100" t="e">
        <f>#REF!</f>
        <v>#REF!</v>
      </c>
      <c r="H1168" s="159">
        <f>'27'!R1128</f>
        <v>0</v>
      </c>
      <c r="I1168" s="159">
        <f>'27'!S1128</f>
        <v>0</v>
      </c>
      <c r="J1168" s="159"/>
      <c r="K1168" s="101">
        <f>'27'!T1128</f>
        <v>0</v>
      </c>
      <c r="L1168" s="81" t="e">
        <f>#REF!</f>
        <v>#REF!</v>
      </c>
      <c r="M1168" s="100" t="e">
        <f>#REF!</f>
        <v>#REF!</v>
      </c>
      <c r="N1168" s="159"/>
      <c r="O1168" s="101" t="e">
        <f>#REF!</f>
        <v>#REF!</v>
      </c>
      <c r="P1168" s="102" t="e">
        <f>IF(#REF!=0,"",#REF!)</f>
        <v>#REF!</v>
      </c>
      <c r="Q1168" s="108" t="e">
        <f>IF(#REF!=0,"",#REF!)</f>
        <v>#REF!</v>
      </c>
      <c r="R1168" s="81" t="e">
        <f>IF(#REF!=0,"",#REF!)</f>
        <v>#REF!</v>
      </c>
      <c r="S1168" s="81" t="e">
        <f>IF(#REF!=0,"",#REF!)</f>
        <v>#REF!</v>
      </c>
      <c r="T1168" s="268"/>
      <c r="U1168" s="268"/>
      <c r="V1168" s="268"/>
    </row>
    <row r="1169" ht="15" customHeight="1" spans="2:22">
      <c r="B1169" s="6" t="e">
        <f t="shared" si="20"/>
        <v>#REF!</v>
      </c>
      <c r="C1169" s="31" t="e">
        <f>#REF!</f>
        <v>#REF!</v>
      </c>
      <c r="D1169" s="32" t="e">
        <f>IF(#REF!=0,"",#REF!)</f>
        <v>#REF!</v>
      </c>
      <c r="E1169" s="36" t="e">
        <f>IF(#REF!=0,"",#REF!)</f>
        <v>#REF!</v>
      </c>
      <c r="F1169" s="36" t="e">
        <f>IF(#REF!=0,"",#REF!)</f>
        <v>#REF!</v>
      </c>
      <c r="G1169" s="103">
        <f>'27'!Q1129</f>
        <v>0</v>
      </c>
      <c r="H1169" s="160">
        <f>'27'!R1129</f>
        <v>0</v>
      </c>
      <c r="I1169" s="160">
        <f>'27'!S1129</f>
        <v>0</v>
      </c>
      <c r="J1169" s="160"/>
      <c r="K1169" s="104">
        <f>'27'!T1129</f>
        <v>0</v>
      </c>
      <c r="L1169" s="36" t="e">
        <f>#REF!</f>
        <v>#REF!</v>
      </c>
      <c r="M1169" s="103" t="e">
        <f>#REF!</f>
        <v>#REF!</v>
      </c>
      <c r="N1169" s="160"/>
      <c r="O1169" s="104" t="e">
        <f>#REF!</f>
        <v>#REF!</v>
      </c>
      <c r="P1169" s="52" t="e">
        <f>IF(#REF!=0,"",#REF!)</f>
        <v>#REF!</v>
      </c>
      <c r="Q1169" s="109" t="e">
        <f>IF(#REF!=0,"",#REF!)</f>
        <v>#REF!</v>
      </c>
      <c r="R1169" s="36" t="e">
        <f>IF(#REF!=0,"",#REF!)</f>
        <v>#REF!</v>
      </c>
      <c r="S1169" s="36" t="e">
        <f>IF(#REF!=0,"",#REF!)</f>
        <v>#REF!</v>
      </c>
      <c r="T1169" s="268"/>
      <c r="U1169" s="268"/>
      <c r="V1169" s="268"/>
    </row>
    <row r="1170" ht="15" customHeight="1" spans="2:22">
      <c r="B1170" s="6" t="e">
        <f t="shared" si="20"/>
        <v>#REF!</v>
      </c>
      <c r="C1170" s="83" t="e">
        <f>#REF!</f>
        <v>#REF!</v>
      </c>
      <c r="D1170" s="110" t="e">
        <f>IF(#REF!=0,"",#REF!)</f>
        <v>#REF!</v>
      </c>
      <c r="E1170" s="85" t="e">
        <f>IF(#REF!=0,"",#REF!)</f>
        <v>#REF!</v>
      </c>
      <c r="F1170" s="85" t="e">
        <f>IF(#REF!=0,"",#REF!)</f>
        <v>#REF!</v>
      </c>
      <c r="G1170" s="105">
        <f>'27'!Q1130</f>
        <v>0</v>
      </c>
      <c r="H1170" s="161">
        <f>'27'!R1130</f>
        <v>0</v>
      </c>
      <c r="I1170" s="161">
        <f>'27'!S1130</f>
        <v>0</v>
      </c>
      <c r="J1170" s="161"/>
      <c r="K1170" s="106">
        <f>'27'!T1130</f>
        <v>0</v>
      </c>
      <c r="L1170" s="85" t="e">
        <f>#REF!</f>
        <v>#REF!</v>
      </c>
      <c r="M1170" s="105" t="e">
        <f>#REF!</f>
        <v>#REF!</v>
      </c>
      <c r="N1170" s="161"/>
      <c r="O1170" s="106" t="e">
        <f>#REF!</f>
        <v>#REF!</v>
      </c>
      <c r="P1170" s="107" t="e">
        <f>IF(#REF!=0,"",#REF!)</f>
        <v>#REF!</v>
      </c>
      <c r="Q1170" s="111" t="e">
        <f>IF(#REF!=0,"",#REF!)</f>
        <v>#REF!</v>
      </c>
      <c r="R1170" s="85" t="e">
        <f>IF(#REF!=0,"",#REF!)</f>
        <v>#REF!</v>
      </c>
      <c r="S1170" s="85" t="e">
        <f>IF(#REF!=0,"",#REF!)</f>
        <v>#REF!</v>
      </c>
      <c r="T1170" s="268"/>
      <c r="U1170" s="268"/>
      <c r="V1170" s="268"/>
    </row>
    <row r="1171" ht="15" customHeight="1" spans="2:22">
      <c r="B1171" s="6" t="e">
        <f t="shared" si="20"/>
        <v>#REF!</v>
      </c>
      <c r="C1171" s="79" t="e">
        <f>#REF!</f>
        <v>#REF!</v>
      </c>
      <c r="D1171" s="62" t="e">
        <f>IF(#REF!=0,"",#REF!)</f>
        <v>#REF!</v>
      </c>
      <c r="E1171" s="81" t="e">
        <f>IF(#REF!=0,"",#REF!)</f>
        <v>#REF!</v>
      </c>
      <c r="F1171" s="81" t="e">
        <f>IF(#REF!=0,"",#REF!)</f>
        <v>#REF!</v>
      </c>
      <c r="G1171" s="100" t="e">
        <f>#REF!</f>
        <v>#REF!</v>
      </c>
      <c r="H1171" s="159">
        <f>'27'!R1131</f>
        <v>0</v>
      </c>
      <c r="I1171" s="159">
        <f>'27'!S1131</f>
        <v>0</v>
      </c>
      <c r="J1171" s="159"/>
      <c r="K1171" s="101">
        <f>'27'!T1131</f>
        <v>0</v>
      </c>
      <c r="L1171" s="81" t="e">
        <f>#REF!</f>
        <v>#REF!</v>
      </c>
      <c r="M1171" s="100" t="e">
        <f>#REF!</f>
        <v>#REF!</v>
      </c>
      <c r="N1171" s="159"/>
      <c r="O1171" s="101" t="e">
        <f>#REF!</f>
        <v>#REF!</v>
      </c>
      <c r="P1171" s="102" t="e">
        <f>IF(#REF!=0,"",#REF!)</f>
        <v>#REF!</v>
      </c>
      <c r="Q1171" s="108" t="e">
        <f>IF(#REF!=0,"",#REF!)</f>
        <v>#REF!</v>
      </c>
      <c r="R1171" s="81" t="e">
        <f>IF(#REF!=0,"",#REF!)</f>
        <v>#REF!</v>
      </c>
      <c r="S1171" s="81" t="e">
        <f>IF(#REF!=0,"",#REF!)</f>
        <v>#REF!</v>
      </c>
      <c r="T1171" s="268"/>
      <c r="U1171" s="268"/>
      <c r="V1171" s="268"/>
    </row>
    <row r="1172" ht="15" customHeight="1" spans="2:22">
      <c r="B1172" s="6" t="e">
        <f t="shared" si="20"/>
        <v>#REF!</v>
      </c>
      <c r="C1172" s="31" t="e">
        <f>#REF!</f>
        <v>#REF!</v>
      </c>
      <c r="D1172" s="32" t="e">
        <f>IF(#REF!=0,"",#REF!)</f>
        <v>#REF!</v>
      </c>
      <c r="E1172" s="36" t="e">
        <f>IF(#REF!=0,"",#REF!)</f>
        <v>#REF!</v>
      </c>
      <c r="F1172" s="36" t="e">
        <f>IF(#REF!=0,"",#REF!)</f>
        <v>#REF!</v>
      </c>
      <c r="G1172" s="103">
        <f>'27'!Q1132</f>
        <v>0</v>
      </c>
      <c r="H1172" s="160">
        <f>'27'!R1132</f>
        <v>0</v>
      </c>
      <c r="I1172" s="160">
        <f>'27'!S1132</f>
        <v>0</v>
      </c>
      <c r="J1172" s="160"/>
      <c r="K1172" s="104">
        <f>'27'!T1132</f>
        <v>0</v>
      </c>
      <c r="L1172" s="36" t="e">
        <f>#REF!</f>
        <v>#REF!</v>
      </c>
      <c r="M1172" s="103" t="e">
        <f>#REF!</f>
        <v>#REF!</v>
      </c>
      <c r="N1172" s="160"/>
      <c r="O1172" s="104" t="e">
        <f>#REF!</f>
        <v>#REF!</v>
      </c>
      <c r="P1172" s="52" t="e">
        <f>IF(#REF!=0,"",#REF!)</f>
        <v>#REF!</v>
      </c>
      <c r="Q1172" s="109" t="e">
        <f>IF(#REF!=0,"",#REF!)</f>
        <v>#REF!</v>
      </c>
      <c r="R1172" s="36" t="e">
        <f>IF(#REF!=0,"",#REF!)</f>
        <v>#REF!</v>
      </c>
      <c r="S1172" s="36" t="e">
        <f>IF(#REF!=0,"",#REF!)</f>
        <v>#REF!</v>
      </c>
      <c r="T1172" s="268"/>
      <c r="U1172" s="268"/>
      <c r="V1172" s="268"/>
    </row>
    <row r="1173" ht="15" customHeight="1" spans="2:22">
      <c r="B1173" s="6" t="e">
        <f t="shared" si="20"/>
        <v>#REF!</v>
      </c>
      <c r="C1173" s="83" t="e">
        <f>#REF!</f>
        <v>#REF!</v>
      </c>
      <c r="D1173" s="110" t="e">
        <f>IF(#REF!=0,"",#REF!)</f>
        <v>#REF!</v>
      </c>
      <c r="E1173" s="85" t="e">
        <f>IF(#REF!=0,"",#REF!)</f>
        <v>#REF!</v>
      </c>
      <c r="F1173" s="85" t="e">
        <f>IF(#REF!=0,"",#REF!)</f>
        <v>#REF!</v>
      </c>
      <c r="G1173" s="105">
        <f>'27'!Q1133</f>
        <v>0</v>
      </c>
      <c r="H1173" s="161">
        <f>'27'!R1133</f>
        <v>0</v>
      </c>
      <c r="I1173" s="161">
        <f>'27'!S1133</f>
        <v>0</v>
      </c>
      <c r="J1173" s="161"/>
      <c r="K1173" s="106">
        <f>'27'!T1133</f>
        <v>0</v>
      </c>
      <c r="L1173" s="85" t="e">
        <f>#REF!</f>
        <v>#REF!</v>
      </c>
      <c r="M1173" s="105" t="e">
        <f>#REF!</f>
        <v>#REF!</v>
      </c>
      <c r="N1173" s="161"/>
      <c r="O1173" s="106" t="e">
        <f>#REF!</f>
        <v>#REF!</v>
      </c>
      <c r="P1173" s="107" t="e">
        <f>IF(#REF!=0,"",#REF!)</f>
        <v>#REF!</v>
      </c>
      <c r="Q1173" s="111" t="e">
        <f>IF(#REF!=0,"",#REF!)</f>
        <v>#REF!</v>
      </c>
      <c r="R1173" s="85" t="e">
        <f>IF(#REF!=0,"",#REF!)</f>
        <v>#REF!</v>
      </c>
      <c r="S1173" s="85" t="e">
        <f>IF(#REF!=0,"",#REF!)</f>
        <v>#REF!</v>
      </c>
      <c r="T1173" s="268"/>
      <c r="U1173" s="268"/>
      <c r="V1173" s="268"/>
    </row>
    <row r="1174" ht="15" customHeight="1" spans="2:22">
      <c r="B1174" s="6" t="e">
        <f t="shared" si="20"/>
        <v>#REF!</v>
      </c>
      <c r="C1174" s="79" t="e">
        <f>#REF!</f>
        <v>#REF!</v>
      </c>
      <c r="D1174" s="62" t="e">
        <f>IF(#REF!=0,"",#REF!)</f>
        <v>#REF!</v>
      </c>
      <c r="E1174" s="81" t="e">
        <f>IF(#REF!=0,"",#REF!)</f>
        <v>#REF!</v>
      </c>
      <c r="F1174" s="81" t="e">
        <f>IF(#REF!=0,"",#REF!)</f>
        <v>#REF!</v>
      </c>
      <c r="G1174" s="100" t="e">
        <f>#REF!</f>
        <v>#REF!</v>
      </c>
      <c r="H1174" s="159">
        <f>'27'!R1134</f>
        <v>0</v>
      </c>
      <c r="I1174" s="159">
        <f>'27'!S1134</f>
        <v>0</v>
      </c>
      <c r="J1174" s="159"/>
      <c r="K1174" s="101">
        <f>'27'!T1134</f>
        <v>0</v>
      </c>
      <c r="L1174" s="81" t="e">
        <f>#REF!</f>
        <v>#REF!</v>
      </c>
      <c r="M1174" s="100" t="e">
        <f>#REF!</f>
        <v>#REF!</v>
      </c>
      <c r="N1174" s="159"/>
      <c r="O1174" s="101" t="e">
        <f>#REF!</f>
        <v>#REF!</v>
      </c>
      <c r="P1174" s="102" t="e">
        <f>IF(#REF!=0,"",#REF!)</f>
        <v>#REF!</v>
      </c>
      <c r="Q1174" s="108" t="e">
        <f>IF(#REF!=0,"",#REF!)</f>
        <v>#REF!</v>
      </c>
      <c r="R1174" s="81" t="e">
        <f>IF(#REF!=0,"",#REF!)</f>
        <v>#REF!</v>
      </c>
      <c r="S1174" s="81" t="e">
        <f>IF(#REF!=0,"",#REF!)</f>
        <v>#REF!</v>
      </c>
      <c r="T1174" s="268"/>
      <c r="U1174" s="268"/>
      <c r="V1174" s="268"/>
    </row>
    <row r="1175" ht="15" customHeight="1" spans="2:22">
      <c r="B1175" s="6" t="e">
        <f t="shared" si="20"/>
        <v>#REF!</v>
      </c>
      <c r="C1175" s="31" t="e">
        <f>#REF!</f>
        <v>#REF!</v>
      </c>
      <c r="D1175" s="32" t="e">
        <f>IF(#REF!=0,"",#REF!)</f>
        <v>#REF!</v>
      </c>
      <c r="E1175" s="36" t="e">
        <f>IF(#REF!=0,"",#REF!)</f>
        <v>#REF!</v>
      </c>
      <c r="F1175" s="36" t="e">
        <f>IF(#REF!=0,"",#REF!)</f>
        <v>#REF!</v>
      </c>
      <c r="G1175" s="103">
        <f>'27'!Q1135</f>
        <v>0</v>
      </c>
      <c r="H1175" s="160">
        <f>'27'!R1135</f>
        <v>0</v>
      </c>
      <c r="I1175" s="160">
        <f>'27'!S1135</f>
        <v>0</v>
      </c>
      <c r="J1175" s="160"/>
      <c r="K1175" s="104">
        <f>'27'!T1135</f>
        <v>0</v>
      </c>
      <c r="L1175" s="36" t="e">
        <f>#REF!</f>
        <v>#REF!</v>
      </c>
      <c r="M1175" s="103" t="e">
        <f>#REF!</f>
        <v>#REF!</v>
      </c>
      <c r="N1175" s="160"/>
      <c r="O1175" s="104" t="e">
        <f>#REF!</f>
        <v>#REF!</v>
      </c>
      <c r="P1175" s="52" t="e">
        <f>IF(#REF!=0,"",#REF!)</f>
        <v>#REF!</v>
      </c>
      <c r="Q1175" s="109" t="e">
        <f>IF(#REF!=0,"",#REF!)</f>
        <v>#REF!</v>
      </c>
      <c r="R1175" s="36" t="e">
        <f>IF(#REF!=0,"",#REF!)</f>
        <v>#REF!</v>
      </c>
      <c r="S1175" s="36" t="e">
        <f>IF(#REF!=0,"",#REF!)</f>
        <v>#REF!</v>
      </c>
      <c r="T1175" s="268"/>
      <c r="U1175" s="268"/>
      <c r="V1175" s="268"/>
    </row>
    <row r="1176" ht="15" customHeight="1" spans="2:22">
      <c r="B1176" s="6" t="e">
        <f t="shared" si="20"/>
        <v>#REF!</v>
      </c>
      <c r="C1176" s="83" t="e">
        <f>#REF!</f>
        <v>#REF!</v>
      </c>
      <c r="D1176" s="110" t="e">
        <f>IF(#REF!=0,"",#REF!)</f>
        <v>#REF!</v>
      </c>
      <c r="E1176" s="85" t="e">
        <f>IF(#REF!=0,"",#REF!)</f>
        <v>#REF!</v>
      </c>
      <c r="F1176" s="85" t="e">
        <f>IF(#REF!=0,"",#REF!)</f>
        <v>#REF!</v>
      </c>
      <c r="G1176" s="105">
        <f>'27'!Q1136</f>
        <v>0</v>
      </c>
      <c r="H1176" s="161">
        <f>'27'!R1136</f>
        <v>0</v>
      </c>
      <c r="I1176" s="161">
        <f>'27'!S1136</f>
        <v>0</v>
      </c>
      <c r="J1176" s="161"/>
      <c r="K1176" s="106">
        <f>'27'!T1136</f>
        <v>0</v>
      </c>
      <c r="L1176" s="85" t="e">
        <f>#REF!</f>
        <v>#REF!</v>
      </c>
      <c r="M1176" s="105" t="e">
        <f>#REF!</f>
        <v>#REF!</v>
      </c>
      <c r="N1176" s="161"/>
      <c r="O1176" s="106" t="e">
        <f>#REF!</f>
        <v>#REF!</v>
      </c>
      <c r="P1176" s="107" t="e">
        <f>IF(#REF!=0,"",#REF!)</f>
        <v>#REF!</v>
      </c>
      <c r="Q1176" s="111" t="e">
        <f>IF(#REF!=0,"",#REF!)</f>
        <v>#REF!</v>
      </c>
      <c r="R1176" s="85" t="e">
        <f>IF(#REF!=0,"",#REF!)</f>
        <v>#REF!</v>
      </c>
      <c r="S1176" s="85" t="e">
        <f>IF(#REF!=0,"",#REF!)</f>
        <v>#REF!</v>
      </c>
      <c r="T1176" s="268"/>
      <c r="U1176" s="268"/>
      <c r="V1176" s="268"/>
    </row>
    <row r="1177" ht="15" customHeight="1" spans="2:22">
      <c r="B1177" s="6" t="e">
        <f t="shared" si="20"/>
        <v>#REF!</v>
      </c>
      <c r="C1177" s="79" t="e">
        <f>#REF!</f>
        <v>#REF!</v>
      </c>
      <c r="D1177" s="62" t="e">
        <f>IF(#REF!=0,"",#REF!)</f>
        <v>#REF!</v>
      </c>
      <c r="E1177" s="81" t="e">
        <f>IF(#REF!=0,"",#REF!)</f>
        <v>#REF!</v>
      </c>
      <c r="F1177" s="81" t="e">
        <f>IF(#REF!=0,"",#REF!)</f>
        <v>#REF!</v>
      </c>
      <c r="G1177" s="100" t="e">
        <f>#REF!</f>
        <v>#REF!</v>
      </c>
      <c r="H1177" s="159">
        <f>'27'!R1137</f>
        <v>0</v>
      </c>
      <c r="I1177" s="159">
        <f>'27'!S1137</f>
        <v>0</v>
      </c>
      <c r="J1177" s="159"/>
      <c r="K1177" s="101">
        <f>'27'!T1137</f>
        <v>0</v>
      </c>
      <c r="L1177" s="81" t="e">
        <f>#REF!</f>
        <v>#REF!</v>
      </c>
      <c r="M1177" s="100" t="e">
        <f>#REF!</f>
        <v>#REF!</v>
      </c>
      <c r="N1177" s="159"/>
      <c r="O1177" s="101" t="e">
        <f>#REF!</f>
        <v>#REF!</v>
      </c>
      <c r="P1177" s="102" t="e">
        <f>IF(#REF!=0,"",#REF!)</f>
        <v>#REF!</v>
      </c>
      <c r="Q1177" s="108" t="e">
        <f>IF(#REF!=0,"",#REF!)</f>
        <v>#REF!</v>
      </c>
      <c r="R1177" s="81" t="e">
        <f>IF(#REF!=0,"",#REF!)</f>
        <v>#REF!</v>
      </c>
      <c r="S1177" s="81" t="e">
        <f>IF(#REF!=0,"",#REF!)</f>
        <v>#REF!</v>
      </c>
      <c r="T1177" s="268"/>
      <c r="U1177" s="268"/>
      <c r="V1177" s="268"/>
    </row>
    <row r="1178" ht="15" customHeight="1" spans="2:22">
      <c r="B1178" s="6" t="e">
        <f t="shared" si="20"/>
        <v>#REF!</v>
      </c>
      <c r="C1178" s="31" t="e">
        <f>#REF!</f>
        <v>#REF!</v>
      </c>
      <c r="D1178" s="32" t="e">
        <f>IF(#REF!=0,"",#REF!)</f>
        <v>#REF!</v>
      </c>
      <c r="E1178" s="36" t="e">
        <f>IF(#REF!=0,"",#REF!)</f>
        <v>#REF!</v>
      </c>
      <c r="F1178" s="36" t="e">
        <f>IF(#REF!=0,"",#REF!)</f>
        <v>#REF!</v>
      </c>
      <c r="G1178" s="103">
        <f>'27'!Q1138</f>
        <v>0</v>
      </c>
      <c r="H1178" s="160">
        <f>'27'!R1138</f>
        <v>0</v>
      </c>
      <c r="I1178" s="160">
        <f>'27'!S1138</f>
        <v>0</v>
      </c>
      <c r="J1178" s="160"/>
      <c r="K1178" s="104">
        <f>'27'!T1138</f>
        <v>0</v>
      </c>
      <c r="L1178" s="36" t="e">
        <f>#REF!</f>
        <v>#REF!</v>
      </c>
      <c r="M1178" s="103" t="e">
        <f>#REF!</f>
        <v>#REF!</v>
      </c>
      <c r="N1178" s="160"/>
      <c r="O1178" s="104" t="e">
        <f>#REF!</f>
        <v>#REF!</v>
      </c>
      <c r="P1178" s="52" t="e">
        <f>IF(#REF!=0,"",#REF!)</f>
        <v>#REF!</v>
      </c>
      <c r="Q1178" s="109" t="e">
        <f>IF(#REF!=0,"",#REF!)</f>
        <v>#REF!</v>
      </c>
      <c r="R1178" s="36" t="e">
        <f>IF(#REF!=0,"",#REF!)</f>
        <v>#REF!</v>
      </c>
      <c r="S1178" s="36" t="e">
        <f>IF(#REF!=0,"",#REF!)</f>
        <v>#REF!</v>
      </c>
      <c r="T1178" s="268"/>
      <c r="U1178" s="268"/>
      <c r="V1178" s="268"/>
    </row>
    <row r="1179" ht="15" customHeight="1" spans="2:22">
      <c r="B1179" s="6" t="e">
        <f t="shared" si="20"/>
        <v>#REF!</v>
      </c>
      <c r="C1179" s="83" t="e">
        <f>#REF!</f>
        <v>#REF!</v>
      </c>
      <c r="D1179" s="110" t="e">
        <f>IF(#REF!=0,"",#REF!)</f>
        <v>#REF!</v>
      </c>
      <c r="E1179" s="85" t="e">
        <f>IF(#REF!=0,"",#REF!)</f>
        <v>#REF!</v>
      </c>
      <c r="F1179" s="85" t="e">
        <f>IF(#REF!=0,"",#REF!)</f>
        <v>#REF!</v>
      </c>
      <c r="G1179" s="105">
        <f>'27'!Q1139</f>
        <v>0</v>
      </c>
      <c r="H1179" s="161">
        <f>'27'!R1139</f>
        <v>0</v>
      </c>
      <c r="I1179" s="161">
        <f>'27'!S1139</f>
        <v>0</v>
      </c>
      <c r="J1179" s="161"/>
      <c r="K1179" s="106">
        <f>'27'!T1139</f>
        <v>0</v>
      </c>
      <c r="L1179" s="85" t="e">
        <f>#REF!</f>
        <v>#REF!</v>
      </c>
      <c r="M1179" s="105" t="e">
        <f>#REF!</f>
        <v>#REF!</v>
      </c>
      <c r="N1179" s="161"/>
      <c r="O1179" s="106" t="e">
        <f>#REF!</f>
        <v>#REF!</v>
      </c>
      <c r="P1179" s="107" t="e">
        <f>IF(#REF!=0,"",#REF!)</f>
        <v>#REF!</v>
      </c>
      <c r="Q1179" s="111" t="e">
        <f>IF(#REF!=0,"",#REF!)</f>
        <v>#REF!</v>
      </c>
      <c r="R1179" s="85" t="e">
        <f>IF(#REF!=0,"",#REF!)</f>
        <v>#REF!</v>
      </c>
      <c r="S1179" s="85" t="e">
        <f>IF(#REF!=0,"",#REF!)</f>
        <v>#REF!</v>
      </c>
      <c r="T1179" s="268"/>
      <c r="U1179" s="268"/>
      <c r="V1179" s="268"/>
    </row>
    <row r="1180" ht="15" customHeight="1" spans="2:22">
      <c r="B1180" s="6" t="e">
        <f t="shared" si="20"/>
        <v>#REF!</v>
      </c>
      <c r="C1180" s="79" t="e">
        <f>#REF!</f>
        <v>#REF!</v>
      </c>
      <c r="D1180" s="62" t="e">
        <f>IF(#REF!=0,"",#REF!)</f>
        <v>#REF!</v>
      </c>
      <c r="E1180" s="81" t="e">
        <f>IF(#REF!=0,"",#REF!)</f>
        <v>#REF!</v>
      </c>
      <c r="F1180" s="81" t="e">
        <f>IF(#REF!=0,"",#REF!)</f>
        <v>#REF!</v>
      </c>
      <c r="G1180" s="100" t="e">
        <f>#REF!</f>
        <v>#REF!</v>
      </c>
      <c r="H1180" s="159">
        <f>'27'!R1140</f>
        <v>0</v>
      </c>
      <c r="I1180" s="159">
        <f>'27'!S1140</f>
        <v>0</v>
      </c>
      <c r="J1180" s="159"/>
      <c r="K1180" s="101">
        <f>'27'!T1140</f>
        <v>0</v>
      </c>
      <c r="L1180" s="81" t="e">
        <f>#REF!</f>
        <v>#REF!</v>
      </c>
      <c r="M1180" s="100" t="e">
        <f>#REF!</f>
        <v>#REF!</v>
      </c>
      <c r="N1180" s="159"/>
      <c r="O1180" s="101" t="e">
        <f>#REF!</f>
        <v>#REF!</v>
      </c>
      <c r="P1180" s="102" t="e">
        <f>IF(#REF!=0,"",#REF!)</f>
        <v>#REF!</v>
      </c>
      <c r="Q1180" s="108" t="e">
        <f>IF(#REF!=0,"",#REF!)</f>
        <v>#REF!</v>
      </c>
      <c r="R1180" s="81" t="e">
        <f>IF(#REF!=0,"",#REF!)</f>
        <v>#REF!</v>
      </c>
      <c r="S1180" s="81" t="e">
        <f>IF(#REF!=0,"",#REF!)</f>
        <v>#REF!</v>
      </c>
      <c r="T1180" s="268"/>
      <c r="U1180" s="268"/>
      <c r="V1180" s="268"/>
    </row>
    <row r="1181" ht="15" customHeight="1" spans="2:22">
      <c r="B1181" s="6" t="e">
        <f t="shared" si="20"/>
        <v>#REF!</v>
      </c>
      <c r="C1181" s="31" t="e">
        <f>#REF!</f>
        <v>#REF!</v>
      </c>
      <c r="D1181" s="32" t="e">
        <f>IF(#REF!=0,"",#REF!)</f>
        <v>#REF!</v>
      </c>
      <c r="E1181" s="36" t="e">
        <f>IF(#REF!=0,"",#REF!)</f>
        <v>#REF!</v>
      </c>
      <c r="F1181" s="36" t="e">
        <f>IF(#REF!=0,"",#REF!)</f>
        <v>#REF!</v>
      </c>
      <c r="G1181" s="103">
        <f>'27'!Q1141</f>
        <v>0</v>
      </c>
      <c r="H1181" s="160">
        <f>'27'!R1141</f>
        <v>0</v>
      </c>
      <c r="I1181" s="160">
        <f>'27'!S1141</f>
        <v>0</v>
      </c>
      <c r="J1181" s="160"/>
      <c r="K1181" s="104">
        <f>'27'!T1141</f>
        <v>0</v>
      </c>
      <c r="L1181" s="36" t="e">
        <f>#REF!</f>
        <v>#REF!</v>
      </c>
      <c r="M1181" s="103" t="e">
        <f>#REF!</f>
        <v>#REF!</v>
      </c>
      <c r="N1181" s="160"/>
      <c r="O1181" s="104" t="e">
        <f>#REF!</f>
        <v>#REF!</v>
      </c>
      <c r="P1181" s="52" t="e">
        <f>IF(#REF!=0,"",#REF!)</f>
        <v>#REF!</v>
      </c>
      <c r="Q1181" s="109" t="e">
        <f>IF(#REF!=0,"",#REF!)</f>
        <v>#REF!</v>
      </c>
      <c r="R1181" s="36" t="e">
        <f>IF(#REF!=0,"",#REF!)</f>
        <v>#REF!</v>
      </c>
      <c r="S1181" s="36" t="e">
        <f>IF(#REF!=0,"",#REF!)</f>
        <v>#REF!</v>
      </c>
      <c r="T1181" s="268"/>
      <c r="U1181" s="268"/>
      <c r="V1181" s="268"/>
    </row>
    <row r="1182" ht="15" customHeight="1" spans="2:22">
      <c r="B1182" s="6" t="e">
        <f t="shared" si="20"/>
        <v>#REF!</v>
      </c>
      <c r="C1182" s="83" t="e">
        <f>#REF!</f>
        <v>#REF!</v>
      </c>
      <c r="D1182" s="110" t="e">
        <f>IF(#REF!=0,"",#REF!)</f>
        <v>#REF!</v>
      </c>
      <c r="E1182" s="85" t="e">
        <f>IF(#REF!=0,"",#REF!)</f>
        <v>#REF!</v>
      </c>
      <c r="F1182" s="85" t="e">
        <f>IF(#REF!=0,"",#REF!)</f>
        <v>#REF!</v>
      </c>
      <c r="G1182" s="105">
        <f>'27'!Q1142</f>
        <v>0</v>
      </c>
      <c r="H1182" s="161">
        <f>'27'!R1142</f>
        <v>0</v>
      </c>
      <c r="I1182" s="161">
        <f>'27'!S1142</f>
        <v>0</v>
      </c>
      <c r="J1182" s="161"/>
      <c r="K1182" s="106">
        <f>'27'!T1142</f>
        <v>0</v>
      </c>
      <c r="L1182" s="85" t="e">
        <f>#REF!</f>
        <v>#REF!</v>
      </c>
      <c r="M1182" s="105" t="e">
        <f>#REF!</f>
        <v>#REF!</v>
      </c>
      <c r="N1182" s="161"/>
      <c r="O1182" s="106" t="e">
        <f>#REF!</f>
        <v>#REF!</v>
      </c>
      <c r="P1182" s="107" t="e">
        <f>IF(#REF!=0,"",#REF!)</f>
        <v>#REF!</v>
      </c>
      <c r="Q1182" s="111" t="e">
        <f>IF(#REF!=0,"",#REF!)</f>
        <v>#REF!</v>
      </c>
      <c r="R1182" s="85" t="e">
        <f>IF(#REF!=0,"",#REF!)</f>
        <v>#REF!</v>
      </c>
      <c r="S1182" s="85" t="e">
        <f>IF(#REF!=0,"",#REF!)</f>
        <v>#REF!</v>
      </c>
      <c r="T1182" s="268"/>
      <c r="U1182" s="268"/>
      <c r="V1182" s="268"/>
    </row>
    <row r="1183" ht="15" customHeight="1" spans="2:22">
      <c r="B1183" s="6" t="e">
        <f t="shared" si="20"/>
        <v>#REF!</v>
      </c>
      <c r="C1183" s="79" t="e">
        <f>#REF!</f>
        <v>#REF!</v>
      </c>
      <c r="D1183" s="62" t="e">
        <f>IF(#REF!=0,"",#REF!)</f>
        <v>#REF!</v>
      </c>
      <c r="E1183" s="81" t="e">
        <f>IF(#REF!=0,"",#REF!)</f>
        <v>#REF!</v>
      </c>
      <c r="F1183" s="81" t="e">
        <f>IF(#REF!=0,"",#REF!)</f>
        <v>#REF!</v>
      </c>
      <c r="G1183" s="100" t="e">
        <f>#REF!</f>
        <v>#REF!</v>
      </c>
      <c r="H1183" s="159">
        <f>'27'!R1143</f>
        <v>0</v>
      </c>
      <c r="I1183" s="159">
        <f>'27'!S1143</f>
        <v>0</v>
      </c>
      <c r="J1183" s="159"/>
      <c r="K1183" s="101">
        <f>'27'!T1143</f>
        <v>0</v>
      </c>
      <c r="L1183" s="81" t="e">
        <f>#REF!</f>
        <v>#REF!</v>
      </c>
      <c r="M1183" s="100" t="e">
        <f>#REF!</f>
        <v>#REF!</v>
      </c>
      <c r="N1183" s="159"/>
      <c r="O1183" s="101" t="e">
        <f>#REF!</f>
        <v>#REF!</v>
      </c>
      <c r="P1183" s="102" t="e">
        <f>IF(#REF!=0,"",#REF!)</f>
        <v>#REF!</v>
      </c>
      <c r="Q1183" s="108" t="e">
        <f>IF(#REF!=0,"",#REF!)</f>
        <v>#REF!</v>
      </c>
      <c r="R1183" s="81" t="e">
        <f>IF(#REF!=0,"",#REF!)</f>
        <v>#REF!</v>
      </c>
      <c r="S1183" s="81" t="e">
        <f>IF(#REF!=0,"",#REF!)</f>
        <v>#REF!</v>
      </c>
      <c r="T1183" s="268"/>
      <c r="U1183" s="268"/>
      <c r="V1183" s="268"/>
    </row>
    <row r="1184" ht="15" customHeight="1" spans="2:22">
      <c r="B1184" s="6" t="e">
        <f t="shared" si="20"/>
        <v>#REF!</v>
      </c>
      <c r="C1184" s="31" t="e">
        <f>#REF!</f>
        <v>#REF!</v>
      </c>
      <c r="D1184" s="32" t="e">
        <f>IF(#REF!=0,"",#REF!)</f>
        <v>#REF!</v>
      </c>
      <c r="E1184" s="36" t="e">
        <f>IF(#REF!=0,"",#REF!)</f>
        <v>#REF!</v>
      </c>
      <c r="F1184" s="36" t="e">
        <f>IF(#REF!=0,"",#REF!)</f>
        <v>#REF!</v>
      </c>
      <c r="G1184" s="103">
        <f>'27'!Q1144</f>
        <v>0</v>
      </c>
      <c r="H1184" s="160">
        <f>'27'!R1144</f>
        <v>0</v>
      </c>
      <c r="I1184" s="160">
        <f>'27'!S1144</f>
        <v>0</v>
      </c>
      <c r="J1184" s="160"/>
      <c r="K1184" s="104">
        <f>'27'!T1144</f>
        <v>0</v>
      </c>
      <c r="L1184" s="36" t="e">
        <f>#REF!</f>
        <v>#REF!</v>
      </c>
      <c r="M1184" s="103" t="e">
        <f>#REF!</f>
        <v>#REF!</v>
      </c>
      <c r="N1184" s="160"/>
      <c r="O1184" s="104" t="e">
        <f>#REF!</f>
        <v>#REF!</v>
      </c>
      <c r="P1184" s="52" t="e">
        <f>IF(#REF!=0,"",#REF!)</f>
        <v>#REF!</v>
      </c>
      <c r="Q1184" s="109" t="e">
        <f>IF(#REF!=0,"",#REF!)</f>
        <v>#REF!</v>
      </c>
      <c r="R1184" s="36" t="e">
        <f>IF(#REF!=0,"",#REF!)</f>
        <v>#REF!</v>
      </c>
      <c r="S1184" s="36" t="e">
        <f>IF(#REF!=0,"",#REF!)</f>
        <v>#REF!</v>
      </c>
      <c r="T1184" s="268"/>
      <c r="U1184" s="268"/>
      <c r="V1184" s="268"/>
    </row>
    <row r="1185" ht="15" customHeight="1" spans="2:22">
      <c r="B1185" s="6" t="e">
        <f t="shared" si="20"/>
        <v>#REF!</v>
      </c>
      <c r="C1185" s="83" t="e">
        <f>#REF!</f>
        <v>#REF!</v>
      </c>
      <c r="D1185" s="110" t="e">
        <f>IF(#REF!=0,"",#REF!)</f>
        <v>#REF!</v>
      </c>
      <c r="E1185" s="85" t="e">
        <f>IF(#REF!=0,"",#REF!)</f>
        <v>#REF!</v>
      </c>
      <c r="F1185" s="85" t="e">
        <f>IF(#REF!=0,"",#REF!)</f>
        <v>#REF!</v>
      </c>
      <c r="G1185" s="105">
        <f>'27'!Q1145</f>
        <v>0</v>
      </c>
      <c r="H1185" s="161">
        <f>'27'!R1145</f>
        <v>0</v>
      </c>
      <c r="I1185" s="161">
        <f>'27'!S1145</f>
        <v>0</v>
      </c>
      <c r="J1185" s="161"/>
      <c r="K1185" s="106">
        <f>'27'!T1145</f>
        <v>0</v>
      </c>
      <c r="L1185" s="85" t="e">
        <f>#REF!</f>
        <v>#REF!</v>
      </c>
      <c r="M1185" s="105" t="e">
        <f>#REF!</f>
        <v>#REF!</v>
      </c>
      <c r="N1185" s="161"/>
      <c r="O1185" s="106" t="e">
        <f>#REF!</f>
        <v>#REF!</v>
      </c>
      <c r="P1185" s="107" t="e">
        <f>IF(#REF!=0,"",#REF!)</f>
        <v>#REF!</v>
      </c>
      <c r="Q1185" s="111" t="e">
        <f>IF(#REF!=0,"",#REF!)</f>
        <v>#REF!</v>
      </c>
      <c r="R1185" s="85" t="e">
        <f>IF(#REF!=0,"",#REF!)</f>
        <v>#REF!</v>
      </c>
      <c r="S1185" s="85" t="e">
        <f>IF(#REF!=0,"",#REF!)</f>
        <v>#REF!</v>
      </c>
      <c r="T1185" s="268"/>
      <c r="U1185" s="268"/>
      <c r="V1185" s="268"/>
    </row>
    <row r="1186" ht="15" customHeight="1" spans="2:22">
      <c r="B1186" s="6" t="e">
        <f t="shared" si="20"/>
        <v>#REF!</v>
      </c>
      <c r="C1186" s="79" t="e">
        <f>#REF!</f>
        <v>#REF!</v>
      </c>
      <c r="D1186" s="62" t="e">
        <f>IF(#REF!=0,"",#REF!)</f>
        <v>#REF!</v>
      </c>
      <c r="E1186" s="81" t="e">
        <f>IF(#REF!=0,"",#REF!)</f>
        <v>#REF!</v>
      </c>
      <c r="F1186" s="81" t="e">
        <f>IF(#REF!=0,"",#REF!)</f>
        <v>#REF!</v>
      </c>
      <c r="G1186" s="100" t="e">
        <f>#REF!</f>
        <v>#REF!</v>
      </c>
      <c r="H1186" s="159">
        <f>'27'!R1146</f>
        <v>0</v>
      </c>
      <c r="I1186" s="159">
        <f>'27'!S1146</f>
        <v>0</v>
      </c>
      <c r="J1186" s="159"/>
      <c r="K1186" s="101">
        <f>'27'!T1146</f>
        <v>0</v>
      </c>
      <c r="L1186" s="81" t="e">
        <f>#REF!</f>
        <v>#REF!</v>
      </c>
      <c r="M1186" s="100" t="e">
        <f>#REF!</f>
        <v>#REF!</v>
      </c>
      <c r="N1186" s="159"/>
      <c r="O1186" s="101" t="e">
        <f>#REF!</f>
        <v>#REF!</v>
      </c>
      <c r="P1186" s="102" t="e">
        <f>IF(#REF!=0,"",#REF!)</f>
        <v>#REF!</v>
      </c>
      <c r="Q1186" s="108" t="e">
        <f>IF(#REF!=0,"",#REF!)</f>
        <v>#REF!</v>
      </c>
      <c r="R1186" s="81" t="e">
        <f>IF(#REF!=0,"",#REF!)</f>
        <v>#REF!</v>
      </c>
      <c r="S1186" s="81" t="e">
        <f>IF(#REF!=0,"",#REF!)</f>
        <v>#REF!</v>
      </c>
      <c r="T1186" s="268"/>
      <c r="U1186" s="268"/>
      <c r="V1186" s="268"/>
    </row>
    <row r="1187" ht="15" customHeight="1" spans="2:22">
      <c r="B1187" s="6" t="e">
        <f t="shared" si="20"/>
        <v>#REF!</v>
      </c>
      <c r="C1187" s="31" t="e">
        <f>#REF!</f>
        <v>#REF!</v>
      </c>
      <c r="D1187" s="32" t="e">
        <f>IF(#REF!=0,"",#REF!)</f>
        <v>#REF!</v>
      </c>
      <c r="E1187" s="36" t="e">
        <f>IF(#REF!=0,"",#REF!)</f>
        <v>#REF!</v>
      </c>
      <c r="F1187" s="36" t="e">
        <f>IF(#REF!=0,"",#REF!)</f>
        <v>#REF!</v>
      </c>
      <c r="G1187" s="103">
        <f>'27'!Q1147</f>
        <v>0</v>
      </c>
      <c r="H1187" s="160">
        <f>'27'!R1147</f>
        <v>0</v>
      </c>
      <c r="I1187" s="160">
        <f>'27'!S1147</f>
        <v>0</v>
      </c>
      <c r="J1187" s="160"/>
      <c r="K1187" s="104">
        <f>'27'!T1147</f>
        <v>0</v>
      </c>
      <c r="L1187" s="36" t="e">
        <f>#REF!</f>
        <v>#REF!</v>
      </c>
      <c r="M1187" s="103" t="e">
        <f>#REF!</f>
        <v>#REF!</v>
      </c>
      <c r="N1187" s="160"/>
      <c r="O1187" s="104" t="e">
        <f>#REF!</f>
        <v>#REF!</v>
      </c>
      <c r="P1187" s="52" t="e">
        <f>IF(#REF!=0,"",#REF!)</f>
        <v>#REF!</v>
      </c>
      <c r="Q1187" s="109" t="e">
        <f>IF(#REF!=0,"",#REF!)</f>
        <v>#REF!</v>
      </c>
      <c r="R1187" s="36" t="e">
        <f>IF(#REF!=0,"",#REF!)</f>
        <v>#REF!</v>
      </c>
      <c r="S1187" s="36" t="e">
        <f>IF(#REF!=0,"",#REF!)</f>
        <v>#REF!</v>
      </c>
      <c r="T1187" s="268"/>
      <c r="U1187" s="268"/>
      <c r="V1187" s="268"/>
    </row>
    <row r="1188" ht="15" customHeight="1" spans="2:22">
      <c r="B1188" s="6" t="e">
        <f t="shared" si="20"/>
        <v>#REF!</v>
      </c>
      <c r="C1188" s="83" t="e">
        <f>#REF!</f>
        <v>#REF!</v>
      </c>
      <c r="D1188" s="110" t="e">
        <f>IF(#REF!=0,"",#REF!)</f>
        <v>#REF!</v>
      </c>
      <c r="E1188" s="85" t="e">
        <f>IF(#REF!=0,"",#REF!)</f>
        <v>#REF!</v>
      </c>
      <c r="F1188" s="85" t="e">
        <f>IF(#REF!=0,"",#REF!)</f>
        <v>#REF!</v>
      </c>
      <c r="G1188" s="105">
        <f>'27'!Q1148</f>
        <v>0</v>
      </c>
      <c r="H1188" s="161">
        <f>'27'!R1148</f>
        <v>0</v>
      </c>
      <c r="I1188" s="161">
        <f>'27'!S1148</f>
        <v>0</v>
      </c>
      <c r="J1188" s="161"/>
      <c r="K1188" s="106">
        <f>'27'!T1148</f>
        <v>0</v>
      </c>
      <c r="L1188" s="85" t="e">
        <f>#REF!</f>
        <v>#REF!</v>
      </c>
      <c r="M1188" s="105" t="e">
        <f>#REF!</f>
        <v>#REF!</v>
      </c>
      <c r="N1188" s="161"/>
      <c r="O1188" s="106" t="e">
        <f>#REF!</f>
        <v>#REF!</v>
      </c>
      <c r="P1188" s="107" t="e">
        <f>IF(#REF!=0,"",#REF!)</f>
        <v>#REF!</v>
      </c>
      <c r="Q1188" s="111" t="e">
        <f>IF(#REF!=0,"",#REF!)</f>
        <v>#REF!</v>
      </c>
      <c r="R1188" s="85" t="e">
        <f>IF(#REF!=0,"",#REF!)</f>
        <v>#REF!</v>
      </c>
      <c r="S1188" s="85" t="e">
        <f>IF(#REF!=0,"",#REF!)</f>
        <v>#REF!</v>
      </c>
      <c r="T1188" s="268"/>
      <c r="U1188" s="268"/>
      <c r="V1188" s="268"/>
    </row>
    <row r="1189" ht="15" customHeight="1" spans="2:22">
      <c r="B1189" s="6" t="e">
        <f t="shared" ref="B1189:B1245" si="21">COUNTA(C1189)-IF(C1189=0,1)+B1188</f>
        <v>#REF!</v>
      </c>
      <c r="C1189" s="79" t="e">
        <f>#REF!</f>
        <v>#REF!</v>
      </c>
      <c r="D1189" s="62" t="e">
        <f>IF(#REF!=0,"",#REF!)</f>
        <v>#REF!</v>
      </c>
      <c r="E1189" s="81" t="e">
        <f>IF(#REF!=0,"",#REF!)</f>
        <v>#REF!</v>
      </c>
      <c r="F1189" s="81" t="e">
        <f>IF(#REF!=0,"",#REF!)</f>
        <v>#REF!</v>
      </c>
      <c r="G1189" s="100" t="e">
        <f>#REF!</f>
        <v>#REF!</v>
      </c>
      <c r="H1189" s="159">
        <f>'27'!R1149</f>
        <v>0</v>
      </c>
      <c r="I1189" s="159">
        <f>'27'!S1149</f>
        <v>0</v>
      </c>
      <c r="J1189" s="159"/>
      <c r="K1189" s="101">
        <f>'27'!T1149</f>
        <v>0</v>
      </c>
      <c r="L1189" s="81" t="e">
        <f>#REF!</f>
        <v>#REF!</v>
      </c>
      <c r="M1189" s="100" t="e">
        <f>#REF!</f>
        <v>#REF!</v>
      </c>
      <c r="N1189" s="159"/>
      <c r="O1189" s="101" t="e">
        <f>#REF!</f>
        <v>#REF!</v>
      </c>
      <c r="P1189" s="102" t="e">
        <f>IF(#REF!=0,"",#REF!)</f>
        <v>#REF!</v>
      </c>
      <c r="Q1189" s="108" t="e">
        <f>IF(#REF!=0,"",#REF!)</f>
        <v>#REF!</v>
      </c>
      <c r="R1189" s="81" t="e">
        <f>IF(#REF!=0,"",#REF!)</f>
        <v>#REF!</v>
      </c>
      <c r="S1189" s="81" t="e">
        <f>IF(#REF!=0,"",#REF!)</f>
        <v>#REF!</v>
      </c>
      <c r="T1189" s="268"/>
      <c r="U1189" s="268"/>
      <c r="V1189" s="268"/>
    </row>
    <row r="1190" ht="15" customHeight="1" spans="2:22">
      <c r="B1190" s="6" t="e">
        <f t="shared" si="21"/>
        <v>#REF!</v>
      </c>
      <c r="C1190" s="31" t="e">
        <f>#REF!</f>
        <v>#REF!</v>
      </c>
      <c r="D1190" s="32" t="e">
        <f>IF(#REF!=0,"",#REF!)</f>
        <v>#REF!</v>
      </c>
      <c r="E1190" s="36" t="e">
        <f>IF(#REF!=0,"",#REF!)</f>
        <v>#REF!</v>
      </c>
      <c r="F1190" s="36" t="e">
        <f>IF(#REF!=0,"",#REF!)</f>
        <v>#REF!</v>
      </c>
      <c r="G1190" s="103">
        <f>'27'!Q1150</f>
        <v>0</v>
      </c>
      <c r="H1190" s="160">
        <f>'27'!R1150</f>
        <v>0</v>
      </c>
      <c r="I1190" s="160">
        <f>'27'!S1150</f>
        <v>0</v>
      </c>
      <c r="J1190" s="160"/>
      <c r="K1190" s="104">
        <f>'27'!T1150</f>
        <v>0</v>
      </c>
      <c r="L1190" s="36" t="e">
        <f>#REF!</f>
        <v>#REF!</v>
      </c>
      <c r="M1190" s="103" t="e">
        <f>#REF!</f>
        <v>#REF!</v>
      </c>
      <c r="N1190" s="160"/>
      <c r="O1190" s="104" t="e">
        <f>#REF!</f>
        <v>#REF!</v>
      </c>
      <c r="P1190" s="52" t="e">
        <f>IF(#REF!=0,"",#REF!)</f>
        <v>#REF!</v>
      </c>
      <c r="Q1190" s="109" t="e">
        <f>IF(#REF!=0,"",#REF!)</f>
        <v>#REF!</v>
      </c>
      <c r="R1190" s="36" t="e">
        <f>IF(#REF!=0,"",#REF!)</f>
        <v>#REF!</v>
      </c>
      <c r="S1190" s="36" t="e">
        <f>IF(#REF!=0,"",#REF!)</f>
        <v>#REF!</v>
      </c>
      <c r="T1190" s="268"/>
      <c r="U1190" s="268"/>
      <c r="V1190" s="268"/>
    </row>
    <row r="1191" ht="15" customHeight="1" spans="2:22">
      <c r="B1191" s="6" t="e">
        <f t="shared" si="21"/>
        <v>#REF!</v>
      </c>
      <c r="C1191" s="83" t="e">
        <f>#REF!</f>
        <v>#REF!</v>
      </c>
      <c r="D1191" s="110" t="e">
        <f>IF(#REF!=0,"",#REF!)</f>
        <v>#REF!</v>
      </c>
      <c r="E1191" s="85" t="e">
        <f>IF(#REF!=0,"",#REF!)</f>
        <v>#REF!</v>
      </c>
      <c r="F1191" s="85" t="e">
        <f>IF(#REF!=0,"",#REF!)</f>
        <v>#REF!</v>
      </c>
      <c r="G1191" s="105">
        <f>'27'!Q1151</f>
        <v>0</v>
      </c>
      <c r="H1191" s="161">
        <f>'27'!R1151</f>
        <v>0</v>
      </c>
      <c r="I1191" s="161">
        <f>'27'!S1151</f>
        <v>0</v>
      </c>
      <c r="J1191" s="161"/>
      <c r="K1191" s="106">
        <f>'27'!T1151</f>
        <v>0</v>
      </c>
      <c r="L1191" s="85" t="e">
        <f>#REF!</f>
        <v>#REF!</v>
      </c>
      <c r="M1191" s="105" t="e">
        <f>#REF!</f>
        <v>#REF!</v>
      </c>
      <c r="N1191" s="161"/>
      <c r="O1191" s="106" t="e">
        <f>#REF!</f>
        <v>#REF!</v>
      </c>
      <c r="P1191" s="107" t="e">
        <f>IF(#REF!=0,"",#REF!)</f>
        <v>#REF!</v>
      </c>
      <c r="Q1191" s="111" t="e">
        <f>IF(#REF!=0,"",#REF!)</f>
        <v>#REF!</v>
      </c>
      <c r="R1191" s="85" t="e">
        <f>IF(#REF!=0,"",#REF!)</f>
        <v>#REF!</v>
      </c>
      <c r="S1191" s="85" t="e">
        <f>IF(#REF!=0,"",#REF!)</f>
        <v>#REF!</v>
      </c>
      <c r="T1191" s="268"/>
      <c r="U1191" s="268"/>
      <c r="V1191" s="268"/>
    </row>
    <row r="1192" ht="15" customHeight="1" spans="2:22">
      <c r="B1192" s="6" t="e">
        <f t="shared" si="21"/>
        <v>#REF!</v>
      </c>
      <c r="C1192" s="79" t="e">
        <f>#REF!</f>
        <v>#REF!</v>
      </c>
      <c r="D1192" s="62" t="e">
        <f>IF(#REF!=0,"",#REF!)</f>
        <v>#REF!</v>
      </c>
      <c r="E1192" s="81" t="e">
        <f>IF(#REF!=0,"",#REF!)</f>
        <v>#REF!</v>
      </c>
      <c r="F1192" s="81" t="e">
        <f>IF(#REF!=0,"",#REF!)</f>
        <v>#REF!</v>
      </c>
      <c r="G1192" s="100" t="e">
        <f>#REF!</f>
        <v>#REF!</v>
      </c>
      <c r="H1192" s="159">
        <f>'27'!R1152</f>
        <v>0</v>
      </c>
      <c r="I1192" s="159">
        <f>'27'!S1152</f>
        <v>0</v>
      </c>
      <c r="J1192" s="159"/>
      <c r="K1192" s="101">
        <f>'27'!T1152</f>
        <v>0</v>
      </c>
      <c r="L1192" s="81" t="e">
        <f>#REF!</f>
        <v>#REF!</v>
      </c>
      <c r="M1192" s="100" t="e">
        <f>#REF!</f>
        <v>#REF!</v>
      </c>
      <c r="N1192" s="159"/>
      <c r="O1192" s="101" t="e">
        <f>#REF!</f>
        <v>#REF!</v>
      </c>
      <c r="P1192" s="102" t="e">
        <f>IF(#REF!=0,"",#REF!)</f>
        <v>#REF!</v>
      </c>
      <c r="Q1192" s="108" t="e">
        <f>IF(#REF!=0,"",#REF!)</f>
        <v>#REF!</v>
      </c>
      <c r="R1192" s="81" t="e">
        <f>IF(#REF!=0,"",#REF!)</f>
        <v>#REF!</v>
      </c>
      <c r="S1192" s="81" t="e">
        <f>IF(#REF!=0,"",#REF!)</f>
        <v>#REF!</v>
      </c>
      <c r="T1192" s="268"/>
      <c r="U1192" s="268"/>
      <c r="V1192" s="268"/>
    </row>
    <row r="1193" ht="15" customHeight="1" spans="2:22">
      <c r="B1193" s="6" t="e">
        <f t="shared" si="21"/>
        <v>#REF!</v>
      </c>
      <c r="C1193" s="31" t="e">
        <f>#REF!</f>
        <v>#REF!</v>
      </c>
      <c r="D1193" s="32" t="e">
        <f>IF(#REF!=0,"",#REF!)</f>
        <v>#REF!</v>
      </c>
      <c r="E1193" s="36" t="e">
        <f>IF(#REF!=0,"",#REF!)</f>
        <v>#REF!</v>
      </c>
      <c r="F1193" s="36" t="e">
        <f>IF(#REF!=0,"",#REF!)</f>
        <v>#REF!</v>
      </c>
      <c r="G1193" s="103">
        <f>'27'!Q1153</f>
        <v>0</v>
      </c>
      <c r="H1193" s="160">
        <f>'27'!R1153</f>
        <v>0</v>
      </c>
      <c r="I1193" s="160">
        <f>'27'!S1153</f>
        <v>0</v>
      </c>
      <c r="J1193" s="160"/>
      <c r="K1193" s="104">
        <f>'27'!T1153</f>
        <v>0</v>
      </c>
      <c r="L1193" s="36" t="e">
        <f>#REF!</f>
        <v>#REF!</v>
      </c>
      <c r="M1193" s="103" t="e">
        <f>#REF!</f>
        <v>#REF!</v>
      </c>
      <c r="N1193" s="160"/>
      <c r="O1193" s="104" t="e">
        <f>#REF!</f>
        <v>#REF!</v>
      </c>
      <c r="P1193" s="52" t="e">
        <f>IF(#REF!=0,"",#REF!)</f>
        <v>#REF!</v>
      </c>
      <c r="Q1193" s="109" t="e">
        <f>IF(#REF!=0,"",#REF!)</f>
        <v>#REF!</v>
      </c>
      <c r="R1193" s="36" t="e">
        <f>IF(#REF!=0,"",#REF!)</f>
        <v>#REF!</v>
      </c>
      <c r="S1193" s="36" t="e">
        <f>IF(#REF!=0,"",#REF!)</f>
        <v>#REF!</v>
      </c>
      <c r="T1193" s="268"/>
      <c r="U1193" s="268"/>
      <c r="V1193" s="268"/>
    </row>
    <row r="1194" ht="15" customHeight="1" spans="2:22">
      <c r="B1194" s="6" t="e">
        <f t="shared" si="21"/>
        <v>#REF!</v>
      </c>
      <c r="C1194" s="83" t="e">
        <f>#REF!</f>
        <v>#REF!</v>
      </c>
      <c r="D1194" s="110" t="e">
        <f>IF(#REF!=0,"",#REF!)</f>
        <v>#REF!</v>
      </c>
      <c r="E1194" s="85" t="e">
        <f>IF(#REF!=0,"",#REF!)</f>
        <v>#REF!</v>
      </c>
      <c r="F1194" s="85" t="e">
        <f>IF(#REF!=0,"",#REF!)</f>
        <v>#REF!</v>
      </c>
      <c r="G1194" s="105">
        <f>'27'!Q1154</f>
        <v>0</v>
      </c>
      <c r="H1194" s="161">
        <f>'27'!R1154</f>
        <v>0</v>
      </c>
      <c r="I1194" s="161">
        <f>'27'!S1154</f>
        <v>0</v>
      </c>
      <c r="J1194" s="161"/>
      <c r="K1194" s="106">
        <f>'27'!T1154</f>
        <v>0</v>
      </c>
      <c r="L1194" s="85" t="e">
        <f>#REF!</f>
        <v>#REF!</v>
      </c>
      <c r="M1194" s="105" t="e">
        <f>#REF!</f>
        <v>#REF!</v>
      </c>
      <c r="N1194" s="161"/>
      <c r="O1194" s="106" t="e">
        <f>#REF!</f>
        <v>#REF!</v>
      </c>
      <c r="P1194" s="107" t="e">
        <f>IF(#REF!=0,"",#REF!)</f>
        <v>#REF!</v>
      </c>
      <c r="Q1194" s="111" t="e">
        <f>IF(#REF!=0,"",#REF!)</f>
        <v>#REF!</v>
      </c>
      <c r="R1194" s="85" t="e">
        <f>IF(#REF!=0,"",#REF!)</f>
        <v>#REF!</v>
      </c>
      <c r="S1194" s="85" t="e">
        <f>IF(#REF!=0,"",#REF!)</f>
        <v>#REF!</v>
      </c>
      <c r="T1194" s="268"/>
      <c r="U1194" s="268"/>
      <c r="V1194" s="268"/>
    </row>
    <row r="1195" ht="15" customHeight="1" spans="2:22">
      <c r="B1195" s="6" t="e">
        <f t="shared" si="21"/>
        <v>#REF!</v>
      </c>
      <c r="C1195" s="79" t="e">
        <f>#REF!</f>
        <v>#REF!</v>
      </c>
      <c r="D1195" s="62" t="e">
        <f>IF(#REF!=0,"",#REF!)</f>
        <v>#REF!</v>
      </c>
      <c r="E1195" s="81" t="e">
        <f>IF(#REF!=0,"",#REF!)</f>
        <v>#REF!</v>
      </c>
      <c r="F1195" s="81" t="e">
        <f>IF(#REF!=0,"",#REF!)</f>
        <v>#REF!</v>
      </c>
      <c r="G1195" s="100" t="e">
        <f>#REF!</f>
        <v>#REF!</v>
      </c>
      <c r="H1195" s="159">
        <f>'27'!R1155</f>
        <v>0</v>
      </c>
      <c r="I1195" s="159">
        <f>'27'!S1155</f>
        <v>0</v>
      </c>
      <c r="J1195" s="159"/>
      <c r="K1195" s="101">
        <f>'27'!T1155</f>
        <v>0</v>
      </c>
      <c r="L1195" s="81" t="e">
        <f>#REF!</f>
        <v>#REF!</v>
      </c>
      <c r="M1195" s="100" t="e">
        <f>#REF!</f>
        <v>#REF!</v>
      </c>
      <c r="N1195" s="159"/>
      <c r="O1195" s="101" t="e">
        <f>#REF!</f>
        <v>#REF!</v>
      </c>
      <c r="P1195" s="102" t="e">
        <f>IF(#REF!=0,"",#REF!)</f>
        <v>#REF!</v>
      </c>
      <c r="Q1195" s="108" t="e">
        <f>IF(#REF!=0,"",#REF!)</f>
        <v>#REF!</v>
      </c>
      <c r="R1195" s="81" t="e">
        <f>IF(#REF!=0,"",#REF!)</f>
        <v>#REF!</v>
      </c>
      <c r="S1195" s="81" t="e">
        <f>IF(#REF!=0,"",#REF!)</f>
        <v>#REF!</v>
      </c>
      <c r="T1195" s="268"/>
      <c r="U1195" s="268"/>
      <c r="V1195" s="268"/>
    </row>
    <row r="1196" ht="15" customHeight="1" spans="2:22">
      <c r="B1196" s="6" t="e">
        <f t="shared" si="21"/>
        <v>#REF!</v>
      </c>
      <c r="C1196" s="31" t="e">
        <f>#REF!</f>
        <v>#REF!</v>
      </c>
      <c r="D1196" s="32" t="e">
        <f>IF(#REF!=0,"",#REF!)</f>
        <v>#REF!</v>
      </c>
      <c r="E1196" s="36" t="e">
        <f>IF(#REF!=0,"",#REF!)</f>
        <v>#REF!</v>
      </c>
      <c r="F1196" s="36" t="e">
        <f>IF(#REF!=0,"",#REF!)</f>
        <v>#REF!</v>
      </c>
      <c r="G1196" s="103">
        <f>'27'!Q1156</f>
        <v>0</v>
      </c>
      <c r="H1196" s="160">
        <f>'27'!R1156</f>
        <v>0</v>
      </c>
      <c r="I1196" s="160">
        <f>'27'!S1156</f>
        <v>0</v>
      </c>
      <c r="J1196" s="160"/>
      <c r="K1196" s="104">
        <f>'27'!T1156</f>
        <v>0</v>
      </c>
      <c r="L1196" s="36" t="e">
        <f>#REF!</f>
        <v>#REF!</v>
      </c>
      <c r="M1196" s="103" t="e">
        <f>#REF!</f>
        <v>#REF!</v>
      </c>
      <c r="N1196" s="160"/>
      <c r="O1196" s="104" t="e">
        <f>#REF!</f>
        <v>#REF!</v>
      </c>
      <c r="P1196" s="52" t="e">
        <f>IF(#REF!=0,"",#REF!)</f>
        <v>#REF!</v>
      </c>
      <c r="Q1196" s="109" t="e">
        <f>IF(#REF!=0,"",#REF!)</f>
        <v>#REF!</v>
      </c>
      <c r="R1196" s="36" t="e">
        <f>IF(#REF!=0,"",#REF!)</f>
        <v>#REF!</v>
      </c>
      <c r="S1196" s="36" t="e">
        <f>IF(#REF!=0,"",#REF!)</f>
        <v>#REF!</v>
      </c>
      <c r="T1196" s="268"/>
      <c r="U1196" s="268"/>
      <c r="V1196" s="268"/>
    </row>
    <row r="1197" ht="15" customHeight="1" spans="2:22">
      <c r="B1197" s="6" t="e">
        <f t="shared" si="21"/>
        <v>#REF!</v>
      </c>
      <c r="C1197" s="83" t="e">
        <f>#REF!</f>
        <v>#REF!</v>
      </c>
      <c r="D1197" s="110" t="e">
        <f>IF(#REF!=0,"",#REF!)</f>
        <v>#REF!</v>
      </c>
      <c r="E1197" s="85" t="e">
        <f>IF(#REF!=0,"",#REF!)</f>
        <v>#REF!</v>
      </c>
      <c r="F1197" s="85" t="e">
        <f>IF(#REF!=0,"",#REF!)</f>
        <v>#REF!</v>
      </c>
      <c r="G1197" s="105">
        <f>'27'!Q1157</f>
        <v>0</v>
      </c>
      <c r="H1197" s="161">
        <f>'27'!R1157</f>
        <v>0</v>
      </c>
      <c r="I1197" s="161">
        <f>'27'!S1157</f>
        <v>0</v>
      </c>
      <c r="J1197" s="161"/>
      <c r="K1197" s="106">
        <f>'27'!T1157</f>
        <v>0</v>
      </c>
      <c r="L1197" s="85" t="e">
        <f>#REF!</f>
        <v>#REF!</v>
      </c>
      <c r="M1197" s="105" t="e">
        <f>#REF!</f>
        <v>#REF!</v>
      </c>
      <c r="N1197" s="161"/>
      <c r="O1197" s="106" t="e">
        <f>#REF!</f>
        <v>#REF!</v>
      </c>
      <c r="P1197" s="107" t="e">
        <f>IF(#REF!=0,"",#REF!)</f>
        <v>#REF!</v>
      </c>
      <c r="Q1197" s="111" t="e">
        <f>IF(#REF!=0,"",#REF!)</f>
        <v>#REF!</v>
      </c>
      <c r="R1197" s="85" t="e">
        <f>IF(#REF!=0,"",#REF!)</f>
        <v>#REF!</v>
      </c>
      <c r="S1197" s="85" t="e">
        <f>IF(#REF!=0,"",#REF!)</f>
        <v>#REF!</v>
      </c>
      <c r="T1197" s="268"/>
      <c r="U1197" s="268"/>
      <c r="V1197" s="268"/>
    </row>
    <row r="1198" ht="15" customHeight="1" spans="2:22">
      <c r="B1198" s="6" t="e">
        <f t="shared" si="21"/>
        <v>#REF!</v>
      </c>
      <c r="C1198" s="79" t="e">
        <f>#REF!</f>
        <v>#REF!</v>
      </c>
      <c r="D1198" s="62" t="e">
        <f>IF(#REF!=0,"",#REF!)</f>
        <v>#REF!</v>
      </c>
      <c r="E1198" s="81" t="e">
        <f>IF(#REF!=0,"",#REF!)</f>
        <v>#REF!</v>
      </c>
      <c r="F1198" s="81" t="e">
        <f>IF(#REF!=0,"",#REF!)</f>
        <v>#REF!</v>
      </c>
      <c r="G1198" s="100" t="e">
        <f>#REF!</f>
        <v>#REF!</v>
      </c>
      <c r="H1198" s="159">
        <f>'27'!R1158</f>
        <v>0</v>
      </c>
      <c r="I1198" s="159">
        <f>'27'!S1158</f>
        <v>0</v>
      </c>
      <c r="J1198" s="159"/>
      <c r="K1198" s="101">
        <f>'27'!T1158</f>
        <v>0</v>
      </c>
      <c r="L1198" s="81" t="e">
        <f>#REF!</f>
        <v>#REF!</v>
      </c>
      <c r="M1198" s="100" t="e">
        <f>#REF!</f>
        <v>#REF!</v>
      </c>
      <c r="N1198" s="159"/>
      <c r="O1198" s="101" t="e">
        <f>#REF!</f>
        <v>#REF!</v>
      </c>
      <c r="P1198" s="102" t="e">
        <f>IF(#REF!=0,"",#REF!)</f>
        <v>#REF!</v>
      </c>
      <c r="Q1198" s="108" t="e">
        <f>IF(#REF!=0,"",#REF!)</f>
        <v>#REF!</v>
      </c>
      <c r="R1198" s="81" t="e">
        <f>IF(#REF!=0,"",#REF!)</f>
        <v>#REF!</v>
      </c>
      <c r="S1198" s="81" t="e">
        <f>IF(#REF!=0,"",#REF!)</f>
        <v>#REF!</v>
      </c>
      <c r="T1198" s="268"/>
      <c r="U1198" s="268"/>
      <c r="V1198" s="268"/>
    </row>
    <row r="1199" ht="15" customHeight="1" spans="2:22">
      <c r="B1199" s="6" t="e">
        <f t="shared" si="21"/>
        <v>#REF!</v>
      </c>
      <c r="C1199" s="31" t="e">
        <f>#REF!</f>
        <v>#REF!</v>
      </c>
      <c r="D1199" s="32" t="e">
        <f>IF(#REF!=0,"",#REF!)</f>
        <v>#REF!</v>
      </c>
      <c r="E1199" s="36" t="e">
        <f>IF(#REF!=0,"",#REF!)</f>
        <v>#REF!</v>
      </c>
      <c r="F1199" s="36" t="e">
        <f>IF(#REF!=0,"",#REF!)</f>
        <v>#REF!</v>
      </c>
      <c r="G1199" s="103">
        <f>'27'!Q1159</f>
        <v>0</v>
      </c>
      <c r="H1199" s="160">
        <f>'27'!R1159</f>
        <v>0</v>
      </c>
      <c r="I1199" s="160">
        <f>'27'!S1159</f>
        <v>0</v>
      </c>
      <c r="J1199" s="160"/>
      <c r="K1199" s="104">
        <f>'27'!T1159</f>
        <v>0</v>
      </c>
      <c r="L1199" s="36" t="e">
        <f>#REF!</f>
        <v>#REF!</v>
      </c>
      <c r="M1199" s="103" t="e">
        <f>#REF!</f>
        <v>#REF!</v>
      </c>
      <c r="N1199" s="160"/>
      <c r="O1199" s="104" t="e">
        <f>#REF!</f>
        <v>#REF!</v>
      </c>
      <c r="P1199" s="52" t="e">
        <f>IF(#REF!=0,"",#REF!)</f>
        <v>#REF!</v>
      </c>
      <c r="Q1199" s="109" t="e">
        <f>IF(#REF!=0,"",#REF!)</f>
        <v>#REF!</v>
      </c>
      <c r="R1199" s="36" t="e">
        <f>IF(#REF!=0,"",#REF!)</f>
        <v>#REF!</v>
      </c>
      <c r="S1199" s="36" t="e">
        <f>IF(#REF!=0,"",#REF!)</f>
        <v>#REF!</v>
      </c>
      <c r="T1199" s="268"/>
      <c r="U1199" s="268"/>
      <c r="V1199" s="268"/>
    </row>
    <row r="1200" ht="15" customHeight="1" spans="2:22">
      <c r="B1200" s="6" t="e">
        <f t="shared" si="21"/>
        <v>#REF!</v>
      </c>
      <c r="C1200" s="83" t="e">
        <f>#REF!</f>
        <v>#REF!</v>
      </c>
      <c r="D1200" s="110" t="e">
        <f>IF(#REF!=0,"",#REF!)</f>
        <v>#REF!</v>
      </c>
      <c r="E1200" s="85" t="e">
        <f>IF(#REF!=0,"",#REF!)</f>
        <v>#REF!</v>
      </c>
      <c r="F1200" s="85" t="e">
        <f>IF(#REF!=0,"",#REF!)</f>
        <v>#REF!</v>
      </c>
      <c r="G1200" s="105">
        <f>'27'!Q1160</f>
        <v>0</v>
      </c>
      <c r="H1200" s="161">
        <f>'27'!R1160</f>
        <v>0</v>
      </c>
      <c r="I1200" s="161">
        <f>'27'!S1160</f>
        <v>0</v>
      </c>
      <c r="J1200" s="161"/>
      <c r="K1200" s="106">
        <f>'27'!T1160</f>
        <v>0</v>
      </c>
      <c r="L1200" s="85" t="e">
        <f>#REF!</f>
        <v>#REF!</v>
      </c>
      <c r="M1200" s="105" t="e">
        <f>#REF!</f>
        <v>#REF!</v>
      </c>
      <c r="N1200" s="161"/>
      <c r="O1200" s="106" t="e">
        <f>#REF!</f>
        <v>#REF!</v>
      </c>
      <c r="P1200" s="107" t="e">
        <f>IF(#REF!=0,"",#REF!)</f>
        <v>#REF!</v>
      </c>
      <c r="Q1200" s="111" t="e">
        <f>IF(#REF!=0,"",#REF!)</f>
        <v>#REF!</v>
      </c>
      <c r="R1200" s="85" t="e">
        <f>IF(#REF!=0,"",#REF!)</f>
        <v>#REF!</v>
      </c>
      <c r="S1200" s="85" t="e">
        <f>IF(#REF!=0,"",#REF!)</f>
        <v>#REF!</v>
      </c>
      <c r="T1200" s="268"/>
      <c r="U1200" s="268"/>
      <c r="V1200" s="268"/>
    </row>
    <row r="1201" ht="15" customHeight="1" spans="2:22">
      <c r="B1201" s="6" t="e">
        <f t="shared" si="21"/>
        <v>#REF!</v>
      </c>
      <c r="C1201" s="79" t="e">
        <f>#REF!</f>
        <v>#REF!</v>
      </c>
      <c r="D1201" s="62" t="e">
        <f>IF(#REF!=0,"",#REF!)</f>
        <v>#REF!</v>
      </c>
      <c r="E1201" s="81" t="e">
        <f>IF(#REF!=0,"",#REF!)</f>
        <v>#REF!</v>
      </c>
      <c r="F1201" s="81" t="e">
        <f>IF(#REF!=0,"",#REF!)</f>
        <v>#REF!</v>
      </c>
      <c r="G1201" s="100" t="e">
        <f>#REF!</f>
        <v>#REF!</v>
      </c>
      <c r="H1201" s="159">
        <f>'27'!R1161</f>
        <v>0</v>
      </c>
      <c r="I1201" s="159">
        <f>'27'!S1161</f>
        <v>0</v>
      </c>
      <c r="J1201" s="159"/>
      <c r="K1201" s="101">
        <f>'27'!T1161</f>
        <v>0</v>
      </c>
      <c r="L1201" s="81" t="e">
        <f>#REF!</f>
        <v>#REF!</v>
      </c>
      <c r="M1201" s="100" t="e">
        <f>#REF!</f>
        <v>#REF!</v>
      </c>
      <c r="N1201" s="159"/>
      <c r="O1201" s="101" t="e">
        <f>#REF!</f>
        <v>#REF!</v>
      </c>
      <c r="P1201" s="102" t="e">
        <f>IF(#REF!=0,"",#REF!)</f>
        <v>#REF!</v>
      </c>
      <c r="Q1201" s="108" t="e">
        <f>IF(#REF!=0,"",#REF!)</f>
        <v>#REF!</v>
      </c>
      <c r="R1201" s="81" t="e">
        <f>IF(#REF!=0,"",#REF!)</f>
        <v>#REF!</v>
      </c>
      <c r="S1201" s="81" t="e">
        <f>IF(#REF!=0,"",#REF!)</f>
        <v>#REF!</v>
      </c>
      <c r="T1201" s="268"/>
      <c r="U1201" s="268"/>
      <c r="V1201" s="268"/>
    </row>
    <row r="1202" ht="15" customHeight="1" spans="2:22">
      <c r="B1202" s="6" t="e">
        <f t="shared" si="21"/>
        <v>#REF!</v>
      </c>
      <c r="C1202" s="31" t="e">
        <f>#REF!</f>
        <v>#REF!</v>
      </c>
      <c r="D1202" s="32" t="e">
        <f>IF(#REF!=0,"",#REF!)</f>
        <v>#REF!</v>
      </c>
      <c r="E1202" s="36" t="e">
        <f>IF(#REF!=0,"",#REF!)</f>
        <v>#REF!</v>
      </c>
      <c r="F1202" s="36" t="e">
        <f>IF(#REF!=0,"",#REF!)</f>
        <v>#REF!</v>
      </c>
      <c r="G1202" s="103">
        <f>'27'!Q1162</f>
        <v>0</v>
      </c>
      <c r="H1202" s="160">
        <f>'27'!R1162</f>
        <v>0</v>
      </c>
      <c r="I1202" s="160">
        <f>'27'!S1162</f>
        <v>0</v>
      </c>
      <c r="J1202" s="160"/>
      <c r="K1202" s="104">
        <f>'27'!T1162</f>
        <v>0</v>
      </c>
      <c r="L1202" s="36" t="e">
        <f>#REF!</f>
        <v>#REF!</v>
      </c>
      <c r="M1202" s="103" t="e">
        <f>#REF!</f>
        <v>#REF!</v>
      </c>
      <c r="N1202" s="160"/>
      <c r="O1202" s="104" t="e">
        <f>#REF!</f>
        <v>#REF!</v>
      </c>
      <c r="P1202" s="52" t="e">
        <f>IF(#REF!=0,"",#REF!)</f>
        <v>#REF!</v>
      </c>
      <c r="Q1202" s="109" t="e">
        <f>IF(#REF!=0,"",#REF!)</f>
        <v>#REF!</v>
      </c>
      <c r="R1202" s="36" t="e">
        <f>IF(#REF!=0,"",#REF!)</f>
        <v>#REF!</v>
      </c>
      <c r="S1202" s="36" t="e">
        <f>IF(#REF!=0,"",#REF!)</f>
        <v>#REF!</v>
      </c>
      <c r="T1202" s="268"/>
      <c r="U1202" s="268"/>
      <c r="V1202" s="268"/>
    </row>
    <row r="1203" ht="15" customHeight="1" spans="2:22">
      <c r="B1203" s="6" t="e">
        <f t="shared" si="21"/>
        <v>#REF!</v>
      </c>
      <c r="C1203" s="83" t="e">
        <f>#REF!</f>
        <v>#REF!</v>
      </c>
      <c r="D1203" s="110" t="e">
        <f>IF(#REF!=0,"",#REF!)</f>
        <v>#REF!</v>
      </c>
      <c r="E1203" s="85" t="e">
        <f>IF(#REF!=0,"",#REF!)</f>
        <v>#REF!</v>
      </c>
      <c r="F1203" s="85" t="e">
        <f>IF(#REF!=0,"",#REF!)</f>
        <v>#REF!</v>
      </c>
      <c r="G1203" s="105">
        <f>'27'!Q1163</f>
        <v>0</v>
      </c>
      <c r="H1203" s="161">
        <f>'27'!R1163</f>
        <v>0</v>
      </c>
      <c r="I1203" s="161">
        <f>'27'!S1163</f>
        <v>0</v>
      </c>
      <c r="J1203" s="161"/>
      <c r="K1203" s="106">
        <f>'27'!T1163</f>
        <v>0</v>
      </c>
      <c r="L1203" s="85" t="e">
        <f>#REF!</f>
        <v>#REF!</v>
      </c>
      <c r="M1203" s="105" t="e">
        <f>#REF!</f>
        <v>#REF!</v>
      </c>
      <c r="N1203" s="161"/>
      <c r="O1203" s="106" t="e">
        <f>#REF!</f>
        <v>#REF!</v>
      </c>
      <c r="P1203" s="107" t="e">
        <f>IF(#REF!=0,"",#REF!)</f>
        <v>#REF!</v>
      </c>
      <c r="Q1203" s="111" t="e">
        <f>IF(#REF!=0,"",#REF!)</f>
        <v>#REF!</v>
      </c>
      <c r="R1203" s="85" t="e">
        <f>IF(#REF!=0,"",#REF!)</f>
        <v>#REF!</v>
      </c>
      <c r="S1203" s="85" t="e">
        <f>IF(#REF!=0,"",#REF!)</f>
        <v>#REF!</v>
      </c>
      <c r="T1203" s="268"/>
      <c r="U1203" s="268"/>
      <c r="V1203" s="268"/>
    </row>
    <row r="1204" ht="15" customHeight="1" spans="2:22">
      <c r="B1204" s="6" t="e">
        <f t="shared" si="21"/>
        <v>#REF!</v>
      </c>
      <c r="C1204" s="79" t="e">
        <f>#REF!</f>
        <v>#REF!</v>
      </c>
      <c r="D1204" s="62" t="e">
        <f>IF(#REF!=0,"",#REF!)</f>
        <v>#REF!</v>
      </c>
      <c r="E1204" s="81" t="e">
        <f>IF(#REF!=0,"",#REF!)</f>
        <v>#REF!</v>
      </c>
      <c r="F1204" s="81" t="e">
        <f>IF(#REF!=0,"",#REF!)</f>
        <v>#REF!</v>
      </c>
      <c r="G1204" s="100" t="e">
        <f>#REF!</f>
        <v>#REF!</v>
      </c>
      <c r="H1204" s="159">
        <f>'27'!R1164</f>
        <v>0</v>
      </c>
      <c r="I1204" s="159">
        <f>'27'!S1164</f>
        <v>0</v>
      </c>
      <c r="J1204" s="159"/>
      <c r="K1204" s="101">
        <f>'27'!T1164</f>
        <v>0</v>
      </c>
      <c r="L1204" s="81" t="e">
        <f>#REF!</f>
        <v>#REF!</v>
      </c>
      <c r="M1204" s="100" t="e">
        <f>#REF!</f>
        <v>#REF!</v>
      </c>
      <c r="N1204" s="159"/>
      <c r="O1204" s="101" t="e">
        <f>#REF!</f>
        <v>#REF!</v>
      </c>
      <c r="P1204" s="102" t="e">
        <f>IF(#REF!=0,"",#REF!)</f>
        <v>#REF!</v>
      </c>
      <c r="Q1204" s="108" t="e">
        <f>IF(#REF!=0,"",#REF!)</f>
        <v>#REF!</v>
      </c>
      <c r="R1204" s="81" t="e">
        <f>IF(#REF!=0,"",#REF!)</f>
        <v>#REF!</v>
      </c>
      <c r="S1204" s="81" t="e">
        <f>IF(#REF!=0,"",#REF!)</f>
        <v>#REF!</v>
      </c>
      <c r="T1204" s="268"/>
      <c r="U1204" s="268"/>
      <c r="V1204" s="268"/>
    </row>
    <row r="1205" ht="15" customHeight="1" spans="2:22">
      <c r="B1205" s="6" t="e">
        <f t="shared" si="21"/>
        <v>#REF!</v>
      </c>
      <c r="C1205" s="31" t="e">
        <f>#REF!</f>
        <v>#REF!</v>
      </c>
      <c r="D1205" s="32" t="e">
        <f>IF(#REF!=0,"",#REF!)</f>
        <v>#REF!</v>
      </c>
      <c r="E1205" s="36" t="e">
        <f>IF(#REF!=0,"",#REF!)</f>
        <v>#REF!</v>
      </c>
      <c r="F1205" s="36" t="e">
        <f>IF(#REF!=0,"",#REF!)</f>
        <v>#REF!</v>
      </c>
      <c r="G1205" s="103">
        <f>'27'!Q1165</f>
        <v>0</v>
      </c>
      <c r="H1205" s="160">
        <f>'27'!R1165</f>
        <v>0</v>
      </c>
      <c r="I1205" s="160">
        <f>'27'!S1165</f>
        <v>0</v>
      </c>
      <c r="J1205" s="160"/>
      <c r="K1205" s="104">
        <f>'27'!T1165</f>
        <v>0</v>
      </c>
      <c r="L1205" s="36" t="e">
        <f>#REF!</f>
        <v>#REF!</v>
      </c>
      <c r="M1205" s="103" t="e">
        <f>#REF!</f>
        <v>#REF!</v>
      </c>
      <c r="N1205" s="160"/>
      <c r="O1205" s="104" t="e">
        <f>#REF!</f>
        <v>#REF!</v>
      </c>
      <c r="P1205" s="52" t="e">
        <f>IF(#REF!=0,"",#REF!)</f>
        <v>#REF!</v>
      </c>
      <c r="Q1205" s="109" t="e">
        <f>IF(#REF!=0,"",#REF!)</f>
        <v>#REF!</v>
      </c>
      <c r="R1205" s="36" t="e">
        <f>IF(#REF!=0,"",#REF!)</f>
        <v>#REF!</v>
      </c>
      <c r="S1205" s="36" t="e">
        <f>IF(#REF!=0,"",#REF!)</f>
        <v>#REF!</v>
      </c>
      <c r="T1205" s="268"/>
      <c r="U1205" s="268"/>
      <c r="V1205" s="268"/>
    </row>
    <row r="1206" ht="15" customHeight="1" spans="2:22">
      <c r="B1206" s="6" t="e">
        <f t="shared" si="21"/>
        <v>#REF!</v>
      </c>
      <c r="C1206" s="83" t="e">
        <f>#REF!</f>
        <v>#REF!</v>
      </c>
      <c r="D1206" s="110" t="e">
        <f>IF(#REF!=0,"",#REF!)</f>
        <v>#REF!</v>
      </c>
      <c r="E1206" s="85" t="e">
        <f>IF(#REF!=0,"",#REF!)</f>
        <v>#REF!</v>
      </c>
      <c r="F1206" s="85" t="e">
        <f>IF(#REF!=0,"",#REF!)</f>
        <v>#REF!</v>
      </c>
      <c r="G1206" s="105">
        <f>'27'!Q1166</f>
        <v>0</v>
      </c>
      <c r="H1206" s="161">
        <f>'27'!R1166</f>
        <v>0</v>
      </c>
      <c r="I1206" s="161">
        <f>'27'!S1166</f>
        <v>0</v>
      </c>
      <c r="J1206" s="161"/>
      <c r="K1206" s="106">
        <f>'27'!T1166</f>
        <v>0</v>
      </c>
      <c r="L1206" s="85" t="e">
        <f>#REF!</f>
        <v>#REF!</v>
      </c>
      <c r="M1206" s="105" t="e">
        <f>#REF!</f>
        <v>#REF!</v>
      </c>
      <c r="N1206" s="161"/>
      <c r="O1206" s="106" t="e">
        <f>#REF!</f>
        <v>#REF!</v>
      </c>
      <c r="P1206" s="107" t="e">
        <f>IF(#REF!=0,"",#REF!)</f>
        <v>#REF!</v>
      </c>
      <c r="Q1206" s="111" t="e">
        <f>IF(#REF!=0,"",#REF!)</f>
        <v>#REF!</v>
      </c>
      <c r="R1206" s="85" t="e">
        <f>IF(#REF!=0,"",#REF!)</f>
        <v>#REF!</v>
      </c>
      <c r="S1206" s="85" t="e">
        <f>IF(#REF!=0,"",#REF!)</f>
        <v>#REF!</v>
      </c>
      <c r="T1206" s="268"/>
      <c r="U1206" s="268"/>
      <c r="V1206" s="268"/>
    </row>
    <row r="1207" ht="15" customHeight="1" spans="2:22">
      <c r="B1207" s="6" t="e">
        <f t="shared" si="21"/>
        <v>#REF!</v>
      </c>
      <c r="C1207" s="79" t="e">
        <f>#REF!</f>
        <v>#REF!</v>
      </c>
      <c r="D1207" s="62" t="e">
        <f>IF(#REF!=0,"",#REF!)</f>
        <v>#REF!</v>
      </c>
      <c r="E1207" s="81" t="e">
        <f>IF(#REF!=0,"",#REF!)</f>
        <v>#REF!</v>
      </c>
      <c r="F1207" s="81" t="e">
        <f>IF(#REF!=0,"",#REF!)</f>
        <v>#REF!</v>
      </c>
      <c r="G1207" s="100" t="e">
        <f>#REF!</f>
        <v>#REF!</v>
      </c>
      <c r="H1207" s="159">
        <f>'27'!R1167</f>
        <v>0</v>
      </c>
      <c r="I1207" s="159">
        <f>'27'!S1167</f>
        <v>0</v>
      </c>
      <c r="J1207" s="159"/>
      <c r="K1207" s="101">
        <f>'27'!T1167</f>
        <v>0</v>
      </c>
      <c r="L1207" s="81" t="e">
        <f>#REF!</f>
        <v>#REF!</v>
      </c>
      <c r="M1207" s="100" t="e">
        <f>#REF!</f>
        <v>#REF!</v>
      </c>
      <c r="N1207" s="159"/>
      <c r="O1207" s="101" t="e">
        <f>#REF!</f>
        <v>#REF!</v>
      </c>
      <c r="P1207" s="102" t="e">
        <f>IF(#REF!=0,"",#REF!)</f>
        <v>#REF!</v>
      </c>
      <c r="Q1207" s="108" t="e">
        <f>IF(#REF!=0,"",#REF!)</f>
        <v>#REF!</v>
      </c>
      <c r="R1207" s="81" t="e">
        <f>IF(#REF!=0,"",#REF!)</f>
        <v>#REF!</v>
      </c>
      <c r="S1207" s="81" t="e">
        <f>IF(#REF!=0,"",#REF!)</f>
        <v>#REF!</v>
      </c>
      <c r="T1207" s="268"/>
      <c r="U1207" s="268"/>
      <c r="V1207" s="268"/>
    </row>
    <row r="1208" ht="15" customHeight="1" spans="2:22">
      <c r="B1208" s="6" t="e">
        <f t="shared" si="21"/>
        <v>#REF!</v>
      </c>
      <c r="C1208" s="31" t="e">
        <f>#REF!</f>
        <v>#REF!</v>
      </c>
      <c r="D1208" s="32" t="e">
        <f>IF(#REF!=0,"",#REF!)</f>
        <v>#REF!</v>
      </c>
      <c r="E1208" s="36" t="e">
        <f>IF(#REF!=0,"",#REF!)</f>
        <v>#REF!</v>
      </c>
      <c r="F1208" s="36" t="e">
        <f>IF(#REF!=0,"",#REF!)</f>
        <v>#REF!</v>
      </c>
      <c r="G1208" s="103">
        <f>'27'!Q1168</f>
        <v>0</v>
      </c>
      <c r="H1208" s="160">
        <f>'27'!R1168</f>
        <v>0</v>
      </c>
      <c r="I1208" s="160">
        <f>'27'!S1168</f>
        <v>0</v>
      </c>
      <c r="J1208" s="160"/>
      <c r="K1208" s="104">
        <f>'27'!T1168</f>
        <v>0</v>
      </c>
      <c r="L1208" s="36" t="e">
        <f>#REF!</f>
        <v>#REF!</v>
      </c>
      <c r="M1208" s="103" t="e">
        <f>#REF!</f>
        <v>#REF!</v>
      </c>
      <c r="N1208" s="160"/>
      <c r="O1208" s="104" t="e">
        <f>#REF!</f>
        <v>#REF!</v>
      </c>
      <c r="P1208" s="52" t="e">
        <f>IF(#REF!=0,"",#REF!)</f>
        <v>#REF!</v>
      </c>
      <c r="Q1208" s="109" t="e">
        <f>IF(#REF!=0,"",#REF!)</f>
        <v>#REF!</v>
      </c>
      <c r="R1208" s="36" t="e">
        <f>IF(#REF!=0,"",#REF!)</f>
        <v>#REF!</v>
      </c>
      <c r="S1208" s="36" t="e">
        <f>IF(#REF!=0,"",#REF!)</f>
        <v>#REF!</v>
      </c>
      <c r="T1208" s="268"/>
      <c r="U1208" s="268"/>
      <c r="V1208" s="268"/>
    </row>
    <row r="1209" ht="15" customHeight="1" spans="2:22">
      <c r="B1209" s="6" t="e">
        <f t="shared" si="21"/>
        <v>#REF!</v>
      </c>
      <c r="C1209" s="83" t="e">
        <f>#REF!</f>
        <v>#REF!</v>
      </c>
      <c r="D1209" s="110" t="e">
        <f>IF(#REF!=0,"",#REF!)</f>
        <v>#REF!</v>
      </c>
      <c r="E1209" s="85" t="e">
        <f>IF(#REF!=0,"",#REF!)</f>
        <v>#REF!</v>
      </c>
      <c r="F1209" s="85" t="e">
        <f>IF(#REF!=0,"",#REF!)</f>
        <v>#REF!</v>
      </c>
      <c r="G1209" s="105">
        <f>'27'!Q1169</f>
        <v>0</v>
      </c>
      <c r="H1209" s="161">
        <f>'27'!R1169</f>
        <v>0</v>
      </c>
      <c r="I1209" s="161">
        <f>'27'!S1169</f>
        <v>0</v>
      </c>
      <c r="J1209" s="161"/>
      <c r="K1209" s="106">
        <f>'27'!T1169</f>
        <v>0</v>
      </c>
      <c r="L1209" s="85" t="e">
        <f>#REF!</f>
        <v>#REF!</v>
      </c>
      <c r="M1209" s="105" t="e">
        <f>#REF!</f>
        <v>#REF!</v>
      </c>
      <c r="N1209" s="161"/>
      <c r="O1209" s="106" t="e">
        <f>#REF!</f>
        <v>#REF!</v>
      </c>
      <c r="P1209" s="107" t="e">
        <f>IF(#REF!=0,"",#REF!)</f>
        <v>#REF!</v>
      </c>
      <c r="Q1209" s="111" t="e">
        <f>IF(#REF!=0,"",#REF!)</f>
        <v>#REF!</v>
      </c>
      <c r="R1209" s="85" t="e">
        <f>IF(#REF!=0,"",#REF!)</f>
        <v>#REF!</v>
      </c>
      <c r="S1209" s="85" t="e">
        <f>IF(#REF!=0,"",#REF!)</f>
        <v>#REF!</v>
      </c>
      <c r="T1209" s="268"/>
      <c r="U1209" s="268"/>
      <c r="V1209" s="268"/>
    </row>
    <row r="1210" ht="15" customHeight="1" spans="2:22">
      <c r="B1210" s="6" t="e">
        <f t="shared" si="21"/>
        <v>#REF!</v>
      </c>
      <c r="C1210" s="79" t="e">
        <f>#REF!</f>
        <v>#REF!</v>
      </c>
      <c r="D1210" s="62" t="e">
        <f>IF(#REF!=0,"",#REF!)</f>
        <v>#REF!</v>
      </c>
      <c r="E1210" s="81" t="e">
        <f>IF(#REF!=0,"",#REF!)</f>
        <v>#REF!</v>
      </c>
      <c r="F1210" s="81" t="e">
        <f>IF(#REF!=0,"",#REF!)</f>
        <v>#REF!</v>
      </c>
      <c r="G1210" s="100" t="e">
        <f>#REF!</f>
        <v>#REF!</v>
      </c>
      <c r="H1210" s="159">
        <f>'27'!R1170</f>
        <v>0</v>
      </c>
      <c r="I1210" s="159">
        <f>'27'!S1170</f>
        <v>0</v>
      </c>
      <c r="J1210" s="159"/>
      <c r="K1210" s="101">
        <f>'27'!T1170</f>
        <v>0</v>
      </c>
      <c r="L1210" s="81" t="e">
        <f>#REF!</f>
        <v>#REF!</v>
      </c>
      <c r="M1210" s="100" t="e">
        <f>#REF!</f>
        <v>#REF!</v>
      </c>
      <c r="N1210" s="159"/>
      <c r="O1210" s="101" t="e">
        <f>#REF!</f>
        <v>#REF!</v>
      </c>
      <c r="P1210" s="102" t="e">
        <f>IF(#REF!=0,"",#REF!)</f>
        <v>#REF!</v>
      </c>
      <c r="Q1210" s="108" t="e">
        <f>IF(#REF!=0,"",#REF!)</f>
        <v>#REF!</v>
      </c>
      <c r="R1210" s="81" t="e">
        <f>IF(#REF!=0,"",#REF!)</f>
        <v>#REF!</v>
      </c>
      <c r="S1210" s="81" t="e">
        <f>IF(#REF!=0,"",#REF!)</f>
        <v>#REF!</v>
      </c>
      <c r="T1210" s="268"/>
      <c r="U1210" s="268"/>
      <c r="V1210" s="268"/>
    </row>
    <row r="1211" ht="15" customHeight="1" spans="2:22">
      <c r="B1211" s="6" t="e">
        <f t="shared" si="21"/>
        <v>#REF!</v>
      </c>
      <c r="C1211" s="31" t="e">
        <f>#REF!</f>
        <v>#REF!</v>
      </c>
      <c r="D1211" s="32" t="e">
        <f>IF(#REF!=0,"",#REF!)</f>
        <v>#REF!</v>
      </c>
      <c r="E1211" s="36" t="e">
        <f>IF(#REF!=0,"",#REF!)</f>
        <v>#REF!</v>
      </c>
      <c r="F1211" s="36" t="e">
        <f>IF(#REF!=0,"",#REF!)</f>
        <v>#REF!</v>
      </c>
      <c r="G1211" s="103">
        <f>'27'!Q1171</f>
        <v>0</v>
      </c>
      <c r="H1211" s="160">
        <f>'27'!R1171</f>
        <v>0</v>
      </c>
      <c r="I1211" s="160">
        <f>'27'!S1171</f>
        <v>0</v>
      </c>
      <c r="J1211" s="160"/>
      <c r="K1211" s="104">
        <f>'27'!T1171</f>
        <v>0</v>
      </c>
      <c r="L1211" s="36" t="e">
        <f>#REF!</f>
        <v>#REF!</v>
      </c>
      <c r="M1211" s="103" t="e">
        <f>#REF!</f>
        <v>#REF!</v>
      </c>
      <c r="N1211" s="160"/>
      <c r="O1211" s="104" t="e">
        <f>#REF!</f>
        <v>#REF!</v>
      </c>
      <c r="P1211" s="52" t="e">
        <f>IF(#REF!=0,"",#REF!)</f>
        <v>#REF!</v>
      </c>
      <c r="Q1211" s="109" t="e">
        <f>IF(#REF!=0,"",#REF!)</f>
        <v>#REF!</v>
      </c>
      <c r="R1211" s="36" t="e">
        <f>IF(#REF!=0,"",#REF!)</f>
        <v>#REF!</v>
      </c>
      <c r="S1211" s="36" t="e">
        <f>IF(#REF!=0,"",#REF!)</f>
        <v>#REF!</v>
      </c>
      <c r="T1211" s="268"/>
      <c r="U1211" s="268"/>
      <c r="V1211" s="268"/>
    </row>
    <row r="1212" ht="15" customHeight="1" spans="2:22">
      <c r="B1212" s="6" t="e">
        <f t="shared" si="21"/>
        <v>#REF!</v>
      </c>
      <c r="C1212" s="83" t="e">
        <f>#REF!</f>
        <v>#REF!</v>
      </c>
      <c r="D1212" s="110" t="e">
        <f>IF(#REF!=0,"",#REF!)</f>
        <v>#REF!</v>
      </c>
      <c r="E1212" s="85" t="e">
        <f>IF(#REF!=0,"",#REF!)</f>
        <v>#REF!</v>
      </c>
      <c r="F1212" s="85" t="e">
        <f>IF(#REF!=0,"",#REF!)</f>
        <v>#REF!</v>
      </c>
      <c r="G1212" s="105">
        <f>'27'!Q1172</f>
        <v>0</v>
      </c>
      <c r="H1212" s="161">
        <f>'27'!R1172</f>
        <v>0</v>
      </c>
      <c r="I1212" s="161">
        <f>'27'!S1172</f>
        <v>0</v>
      </c>
      <c r="J1212" s="161"/>
      <c r="K1212" s="106">
        <f>'27'!T1172</f>
        <v>0</v>
      </c>
      <c r="L1212" s="85" t="e">
        <f>#REF!</f>
        <v>#REF!</v>
      </c>
      <c r="M1212" s="105" t="e">
        <f>#REF!</f>
        <v>#REF!</v>
      </c>
      <c r="N1212" s="161"/>
      <c r="O1212" s="106" t="e">
        <f>#REF!</f>
        <v>#REF!</v>
      </c>
      <c r="P1212" s="107" t="e">
        <f>IF(#REF!=0,"",#REF!)</f>
        <v>#REF!</v>
      </c>
      <c r="Q1212" s="111" t="e">
        <f>IF(#REF!=0,"",#REF!)</f>
        <v>#REF!</v>
      </c>
      <c r="R1212" s="85" t="e">
        <f>IF(#REF!=0,"",#REF!)</f>
        <v>#REF!</v>
      </c>
      <c r="S1212" s="85" t="e">
        <f>IF(#REF!=0,"",#REF!)</f>
        <v>#REF!</v>
      </c>
      <c r="T1212" s="268"/>
      <c r="U1212" s="268"/>
      <c r="V1212" s="268"/>
    </row>
    <row r="1213" ht="15" customHeight="1" spans="2:22">
      <c r="B1213" s="6" t="e">
        <f t="shared" si="21"/>
        <v>#REF!</v>
      </c>
      <c r="C1213" s="79" t="e">
        <f>#REF!</f>
        <v>#REF!</v>
      </c>
      <c r="D1213" s="62" t="e">
        <f>IF(#REF!=0,"",#REF!)</f>
        <v>#REF!</v>
      </c>
      <c r="E1213" s="81" t="e">
        <f>IF(#REF!=0,"",#REF!)</f>
        <v>#REF!</v>
      </c>
      <c r="F1213" s="81" t="e">
        <f>IF(#REF!=0,"",#REF!)</f>
        <v>#REF!</v>
      </c>
      <c r="G1213" s="100" t="e">
        <f>#REF!</f>
        <v>#REF!</v>
      </c>
      <c r="H1213" s="159">
        <f>'27'!R1173</f>
        <v>0</v>
      </c>
      <c r="I1213" s="159">
        <f>'27'!S1173</f>
        <v>0</v>
      </c>
      <c r="J1213" s="159"/>
      <c r="K1213" s="101">
        <f>'27'!T1173</f>
        <v>0</v>
      </c>
      <c r="L1213" s="81" t="e">
        <f>#REF!</f>
        <v>#REF!</v>
      </c>
      <c r="M1213" s="100" t="e">
        <f>#REF!</f>
        <v>#REF!</v>
      </c>
      <c r="N1213" s="159"/>
      <c r="O1213" s="101" t="e">
        <f>#REF!</f>
        <v>#REF!</v>
      </c>
      <c r="P1213" s="102" t="e">
        <f>IF(#REF!=0,"",#REF!)</f>
        <v>#REF!</v>
      </c>
      <c r="Q1213" s="108" t="e">
        <f>IF(#REF!=0,"",#REF!)</f>
        <v>#REF!</v>
      </c>
      <c r="R1213" s="81" t="e">
        <f>IF(#REF!=0,"",#REF!)</f>
        <v>#REF!</v>
      </c>
      <c r="S1213" s="81" t="e">
        <f>IF(#REF!=0,"",#REF!)</f>
        <v>#REF!</v>
      </c>
      <c r="T1213" s="268"/>
      <c r="U1213" s="268"/>
      <c r="V1213" s="268"/>
    </row>
    <row r="1214" ht="15" customHeight="1" spans="2:22">
      <c r="B1214" s="6" t="e">
        <f t="shared" si="21"/>
        <v>#REF!</v>
      </c>
      <c r="C1214" s="31" t="e">
        <f>#REF!</f>
        <v>#REF!</v>
      </c>
      <c r="D1214" s="32" t="e">
        <f>IF(#REF!=0,"",#REF!)</f>
        <v>#REF!</v>
      </c>
      <c r="E1214" s="36" t="e">
        <f>IF(#REF!=0,"",#REF!)</f>
        <v>#REF!</v>
      </c>
      <c r="F1214" s="36" t="e">
        <f>IF(#REF!=0,"",#REF!)</f>
        <v>#REF!</v>
      </c>
      <c r="G1214" s="103">
        <f>'27'!Q1174</f>
        <v>0</v>
      </c>
      <c r="H1214" s="160">
        <f>'27'!R1174</f>
        <v>0</v>
      </c>
      <c r="I1214" s="160">
        <f>'27'!S1174</f>
        <v>0</v>
      </c>
      <c r="J1214" s="160"/>
      <c r="K1214" s="104">
        <f>'27'!T1174</f>
        <v>0</v>
      </c>
      <c r="L1214" s="36" t="e">
        <f>#REF!</f>
        <v>#REF!</v>
      </c>
      <c r="M1214" s="103" t="e">
        <f>#REF!</f>
        <v>#REF!</v>
      </c>
      <c r="N1214" s="160"/>
      <c r="O1214" s="104" t="e">
        <f>#REF!</f>
        <v>#REF!</v>
      </c>
      <c r="P1214" s="52" t="e">
        <f>IF(#REF!=0,"",#REF!)</f>
        <v>#REF!</v>
      </c>
      <c r="Q1214" s="109" t="e">
        <f>IF(#REF!=0,"",#REF!)</f>
        <v>#REF!</v>
      </c>
      <c r="R1214" s="36" t="e">
        <f>IF(#REF!=0,"",#REF!)</f>
        <v>#REF!</v>
      </c>
      <c r="S1214" s="36" t="e">
        <f>IF(#REF!=0,"",#REF!)</f>
        <v>#REF!</v>
      </c>
      <c r="T1214" s="268"/>
      <c r="U1214" s="268"/>
      <c r="V1214" s="268"/>
    </row>
    <row r="1215" ht="15" customHeight="1" spans="2:22">
      <c r="B1215" s="6" t="e">
        <f t="shared" si="21"/>
        <v>#REF!</v>
      </c>
      <c r="C1215" s="83" t="e">
        <f>#REF!</f>
        <v>#REF!</v>
      </c>
      <c r="D1215" s="110" t="e">
        <f>IF(#REF!=0,"",#REF!)</f>
        <v>#REF!</v>
      </c>
      <c r="E1215" s="85" t="e">
        <f>IF(#REF!=0,"",#REF!)</f>
        <v>#REF!</v>
      </c>
      <c r="F1215" s="85" t="e">
        <f>IF(#REF!=0,"",#REF!)</f>
        <v>#REF!</v>
      </c>
      <c r="G1215" s="105">
        <f>'27'!Q1175</f>
        <v>0</v>
      </c>
      <c r="H1215" s="161">
        <f>'27'!R1175</f>
        <v>0</v>
      </c>
      <c r="I1215" s="161">
        <f>'27'!S1175</f>
        <v>0</v>
      </c>
      <c r="J1215" s="161"/>
      <c r="K1215" s="106">
        <f>'27'!T1175</f>
        <v>0</v>
      </c>
      <c r="L1215" s="85" t="e">
        <f>#REF!</f>
        <v>#REF!</v>
      </c>
      <c r="M1215" s="105" t="e">
        <f>#REF!</f>
        <v>#REF!</v>
      </c>
      <c r="N1215" s="161"/>
      <c r="O1215" s="106" t="e">
        <f>#REF!</f>
        <v>#REF!</v>
      </c>
      <c r="P1215" s="107" t="e">
        <f>IF(#REF!=0,"",#REF!)</f>
        <v>#REF!</v>
      </c>
      <c r="Q1215" s="111" t="e">
        <f>IF(#REF!=0,"",#REF!)</f>
        <v>#REF!</v>
      </c>
      <c r="R1215" s="85" t="e">
        <f>IF(#REF!=0,"",#REF!)</f>
        <v>#REF!</v>
      </c>
      <c r="S1215" s="85" t="e">
        <f>IF(#REF!=0,"",#REF!)</f>
        <v>#REF!</v>
      </c>
      <c r="T1215" s="268"/>
      <c r="U1215" s="268"/>
      <c r="V1215" s="268"/>
    </row>
    <row r="1216" ht="15" customHeight="1" spans="2:22">
      <c r="B1216" s="6" t="e">
        <f t="shared" si="21"/>
        <v>#REF!</v>
      </c>
      <c r="C1216" s="79" t="e">
        <f>#REF!</f>
        <v>#REF!</v>
      </c>
      <c r="D1216" s="62" t="e">
        <f>IF(#REF!=0,"",#REF!)</f>
        <v>#REF!</v>
      </c>
      <c r="E1216" s="81" t="e">
        <f>IF(#REF!=0,"",#REF!)</f>
        <v>#REF!</v>
      </c>
      <c r="F1216" s="81" t="e">
        <f>IF(#REF!=0,"",#REF!)</f>
        <v>#REF!</v>
      </c>
      <c r="G1216" s="100" t="e">
        <f>#REF!</f>
        <v>#REF!</v>
      </c>
      <c r="H1216" s="159">
        <f>'27'!R1176</f>
        <v>0</v>
      </c>
      <c r="I1216" s="159">
        <f>'27'!S1176</f>
        <v>0</v>
      </c>
      <c r="J1216" s="159"/>
      <c r="K1216" s="101">
        <f>'27'!T1176</f>
        <v>0</v>
      </c>
      <c r="L1216" s="81" t="e">
        <f>#REF!</f>
        <v>#REF!</v>
      </c>
      <c r="M1216" s="100" t="e">
        <f>#REF!</f>
        <v>#REF!</v>
      </c>
      <c r="N1216" s="159"/>
      <c r="O1216" s="101" t="e">
        <f>#REF!</f>
        <v>#REF!</v>
      </c>
      <c r="P1216" s="102" t="e">
        <f>IF(#REF!=0,"",#REF!)</f>
        <v>#REF!</v>
      </c>
      <c r="Q1216" s="108" t="e">
        <f>IF(#REF!=0,"",#REF!)</f>
        <v>#REF!</v>
      </c>
      <c r="R1216" s="81" t="e">
        <f>IF(#REF!=0,"",#REF!)</f>
        <v>#REF!</v>
      </c>
      <c r="S1216" s="81" t="e">
        <f>IF(#REF!=0,"",#REF!)</f>
        <v>#REF!</v>
      </c>
      <c r="T1216" s="268"/>
      <c r="U1216" s="268"/>
      <c r="V1216" s="268"/>
    </row>
    <row r="1217" ht="15" customHeight="1" spans="2:22">
      <c r="B1217" s="6" t="e">
        <f t="shared" si="21"/>
        <v>#REF!</v>
      </c>
      <c r="C1217" s="31" t="e">
        <f>#REF!</f>
        <v>#REF!</v>
      </c>
      <c r="D1217" s="32" t="e">
        <f>IF(#REF!=0,"",#REF!)</f>
        <v>#REF!</v>
      </c>
      <c r="E1217" s="36" t="e">
        <f>IF(#REF!=0,"",#REF!)</f>
        <v>#REF!</v>
      </c>
      <c r="F1217" s="36" t="e">
        <f>IF(#REF!=0,"",#REF!)</f>
        <v>#REF!</v>
      </c>
      <c r="G1217" s="103">
        <f>'27'!Q1177</f>
        <v>0</v>
      </c>
      <c r="H1217" s="160">
        <f>'27'!R1177</f>
        <v>0</v>
      </c>
      <c r="I1217" s="160">
        <f>'27'!S1177</f>
        <v>0</v>
      </c>
      <c r="J1217" s="160"/>
      <c r="K1217" s="104">
        <f>'27'!T1177</f>
        <v>0</v>
      </c>
      <c r="L1217" s="36" t="e">
        <f>#REF!</f>
        <v>#REF!</v>
      </c>
      <c r="M1217" s="103" t="e">
        <f>#REF!</f>
        <v>#REF!</v>
      </c>
      <c r="N1217" s="160"/>
      <c r="O1217" s="104" t="e">
        <f>#REF!</f>
        <v>#REF!</v>
      </c>
      <c r="P1217" s="52" t="e">
        <f>IF(#REF!=0,"",#REF!)</f>
        <v>#REF!</v>
      </c>
      <c r="Q1217" s="109" t="e">
        <f>IF(#REF!=0,"",#REF!)</f>
        <v>#REF!</v>
      </c>
      <c r="R1217" s="36" t="e">
        <f>IF(#REF!=0,"",#REF!)</f>
        <v>#REF!</v>
      </c>
      <c r="S1217" s="36" t="e">
        <f>IF(#REF!=0,"",#REF!)</f>
        <v>#REF!</v>
      </c>
      <c r="T1217" s="268"/>
      <c r="U1217" s="268"/>
      <c r="V1217" s="268"/>
    </row>
    <row r="1218" ht="15" customHeight="1" spans="2:22">
      <c r="B1218" s="6" t="e">
        <f t="shared" si="21"/>
        <v>#REF!</v>
      </c>
      <c r="C1218" s="83" t="e">
        <f>#REF!</f>
        <v>#REF!</v>
      </c>
      <c r="D1218" s="110" t="e">
        <f>IF(#REF!=0,"",#REF!)</f>
        <v>#REF!</v>
      </c>
      <c r="E1218" s="85" t="e">
        <f>IF(#REF!=0,"",#REF!)</f>
        <v>#REF!</v>
      </c>
      <c r="F1218" s="85" t="e">
        <f>IF(#REF!=0,"",#REF!)</f>
        <v>#REF!</v>
      </c>
      <c r="G1218" s="105">
        <f>'27'!Q1178</f>
        <v>0</v>
      </c>
      <c r="H1218" s="161">
        <f>'27'!R1178</f>
        <v>0</v>
      </c>
      <c r="I1218" s="161">
        <f>'27'!S1178</f>
        <v>0</v>
      </c>
      <c r="J1218" s="161"/>
      <c r="K1218" s="106">
        <f>'27'!T1178</f>
        <v>0</v>
      </c>
      <c r="L1218" s="85" t="e">
        <f>#REF!</f>
        <v>#REF!</v>
      </c>
      <c r="M1218" s="105" t="e">
        <f>#REF!</f>
        <v>#REF!</v>
      </c>
      <c r="N1218" s="161"/>
      <c r="O1218" s="106" t="e">
        <f>#REF!</f>
        <v>#REF!</v>
      </c>
      <c r="P1218" s="107" t="e">
        <f>IF(#REF!=0,"",#REF!)</f>
        <v>#REF!</v>
      </c>
      <c r="Q1218" s="111" t="e">
        <f>IF(#REF!=0,"",#REF!)</f>
        <v>#REF!</v>
      </c>
      <c r="R1218" s="85" t="e">
        <f>IF(#REF!=0,"",#REF!)</f>
        <v>#REF!</v>
      </c>
      <c r="S1218" s="85" t="e">
        <f>IF(#REF!=0,"",#REF!)</f>
        <v>#REF!</v>
      </c>
      <c r="T1218" s="268"/>
      <c r="U1218" s="268"/>
      <c r="V1218" s="268"/>
    </row>
    <row r="1219" ht="15" customHeight="1" spans="2:22">
      <c r="B1219" s="6" t="e">
        <f t="shared" si="21"/>
        <v>#REF!</v>
      </c>
      <c r="C1219" s="79" t="e">
        <f>#REF!</f>
        <v>#REF!</v>
      </c>
      <c r="D1219" s="62" t="e">
        <f>IF(#REF!=0,"",#REF!)</f>
        <v>#REF!</v>
      </c>
      <c r="E1219" s="81" t="e">
        <f>IF(#REF!=0,"",#REF!)</f>
        <v>#REF!</v>
      </c>
      <c r="F1219" s="81" t="e">
        <f>IF(#REF!=0,"",#REF!)</f>
        <v>#REF!</v>
      </c>
      <c r="G1219" s="100" t="e">
        <f>#REF!</f>
        <v>#REF!</v>
      </c>
      <c r="H1219" s="159">
        <f>'27'!R1179</f>
        <v>0</v>
      </c>
      <c r="I1219" s="159">
        <f>'27'!S1179</f>
        <v>0</v>
      </c>
      <c r="J1219" s="159"/>
      <c r="K1219" s="101">
        <f>'27'!T1179</f>
        <v>0</v>
      </c>
      <c r="L1219" s="81" t="e">
        <f>#REF!</f>
        <v>#REF!</v>
      </c>
      <c r="M1219" s="100" t="e">
        <f>#REF!</f>
        <v>#REF!</v>
      </c>
      <c r="N1219" s="159"/>
      <c r="O1219" s="101" t="e">
        <f>#REF!</f>
        <v>#REF!</v>
      </c>
      <c r="P1219" s="102" t="e">
        <f>IF(#REF!=0,"",#REF!)</f>
        <v>#REF!</v>
      </c>
      <c r="Q1219" s="108" t="e">
        <f>IF(#REF!=0,"",#REF!)</f>
        <v>#REF!</v>
      </c>
      <c r="R1219" s="81" t="e">
        <f>IF(#REF!=0,"",#REF!)</f>
        <v>#REF!</v>
      </c>
      <c r="S1219" s="81" t="e">
        <f>IF(#REF!=0,"",#REF!)</f>
        <v>#REF!</v>
      </c>
      <c r="T1219" s="268"/>
      <c r="U1219" s="268"/>
      <c r="V1219" s="268"/>
    </row>
    <row r="1220" ht="15" customHeight="1" spans="2:22">
      <c r="B1220" s="6" t="e">
        <f t="shared" si="21"/>
        <v>#REF!</v>
      </c>
      <c r="C1220" s="31" t="e">
        <f>#REF!</f>
        <v>#REF!</v>
      </c>
      <c r="D1220" s="32" t="e">
        <f>IF(#REF!=0,"",#REF!)</f>
        <v>#REF!</v>
      </c>
      <c r="E1220" s="36" t="e">
        <f>IF(#REF!=0,"",#REF!)</f>
        <v>#REF!</v>
      </c>
      <c r="F1220" s="36" t="e">
        <f>IF(#REF!=0,"",#REF!)</f>
        <v>#REF!</v>
      </c>
      <c r="G1220" s="103">
        <f>'27'!Q1180</f>
        <v>0</v>
      </c>
      <c r="H1220" s="160">
        <f>'27'!R1180</f>
        <v>0</v>
      </c>
      <c r="I1220" s="160">
        <f>'27'!S1180</f>
        <v>0</v>
      </c>
      <c r="J1220" s="160"/>
      <c r="K1220" s="104">
        <f>'27'!T1180</f>
        <v>0</v>
      </c>
      <c r="L1220" s="36" t="e">
        <f>#REF!</f>
        <v>#REF!</v>
      </c>
      <c r="M1220" s="103" t="e">
        <f>#REF!</f>
        <v>#REF!</v>
      </c>
      <c r="N1220" s="160"/>
      <c r="O1220" s="104" t="e">
        <f>#REF!</f>
        <v>#REF!</v>
      </c>
      <c r="P1220" s="52" t="e">
        <f>IF(#REF!=0,"",#REF!)</f>
        <v>#REF!</v>
      </c>
      <c r="Q1220" s="109" t="e">
        <f>IF(#REF!=0,"",#REF!)</f>
        <v>#REF!</v>
      </c>
      <c r="R1220" s="36" t="e">
        <f>IF(#REF!=0,"",#REF!)</f>
        <v>#REF!</v>
      </c>
      <c r="S1220" s="36" t="e">
        <f>IF(#REF!=0,"",#REF!)</f>
        <v>#REF!</v>
      </c>
      <c r="T1220" s="268"/>
      <c r="U1220" s="268"/>
      <c r="V1220" s="268"/>
    </row>
    <row r="1221" ht="15" customHeight="1" spans="2:22">
      <c r="B1221" s="6" t="e">
        <f t="shared" si="21"/>
        <v>#REF!</v>
      </c>
      <c r="C1221" s="83" t="e">
        <f>#REF!</f>
        <v>#REF!</v>
      </c>
      <c r="D1221" s="110" t="e">
        <f>IF(#REF!=0,"",#REF!)</f>
        <v>#REF!</v>
      </c>
      <c r="E1221" s="85" t="e">
        <f>IF(#REF!=0,"",#REF!)</f>
        <v>#REF!</v>
      </c>
      <c r="F1221" s="85" t="e">
        <f>IF(#REF!=0,"",#REF!)</f>
        <v>#REF!</v>
      </c>
      <c r="G1221" s="105">
        <f>'27'!Q1181</f>
        <v>0</v>
      </c>
      <c r="H1221" s="161">
        <f>'27'!R1181</f>
        <v>0</v>
      </c>
      <c r="I1221" s="161">
        <f>'27'!S1181</f>
        <v>0</v>
      </c>
      <c r="J1221" s="161"/>
      <c r="K1221" s="106">
        <f>'27'!T1181</f>
        <v>0</v>
      </c>
      <c r="L1221" s="85" t="e">
        <f>#REF!</f>
        <v>#REF!</v>
      </c>
      <c r="M1221" s="105" t="e">
        <f>#REF!</f>
        <v>#REF!</v>
      </c>
      <c r="N1221" s="161"/>
      <c r="O1221" s="106" t="e">
        <f>#REF!</f>
        <v>#REF!</v>
      </c>
      <c r="P1221" s="107" t="e">
        <f>IF(#REF!=0,"",#REF!)</f>
        <v>#REF!</v>
      </c>
      <c r="Q1221" s="111" t="e">
        <f>IF(#REF!=0,"",#REF!)</f>
        <v>#REF!</v>
      </c>
      <c r="R1221" s="85" t="e">
        <f>IF(#REF!=0,"",#REF!)</f>
        <v>#REF!</v>
      </c>
      <c r="S1221" s="85" t="e">
        <f>IF(#REF!=0,"",#REF!)</f>
        <v>#REF!</v>
      </c>
      <c r="T1221" s="268"/>
      <c r="U1221" s="268"/>
      <c r="V1221" s="268"/>
    </row>
    <row r="1222" ht="15" customHeight="1" spans="2:22">
      <c r="B1222" s="6" t="e">
        <f t="shared" si="21"/>
        <v>#REF!</v>
      </c>
      <c r="C1222" s="79" t="e">
        <f>#REF!</f>
        <v>#REF!</v>
      </c>
      <c r="D1222" s="62" t="e">
        <f>IF(#REF!=0,"",#REF!)</f>
        <v>#REF!</v>
      </c>
      <c r="E1222" s="81" t="e">
        <f>IF(#REF!=0,"",#REF!)</f>
        <v>#REF!</v>
      </c>
      <c r="F1222" s="81" t="e">
        <f>IF(#REF!=0,"",#REF!)</f>
        <v>#REF!</v>
      </c>
      <c r="G1222" s="100" t="e">
        <f>#REF!</f>
        <v>#REF!</v>
      </c>
      <c r="H1222" s="159">
        <f>'27'!R1182</f>
        <v>0</v>
      </c>
      <c r="I1222" s="159">
        <f>'27'!S1182</f>
        <v>0</v>
      </c>
      <c r="J1222" s="159"/>
      <c r="K1222" s="101">
        <f>'27'!T1182</f>
        <v>0</v>
      </c>
      <c r="L1222" s="81" t="e">
        <f>#REF!</f>
        <v>#REF!</v>
      </c>
      <c r="M1222" s="100" t="e">
        <f>#REF!</f>
        <v>#REF!</v>
      </c>
      <c r="N1222" s="159"/>
      <c r="O1222" s="101" t="e">
        <f>#REF!</f>
        <v>#REF!</v>
      </c>
      <c r="P1222" s="102" t="e">
        <f>IF(#REF!=0,"",#REF!)</f>
        <v>#REF!</v>
      </c>
      <c r="Q1222" s="108" t="e">
        <f>IF(#REF!=0,"",#REF!)</f>
        <v>#REF!</v>
      </c>
      <c r="R1222" s="81" t="e">
        <f>IF(#REF!=0,"",#REF!)</f>
        <v>#REF!</v>
      </c>
      <c r="S1222" s="81" t="e">
        <f>IF(#REF!=0,"",#REF!)</f>
        <v>#REF!</v>
      </c>
      <c r="T1222" s="268"/>
      <c r="U1222" s="268"/>
      <c r="V1222" s="268"/>
    </row>
    <row r="1223" ht="15" customHeight="1" spans="2:22">
      <c r="B1223" s="6" t="e">
        <f t="shared" si="21"/>
        <v>#REF!</v>
      </c>
      <c r="C1223" s="31" t="e">
        <f>#REF!</f>
        <v>#REF!</v>
      </c>
      <c r="D1223" s="32" t="e">
        <f>IF(#REF!=0,"",#REF!)</f>
        <v>#REF!</v>
      </c>
      <c r="E1223" s="36" t="e">
        <f>IF(#REF!=0,"",#REF!)</f>
        <v>#REF!</v>
      </c>
      <c r="F1223" s="36" t="e">
        <f>IF(#REF!=0,"",#REF!)</f>
        <v>#REF!</v>
      </c>
      <c r="G1223" s="103">
        <f>'27'!Q1183</f>
        <v>0</v>
      </c>
      <c r="H1223" s="160">
        <f>'27'!R1183</f>
        <v>0</v>
      </c>
      <c r="I1223" s="160">
        <f>'27'!S1183</f>
        <v>0</v>
      </c>
      <c r="J1223" s="160"/>
      <c r="K1223" s="104">
        <f>'27'!T1183</f>
        <v>0</v>
      </c>
      <c r="L1223" s="36" t="e">
        <f>#REF!</f>
        <v>#REF!</v>
      </c>
      <c r="M1223" s="103" t="e">
        <f>#REF!</f>
        <v>#REF!</v>
      </c>
      <c r="N1223" s="160"/>
      <c r="O1223" s="104" t="e">
        <f>#REF!</f>
        <v>#REF!</v>
      </c>
      <c r="P1223" s="52" t="e">
        <f>IF(#REF!=0,"",#REF!)</f>
        <v>#REF!</v>
      </c>
      <c r="Q1223" s="109" t="e">
        <f>IF(#REF!=0,"",#REF!)</f>
        <v>#REF!</v>
      </c>
      <c r="R1223" s="36" t="e">
        <f>IF(#REF!=0,"",#REF!)</f>
        <v>#REF!</v>
      </c>
      <c r="S1223" s="36" t="e">
        <f>IF(#REF!=0,"",#REF!)</f>
        <v>#REF!</v>
      </c>
      <c r="T1223" s="268"/>
      <c r="U1223" s="268"/>
      <c r="V1223" s="268"/>
    </row>
    <row r="1224" ht="15" customHeight="1" spans="2:22">
      <c r="B1224" s="6" t="e">
        <f t="shared" si="21"/>
        <v>#REF!</v>
      </c>
      <c r="C1224" s="83" t="e">
        <f>#REF!</f>
        <v>#REF!</v>
      </c>
      <c r="D1224" s="110" t="e">
        <f>IF(#REF!=0,"",#REF!)</f>
        <v>#REF!</v>
      </c>
      <c r="E1224" s="85" t="e">
        <f>IF(#REF!=0,"",#REF!)</f>
        <v>#REF!</v>
      </c>
      <c r="F1224" s="85" t="e">
        <f>IF(#REF!=0,"",#REF!)</f>
        <v>#REF!</v>
      </c>
      <c r="G1224" s="105">
        <f>'27'!Q1184</f>
        <v>0</v>
      </c>
      <c r="H1224" s="161">
        <f>'27'!R1184</f>
        <v>0</v>
      </c>
      <c r="I1224" s="161">
        <f>'27'!S1184</f>
        <v>0</v>
      </c>
      <c r="J1224" s="161"/>
      <c r="K1224" s="106">
        <f>'27'!T1184</f>
        <v>0</v>
      </c>
      <c r="L1224" s="85" t="e">
        <f>#REF!</f>
        <v>#REF!</v>
      </c>
      <c r="M1224" s="105" t="e">
        <f>#REF!</f>
        <v>#REF!</v>
      </c>
      <c r="N1224" s="161"/>
      <c r="O1224" s="106" t="e">
        <f>#REF!</f>
        <v>#REF!</v>
      </c>
      <c r="P1224" s="107" t="e">
        <f>IF(#REF!=0,"",#REF!)</f>
        <v>#REF!</v>
      </c>
      <c r="Q1224" s="111" t="e">
        <f>IF(#REF!=0,"",#REF!)</f>
        <v>#REF!</v>
      </c>
      <c r="R1224" s="85" t="e">
        <f>IF(#REF!=0,"",#REF!)</f>
        <v>#REF!</v>
      </c>
      <c r="S1224" s="85" t="e">
        <f>IF(#REF!=0,"",#REF!)</f>
        <v>#REF!</v>
      </c>
      <c r="T1224" s="268"/>
      <c r="U1224" s="268"/>
      <c r="V1224" s="268"/>
    </row>
    <row r="1225" ht="15" customHeight="1" spans="2:22">
      <c r="B1225" s="6" t="e">
        <f t="shared" si="21"/>
        <v>#REF!</v>
      </c>
      <c r="C1225" s="79" t="e">
        <f>#REF!</f>
        <v>#REF!</v>
      </c>
      <c r="D1225" s="62" t="e">
        <f>IF(#REF!=0,"",#REF!)</f>
        <v>#REF!</v>
      </c>
      <c r="E1225" s="81" t="e">
        <f>IF(#REF!=0,"",#REF!)</f>
        <v>#REF!</v>
      </c>
      <c r="F1225" s="81" t="e">
        <f>IF(#REF!=0,"",#REF!)</f>
        <v>#REF!</v>
      </c>
      <c r="G1225" s="100" t="e">
        <f>#REF!</f>
        <v>#REF!</v>
      </c>
      <c r="H1225" s="159">
        <f>'27'!R1185</f>
        <v>0</v>
      </c>
      <c r="I1225" s="159">
        <f>'27'!S1185</f>
        <v>0</v>
      </c>
      <c r="J1225" s="159"/>
      <c r="K1225" s="101">
        <f>'27'!T1185</f>
        <v>0</v>
      </c>
      <c r="L1225" s="81" t="e">
        <f>#REF!</f>
        <v>#REF!</v>
      </c>
      <c r="M1225" s="100" t="e">
        <f>#REF!</f>
        <v>#REF!</v>
      </c>
      <c r="N1225" s="159"/>
      <c r="O1225" s="101" t="e">
        <f>#REF!</f>
        <v>#REF!</v>
      </c>
      <c r="P1225" s="102" t="e">
        <f>IF(#REF!=0,"",#REF!)</f>
        <v>#REF!</v>
      </c>
      <c r="Q1225" s="108" t="e">
        <f>IF(#REF!=0,"",#REF!)</f>
        <v>#REF!</v>
      </c>
      <c r="R1225" s="81" t="e">
        <f>IF(#REF!=0,"",#REF!)</f>
        <v>#REF!</v>
      </c>
      <c r="S1225" s="81" t="e">
        <f>IF(#REF!=0,"",#REF!)</f>
        <v>#REF!</v>
      </c>
      <c r="T1225" s="268"/>
      <c r="U1225" s="268"/>
      <c r="V1225" s="268"/>
    </row>
    <row r="1226" ht="15" customHeight="1" spans="2:22">
      <c r="B1226" s="6" t="e">
        <f t="shared" si="21"/>
        <v>#REF!</v>
      </c>
      <c r="C1226" s="31" t="e">
        <f>#REF!</f>
        <v>#REF!</v>
      </c>
      <c r="D1226" s="32" t="e">
        <f>IF(#REF!=0,"",#REF!)</f>
        <v>#REF!</v>
      </c>
      <c r="E1226" s="36" t="e">
        <f>IF(#REF!=0,"",#REF!)</f>
        <v>#REF!</v>
      </c>
      <c r="F1226" s="36" t="e">
        <f>IF(#REF!=0,"",#REF!)</f>
        <v>#REF!</v>
      </c>
      <c r="G1226" s="103">
        <f>'27'!Q1186</f>
        <v>0</v>
      </c>
      <c r="H1226" s="160">
        <f>'27'!R1186</f>
        <v>0</v>
      </c>
      <c r="I1226" s="160">
        <f>'27'!S1186</f>
        <v>0</v>
      </c>
      <c r="J1226" s="160"/>
      <c r="K1226" s="104">
        <f>'27'!T1186</f>
        <v>0</v>
      </c>
      <c r="L1226" s="36" t="e">
        <f>#REF!</f>
        <v>#REF!</v>
      </c>
      <c r="M1226" s="103" t="e">
        <f>#REF!</f>
        <v>#REF!</v>
      </c>
      <c r="N1226" s="160"/>
      <c r="O1226" s="104" t="e">
        <f>#REF!</f>
        <v>#REF!</v>
      </c>
      <c r="P1226" s="52" t="e">
        <f>IF(#REF!=0,"",#REF!)</f>
        <v>#REF!</v>
      </c>
      <c r="Q1226" s="109" t="e">
        <f>IF(#REF!=0,"",#REF!)</f>
        <v>#REF!</v>
      </c>
      <c r="R1226" s="36" t="e">
        <f>IF(#REF!=0,"",#REF!)</f>
        <v>#REF!</v>
      </c>
      <c r="S1226" s="36" t="e">
        <f>IF(#REF!=0,"",#REF!)</f>
        <v>#REF!</v>
      </c>
      <c r="T1226" s="268"/>
      <c r="U1226" s="268"/>
      <c r="V1226" s="268"/>
    </row>
    <row r="1227" ht="15" customHeight="1" spans="2:22">
      <c r="B1227" s="6" t="e">
        <f t="shared" si="21"/>
        <v>#REF!</v>
      </c>
      <c r="C1227" s="83" t="e">
        <f>#REF!</f>
        <v>#REF!</v>
      </c>
      <c r="D1227" s="110" t="e">
        <f>IF(#REF!=0,"",#REF!)</f>
        <v>#REF!</v>
      </c>
      <c r="E1227" s="85" t="e">
        <f>IF(#REF!=0,"",#REF!)</f>
        <v>#REF!</v>
      </c>
      <c r="F1227" s="85" t="e">
        <f>IF(#REF!=0,"",#REF!)</f>
        <v>#REF!</v>
      </c>
      <c r="G1227" s="105">
        <f>'27'!Q1187</f>
        <v>0</v>
      </c>
      <c r="H1227" s="161">
        <f>'27'!R1187</f>
        <v>0</v>
      </c>
      <c r="I1227" s="161">
        <f>'27'!S1187</f>
        <v>0</v>
      </c>
      <c r="J1227" s="161"/>
      <c r="K1227" s="106">
        <f>'27'!T1187</f>
        <v>0</v>
      </c>
      <c r="L1227" s="85" t="e">
        <f>#REF!</f>
        <v>#REF!</v>
      </c>
      <c r="M1227" s="105" t="e">
        <f>#REF!</f>
        <v>#REF!</v>
      </c>
      <c r="N1227" s="161"/>
      <c r="O1227" s="106" t="e">
        <f>#REF!</f>
        <v>#REF!</v>
      </c>
      <c r="P1227" s="107" t="e">
        <f>IF(#REF!=0,"",#REF!)</f>
        <v>#REF!</v>
      </c>
      <c r="Q1227" s="111" t="e">
        <f>IF(#REF!=0,"",#REF!)</f>
        <v>#REF!</v>
      </c>
      <c r="R1227" s="85" t="e">
        <f>IF(#REF!=0,"",#REF!)</f>
        <v>#REF!</v>
      </c>
      <c r="S1227" s="85" t="e">
        <f>IF(#REF!=0,"",#REF!)</f>
        <v>#REF!</v>
      </c>
      <c r="T1227" s="268"/>
      <c r="U1227" s="268"/>
      <c r="V1227" s="268"/>
    </row>
    <row r="1228" ht="15" customHeight="1" spans="2:22">
      <c r="B1228" s="6" t="e">
        <f t="shared" si="21"/>
        <v>#REF!</v>
      </c>
      <c r="C1228" s="79" t="e">
        <f>#REF!</f>
        <v>#REF!</v>
      </c>
      <c r="D1228" s="62" t="e">
        <f>IF(#REF!=0,"",#REF!)</f>
        <v>#REF!</v>
      </c>
      <c r="E1228" s="81" t="e">
        <f>IF(#REF!=0,"",#REF!)</f>
        <v>#REF!</v>
      </c>
      <c r="F1228" s="81" t="e">
        <f>IF(#REF!=0,"",#REF!)</f>
        <v>#REF!</v>
      </c>
      <c r="G1228" s="100" t="e">
        <f>#REF!</f>
        <v>#REF!</v>
      </c>
      <c r="H1228" s="159">
        <f>'27'!R1188</f>
        <v>0</v>
      </c>
      <c r="I1228" s="159">
        <f>'27'!S1188</f>
        <v>0</v>
      </c>
      <c r="J1228" s="159"/>
      <c r="K1228" s="101">
        <f>'27'!T1188</f>
        <v>0</v>
      </c>
      <c r="L1228" s="81" t="e">
        <f>#REF!</f>
        <v>#REF!</v>
      </c>
      <c r="M1228" s="100" t="e">
        <f>#REF!</f>
        <v>#REF!</v>
      </c>
      <c r="N1228" s="159"/>
      <c r="O1228" s="101" t="e">
        <f>#REF!</f>
        <v>#REF!</v>
      </c>
      <c r="P1228" s="102" t="e">
        <f>IF(#REF!=0,"",#REF!)</f>
        <v>#REF!</v>
      </c>
      <c r="Q1228" s="108" t="e">
        <f>IF(#REF!=0,"",#REF!)</f>
        <v>#REF!</v>
      </c>
      <c r="R1228" s="81" t="e">
        <f>IF(#REF!=0,"",#REF!)</f>
        <v>#REF!</v>
      </c>
      <c r="S1228" s="81" t="e">
        <f>IF(#REF!=0,"",#REF!)</f>
        <v>#REF!</v>
      </c>
      <c r="T1228" s="268"/>
      <c r="U1228" s="268"/>
      <c r="V1228" s="268"/>
    </row>
    <row r="1229" ht="15" customHeight="1" spans="2:22">
      <c r="B1229" s="6" t="e">
        <f t="shared" si="21"/>
        <v>#REF!</v>
      </c>
      <c r="C1229" s="31" t="e">
        <f>#REF!</f>
        <v>#REF!</v>
      </c>
      <c r="D1229" s="32" t="e">
        <f>IF(#REF!=0,"",#REF!)</f>
        <v>#REF!</v>
      </c>
      <c r="E1229" s="36" t="e">
        <f>IF(#REF!=0,"",#REF!)</f>
        <v>#REF!</v>
      </c>
      <c r="F1229" s="36" t="e">
        <f>IF(#REF!=0,"",#REF!)</f>
        <v>#REF!</v>
      </c>
      <c r="G1229" s="103">
        <f>'27'!Q1189</f>
        <v>0</v>
      </c>
      <c r="H1229" s="160">
        <f>'27'!R1189</f>
        <v>0</v>
      </c>
      <c r="I1229" s="160">
        <f>'27'!S1189</f>
        <v>0</v>
      </c>
      <c r="J1229" s="160"/>
      <c r="K1229" s="104">
        <f>'27'!T1189</f>
        <v>0</v>
      </c>
      <c r="L1229" s="36" t="e">
        <f>#REF!</f>
        <v>#REF!</v>
      </c>
      <c r="M1229" s="103" t="e">
        <f>#REF!</f>
        <v>#REF!</v>
      </c>
      <c r="N1229" s="160"/>
      <c r="O1229" s="104" t="e">
        <f>#REF!</f>
        <v>#REF!</v>
      </c>
      <c r="P1229" s="52" t="e">
        <f>IF(#REF!=0,"",#REF!)</f>
        <v>#REF!</v>
      </c>
      <c r="Q1229" s="109" t="e">
        <f>IF(#REF!=0,"",#REF!)</f>
        <v>#REF!</v>
      </c>
      <c r="R1229" s="36" t="e">
        <f>IF(#REF!=0,"",#REF!)</f>
        <v>#REF!</v>
      </c>
      <c r="S1229" s="36" t="e">
        <f>IF(#REF!=0,"",#REF!)</f>
        <v>#REF!</v>
      </c>
      <c r="T1229" s="268"/>
      <c r="U1229" s="268"/>
      <c r="V1229" s="268"/>
    </row>
    <row r="1230" ht="15" customHeight="1" spans="2:22">
      <c r="B1230" s="6" t="e">
        <f t="shared" si="21"/>
        <v>#REF!</v>
      </c>
      <c r="C1230" s="83" t="e">
        <f>#REF!</f>
        <v>#REF!</v>
      </c>
      <c r="D1230" s="110" t="e">
        <f>IF(#REF!=0,"",#REF!)</f>
        <v>#REF!</v>
      </c>
      <c r="E1230" s="85" t="e">
        <f>IF(#REF!=0,"",#REF!)</f>
        <v>#REF!</v>
      </c>
      <c r="F1230" s="85" t="e">
        <f>IF(#REF!=0,"",#REF!)</f>
        <v>#REF!</v>
      </c>
      <c r="G1230" s="105">
        <f>'27'!Q1190</f>
        <v>0</v>
      </c>
      <c r="H1230" s="161">
        <f>'27'!R1190</f>
        <v>0</v>
      </c>
      <c r="I1230" s="161">
        <f>'27'!S1190</f>
        <v>0</v>
      </c>
      <c r="J1230" s="161"/>
      <c r="K1230" s="106">
        <f>'27'!T1190</f>
        <v>0</v>
      </c>
      <c r="L1230" s="85" t="e">
        <f>#REF!</f>
        <v>#REF!</v>
      </c>
      <c r="M1230" s="105" t="e">
        <f>#REF!</f>
        <v>#REF!</v>
      </c>
      <c r="N1230" s="161"/>
      <c r="O1230" s="106" t="e">
        <f>#REF!</f>
        <v>#REF!</v>
      </c>
      <c r="P1230" s="107" t="e">
        <f>IF(#REF!=0,"",#REF!)</f>
        <v>#REF!</v>
      </c>
      <c r="Q1230" s="111" t="e">
        <f>IF(#REF!=0,"",#REF!)</f>
        <v>#REF!</v>
      </c>
      <c r="R1230" s="85" t="e">
        <f>IF(#REF!=0,"",#REF!)</f>
        <v>#REF!</v>
      </c>
      <c r="S1230" s="85" t="e">
        <f>IF(#REF!=0,"",#REF!)</f>
        <v>#REF!</v>
      </c>
      <c r="T1230" s="268"/>
      <c r="U1230" s="268"/>
      <c r="V1230" s="268"/>
    </row>
    <row r="1231" ht="15" customHeight="1" spans="2:22">
      <c r="B1231" s="6" t="e">
        <f t="shared" si="21"/>
        <v>#REF!</v>
      </c>
      <c r="C1231" s="79" t="e">
        <f>#REF!</f>
        <v>#REF!</v>
      </c>
      <c r="D1231" s="62" t="e">
        <f>IF(#REF!=0,"",#REF!)</f>
        <v>#REF!</v>
      </c>
      <c r="E1231" s="81" t="e">
        <f>IF(#REF!=0,"",#REF!)</f>
        <v>#REF!</v>
      </c>
      <c r="F1231" s="81" t="e">
        <f>IF(#REF!=0,"",#REF!)</f>
        <v>#REF!</v>
      </c>
      <c r="G1231" s="100" t="e">
        <f>#REF!</f>
        <v>#REF!</v>
      </c>
      <c r="H1231" s="159">
        <f>'27'!R1191</f>
        <v>0</v>
      </c>
      <c r="I1231" s="159">
        <f>'27'!S1191</f>
        <v>0</v>
      </c>
      <c r="J1231" s="159"/>
      <c r="K1231" s="101">
        <f>'27'!T1191</f>
        <v>0</v>
      </c>
      <c r="L1231" s="81" t="e">
        <f>#REF!</f>
        <v>#REF!</v>
      </c>
      <c r="M1231" s="100" t="e">
        <f>#REF!</f>
        <v>#REF!</v>
      </c>
      <c r="N1231" s="159"/>
      <c r="O1231" s="101" t="e">
        <f>#REF!</f>
        <v>#REF!</v>
      </c>
      <c r="P1231" s="102" t="e">
        <f>IF(#REF!=0,"",#REF!)</f>
        <v>#REF!</v>
      </c>
      <c r="Q1231" s="108" t="e">
        <f>IF(#REF!=0,"",#REF!)</f>
        <v>#REF!</v>
      </c>
      <c r="R1231" s="81" t="e">
        <f>IF(#REF!=0,"",#REF!)</f>
        <v>#REF!</v>
      </c>
      <c r="S1231" s="81" t="e">
        <f>IF(#REF!=0,"",#REF!)</f>
        <v>#REF!</v>
      </c>
      <c r="T1231" s="268"/>
      <c r="U1231" s="268"/>
      <c r="V1231" s="268"/>
    </row>
    <row r="1232" ht="15" customHeight="1" spans="2:22">
      <c r="B1232" s="6" t="e">
        <f t="shared" si="21"/>
        <v>#REF!</v>
      </c>
      <c r="C1232" s="31" t="e">
        <f>#REF!</f>
        <v>#REF!</v>
      </c>
      <c r="D1232" s="32" t="e">
        <f>IF(#REF!=0,"",#REF!)</f>
        <v>#REF!</v>
      </c>
      <c r="E1232" s="36" t="e">
        <f>IF(#REF!=0,"",#REF!)</f>
        <v>#REF!</v>
      </c>
      <c r="F1232" s="36" t="e">
        <f>IF(#REF!=0,"",#REF!)</f>
        <v>#REF!</v>
      </c>
      <c r="G1232" s="103">
        <f>'27'!Q1192</f>
        <v>0</v>
      </c>
      <c r="H1232" s="160">
        <f>'27'!R1192</f>
        <v>0</v>
      </c>
      <c r="I1232" s="160">
        <f>'27'!S1192</f>
        <v>0</v>
      </c>
      <c r="J1232" s="160"/>
      <c r="K1232" s="104">
        <f>'27'!T1192</f>
        <v>0</v>
      </c>
      <c r="L1232" s="36" t="e">
        <f>#REF!</f>
        <v>#REF!</v>
      </c>
      <c r="M1232" s="103" t="e">
        <f>#REF!</f>
        <v>#REF!</v>
      </c>
      <c r="N1232" s="160"/>
      <c r="O1232" s="104" t="e">
        <f>#REF!</f>
        <v>#REF!</v>
      </c>
      <c r="P1232" s="52" t="e">
        <f>IF(#REF!=0,"",#REF!)</f>
        <v>#REF!</v>
      </c>
      <c r="Q1232" s="109" t="e">
        <f>IF(#REF!=0,"",#REF!)</f>
        <v>#REF!</v>
      </c>
      <c r="R1232" s="36" t="e">
        <f>IF(#REF!=0,"",#REF!)</f>
        <v>#REF!</v>
      </c>
      <c r="S1232" s="36" t="e">
        <f>IF(#REF!=0,"",#REF!)</f>
        <v>#REF!</v>
      </c>
      <c r="T1232" s="268"/>
      <c r="U1232" s="268"/>
      <c r="V1232" s="268"/>
    </row>
    <row r="1233" ht="15" customHeight="1" spans="2:22">
      <c r="B1233" s="6" t="e">
        <f t="shared" si="21"/>
        <v>#REF!</v>
      </c>
      <c r="C1233" s="83" t="e">
        <f>#REF!</f>
        <v>#REF!</v>
      </c>
      <c r="D1233" s="110" t="e">
        <f>IF(#REF!=0,"",#REF!)</f>
        <v>#REF!</v>
      </c>
      <c r="E1233" s="85" t="e">
        <f>IF(#REF!=0,"",#REF!)</f>
        <v>#REF!</v>
      </c>
      <c r="F1233" s="85" t="e">
        <f>IF(#REF!=0,"",#REF!)</f>
        <v>#REF!</v>
      </c>
      <c r="G1233" s="105">
        <f>'27'!Q1193</f>
        <v>0</v>
      </c>
      <c r="H1233" s="161">
        <f>'27'!R1193</f>
        <v>0</v>
      </c>
      <c r="I1233" s="161">
        <f>'27'!S1193</f>
        <v>0</v>
      </c>
      <c r="J1233" s="161"/>
      <c r="K1233" s="106">
        <f>'27'!T1193</f>
        <v>0</v>
      </c>
      <c r="L1233" s="85" t="e">
        <f>#REF!</f>
        <v>#REF!</v>
      </c>
      <c r="M1233" s="105" t="e">
        <f>#REF!</f>
        <v>#REF!</v>
      </c>
      <c r="N1233" s="161"/>
      <c r="O1233" s="106" t="e">
        <f>#REF!</f>
        <v>#REF!</v>
      </c>
      <c r="P1233" s="107" t="e">
        <f>IF(#REF!=0,"",#REF!)</f>
        <v>#REF!</v>
      </c>
      <c r="Q1233" s="111" t="e">
        <f>IF(#REF!=0,"",#REF!)</f>
        <v>#REF!</v>
      </c>
      <c r="R1233" s="85" t="e">
        <f>IF(#REF!=0,"",#REF!)</f>
        <v>#REF!</v>
      </c>
      <c r="S1233" s="85" t="e">
        <f>IF(#REF!=0,"",#REF!)</f>
        <v>#REF!</v>
      </c>
      <c r="T1233" s="268"/>
      <c r="U1233" s="268"/>
      <c r="V1233" s="268"/>
    </row>
    <row r="1234" ht="15" customHeight="1" spans="2:22">
      <c r="B1234" s="6" t="e">
        <f t="shared" si="21"/>
        <v>#REF!</v>
      </c>
      <c r="C1234" s="79" t="e">
        <f>#REF!</f>
        <v>#REF!</v>
      </c>
      <c r="D1234" s="62" t="e">
        <f>IF(#REF!=0,"",#REF!)</f>
        <v>#REF!</v>
      </c>
      <c r="E1234" s="81" t="e">
        <f>IF(#REF!=0,"",#REF!)</f>
        <v>#REF!</v>
      </c>
      <c r="F1234" s="81" t="e">
        <f>IF(#REF!=0,"",#REF!)</f>
        <v>#REF!</v>
      </c>
      <c r="G1234" s="100" t="e">
        <f>#REF!</f>
        <v>#REF!</v>
      </c>
      <c r="H1234" s="159">
        <f>'27'!R1194</f>
        <v>0</v>
      </c>
      <c r="I1234" s="159">
        <f>'27'!S1194</f>
        <v>0</v>
      </c>
      <c r="J1234" s="159"/>
      <c r="K1234" s="101">
        <f>'27'!T1194</f>
        <v>0</v>
      </c>
      <c r="L1234" s="81" t="e">
        <f>#REF!</f>
        <v>#REF!</v>
      </c>
      <c r="M1234" s="100" t="e">
        <f>#REF!</f>
        <v>#REF!</v>
      </c>
      <c r="N1234" s="159"/>
      <c r="O1234" s="101" t="e">
        <f>#REF!</f>
        <v>#REF!</v>
      </c>
      <c r="P1234" s="102" t="e">
        <f>IF(#REF!=0,"",#REF!)</f>
        <v>#REF!</v>
      </c>
      <c r="Q1234" s="108" t="e">
        <f>IF(#REF!=0,"",#REF!)</f>
        <v>#REF!</v>
      </c>
      <c r="R1234" s="81" t="e">
        <f>IF(#REF!=0,"",#REF!)</f>
        <v>#REF!</v>
      </c>
      <c r="S1234" s="81" t="e">
        <f>IF(#REF!=0,"",#REF!)</f>
        <v>#REF!</v>
      </c>
      <c r="T1234" s="268"/>
      <c r="U1234" s="268"/>
      <c r="V1234" s="268"/>
    </row>
    <row r="1235" ht="15" customHeight="1" spans="2:22">
      <c r="B1235" s="6" t="e">
        <f t="shared" si="21"/>
        <v>#REF!</v>
      </c>
      <c r="C1235" s="31" t="e">
        <f>#REF!</f>
        <v>#REF!</v>
      </c>
      <c r="D1235" s="32" t="e">
        <f>IF(#REF!=0,"",#REF!)</f>
        <v>#REF!</v>
      </c>
      <c r="E1235" s="36" t="e">
        <f>IF(#REF!=0,"",#REF!)</f>
        <v>#REF!</v>
      </c>
      <c r="F1235" s="36" t="e">
        <f>IF(#REF!=0,"",#REF!)</f>
        <v>#REF!</v>
      </c>
      <c r="G1235" s="103">
        <f>'27'!Q1195</f>
        <v>0</v>
      </c>
      <c r="H1235" s="160">
        <f>'27'!R1195</f>
        <v>0</v>
      </c>
      <c r="I1235" s="160">
        <f>'27'!S1195</f>
        <v>0</v>
      </c>
      <c r="J1235" s="160"/>
      <c r="K1235" s="104">
        <f>'27'!T1195</f>
        <v>0</v>
      </c>
      <c r="L1235" s="36" t="e">
        <f>#REF!</f>
        <v>#REF!</v>
      </c>
      <c r="M1235" s="103" t="e">
        <f>#REF!</f>
        <v>#REF!</v>
      </c>
      <c r="N1235" s="160"/>
      <c r="O1235" s="104" t="e">
        <f>#REF!</f>
        <v>#REF!</v>
      </c>
      <c r="P1235" s="52" t="e">
        <f>IF(#REF!=0,"",#REF!)</f>
        <v>#REF!</v>
      </c>
      <c r="Q1235" s="109" t="e">
        <f>IF(#REF!=0,"",#REF!)</f>
        <v>#REF!</v>
      </c>
      <c r="R1235" s="36" t="e">
        <f>IF(#REF!=0,"",#REF!)</f>
        <v>#REF!</v>
      </c>
      <c r="S1235" s="36" t="e">
        <f>IF(#REF!=0,"",#REF!)</f>
        <v>#REF!</v>
      </c>
      <c r="T1235" s="268"/>
      <c r="U1235" s="268"/>
      <c r="V1235" s="268"/>
    </row>
    <row r="1236" ht="15" customHeight="1" spans="2:22">
      <c r="B1236" s="6" t="e">
        <f t="shared" si="21"/>
        <v>#REF!</v>
      </c>
      <c r="C1236" s="83" t="e">
        <f>#REF!</f>
        <v>#REF!</v>
      </c>
      <c r="D1236" s="110" t="e">
        <f>IF(#REF!=0,"",#REF!)</f>
        <v>#REF!</v>
      </c>
      <c r="E1236" s="85" t="e">
        <f>IF(#REF!=0,"",#REF!)</f>
        <v>#REF!</v>
      </c>
      <c r="F1236" s="85" t="e">
        <f>IF(#REF!=0,"",#REF!)</f>
        <v>#REF!</v>
      </c>
      <c r="G1236" s="105">
        <f>'27'!Q1196</f>
        <v>0</v>
      </c>
      <c r="H1236" s="161">
        <f>'27'!R1196</f>
        <v>0</v>
      </c>
      <c r="I1236" s="161">
        <f>'27'!S1196</f>
        <v>0</v>
      </c>
      <c r="J1236" s="161"/>
      <c r="K1236" s="106">
        <f>'27'!T1196</f>
        <v>0</v>
      </c>
      <c r="L1236" s="85" t="e">
        <f>#REF!</f>
        <v>#REF!</v>
      </c>
      <c r="M1236" s="105" t="e">
        <f>#REF!</f>
        <v>#REF!</v>
      </c>
      <c r="N1236" s="161"/>
      <c r="O1236" s="106" t="e">
        <f>#REF!</f>
        <v>#REF!</v>
      </c>
      <c r="P1236" s="107" t="e">
        <f>IF(#REF!=0,"",#REF!)</f>
        <v>#REF!</v>
      </c>
      <c r="Q1236" s="111" t="e">
        <f>IF(#REF!=0,"",#REF!)</f>
        <v>#REF!</v>
      </c>
      <c r="R1236" s="85" t="e">
        <f>IF(#REF!=0,"",#REF!)</f>
        <v>#REF!</v>
      </c>
      <c r="S1236" s="85" t="e">
        <f>IF(#REF!=0,"",#REF!)</f>
        <v>#REF!</v>
      </c>
      <c r="T1236" s="268"/>
      <c r="U1236" s="268"/>
      <c r="V1236" s="268"/>
    </row>
    <row r="1237" ht="15" customHeight="1" spans="2:22">
      <c r="B1237" s="6" t="e">
        <f t="shared" si="21"/>
        <v>#REF!</v>
      </c>
      <c r="C1237" s="79" t="e">
        <f>#REF!</f>
        <v>#REF!</v>
      </c>
      <c r="D1237" s="62" t="e">
        <f>IF(#REF!=0,"",#REF!)</f>
        <v>#REF!</v>
      </c>
      <c r="E1237" s="81" t="e">
        <f>IF(#REF!=0,"",#REF!)</f>
        <v>#REF!</v>
      </c>
      <c r="F1237" s="81" t="e">
        <f>IF(#REF!=0,"",#REF!)</f>
        <v>#REF!</v>
      </c>
      <c r="G1237" s="100" t="e">
        <f>#REF!</f>
        <v>#REF!</v>
      </c>
      <c r="H1237" s="159">
        <f>'27'!R1197</f>
        <v>0</v>
      </c>
      <c r="I1237" s="159">
        <f>'27'!S1197</f>
        <v>0</v>
      </c>
      <c r="J1237" s="159"/>
      <c r="K1237" s="101">
        <f>'27'!T1197</f>
        <v>0</v>
      </c>
      <c r="L1237" s="81" t="e">
        <f>#REF!</f>
        <v>#REF!</v>
      </c>
      <c r="M1237" s="100" t="e">
        <f>#REF!</f>
        <v>#REF!</v>
      </c>
      <c r="N1237" s="159"/>
      <c r="O1237" s="101" t="e">
        <f>#REF!</f>
        <v>#REF!</v>
      </c>
      <c r="P1237" s="102" t="e">
        <f>IF(#REF!=0,"",#REF!)</f>
        <v>#REF!</v>
      </c>
      <c r="Q1237" s="108" t="e">
        <f>IF(#REF!=0,"",#REF!)</f>
        <v>#REF!</v>
      </c>
      <c r="R1237" s="81" t="e">
        <f>IF(#REF!=0,"",#REF!)</f>
        <v>#REF!</v>
      </c>
      <c r="S1237" s="81" t="e">
        <f>IF(#REF!=0,"",#REF!)</f>
        <v>#REF!</v>
      </c>
      <c r="T1237" s="268"/>
      <c r="U1237" s="268"/>
      <c r="V1237" s="268"/>
    </row>
    <row r="1238" ht="15" customHeight="1" spans="2:22">
      <c r="B1238" s="6" t="e">
        <f t="shared" si="21"/>
        <v>#REF!</v>
      </c>
      <c r="C1238" s="31" t="e">
        <f>#REF!</f>
        <v>#REF!</v>
      </c>
      <c r="D1238" s="32" t="e">
        <f>IF(#REF!=0,"",#REF!)</f>
        <v>#REF!</v>
      </c>
      <c r="E1238" s="36" t="e">
        <f>IF(#REF!=0,"",#REF!)</f>
        <v>#REF!</v>
      </c>
      <c r="F1238" s="36" t="e">
        <f>IF(#REF!=0,"",#REF!)</f>
        <v>#REF!</v>
      </c>
      <c r="G1238" s="103">
        <f>'27'!Q1198</f>
        <v>0</v>
      </c>
      <c r="H1238" s="160">
        <f>'27'!R1198</f>
        <v>0</v>
      </c>
      <c r="I1238" s="160">
        <f>'27'!S1198</f>
        <v>0</v>
      </c>
      <c r="J1238" s="160"/>
      <c r="K1238" s="104">
        <f>'27'!T1198</f>
        <v>0</v>
      </c>
      <c r="L1238" s="36" t="e">
        <f>#REF!</f>
        <v>#REF!</v>
      </c>
      <c r="M1238" s="103" t="e">
        <f>#REF!</f>
        <v>#REF!</v>
      </c>
      <c r="N1238" s="160"/>
      <c r="O1238" s="104" t="e">
        <f>#REF!</f>
        <v>#REF!</v>
      </c>
      <c r="P1238" s="52" t="e">
        <f>IF(#REF!=0,"",#REF!)</f>
        <v>#REF!</v>
      </c>
      <c r="Q1238" s="109" t="e">
        <f>IF(#REF!=0,"",#REF!)</f>
        <v>#REF!</v>
      </c>
      <c r="R1238" s="36" t="e">
        <f>IF(#REF!=0,"",#REF!)</f>
        <v>#REF!</v>
      </c>
      <c r="S1238" s="36" t="e">
        <f>IF(#REF!=0,"",#REF!)</f>
        <v>#REF!</v>
      </c>
      <c r="T1238" s="268"/>
      <c r="U1238" s="268"/>
      <c r="V1238" s="268"/>
    </row>
    <row r="1239" ht="15" customHeight="1" spans="2:22">
      <c r="B1239" s="6" t="e">
        <f t="shared" si="21"/>
        <v>#REF!</v>
      </c>
      <c r="C1239" s="83" t="e">
        <f>#REF!</f>
        <v>#REF!</v>
      </c>
      <c r="D1239" s="110" t="e">
        <f>IF(#REF!=0,"",#REF!)</f>
        <v>#REF!</v>
      </c>
      <c r="E1239" s="85" t="e">
        <f>IF(#REF!=0,"",#REF!)</f>
        <v>#REF!</v>
      </c>
      <c r="F1239" s="85" t="e">
        <f>IF(#REF!=0,"",#REF!)</f>
        <v>#REF!</v>
      </c>
      <c r="G1239" s="105">
        <f>'27'!Q1199</f>
        <v>0</v>
      </c>
      <c r="H1239" s="161">
        <f>'27'!R1199</f>
        <v>0</v>
      </c>
      <c r="I1239" s="161">
        <f>'27'!S1199</f>
        <v>0</v>
      </c>
      <c r="J1239" s="161"/>
      <c r="K1239" s="106">
        <f>'27'!T1199</f>
        <v>0</v>
      </c>
      <c r="L1239" s="85" t="e">
        <f>#REF!</f>
        <v>#REF!</v>
      </c>
      <c r="M1239" s="105" t="e">
        <f>#REF!</f>
        <v>#REF!</v>
      </c>
      <c r="N1239" s="161"/>
      <c r="O1239" s="106" t="e">
        <f>#REF!</f>
        <v>#REF!</v>
      </c>
      <c r="P1239" s="107" t="e">
        <f>IF(#REF!=0,"",#REF!)</f>
        <v>#REF!</v>
      </c>
      <c r="Q1239" s="111" t="e">
        <f>IF(#REF!=0,"",#REF!)</f>
        <v>#REF!</v>
      </c>
      <c r="R1239" s="85" t="e">
        <f>IF(#REF!=0,"",#REF!)</f>
        <v>#REF!</v>
      </c>
      <c r="S1239" s="85" t="e">
        <f>IF(#REF!=0,"",#REF!)</f>
        <v>#REF!</v>
      </c>
      <c r="T1239" s="268"/>
      <c r="U1239" s="268"/>
      <c r="V1239" s="268"/>
    </row>
    <row r="1240" ht="15" customHeight="1" spans="2:22">
      <c r="B1240" s="6" t="e">
        <f t="shared" si="21"/>
        <v>#REF!</v>
      </c>
      <c r="C1240" s="79" t="e">
        <f>#REF!</f>
        <v>#REF!</v>
      </c>
      <c r="D1240" s="62" t="e">
        <f>IF(#REF!=0,"",#REF!)</f>
        <v>#REF!</v>
      </c>
      <c r="E1240" s="81" t="e">
        <f>IF(#REF!=0,"",#REF!)</f>
        <v>#REF!</v>
      </c>
      <c r="F1240" s="81" t="e">
        <f>IF(#REF!=0,"",#REF!)</f>
        <v>#REF!</v>
      </c>
      <c r="G1240" s="100" t="e">
        <f>#REF!</f>
        <v>#REF!</v>
      </c>
      <c r="H1240" s="159">
        <f>'27'!R1200</f>
        <v>0</v>
      </c>
      <c r="I1240" s="159">
        <f>'27'!S1200</f>
        <v>0</v>
      </c>
      <c r="J1240" s="159"/>
      <c r="K1240" s="101">
        <f>'27'!T1200</f>
        <v>0</v>
      </c>
      <c r="L1240" s="81" t="e">
        <f>#REF!</f>
        <v>#REF!</v>
      </c>
      <c r="M1240" s="100" t="e">
        <f>#REF!</f>
        <v>#REF!</v>
      </c>
      <c r="N1240" s="159"/>
      <c r="O1240" s="101" t="e">
        <f>#REF!</f>
        <v>#REF!</v>
      </c>
      <c r="P1240" s="102" t="e">
        <f>IF(#REF!=0,"",#REF!)</f>
        <v>#REF!</v>
      </c>
      <c r="Q1240" s="108" t="e">
        <f>IF(#REF!=0,"",#REF!)</f>
        <v>#REF!</v>
      </c>
      <c r="R1240" s="81" t="e">
        <f>IF(#REF!=0,"",#REF!)</f>
        <v>#REF!</v>
      </c>
      <c r="S1240" s="81" t="e">
        <f>IF(#REF!=0,"",#REF!)</f>
        <v>#REF!</v>
      </c>
      <c r="T1240" s="268"/>
      <c r="U1240" s="268"/>
      <c r="V1240" s="268"/>
    </row>
    <row r="1241" ht="15" customHeight="1" spans="2:22">
      <c r="B1241" s="6" t="e">
        <f t="shared" si="21"/>
        <v>#REF!</v>
      </c>
      <c r="C1241" s="31" t="e">
        <f>#REF!</f>
        <v>#REF!</v>
      </c>
      <c r="D1241" s="32" t="e">
        <f>IF(#REF!=0,"",#REF!)</f>
        <v>#REF!</v>
      </c>
      <c r="E1241" s="36" t="e">
        <f>IF(#REF!=0,"",#REF!)</f>
        <v>#REF!</v>
      </c>
      <c r="F1241" s="36" t="e">
        <f>IF(#REF!=0,"",#REF!)</f>
        <v>#REF!</v>
      </c>
      <c r="G1241" s="103">
        <f>'27'!Q1201</f>
        <v>0</v>
      </c>
      <c r="H1241" s="160">
        <f>'27'!R1201</f>
        <v>0</v>
      </c>
      <c r="I1241" s="160">
        <f>'27'!S1201</f>
        <v>0</v>
      </c>
      <c r="J1241" s="160"/>
      <c r="K1241" s="104">
        <f>'27'!T1201</f>
        <v>0</v>
      </c>
      <c r="L1241" s="36" t="e">
        <f>#REF!</f>
        <v>#REF!</v>
      </c>
      <c r="M1241" s="103" t="e">
        <f>#REF!</f>
        <v>#REF!</v>
      </c>
      <c r="N1241" s="160"/>
      <c r="O1241" s="104" t="e">
        <f>#REF!</f>
        <v>#REF!</v>
      </c>
      <c r="P1241" s="52" t="e">
        <f>IF(#REF!=0,"",#REF!)</f>
        <v>#REF!</v>
      </c>
      <c r="Q1241" s="109" t="e">
        <f>IF(#REF!=0,"",#REF!)</f>
        <v>#REF!</v>
      </c>
      <c r="R1241" s="36" t="e">
        <f>IF(#REF!=0,"",#REF!)</f>
        <v>#REF!</v>
      </c>
      <c r="S1241" s="36" t="e">
        <f>IF(#REF!=0,"",#REF!)</f>
        <v>#REF!</v>
      </c>
      <c r="T1241" s="268"/>
      <c r="U1241" s="268"/>
      <c r="V1241" s="268"/>
    </row>
    <row r="1242" ht="15" customHeight="1" spans="2:22">
      <c r="B1242" s="6" t="e">
        <f t="shared" si="21"/>
        <v>#REF!</v>
      </c>
      <c r="C1242" s="83" t="e">
        <f>#REF!</f>
        <v>#REF!</v>
      </c>
      <c r="D1242" s="110" t="e">
        <f>IF(#REF!=0,"",#REF!)</f>
        <v>#REF!</v>
      </c>
      <c r="E1242" s="85" t="e">
        <f>IF(#REF!=0,"",#REF!)</f>
        <v>#REF!</v>
      </c>
      <c r="F1242" s="85" t="e">
        <f>IF(#REF!=0,"",#REF!)</f>
        <v>#REF!</v>
      </c>
      <c r="G1242" s="105">
        <f>'27'!Q1202</f>
        <v>0</v>
      </c>
      <c r="H1242" s="161">
        <f>'27'!R1202</f>
        <v>0</v>
      </c>
      <c r="I1242" s="161">
        <f>'27'!S1202</f>
        <v>0</v>
      </c>
      <c r="J1242" s="161"/>
      <c r="K1242" s="106">
        <f>'27'!T1202</f>
        <v>0</v>
      </c>
      <c r="L1242" s="85" t="e">
        <f>#REF!</f>
        <v>#REF!</v>
      </c>
      <c r="M1242" s="105" t="e">
        <f>#REF!</f>
        <v>#REF!</v>
      </c>
      <c r="N1242" s="161"/>
      <c r="O1242" s="106" t="e">
        <f>#REF!</f>
        <v>#REF!</v>
      </c>
      <c r="P1242" s="107" t="e">
        <f>IF(#REF!=0,"",#REF!)</f>
        <v>#REF!</v>
      </c>
      <c r="Q1242" s="111" t="e">
        <f>IF(#REF!=0,"",#REF!)</f>
        <v>#REF!</v>
      </c>
      <c r="R1242" s="85" t="e">
        <f>IF(#REF!=0,"",#REF!)</f>
        <v>#REF!</v>
      </c>
      <c r="S1242" s="85" t="e">
        <f>IF(#REF!=0,"",#REF!)</f>
        <v>#REF!</v>
      </c>
      <c r="T1242" s="268"/>
      <c r="U1242" s="268"/>
      <c r="V1242" s="268"/>
    </row>
    <row r="1243" ht="15" customHeight="1" spans="2:22">
      <c r="B1243" s="6" t="e">
        <f t="shared" si="21"/>
        <v>#REF!</v>
      </c>
      <c r="C1243" s="79" t="e">
        <f>#REF!</f>
        <v>#REF!</v>
      </c>
      <c r="D1243" s="62" t="e">
        <f>IF(#REF!=0,"",#REF!)</f>
        <v>#REF!</v>
      </c>
      <c r="E1243" s="81" t="e">
        <f>IF(#REF!=0,"",#REF!)</f>
        <v>#REF!</v>
      </c>
      <c r="F1243" s="81" t="e">
        <f>IF(#REF!=0,"",#REF!)</f>
        <v>#REF!</v>
      </c>
      <c r="G1243" s="100" t="e">
        <f>#REF!</f>
        <v>#REF!</v>
      </c>
      <c r="H1243" s="159">
        <f>'27'!R1203</f>
        <v>0</v>
      </c>
      <c r="I1243" s="159">
        <f>'27'!S1203</f>
        <v>0</v>
      </c>
      <c r="J1243" s="159"/>
      <c r="K1243" s="101">
        <f>'27'!T1203</f>
        <v>0</v>
      </c>
      <c r="L1243" s="81" t="e">
        <f>#REF!</f>
        <v>#REF!</v>
      </c>
      <c r="M1243" s="100" t="e">
        <f>#REF!</f>
        <v>#REF!</v>
      </c>
      <c r="N1243" s="159"/>
      <c r="O1243" s="101" t="e">
        <f>#REF!</f>
        <v>#REF!</v>
      </c>
      <c r="P1243" s="102" t="e">
        <f>IF(#REF!=0,"",#REF!)</f>
        <v>#REF!</v>
      </c>
      <c r="Q1243" s="108" t="e">
        <f>IF(#REF!=0,"",#REF!)</f>
        <v>#REF!</v>
      </c>
      <c r="R1243" s="81" t="e">
        <f>IF(#REF!=0,"",#REF!)</f>
        <v>#REF!</v>
      </c>
      <c r="S1243" s="81" t="e">
        <f>IF(#REF!=0,"",#REF!)</f>
        <v>#REF!</v>
      </c>
      <c r="T1243" s="268"/>
      <c r="U1243" s="268"/>
      <c r="V1243" s="268"/>
    </row>
    <row r="1244" ht="15" customHeight="1" spans="2:22">
      <c r="B1244" s="6" t="e">
        <f t="shared" si="21"/>
        <v>#REF!</v>
      </c>
      <c r="C1244" s="31" t="e">
        <f>#REF!</f>
        <v>#REF!</v>
      </c>
      <c r="D1244" s="32" t="e">
        <f>IF(#REF!=0,"",#REF!)</f>
        <v>#REF!</v>
      </c>
      <c r="E1244" s="36" t="e">
        <f>IF(#REF!=0,"",#REF!)</f>
        <v>#REF!</v>
      </c>
      <c r="F1244" s="36" t="e">
        <f>IF(#REF!=0,"",#REF!)</f>
        <v>#REF!</v>
      </c>
      <c r="G1244" s="103">
        <f>'27'!Q1204</f>
        <v>0</v>
      </c>
      <c r="H1244" s="160">
        <f>'27'!R1204</f>
        <v>0</v>
      </c>
      <c r="I1244" s="160">
        <f>'27'!S1204</f>
        <v>0</v>
      </c>
      <c r="J1244" s="160"/>
      <c r="K1244" s="104">
        <f>'27'!T1204</f>
        <v>0</v>
      </c>
      <c r="L1244" s="36" t="e">
        <f>#REF!</f>
        <v>#REF!</v>
      </c>
      <c r="M1244" s="103" t="e">
        <f>#REF!</f>
        <v>#REF!</v>
      </c>
      <c r="N1244" s="160"/>
      <c r="O1244" s="104" t="e">
        <f>#REF!</f>
        <v>#REF!</v>
      </c>
      <c r="P1244" s="52" t="e">
        <f>IF(#REF!=0,"",#REF!)</f>
        <v>#REF!</v>
      </c>
      <c r="Q1244" s="109" t="e">
        <f>IF(#REF!=0,"",#REF!)</f>
        <v>#REF!</v>
      </c>
      <c r="R1244" s="36" t="e">
        <f>IF(#REF!=0,"",#REF!)</f>
        <v>#REF!</v>
      </c>
      <c r="S1244" s="36" t="e">
        <f>IF(#REF!=0,"",#REF!)</f>
        <v>#REF!</v>
      </c>
      <c r="T1244" s="268"/>
      <c r="U1244" s="268"/>
      <c r="V1244" s="268"/>
    </row>
    <row r="1245" ht="15" customHeight="1" spans="2:22">
      <c r="B1245" s="6" t="e">
        <f t="shared" si="21"/>
        <v>#REF!</v>
      </c>
      <c r="C1245" s="83" t="e">
        <f>#REF!</f>
        <v>#REF!</v>
      </c>
      <c r="D1245" s="110" t="e">
        <f>IF(#REF!=0,"",#REF!)</f>
        <v>#REF!</v>
      </c>
      <c r="E1245" s="85" t="e">
        <f>IF(#REF!=0,"",#REF!)</f>
        <v>#REF!</v>
      </c>
      <c r="F1245" s="85" t="e">
        <f>IF(#REF!=0,"",#REF!)</f>
        <v>#REF!</v>
      </c>
      <c r="G1245" s="105">
        <f>'27'!Q1205</f>
        <v>0</v>
      </c>
      <c r="H1245" s="161">
        <f>'27'!R1205</f>
        <v>0</v>
      </c>
      <c r="I1245" s="161">
        <f>'27'!S1205</f>
        <v>0</v>
      </c>
      <c r="J1245" s="161"/>
      <c r="K1245" s="106">
        <f>'27'!T1205</f>
        <v>0</v>
      </c>
      <c r="L1245" s="85" t="e">
        <f>#REF!</f>
        <v>#REF!</v>
      </c>
      <c r="M1245" s="105" t="e">
        <f>#REF!</f>
        <v>#REF!</v>
      </c>
      <c r="N1245" s="161"/>
      <c r="O1245" s="106" t="e">
        <f>#REF!</f>
        <v>#REF!</v>
      </c>
      <c r="P1245" s="107" t="e">
        <f>IF(#REF!=0,"",#REF!)</f>
        <v>#REF!</v>
      </c>
      <c r="Q1245" s="111" t="e">
        <f>IF(#REF!=0,"",#REF!)</f>
        <v>#REF!</v>
      </c>
      <c r="R1245" s="85" t="e">
        <f>IF(#REF!=0,"",#REF!)</f>
        <v>#REF!</v>
      </c>
      <c r="S1245" s="85" t="e">
        <f>IF(#REF!=0,"",#REF!)</f>
        <v>#REF!</v>
      </c>
      <c r="T1245" s="268"/>
      <c r="U1245" s="268"/>
      <c r="V1245" s="268"/>
    </row>
  </sheetData>
  <sheetProtection algorithmName="SHA-512" hashValue="f7xgF+uwU3teGB1cXqVoM207DL1bJWUxm7Z8d51x5mpl0Ye1d2+GppatS8PQVRQjnECIdA1jpJDOfaeymN2KLQ==" saltValue="iEbKXHrpyzYcxsuNaJgMwA==" spinCount="100000" sheet="1" objects="1" scenarios="1"/>
  <mergeCells count="809">
    <mergeCell ref="F2:K2"/>
    <mergeCell ref="L2:O2"/>
    <mergeCell ref="P2:Q2"/>
    <mergeCell ref="T2:V2"/>
    <mergeCell ref="M5:N5"/>
    <mergeCell ref="B2:B3"/>
    <mergeCell ref="C2:C3"/>
    <mergeCell ref="D2:D3"/>
    <mergeCell ref="E2:E3"/>
    <mergeCell ref="G15:K17"/>
    <mergeCell ref="G18:K20"/>
    <mergeCell ref="G21:K23"/>
    <mergeCell ref="G24:K26"/>
    <mergeCell ref="G27:K29"/>
    <mergeCell ref="G6:K8"/>
    <mergeCell ref="G9:K11"/>
    <mergeCell ref="G12:K14"/>
    <mergeCell ref="G45:K47"/>
    <mergeCell ref="G48:K50"/>
    <mergeCell ref="G51:K53"/>
    <mergeCell ref="G54:K56"/>
    <mergeCell ref="G57:K59"/>
    <mergeCell ref="G30:K32"/>
    <mergeCell ref="G33:K35"/>
    <mergeCell ref="G36:K38"/>
    <mergeCell ref="G39:K41"/>
    <mergeCell ref="G42:K44"/>
    <mergeCell ref="G75:K77"/>
    <mergeCell ref="G78:K80"/>
    <mergeCell ref="G81:K83"/>
    <mergeCell ref="G84:K86"/>
    <mergeCell ref="G87:K89"/>
    <mergeCell ref="G60:K62"/>
    <mergeCell ref="G63:K65"/>
    <mergeCell ref="G66:K68"/>
    <mergeCell ref="G69:K71"/>
    <mergeCell ref="G72:K74"/>
    <mergeCell ref="G105:K107"/>
    <mergeCell ref="G108:K110"/>
    <mergeCell ref="G111:K113"/>
    <mergeCell ref="G114:K116"/>
    <mergeCell ref="G117:K119"/>
    <mergeCell ref="G90:K92"/>
    <mergeCell ref="G93:K95"/>
    <mergeCell ref="G96:K98"/>
    <mergeCell ref="G99:K101"/>
    <mergeCell ref="G102:K104"/>
    <mergeCell ref="G162:K164"/>
    <mergeCell ref="G135:K137"/>
    <mergeCell ref="G138:K140"/>
    <mergeCell ref="G141:K143"/>
    <mergeCell ref="G144:K146"/>
    <mergeCell ref="G147:K149"/>
    <mergeCell ref="G120:K122"/>
    <mergeCell ref="G123:K125"/>
    <mergeCell ref="G126:K128"/>
    <mergeCell ref="G129:K131"/>
    <mergeCell ref="G132:K134"/>
    <mergeCell ref="G180:K182"/>
    <mergeCell ref="G183:K185"/>
    <mergeCell ref="M6:O8"/>
    <mergeCell ref="M9:O11"/>
    <mergeCell ref="M12:O14"/>
    <mergeCell ref="M15:O17"/>
    <mergeCell ref="M18:O20"/>
    <mergeCell ref="M21:O23"/>
    <mergeCell ref="M24:O26"/>
    <mergeCell ref="M27:O29"/>
    <mergeCell ref="M30:O32"/>
    <mergeCell ref="M33:O35"/>
    <mergeCell ref="M36:O38"/>
    <mergeCell ref="M39:O41"/>
    <mergeCell ref="G165:K167"/>
    <mergeCell ref="G168:K170"/>
    <mergeCell ref="G171:K173"/>
    <mergeCell ref="G174:K176"/>
    <mergeCell ref="G177:K179"/>
    <mergeCell ref="G150:K152"/>
    <mergeCell ref="G153:K155"/>
    <mergeCell ref="G156:K158"/>
    <mergeCell ref="G159:K161"/>
    <mergeCell ref="G201:K203"/>
    <mergeCell ref="G204:K206"/>
    <mergeCell ref="G207:K209"/>
    <mergeCell ref="G210:K212"/>
    <mergeCell ref="G213:K215"/>
    <mergeCell ref="G186:K188"/>
    <mergeCell ref="G189:K191"/>
    <mergeCell ref="G192:K194"/>
    <mergeCell ref="G195:K197"/>
    <mergeCell ref="G198:K200"/>
    <mergeCell ref="G231:K233"/>
    <mergeCell ref="G234:K236"/>
    <mergeCell ref="G237:K239"/>
    <mergeCell ref="G240:K242"/>
    <mergeCell ref="G243:K245"/>
    <mergeCell ref="G216:K218"/>
    <mergeCell ref="G219:K221"/>
    <mergeCell ref="G222:K224"/>
    <mergeCell ref="G225:K227"/>
    <mergeCell ref="G228:K230"/>
    <mergeCell ref="G261:K263"/>
    <mergeCell ref="G264:K266"/>
    <mergeCell ref="G267:K269"/>
    <mergeCell ref="G270:K272"/>
    <mergeCell ref="G273:K275"/>
    <mergeCell ref="G246:K248"/>
    <mergeCell ref="G249:K251"/>
    <mergeCell ref="G252:K254"/>
    <mergeCell ref="G255:K257"/>
    <mergeCell ref="G258:K260"/>
    <mergeCell ref="G291:K293"/>
    <mergeCell ref="G294:K296"/>
    <mergeCell ref="G297:K299"/>
    <mergeCell ref="G300:K302"/>
    <mergeCell ref="G303:K305"/>
    <mergeCell ref="G276:K278"/>
    <mergeCell ref="G279:K281"/>
    <mergeCell ref="G282:K284"/>
    <mergeCell ref="G285:K287"/>
    <mergeCell ref="G288:K290"/>
    <mergeCell ref="G321:K323"/>
    <mergeCell ref="G324:K326"/>
    <mergeCell ref="G327:K329"/>
    <mergeCell ref="G330:K332"/>
    <mergeCell ref="G333:K335"/>
    <mergeCell ref="G306:K308"/>
    <mergeCell ref="G309:K311"/>
    <mergeCell ref="G312:K314"/>
    <mergeCell ref="G315:K317"/>
    <mergeCell ref="G318:K320"/>
    <mergeCell ref="G351:K353"/>
    <mergeCell ref="G354:K356"/>
    <mergeCell ref="G357:K359"/>
    <mergeCell ref="G360:K362"/>
    <mergeCell ref="G363:K365"/>
    <mergeCell ref="G336:K338"/>
    <mergeCell ref="G339:K341"/>
    <mergeCell ref="G342:K344"/>
    <mergeCell ref="G345:K347"/>
    <mergeCell ref="G348:K350"/>
    <mergeCell ref="G381:K383"/>
    <mergeCell ref="G384:K386"/>
    <mergeCell ref="G387:K389"/>
    <mergeCell ref="G390:K392"/>
    <mergeCell ref="G393:K395"/>
    <mergeCell ref="G366:K368"/>
    <mergeCell ref="G369:K371"/>
    <mergeCell ref="G372:K374"/>
    <mergeCell ref="G375:K377"/>
    <mergeCell ref="G378:K380"/>
    <mergeCell ref="G411:K413"/>
    <mergeCell ref="G414:K416"/>
    <mergeCell ref="G417:K419"/>
    <mergeCell ref="G420:K422"/>
    <mergeCell ref="G423:K425"/>
    <mergeCell ref="G396:K398"/>
    <mergeCell ref="G399:K401"/>
    <mergeCell ref="G402:K404"/>
    <mergeCell ref="G405:K407"/>
    <mergeCell ref="G408:K410"/>
    <mergeCell ref="G441:K443"/>
    <mergeCell ref="G444:K446"/>
    <mergeCell ref="G447:K449"/>
    <mergeCell ref="G450:K452"/>
    <mergeCell ref="G453:K455"/>
    <mergeCell ref="G426:K428"/>
    <mergeCell ref="G429:K431"/>
    <mergeCell ref="G432:K434"/>
    <mergeCell ref="G435:K437"/>
    <mergeCell ref="G438:K440"/>
    <mergeCell ref="G471:K473"/>
    <mergeCell ref="G474:K476"/>
    <mergeCell ref="G477:K479"/>
    <mergeCell ref="G480:K482"/>
    <mergeCell ref="G483:K485"/>
    <mergeCell ref="G456:K458"/>
    <mergeCell ref="G459:K461"/>
    <mergeCell ref="G462:K464"/>
    <mergeCell ref="G465:K467"/>
    <mergeCell ref="G468:K470"/>
    <mergeCell ref="G501:K503"/>
    <mergeCell ref="G504:K506"/>
    <mergeCell ref="G507:K509"/>
    <mergeCell ref="G510:K512"/>
    <mergeCell ref="G513:K515"/>
    <mergeCell ref="G486:K488"/>
    <mergeCell ref="G489:K491"/>
    <mergeCell ref="G492:K494"/>
    <mergeCell ref="G495:K497"/>
    <mergeCell ref="G498:K500"/>
    <mergeCell ref="G531:K533"/>
    <mergeCell ref="G534:K536"/>
    <mergeCell ref="G537:K539"/>
    <mergeCell ref="G540:K542"/>
    <mergeCell ref="G543:K545"/>
    <mergeCell ref="G516:K518"/>
    <mergeCell ref="G519:K521"/>
    <mergeCell ref="G522:K524"/>
    <mergeCell ref="G525:K527"/>
    <mergeCell ref="G528:K530"/>
    <mergeCell ref="G561:K563"/>
    <mergeCell ref="G564:K566"/>
    <mergeCell ref="G567:K569"/>
    <mergeCell ref="G570:K572"/>
    <mergeCell ref="G573:K575"/>
    <mergeCell ref="G546:K548"/>
    <mergeCell ref="G549:K551"/>
    <mergeCell ref="G552:K554"/>
    <mergeCell ref="G555:K557"/>
    <mergeCell ref="G558:K560"/>
    <mergeCell ref="G591:K593"/>
    <mergeCell ref="G594:K596"/>
    <mergeCell ref="G597:K599"/>
    <mergeCell ref="G600:K602"/>
    <mergeCell ref="G603:K605"/>
    <mergeCell ref="G576:K578"/>
    <mergeCell ref="G579:K581"/>
    <mergeCell ref="G582:K584"/>
    <mergeCell ref="G585:K587"/>
    <mergeCell ref="G588:K590"/>
    <mergeCell ref="G606:K609"/>
    <mergeCell ref="G610:K613"/>
    <mergeCell ref="G614:K617"/>
    <mergeCell ref="G618:K621"/>
    <mergeCell ref="G622:K625"/>
    <mergeCell ref="G626:K629"/>
    <mergeCell ref="G630:K633"/>
    <mergeCell ref="G634:K637"/>
    <mergeCell ref="G638:K641"/>
    <mergeCell ref="G642:K645"/>
    <mergeCell ref="G646:K649"/>
    <mergeCell ref="G650:K653"/>
    <mergeCell ref="G654:K657"/>
    <mergeCell ref="G658:K661"/>
    <mergeCell ref="G662:K665"/>
    <mergeCell ref="G666:K669"/>
    <mergeCell ref="G670:K673"/>
    <mergeCell ref="G674:K677"/>
    <mergeCell ref="G678:K681"/>
    <mergeCell ref="G682:K685"/>
    <mergeCell ref="G686:K689"/>
    <mergeCell ref="G706:K709"/>
    <mergeCell ref="G710:K713"/>
    <mergeCell ref="G714:K717"/>
    <mergeCell ref="G718:K721"/>
    <mergeCell ref="G722:K725"/>
    <mergeCell ref="G726:K729"/>
    <mergeCell ref="G690:K693"/>
    <mergeCell ref="G694:K697"/>
    <mergeCell ref="G698:K701"/>
    <mergeCell ref="G702:K705"/>
    <mergeCell ref="G730:K733"/>
    <mergeCell ref="G734:K737"/>
    <mergeCell ref="G738:K741"/>
    <mergeCell ref="G742:K745"/>
    <mergeCell ref="G746:K749"/>
    <mergeCell ref="G750:K753"/>
    <mergeCell ref="G754:K757"/>
    <mergeCell ref="G758:K761"/>
    <mergeCell ref="G762:K765"/>
    <mergeCell ref="G781:K783"/>
    <mergeCell ref="G784:K786"/>
    <mergeCell ref="G787:K789"/>
    <mergeCell ref="G790:K792"/>
    <mergeCell ref="G793:K795"/>
    <mergeCell ref="G766:K768"/>
    <mergeCell ref="G769:K771"/>
    <mergeCell ref="G772:K774"/>
    <mergeCell ref="G775:K777"/>
    <mergeCell ref="G778:K780"/>
    <mergeCell ref="G811:K813"/>
    <mergeCell ref="G814:K816"/>
    <mergeCell ref="G817:K819"/>
    <mergeCell ref="G820:K822"/>
    <mergeCell ref="G823:K825"/>
    <mergeCell ref="G796:K798"/>
    <mergeCell ref="G799:K801"/>
    <mergeCell ref="G802:K804"/>
    <mergeCell ref="G805:K807"/>
    <mergeCell ref="G808:K810"/>
    <mergeCell ref="G841:K843"/>
    <mergeCell ref="G844:K846"/>
    <mergeCell ref="G847:K849"/>
    <mergeCell ref="G850:K852"/>
    <mergeCell ref="G853:K855"/>
    <mergeCell ref="G826:K828"/>
    <mergeCell ref="G829:K831"/>
    <mergeCell ref="G832:K834"/>
    <mergeCell ref="G835:K837"/>
    <mergeCell ref="G838:K840"/>
    <mergeCell ref="G871:K873"/>
    <mergeCell ref="G874:K876"/>
    <mergeCell ref="G877:K879"/>
    <mergeCell ref="G880:K882"/>
    <mergeCell ref="G883:K885"/>
    <mergeCell ref="G856:K858"/>
    <mergeCell ref="G859:K861"/>
    <mergeCell ref="G862:K864"/>
    <mergeCell ref="G865:K867"/>
    <mergeCell ref="G868:K870"/>
    <mergeCell ref="G901:K903"/>
    <mergeCell ref="G904:K906"/>
    <mergeCell ref="G907:K909"/>
    <mergeCell ref="G910:K912"/>
    <mergeCell ref="G913:K915"/>
    <mergeCell ref="G886:K888"/>
    <mergeCell ref="G889:K891"/>
    <mergeCell ref="G892:K894"/>
    <mergeCell ref="G895:K897"/>
    <mergeCell ref="G898:K900"/>
    <mergeCell ref="G931:K933"/>
    <mergeCell ref="G934:K936"/>
    <mergeCell ref="G937:K939"/>
    <mergeCell ref="G940:K942"/>
    <mergeCell ref="G943:K945"/>
    <mergeCell ref="G916:K918"/>
    <mergeCell ref="G919:K921"/>
    <mergeCell ref="G922:K924"/>
    <mergeCell ref="G925:K927"/>
    <mergeCell ref="G928:K930"/>
    <mergeCell ref="G961:K963"/>
    <mergeCell ref="G964:K966"/>
    <mergeCell ref="G967:K969"/>
    <mergeCell ref="G970:K972"/>
    <mergeCell ref="G973:K975"/>
    <mergeCell ref="G946:K948"/>
    <mergeCell ref="G949:K951"/>
    <mergeCell ref="G952:K954"/>
    <mergeCell ref="G955:K957"/>
    <mergeCell ref="G958:K960"/>
    <mergeCell ref="G991:K993"/>
    <mergeCell ref="G994:K996"/>
    <mergeCell ref="G997:K999"/>
    <mergeCell ref="G1000:K1002"/>
    <mergeCell ref="G1003:K1005"/>
    <mergeCell ref="G976:K978"/>
    <mergeCell ref="G979:K981"/>
    <mergeCell ref="G982:K984"/>
    <mergeCell ref="G985:K987"/>
    <mergeCell ref="G988:K990"/>
    <mergeCell ref="G1021:K1023"/>
    <mergeCell ref="G1024:K1026"/>
    <mergeCell ref="G1027:K1029"/>
    <mergeCell ref="G1030:K1032"/>
    <mergeCell ref="G1033:K1035"/>
    <mergeCell ref="G1006:K1008"/>
    <mergeCell ref="G1009:K1011"/>
    <mergeCell ref="G1012:K1014"/>
    <mergeCell ref="G1015:K1017"/>
    <mergeCell ref="G1018:K1020"/>
    <mergeCell ref="G1051:K1053"/>
    <mergeCell ref="G1054:K1056"/>
    <mergeCell ref="G1057:K1059"/>
    <mergeCell ref="G1060:K1062"/>
    <mergeCell ref="G1063:K1065"/>
    <mergeCell ref="G1036:K1038"/>
    <mergeCell ref="G1039:K1041"/>
    <mergeCell ref="G1042:K1044"/>
    <mergeCell ref="G1045:K1047"/>
    <mergeCell ref="G1048:K1050"/>
    <mergeCell ref="G1081:K1083"/>
    <mergeCell ref="G1084:K1086"/>
    <mergeCell ref="G1087:K1089"/>
    <mergeCell ref="G1090:K1092"/>
    <mergeCell ref="G1093:K1095"/>
    <mergeCell ref="G1066:K1068"/>
    <mergeCell ref="G1069:K1071"/>
    <mergeCell ref="G1072:K1074"/>
    <mergeCell ref="G1075:K1077"/>
    <mergeCell ref="G1078:K1080"/>
    <mergeCell ref="G1111:K1113"/>
    <mergeCell ref="G1114:K1116"/>
    <mergeCell ref="G1117:K1119"/>
    <mergeCell ref="G1120:K1122"/>
    <mergeCell ref="G1123:K1125"/>
    <mergeCell ref="G1096:K1098"/>
    <mergeCell ref="G1099:K1101"/>
    <mergeCell ref="G1102:K1104"/>
    <mergeCell ref="G1105:K1107"/>
    <mergeCell ref="G1108:K1110"/>
    <mergeCell ref="G1141:K1143"/>
    <mergeCell ref="G1144:K1146"/>
    <mergeCell ref="G1147:K1149"/>
    <mergeCell ref="G1150:K1152"/>
    <mergeCell ref="G1153:K1155"/>
    <mergeCell ref="G1126:K1128"/>
    <mergeCell ref="G1129:K1131"/>
    <mergeCell ref="G1132:K1134"/>
    <mergeCell ref="G1135:K1137"/>
    <mergeCell ref="G1138:K1140"/>
    <mergeCell ref="G1243:K1245"/>
    <mergeCell ref="G1216:K1218"/>
    <mergeCell ref="G1219:K1221"/>
    <mergeCell ref="G1222:K1224"/>
    <mergeCell ref="G1225:K1227"/>
    <mergeCell ref="G1228:K1230"/>
    <mergeCell ref="G1201:K1203"/>
    <mergeCell ref="G1204:K1206"/>
    <mergeCell ref="G1207:K1209"/>
    <mergeCell ref="G1210:K1212"/>
    <mergeCell ref="G1213:K1215"/>
    <mergeCell ref="M42:O44"/>
    <mergeCell ref="M45:O47"/>
    <mergeCell ref="M48:O50"/>
    <mergeCell ref="M51:O53"/>
    <mergeCell ref="M54:O56"/>
    <mergeCell ref="G1231:K1233"/>
    <mergeCell ref="G1234:K1236"/>
    <mergeCell ref="G1237:K1239"/>
    <mergeCell ref="G1240:K1242"/>
    <mergeCell ref="G1186:K1188"/>
    <mergeCell ref="G1189:K1191"/>
    <mergeCell ref="G1192:K1194"/>
    <mergeCell ref="G1195:K1197"/>
    <mergeCell ref="G1198:K1200"/>
    <mergeCell ref="G1171:K1173"/>
    <mergeCell ref="G1174:K1176"/>
    <mergeCell ref="G1177:K1179"/>
    <mergeCell ref="G1180:K1182"/>
    <mergeCell ref="G1183:K1185"/>
    <mergeCell ref="G1156:K1158"/>
    <mergeCell ref="G1159:K1161"/>
    <mergeCell ref="G1162:K1164"/>
    <mergeCell ref="G1165:K1167"/>
    <mergeCell ref="G1168:K1170"/>
    <mergeCell ref="M72:O74"/>
    <mergeCell ref="M75:O77"/>
    <mergeCell ref="M78:O80"/>
    <mergeCell ref="M81:O83"/>
    <mergeCell ref="M84:O86"/>
    <mergeCell ref="M57:O59"/>
    <mergeCell ref="M60:O62"/>
    <mergeCell ref="M63:O65"/>
    <mergeCell ref="M66:O68"/>
    <mergeCell ref="M69:O71"/>
    <mergeCell ref="M102:O104"/>
    <mergeCell ref="M105:O107"/>
    <mergeCell ref="M108:O110"/>
    <mergeCell ref="M111:O113"/>
    <mergeCell ref="M114:O116"/>
    <mergeCell ref="M87:O89"/>
    <mergeCell ref="M90:O92"/>
    <mergeCell ref="M93:O95"/>
    <mergeCell ref="M96:O98"/>
    <mergeCell ref="M99:O101"/>
    <mergeCell ref="M132:O134"/>
    <mergeCell ref="M135:O137"/>
    <mergeCell ref="M138:O140"/>
    <mergeCell ref="M141:O143"/>
    <mergeCell ref="M144:O146"/>
    <mergeCell ref="M117:O119"/>
    <mergeCell ref="M120:O122"/>
    <mergeCell ref="M123:O125"/>
    <mergeCell ref="M126:O128"/>
    <mergeCell ref="M129:O131"/>
    <mergeCell ref="M162:O164"/>
    <mergeCell ref="M165:O167"/>
    <mergeCell ref="M168:O170"/>
    <mergeCell ref="M171:O173"/>
    <mergeCell ref="M174:O176"/>
    <mergeCell ref="M147:O149"/>
    <mergeCell ref="M150:O152"/>
    <mergeCell ref="M153:O155"/>
    <mergeCell ref="M156:O158"/>
    <mergeCell ref="M159:O161"/>
    <mergeCell ref="M192:O194"/>
    <mergeCell ref="M195:O197"/>
    <mergeCell ref="M198:O200"/>
    <mergeCell ref="M201:O203"/>
    <mergeCell ref="M204:O206"/>
    <mergeCell ref="M177:O179"/>
    <mergeCell ref="M180:O182"/>
    <mergeCell ref="M183:O185"/>
    <mergeCell ref="M186:O188"/>
    <mergeCell ref="M189:O191"/>
    <mergeCell ref="M222:O224"/>
    <mergeCell ref="M225:O227"/>
    <mergeCell ref="M228:O230"/>
    <mergeCell ref="M231:O233"/>
    <mergeCell ref="M234:O236"/>
    <mergeCell ref="M207:O209"/>
    <mergeCell ref="M210:O212"/>
    <mergeCell ref="M213:O215"/>
    <mergeCell ref="M216:O218"/>
    <mergeCell ref="M219:O221"/>
    <mergeCell ref="M252:O254"/>
    <mergeCell ref="M255:O257"/>
    <mergeCell ref="M258:O260"/>
    <mergeCell ref="M261:O263"/>
    <mergeCell ref="M264:O266"/>
    <mergeCell ref="M237:O239"/>
    <mergeCell ref="M240:O242"/>
    <mergeCell ref="M243:O245"/>
    <mergeCell ref="M246:O248"/>
    <mergeCell ref="M249:O251"/>
    <mergeCell ref="M282:O284"/>
    <mergeCell ref="M285:O287"/>
    <mergeCell ref="M288:O290"/>
    <mergeCell ref="M291:O293"/>
    <mergeCell ref="M294:O296"/>
    <mergeCell ref="M267:O269"/>
    <mergeCell ref="M270:O272"/>
    <mergeCell ref="M273:O275"/>
    <mergeCell ref="M276:O278"/>
    <mergeCell ref="M279:O281"/>
    <mergeCell ref="M312:O314"/>
    <mergeCell ref="M315:O317"/>
    <mergeCell ref="M318:O320"/>
    <mergeCell ref="M321:O323"/>
    <mergeCell ref="M324:O326"/>
    <mergeCell ref="M297:O299"/>
    <mergeCell ref="M300:O302"/>
    <mergeCell ref="M303:O305"/>
    <mergeCell ref="M306:O308"/>
    <mergeCell ref="M309:O311"/>
    <mergeCell ref="M342:O344"/>
    <mergeCell ref="M345:O347"/>
    <mergeCell ref="M348:O350"/>
    <mergeCell ref="M351:O353"/>
    <mergeCell ref="M354:O356"/>
    <mergeCell ref="M327:O329"/>
    <mergeCell ref="M330:O332"/>
    <mergeCell ref="M333:O335"/>
    <mergeCell ref="M336:O338"/>
    <mergeCell ref="M339:O341"/>
    <mergeCell ref="M372:O374"/>
    <mergeCell ref="M375:O377"/>
    <mergeCell ref="M378:O380"/>
    <mergeCell ref="M381:O383"/>
    <mergeCell ref="M384:O386"/>
    <mergeCell ref="M357:O359"/>
    <mergeCell ref="M360:O362"/>
    <mergeCell ref="M363:O365"/>
    <mergeCell ref="M366:O368"/>
    <mergeCell ref="M369:O371"/>
    <mergeCell ref="M402:O404"/>
    <mergeCell ref="M405:O407"/>
    <mergeCell ref="M408:O410"/>
    <mergeCell ref="M411:O413"/>
    <mergeCell ref="M414:O416"/>
    <mergeCell ref="M387:O389"/>
    <mergeCell ref="M390:O392"/>
    <mergeCell ref="M393:O395"/>
    <mergeCell ref="M396:O398"/>
    <mergeCell ref="M399:O401"/>
    <mergeCell ref="M432:O434"/>
    <mergeCell ref="M435:O437"/>
    <mergeCell ref="M438:O440"/>
    <mergeCell ref="M441:O443"/>
    <mergeCell ref="M444:O446"/>
    <mergeCell ref="M417:O419"/>
    <mergeCell ref="M420:O422"/>
    <mergeCell ref="M423:O425"/>
    <mergeCell ref="M426:O428"/>
    <mergeCell ref="M429:O431"/>
    <mergeCell ref="M462:O464"/>
    <mergeCell ref="M465:O467"/>
    <mergeCell ref="M468:O470"/>
    <mergeCell ref="M471:O473"/>
    <mergeCell ref="M474:O476"/>
    <mergeCell ref="M447:O449"/>
    <mergeCell ref="M450:O452"/>
    <mergeCell ref="M453:O455"/>
    <mergeCell ref="M456:O458"/>
    <mergeCell ref="M459:O461"/>
    <mergeCell ref="M492:O494"/>
    <mergeCell ref="M495:O497"/>
    <mergeCell ref="M498:O500"/>
    <mergeCell ref="M501:O503"/>
    <mergeCell ref="M504:O506"/>
    <mergeCell ref="M477:O479"/>
    <mergeCell ref="M480:O482"/>
    <mergeCell ref="M483:O485"/>
    <mergeCell ref="M486:O488"/>
    <mergeCell ref="M489:O491"/>
    <mergeCell ref="M522:O524"/>
    <mergeCell ref="M525:O527"/>
    <mergeCell ref="M528:O530"/>
    <mergeCell ref="M531:O533"/>
    <mergeCell ref="M534:O536"/>
    <mergeCell ref="M507:O509"/>
    <mergeCell ref="M510:O512"/>
    <mergeCell ref="M513:O515"/>
    <mergeCell ref="M516:O518"/>
    <mergeCell ref="M519:O521"/>
    <mergeCell ref="M552:O554"/>
    <mergeCell ref="M555:O557"/>
    <mergeCell ref="M558:O560"/>
    <mergeCell ref="M561:O563"/>
    <mergeCell ref="M564:O566"/>
    <mergeCell ref="M537:O539"/>
    <mergeCell ref="M540:O542"/>
    <mergeCell ref="M543:O545"/>
    <mergeCell ref="M546:O548"/>
    <mergeCell ref="M549:O551"/>
    <mergeCell ref="M582:O584"/>
    <mergeCell ref="M585:O587"/>
    <mergeCell ref="M588:O590"/>
    <mergeCell ref="M591:O593"/>
    <mergeCell ref="M594:O596"/>
    <mergeCell ref="M567:O569"/>
    <mergeCell ref="M570:O572"/>
    <mergeCell ref="M573:O575"/>
    <mergeCell ref="M576:O578"/>
    <mergeCell ref="M579:O581"/>
    <mergeCell ref="M597:O599"/>
    <mergeCell ref="M600:O602"/>
    <mergeCell ref="M603:O605"/>
    <mergeCell ref="M606:O609"/>
    <mergeCell ref="M610:O613"/>
    <mergeCell ref="M614:O617"/>
    <mergeCell ref="M618:O621"/>
    <mergeCell ref="M622:O625"/>
    <mergeCell ref="M626:O629"/>
    <mergeCell ref="M630:O633"/>
    <mergeCell ref="M634:O637"/>
    <mergeCell ref="M638:O641"/>
    <mergeCell ref="M642:O645"/>
    <mergeCell ref="M646:O649"/>
    <mergeCell ref="M650:O653"/>
    <mergeCell ref="M654:O657"/>
    <mergeCell ref="M658:O661"/>
    <mergeCell ref="M662:O665"/>
    <mergeCell ref="M666:O669"/>
    <mergeCell ref="M670:O673"/>
    <mergeCell ref="M674:O677"/>
    <mergeCell ref="M678:O681"/>
    <mergeCell ref="M682:O685"/>
    <mergeCell ref="M706:O709"/>
    <mergeCell ref="M710:O713"/>
    <mergeCell ref="M714:O717"/>
    <mergeCell ref="M718:O721"/>
    <mergeCell ref="M686:O689"/>
    <mergeCell ref="M690:O693"/>
    <mergeCell ref="M694:O697"/>
    <mergeCell ref="M698:O701"/>
    <mergeCell ref="M702:O705"/>
    <mergeCell ref="M766:O768"/>
    <mergeCell ref="M769:O771"/>
    <mergeCell ref="M758:O761"/>
    <mergeCell ref="M762:O765"/>
    <mergeCell ref="M722:O725"/>
    <mergeCell ref="M726:O729"/>
    <mergeCell ref="M730:O733"/>
    <mergeCell ref="M734:O737"/>
    <mergeCell ref="M738:O741"/>
    <mergeCell ref="M742:O745"/>
    <mergeCell ref="M746:O749"/>
    <mergeCell ref="M750:O753"/>
    <mergeCell ref="M754:O757"/>
    <mergeCell ref="M787:O789"/>
    <mergeCell ref="M790:O792"/>
    <mergeCell ref="M793:O795"/>
    <mergeCell ref="M796:O798"/>
    <mergeCell ref="M799:O801"/>
    <mergeCell ref="M772:O774"/>
    <mergeCell ref="M775:O777"/>
    <mergeCell ref="M778:O780"/>
    <mergeCell ref="M781:O783"/>
    <mergeCell ref="M784:O786"/>
    <mergeCell ref="M817:O819"/>
    <mergeCell ref="M820:O822"/>
    <mergeCell ref="M823:O825"/>
    <mergeCell ref="M826:O828"/>
    <mergeCell ref="M829:O831"/>
    <mergeCell ref="M802:O804"/>
    <mergeCell ref="M805:O807"/>
    <mergeCell ref="M808:O810"/>
    <mergeCell ref="M811:O813"/>
    <mergeCell ref="M814:O816"/>
    <mergeCell ref="M847:O849"/>
    <mergeCell ref="M850:O852"/>
    <mergeCell ref="M853:O855"/>
    <mergeCell ref="M856:O858"/>
    <mergeCell ref="M859:O861"/>
    <mergeCell ref="M832:O834"/>
    <mergeCell ref="M835:O837"/>
    <mergeCell ref="M838:O840"/>
    <mergeCell ref="M841:O843"/>
    <mergeCell ref="M844:O846"/>
    <mergeCell ref="M877:O879"/>
    <mergeCell ref="M880:O882"/>
    <mergeCell ref="M883:O885"/>
    <mergeCell ref="M886:O888"/>
    <mergeCell ref="M889:O891"/>
    <mergeCell ref="M862:O864"/>
    <mergeCell ref="M865:O867"/>
    <mergeCell ref="M868:O870"/>
    <mergeCell ref="M871:O873"/>
    <mergeCell ref="M874:O876"/>
    <mergeCell ref="M907:O909"/>
    <mergeCell ref="M910:O912"/>
    <mergeCell ref="M913:O915"/>
    <mergeCell ref="M916:O918"/>
    <mergeCell ref="M919:O921"/>
    <mergeCell ref="M892:O894"/>
    <mergeCell ref="M895:O897"/>
    <mergeCell ref="M898:O900"/>
    <mergeCell ref="M901:O903"/>
    <mergeCell ref="M904:O906"/>
    <mergeCell ref="M937:O939"/>
    <mergeCell ref="M940:O942"/>
    <mergeCell ref="M943:O945"/>
    <mergeCell ref="M946:O948"/>
    <mergeCell ref="M949:O951"/>
    <mergeCell ref="M922:O924"/>
    <mergeCell ref="M925:O927"/>
    <mergeCell ref="M928:O930"/>
    <mergeCell ref="M931:O933"/>
    <mergeCell ref="M934:O936"/>
    <mergeCell ref="M967:O969"/>
    <mergeCell ref="M970:O972"/>
    <mergeCell ref="M973:O975"/>
    <mergeCell ref="M976:O978"/>
    <mergeCell ref="M979:O981"/>
    <mergeCell ref="M952:O954"/>
    <mergeCell ref="M955:O957"/>
    <mergeCell ref="M958:O960"/>
    <mergeCell ref="M961:O963"/>
    <mergeCell ref="M964:O966"/>
    <mergeCell ref="M997:O999"/>
    <mergeCell ref="M1000:O1002"/>
    <mergeCell ref="M1003:O1005"/>
    <mergeCell ref="M1006:O1008"/>
    <mergeCell ref="M1009:O1011"/>
    <mergeCell ref="M982:O984"/>
    <mergeCell ref="M985:O987"/>
    <mergeCell ref="M988:O990"/>
    <mergeCell ref="M991:O993"/>
    <mergeCell ref="M994:O996"/>
    <mergeCell ref="M1027:O1029"/>
    <mergeCell ref="M1030:O1032"/>
    <mergeCell ref="M1033:O1035"/>
    <mergeCell ref="M1036:O1038"/>
    <mergeCell ref="M1039:O1041"/>
    <mergeCell ref="M1012:O1014"/>
    <mergeCell ref="M1015:O1017"/>
    <mergeCell ref="M1018:O1020"/>
    <mergeCell ref="M1021:O1023"/>
    <mergeCell ref="M1024:O1026"/>
    <mergeCell ref="M1057:O1059"/>
    <mergeCell ref="M1060:O1062"/>
    <mergeCell ref="M1063:O1065"/>
    <mergeCell ref="M1066:O1068"/>
    <mergeCell ref="M1069:O1071"/>
    <mergeCell ref="M1042:O1044"/>
    <mergeCell ref="M1045:O1047"/>
    <mergeCell ref="M1048:O1050"/>
    <mergeCell ref="M1051:O1053"/>
    <mergeCell ref="M1054:O1056"/>
    <mergeCell ref="M1087:O1089"/>
    <mergeCell ref="M1090:O1092"/>
    <mergeCell ref="M1093:O1095"/>
    <mergeCell ref="M1096:O1098"/>
    <mergeCell ref="M1099:O1101"/>
    <mergeCell ref="M1072:O1074"/>
    <mergeCell ref="M1075:O1077"/>
    <mergeCell ref="M1078:O1080"/>
    <mergeCell ref="M1081:O1083"/>
    <mergeCell ref="M1084:O1086"/>
    <mergeCell ref="M1117:O1119"/>
    <mergeCell ref="M1120:O1122"/>
    <mergeCell ref="M1123:O1125"/>
    <mergeCell ref="M1126:O1128"/>
    <mergeCell ref="M1129:O1131"/>
    <mergeCell ref="M1102:O1104"/>
    <mergeCell ref="M1105:O1107"/>
    <mergeCell ref="M1108:O1110"/>
    <mergeCell ref="M1111:O1113"/>
    <mergeCell ref="M1114:O1116"/>
    <mergeCell ref="M1147:O1149"/>
    <mergeCell ref="M1150:O1152"/>
    <mergeCell ref="M1153:O1155"/>
    <mergeCell ref="M1156:O1158"/>
    <mergeCell ref="M1159:O1161"/>
    <mergeCell ref="M1132:O1134"/>
    <mergeCell ref="M1135:O1137"/>
    <mergeCell ref="M1138:O1140"/>
    <mergeCell ref="M1141:O1143"/>
    <mergeCell ref="M1144:O1146"/>
    <mergeCell ref="M1180:O1182"/>
    <mergeCell ref="M1183:O1185"/>
    <mergeCell ref="M1186:O1188"/>
    <mergeCell ref="M1189:O1191"/>
    <mergeCell ref="M1162:O1164"/>
    <mergeCell ref="M1165:O1167"/>
    <mergeCell ref="M1168:O1170"/>
    <mergeCell ref="M1171:O1173"/>
    <mergeCell ref="M1174:O1176"/>
    <mergeCell ref="M1237:O1239"/>
    <mergeCell ref="M1240:O1242"/>
    <mergeCell ref="M1243:O1245"/>
    <mergeCell ref="M1222:O1224"/>
    <mergeCell ref="M1225:O1227"/>
    <mergeCell ref="M1228:O1230"/>
    <mergeCell ref="M1231:O1233"/>
    <mergeCell ref="M1234:O1236"/>
    <mergeCell ref="M1207:O1209"/>
    <mergeCell ref="M1210:O1212"/>
    <mergeCell ref="M1213:O1215"/>
    <mergeCell ref="M1216:O1218"/>
    <mergeCell ref="M1219:O1221"/>
    <mergeCell ref="M1192:O1194"/>
    <mergeCell ref="M1195:O1197"/>
    <mergeCell ref="M1198:O1200"/>
    <mergeCell ref="M1201:O1203"/>
    <mergeCell ref="M1204:O1206"/>
    <mergeCell ref="M1177:O1179"/>
  </mergeCells>
  <conditionalFormatting sqref="B6:B1245">
    <cfRule type="cellIs" dxfId="12" priority="58" operator="equal">
      <formula>B5</formula>
    </cfRule>
  </conditionalFormatting>
  <conditionalFormatting sqref="C6:C1245">
    <cfRule type="cellIs" dxfId="12" priority="57" operator="equal">
      <formula>0</formula>
    </cfRule>
  </conditionalFormatting>
  <conditionalFormatting sqref="L6:L1048576">
    <cfRule type="cellIs" dxfId="12" priority="54" operator="equal">
      <formula>0</formula>
    </cfRule>
  </conditionalFormatting>
  <conditionalFormatting sqref="P6:P1260">
    <cfRule type="expression" dxfId="13" priority="20">
      <formula>Q6&lt;TODAY()</formula>
    </cfRule>
    <cfRule type="expression" dxfId="14" priority="21">
      <formula>P6&lt;TODAY()</formula>
    </cfRule>
  </conditionalFormatting>
  <conditionalFormatting sqref="P9:P1246">
    <cfRule type="expression" dxfId="13" priority="33">
      <formula>Q9&lt;TODAY()</formula>
    </cfRule>
    <cfRule type="expression" dxfId="14" priority="37">
      <formula>P9&lt;TODAY()</formula>
    </cfRule>
  </conditionalFormatting>
  <conditionalFormatting sqref="Q6:Q1260">
    <cfRule type="expression" dxfId="15" priority="16">
      <formula>AND(Q6&lt;P6,P6&lt;&gt;"")</formula>
    </cfRule>
    <cfRule type="expression" dxfId="13" priority="17">
      <formula>Q6&lt;TODAY()</formula>
    </cfRule>
    <cfRule type="expression" dxfId="14" priority="18">
      <formula>AND(Q6&gt;TODAY(),P6="")</formula>
    </cfRule>
    <cfRule type="expression" dxfId="14" priority="19">
      <formula>P6&lt;TODAY()</formula>
    </cfRule>
  </conditionalFormatting>
  <conditionalFormatting sqref="Q9:Q1246">
    <cfRule type="cellIs" dxfId="16" priority="27" operator="lessThan">
      <formula>P9</formula>
    </cfRule>
    <cfRule type="expression" dxfId="13" priority="30">
      <formula>Q9&lt;TODAY()</formula>
    </cfRule>
    <cfRule type="expression" dxfId="14" priority="31">
      <formula>P9&lt;TODAY()</formula>
    </cfRule>
  </conditionalFormatting>
  <conditionalFormatting sqref="R6:R1250">
    <cfRule type="duplicateValues" dxfId="17" priority="4"/>
  </conditionalFormatting>
  <conditionalFormatting sqref="S6:S1250">
    <cfRule type="duplicateValues" dxfId="17" priority="2"/>
  </conditionalFormatting>
  <conditionalFormatting sqref="G6:K1250">
    <cfRule type="cellIs" dxfId="18" priority="11" operator="equal">
      <formula>"Quadre"</formula>
    </cfRule>
    <cfRule type="cellIs" dxfId="19" priority="12" operator="equal">
      <formula>"Triple"</formula>
    </cfRule>
    <cfRule type="cellIs" dxfId="20" priority="13" operator="equal">
      <formula>"Double"</formula>
    </cfRule>
    <cfRule type="cellIs" dxfId="21" priority="14" operator="equal">
      <formula>"Single"</formula>
    </cfRule>
  </conditionalFormatting>
  <conditionalFormatting sqref="M6:O1250">
    <cfRule type="cellIs" dxfId="18" priority="7" operator="equal">
      <formula>4</formula>
    </cfRule>
    <cfRule type="cellIs" dxfId="19" priority="8" operator="equal">
      <formula>3</formula>
    </cfRule>
    <cfRule type="cellIs" dxfId="20" priority="9" operator="equal">
      <formula>2</formula>
    </cfRule>
    <cfRule type="cellIs" dxfId="21" priority="10" operator="equal">
      <formula>1</formula>
    </cfRule>
  </conditionalFormatting>
  <conditionalFormatting sqref="P6:Q1260">
    <cfRule type="cellIs" dxfId="22" priority="15" operator="equal">
      <formula>""</formula>
    </cfRule>
  </conditionalFormatting>
  <conditionalFormatting sqref="R6:S1250">
    <cfRule type="cellIs" dxfId="22" priority="1" operator="equal">
      <formula>""</formula>
    </cfRule>
  </conditionalFormatting>
  <conditionalFormatting sqref="P9:Q1246">
    <cfRule type="cellIs" dxfId="22" priority="22" operator="equal">
      <formula>""</formula>
    </cfRule>
  </conditionalFormatting>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9"/>
  <sheetViews>
    <sheetView workbookViewId="0">
      <selection activeCell="L8" sqref="L8"/>
    </sheetView>
  </sheetViews>
  <sheetFormatPr defaultColWidth="9" defaultRowHeight="14.5"/>
  <cols>
    <col min="1" max="1" width="2.85454545454545" customWidth="1"/>
    <col min="2" max="2" width="7.28181818181818" customWidth="1"/>
    <col min="3" max="3" width="21" customWidth="1"/>
    <col min="4" max="4" width="5.57272727272727" style="35" customWidth="1"/>
    <col min="5" max="5" width="5.57272727272727" customWidth="1"/>
    <col min="6" max="6" width="4.28181818181818" customWidth="1"/>
    <col min="7" max="7" width="21.7090909090909" customWidth="1"/>
    <col min="8" max="9" width="5.70909090909091" customWidth="1"/>
    <col min="10" max="10" width="6.57272727272727" customWidth="1"/>
  </cols>
  <sheetData>
    <row r="1" s="259" customFormat="1" ht="23.5" spans="3:7">
      <c r="C1" s="259" t="s">
        <v>6595</v>
      </c>
      <c r="G1" s="259" t="s">
        <v>6596</v>
      </c>
    </row>
    <row r="3" spans="2:17">
      <c r="B3" s="32">
        <v>226</v>
      </c>
      <c r="C3" s="31" t="s">
        <v>2374</v>
      </c>
      <c r="D3" s="36">
        <v>29</v>
      </c>
      <c r="E3" s="36">
        <v>113</v>
      </c>
      <c r="F3" s="2"/>
      <c r="G3" s="260" t="s">
        <v>2374</v>
      </c>
      <c r="H3" s="261">
        <v>29</v>
      </c>
      <c r="I3" s="261">
        <v>109</v>
      </c>
      <c r="J3" s="261">
        <v>3</v>
      </c>
      <c r="K3" s="35"/>
      <c r="L3" s="35"/>
      <c r="N3" s="33"/>
      <c r="O3" s="33"/>
      <c r="P3" s="33"/>
      <c r="Q3" s="34"/>
    </row>
    <row r="4" spans="2:17">
      <c r="B4" s="32">
        <v>215</v>
      </c>
      <c r="C4" s="31" t="s">
        <v>5148</v>
      </c>
      <c r="D4" s="36">
        <v>29</v>
      </c>
      <c r="E4" s="36">
        <v>109</v>
      </c>
      <c r="F4" s="2"/>
      <c r="G4" s="260" t="s">
        <v>5148</v>
      </c>
      <c r="H4" s="261">
        <v>29</v>
      </c>
      <c r="I4" s="261">
        <v>113</v>
      </c>
      <c r="J4" s="261">
        <v>3</v>
      </c>
      <c r="K4" s="35"/>
      <c r="L4" s="35"/>
      <c r="N4" s="33"/>
      <c r="O4" s="33"/>
      <c r="P4" s="33"/>
      <c r="Q4" s="34"/>
    </row>
    <row r="5" spans="2:17">
      <c r="B5" s="32"/>
      <c r="C5" s="31"/>
      <c r="D5" s="36"/>
      <c r="E5" s="36"/>
      <c r="F5" s="2"/>
      <c r="G5" s="260"/>
      <c r="H5" s="261"/>
      <c r="I5" s="261"/>
      <c r="J5" s="261"/>
      <c r="K5" s="35"/>
      <c r="L5" s="35"/>
      <c r="N5" s="33"/>
      <c r="O5" s="33"/>
      <c r="P5" s="33"/>
      <c r="Q5" s="34"/>
    </row>
    <row r="6" spans="2:17">
      <c r="B6" s="32">
        <v>231</v>
      </c>
      <c r="C6" s="31" t="s">
        <v>6597</v>
      </c>
      <c r="D6" s="36">
        <v>29</v>
      </c>
      <c r="E6" s="36">
        <v>115</v>
      </c>
      <c r="F6" s="2"/>
      <c r="G6" s="260" t="s">
        <v>6597</v>
      </c>
      <c r="H6" s="261">
        <v>29</v>
      </c>
      <c r="I6" s="261">
        <v>114</v>
      </c>
      <c r="J6" s="261">
        <v>2</v>
      </c>
      <c r="K6" s="35"/>
      <c r="L6" s="35"/>
      <c r="N6" s="33"/>
      <c r="O6" s="33"/>
      <c r="P6" s="33"/>
      <c r="Q6" s="34"/>
    </row>
    <row r="7" spans="2:17">
      <c r="B7" s="32">
        <v>238</v>
      </c>
      <c r="C7" s="31" t="s">
        <v>3295</v>
      </c>
      <c r="D7" s="36">
        <v>29</v>
      </c>
      <c r="E7" s="36">
        <v>118</v>
      </c>
      <c r="F7" s="2"/>
      <c r="G7" s="260" t="s">
        <v>3295</v>
      </c>
      <c r="H7" s="261">
        <v>29</v>
      </c>
      <c r="I7" s="261">
        <v>115</v>
      </c>
      <c r="J7" s="261">
        <v>2</v>
      </c>
      <c r="K7" s="35"/>
      <c r="L7" s="35"/>
      <c r="N7" s="33"/>
      <c r="O7" s="33"/>
      <c r="P7" s="33"/>
      <c r="Q7" s="34"/>
    </row>
    <row r="8" spans="2:17">
      <c r="B8" s="32"/>
      <c r="C8" s="31"/>
      <c r="D8" s="36"/>
      <c r="E8" s="36"/>
      <c r="F8" s="2"/>
      <c r="G8" s="260"/>
      <c r="H8" s="261"/>
      <c r="I8" s="261"/>
      <c r="J8" s="261"/>
      <c r="K8" s="35"/>
      <c r="L8" s="35"/>
      <c r="N8" s="33"/>
      <c r="O8" s="33"/>
      <c r="P8" s="33"/>
      <c r="Q8" s="34"/>
    </row>
    <row r="9" spans="2:17">
      <c r="B9" s="32">
        <v>240</v>
      </c>
      <c r="C9" s="31" t="s">
        <v>4156</v>
      </c>
      <c r="D9" s="36">
        <v>29</v>
      </c>
      <c r="E9" s="36">
        <v>118</v>
      </c>
      <c r="F9" s="2"/>
      <c r="G9" s="260" t="s">
        <v>4156</v>
      </c>
      <c r="H9" s="261">
        <v>29</v>
      </c>
      <c r="I9" s="261">
        <v>114</v>
      </c>
      <c r="J9" s="261">
        <v>3</v>
      </c>
      <c r="K9" s="35"/>
      <c r="L9" s="35"/>
      <c r="N9" s="33"/>
      <c r="O9" s="33"/>
      <c r="P9" s="33"/>
      <c r="Q9" s="34"/>
    </row>
    <row r="10" spans="2:17">
      <c r="B10" s="32">
        <v>228</v>
      </c>
      <c r="C10" s="31" t="s">
        <v>4663</v>
      </c>
      <c r="D10" s="36">
        <v>29</v>
      </c>
      <c r="E10" s="36">
        <v>114</v>
      </c>
      <c r="F10" s="2"/>
      <c r="G10" s="260"/>
      <c r="H10" s="261"/>
      <c r="I10" s="261"/>
      <c r="J10" s="261"/>
      <c r="K10" s="35"/>
      <c r="L10" s="35"/>
      <c r="N10" s="33"/>
      <c r="O10" s="33"/>
      <c r="P10" s="33"/>
      <c r="Q10" s="34"/>
    </row>
    <row r="11" spans="2:17">
      <c r="B11" s="32">
        <v>230</v>
      </c>
      <c r="C11" s="31" t="s">
        <v>1623</v>
      </c>
      <c r="D11" s="36">
        <v>29</v>
      </c>
      <c r="E11" s="36">
        <v>114</v>
      </c>
      <c r="F11" s="2"/>
      <c r="G11" s="260"/>
      <c r="H11" s="261"/>
      <c r="I11" s="261"/>
      <c r="J11" s="261"/>
      <c r="K11" s="35"/>
      <c r="L11" s="35"/>
      <c r="N11" s="33"/>
      <c r="O11" s="33"/>
      <c r="P11" s="33"/>
      <c r="Q11" s="34"/>
    </row>
    <row r="12" spans="2:17">
      <c r="B12" s="32">
        <v>244</v>
      </c>
      <c r="C12" s="31" t="s">
        <v>3924</v>
      </c>
      <c r="D12" s="36">
        <v>29</v>
      </c>
      <c r="E12" s="36">
        <v>120</v>
      </c>
      <c r="F12" s="2"/>
      <c r="G12" s="260" t="s">
        <v>3924</v>
      </c>
      <c r="H12" s="261">
        <v>29</v>
      </c>
      <c r="I12" s="261">
        <v>117</v>
      </c>
      <c r="J12" s="261">
        <v>2</v>
      </c>
      <c r="K12" s="35"/>
      <c r="L12" s="35"/>
      <c r="N12" s="33"/>
      <c r="O12" s="33"/>
      <c r="P12" s="33"/>
      <c r="Q12" s="34"/>
    </row>
    <row r="13" spans="2:17">
      <c r="B13" s="32">
        <v>229</v>
      </c>
      <c r="C13" s="31" t="s">
        <v>2262</v>
      </c>
      <c r="D13" s="36">
        <v>29</v>
      </c>
      <c r="E13" s="36">
        <v>114</v>
      </c>
      <c r="F13" s="2"/>
      <c r="G13" s="260" t="s">
        <v>2262</v>
      </c>
      <c r="H13" s="261">
        <v>29</v>
      </c>
      <c r="I13" s="261">
        <v>118</v>
      </c>
      <c r="J13" s="261">
        <v>2</v>
      </c>
      <c r="K13" s="35"/>
      <c r="L13" s="35"/>
      <c r="N13" s="33"/>
      <c r="O13" s="33"/>
      <c r="P13" s="33"/>
      <c r="Q13" s="34"/>
    </row>
    <row r="14" spans="2:17">
      <c r="B14" s="32"/>
      <c r="C14" s="31"/>
      <c r="D14" s="36"/>
      <c r="E14" s="36"/>
      <c r="F14" s="2"/>
      <c r="G14" s="260"/>
      <c r="H14" s="261"/>
      <c r="I14" s="261"/>
      <c r="J14" s="261"/>
      <c r="K14" s="35"/>
      <c r="L14" s="35"/>
      <c r="N14" s="33"/>
      <c r="O14" s="33"/>
      <c r="P14" s="33"/>
      <c r="Q14" s="34"/>
    </row>
    <row r="15" spans="2:17">
      <c r="B15" s="32">
        <v>239</v>
      </c>
      <c r="C15" s="31" t="s">
        <v>2477</v>
      </c>
      <c r="D15" s="36">
        <v>29</v>
      </c>
      <c r="E15" s="36">
        <v>118</v>
      </c>
      <c r="F15" s="2"/>
      <c r="G15" s="260" t="s">
        <v>2477</v>
      </c>
      <c r="H15" s="261">
        <v>29</v>
      </c>
      <c r="I15" s="261">
        <v>118</v>
      </c>
      <c r="J15" s="261">
        <v>1</v>
      </c>
      <c r="K15" s="35"/>
      <c r="L15" s="35"/>
      <c r="N15" s="33"/>
      <c r="O15" s="33"/>
      <c r="P15" s="33"/>
      <c r="Q15" s="34"/>
    </row>
    <row r="16" spans="2:17">
      <c r="B16" s="32"/>
      <c r="C16" s="31"/>
      <c r="D16" s="36"/>
      <c r="E16" s="36"/>
      <c r="F16" s="2"/>
      <c r="G16" s="260" t="s">
        <v>2477</v>
      </c>
      <c r="H16" s="261">
        <v>29</v>
      </c>
      <c r="I16" s="261">
        <v>114</v>
      </c>
      <c r="J16" s="261">
        <v>1</v>
      </c>
      <c r="K16" s="35"/>
      <c r="L16" s="35"/>
      <c r="N16" s="33"/>
      <c r="O16" s="33"/>
      <c r="P16" s="33"/>
      <c r="Q16" s="34"/>
    </row>
    <row r="17" spans="2:17">
      <c r="B17" s="32">
        <v>237</v>
      </c>
      <c r="C17" s="31" t="s">
        <v>2817</v>
      </c>
      <c r="D17" s="36">
        <v>29</v>
      </c>
      <c r="E17" s="36">
        <v>117</v>
      </c>
      <c r="F17" s="2"/>
      <c r="G17" s="260" t="s">
        <v>2817</v>
      </c>
      <c r="H17" s="261">
        <v>29</v>
      </c>
      <c r="I17" s="261">
        <v>117</v>
      </c>
      <c r="J17" s="261">
        <v>3</v>
      </c>
      <c r="K17" s="35"/>
      <c r="L17" s="35"/>
      <c r="N17" s="33"/>
      <c r="O17" s="33"/>
      <c r="P17" s="33"/>
      <c r="Q17" s="34"/>
    </row>
    <row r="18" spans="2:17">
      <c r="B18" s="32"/>
      <c r="C18" s="31"/>
      <c r="D18" s="36"/>
      <c r="E18" s="36"/>
      <c r="F18" s="2"/>
      <c r="G18" s="260" t="s">
        <v>2817</v>
      </c>
      <c r="H18" s="261">
        <v>29</v>
      </c>
      <c r="I18" s="261">
        <v>118</v>
      </c>
      <c r="J18" s="261">
        <v>3</v>
      </c>
      <c r="K18" s="35"/>
      <c r="L18" s="35"/>
      <c r="N18" s="33"/>
      <c r="O18" s="33"/>
      <c r="P18" s="33"/>
      <c r="Q18" s="34"/>
    </row>
    <row r="19" spans="2:17">
      <c r="B19" s="32">
        <v>263</v>
      </c>
      <c r="C19" s="31" t="s">
        <v>512</v>
      </c>
      <c r="D19" s="36">
        <v>29</v>
      </c>
      <c r="E19" s="36">
        <v>208</v>
      </c>
      <c r="F19" s="2"/>
      <c r="G19" s="260" t="s">
        <v>512</v>
      </c>
      <c r="H19" s="261">
        <v>29</v>
      </c>
      <c r="I19" s="261">
        <v>208</v>
      </c>
      <c r="J19" s="261">
        <v>3</v>
      </c>
      <c r="K19" s="35"/>
      <c r="L19" s="35"/>
      <c r="N19" s="33"/>
      <c r="O19" s="33"/>
      <c r="P19" s="33"/>
      <c r="Q19" s="34"/>
    </row>
    <row r="20" spans="2:17">
      <c r="B20" s="32"/>
      <c r="C20" s="31"/>
      <c r="D20" s="36"/>
      <c r="E20" s="36"/>
      <c r="F20" s="2"/>
      <c r="G20" s="260" t="s">
        <v>512</v>
      </c>
      <c r="H20" s="261">
        <v>29</v>
      </c>
      <c r="I20" s="261">
        <v>203</v>
      </c>
      <c r="J20" s="261">
        <v>3</v>
      </c>
      <c r="K20" s="35"/>
      <c r="L20" s="35"/>
      <c r="N20" s="33"/>
      <c r="O20" s="33"/>
      <c r="P20" s="33"/>
      <c r="Q20" s="34"/>
    </row>
    <row r="21" spans="1:17">
      <c r="A21" s="2"/>
      <c r="B21" s="32"/>
      <c r="C21" s="32"/>
      <c r="D21" s="32"/>
      <c r="E21" s="32"/>
      <c r="F21" s="2"/>
      <c r="G21" s="260"/>
      <c r="H21" s="261"/>
      <c r="I21" s="261"/>
      <c r="J21" s="261"/>
      <c r="K21" s="35"/>
      <c r="L21" s="35"/>
      <c r="N21" s="33"/>
      <c r="O21" s="33"/>
      <c r="P21" s="33"/>
      <c r="Q21" s="34"/>
    </row>
    <row r="22" spans="2:10">
      <c r="B22" s="182"/>
      <c r="C22" s="182"/>
      <c r="D22" s="188"/>
      <c r="E22" s="182"/>
      <c r="G22" s="182"/>
      <c r="H22" s="182"/>
      <c r="I22" s="182"/>
      <c r="J22" s="182"/>
    </row>
    <row r="23" spans="2:17">
      <c r="B23" s="32">
        <v>447</v>
      </c>
      <c r="C23" s="31" t="s">
        <v>3308</v>
      </c>
      <c r="D23" s="36">
        <v>31</v>
      </c>
      <c r="E23" s="36">
        <v>114</v>
      </c>
      <c r="F23" s="2"/>
      <c r="G23" s="260" t="s">
        <v>3308</v>
      </c>
      <c r="H23" s="261">
        <v>31</v>
      </c>
      <c r="I23" s="261">
        <v>113</v>
      </c>
      <c r="J23" s="261">
        <v>1</v>
      </c>
      <c r="K23" s="35"/>
      <c r="L23" s="35"/>
      <c r="N23" s="33"/>
      <c r="O23" s="33"/>
      <c r="P23" s="33"/>
      <c r="Q23" s="34"/>
    </row>
    <row r="24" spans="2:17">
      <c r="B24" s="32">
        <v>443</v>
      </c>
      <c r="C24" s="31" t="s">
        <v>92</v>
      </c>
      <c r="D24" s="36">
        <v>31</v>
      </c>
      <c r="E24" s="36">
        <v>113</v>
      </c>
      <c r="F24" s="2"/>
      <c r="G24" s="260" t="s">
        <v>92</v>
      </c>
      <c r="H24" s="261">
        <v>31</v>
      </c>
      <c r="I24" s="261">
        <v>114</v>
      </c>
      <c r="J24" s="261">
        <v>2</v>
      </c>
      <c r="K24" s="35"/>
      <c r="L24" s="35"/>
      <c r="N24" s="33"/>
      <c r="O24" s="33"/>
      <c r="P24" s="33"/>
      <c r="Q24" s="34"/>
    </row>
    <row r="25" spans="2:10">
      <c r="B25" s="182"/>
      <c r="C25" s="182"/>
      <c r="D25" s="188"/>
      <c r="E25" s="182"/>
      <c r="G25" s="182"/>
      <c r="H25" s="182"/>
      <c r="I25" s="182"/>
      <c r="J25" s="182"/>
    </row>
    <row r="26" spans="2:17">
      <c r="B26" s="32">
        <v>235</v>
      </c>
      <c r="C26" s="31" t="s">
        <v>6598</v>
      </c>
      <c r="D26" s="36">
        <v>29</v>
      </c>
      <c r="E26" s="36">
        <v>117</v>
      </c>
      <c r="F26" s="2"/>
      <c r="G26" s="260" t="s">
        <v>5488</v>
      </c>
      <c r="H26" s="261">
        <v>29</v>
      </c>
      <c r="I26" s="261">
        <v>120</v>
      </c>
      <c r="J26" s="261">
        <v>1</v>
      </c>
      <c r="K26" s="35"/>
      <c r="L26" s="35"/>
      <c r="N26" s="33"/>
      <c r="O26" s="33"/>
      <c r="P26" s="33"/>
      <c r="Q26" s="34"/>
    </row>
    <row r="27" spans="2:17">
      <c r="B27" s="32"/>
      <c r="C27" s="31"/>
      <c r="D27" s="36"/>
      <c r="E27" s="36"/>
      <c r="F27" s="2"/>
      <c r="G27" s="260"/>
      <c r="H27" s="261"/>
      <c r="I27" s="261"/>
      <c r="J27" s="261"/>
      <c r="K27" s="35"/>
      <c r="L27" s="35"/>
      <c r="N27" s="33"/>
      <c r="O27" s="33"/>
      <c r="P27" s="33"/>
      <c r="Q27" s="34"/>
    </row>
    <row r="28" spans="2:17">
      <c r="B28" s="32">
        <v>745</v>
      </c>
      <c r="C28" s="31" t="s">
        <v>6599</v>
      </c>
      <c r="D28" s="36">
        <v>35</v>
      </c>
      <c r="E28" s="36">
        <v>115</v>
      </c>
      <c r="F28" s="2"/>
      <c r="G28" s="260" t="s">
        <v>6600</v>
      </c>
      <c r="H28" s="261">
        <v>35</v>
      </c>
      <c r="I28" s="261">
        <v>115</v>
      </c>
      <c r="J28" s="261">
        <v>2</v>
      </c>
      <c r="K28" s="35"/>
      <c r="L28" s="35"/>
      <c r="N28" s="33"/>
      <c r="O28" s="33"/>
      <c r="P28" s="33"/>
      <c r="Q28" s="34"/>
    </row>
    <row r="29" spans="2:10">
      <c r="B29" s="182"/>
      <c r="C29" s="182"/>
      <c r="D29" s="188"/>
      <c r="E29" s="182"/>
      <c r="G29" s="182"/>
      <c r="H29" s="182"/>
      <c r="I29" s="182"/>
      <c r="J29" s="182"/>
    </row>
    <row r="30" spans="2:17">
      <c r="B30" s="32">
        <v>701</v>
      </c>
      <c r="C30" s="31" t="s">
        <v>920</v>
      </c>
      <c r="D30" s="36">
        <v>34</v>
      </c>
      <c r="E30" s="36">
        <v>220</v>
      </c>
      <c r="F30" s="2"/>
      <c r="G30" s="260" t="s">
        <v>920</v>
      </c>
      <c r="H30" s="261">
        <v>34</v>
      </c>
      <c r="I30" s="261">
        <v>217</v>
      </c>
      <c r="J30" s="261">
        <v>1</v>
      </c>
      <c r="K30" s="35"/>
      <c r="L30" s="35"/>
      <c r="N30" s="33"/>
      <c r="O30" s="33"/>
      <c r="P30" s="33"/>
      <c r="Q30" s="34"/>
    </row>
    <row r="31" spans="2:17">
      <c r="B31" s="32">
        <v>702</v>
      </c>
      <c r="C31" s="31" t="s">
        <v>2947</v>
      </c>
      <c r="D31" s="36">
        <v>34</v>
      </c>
      <c r="E31" s="36">
        <v>220</v>
      </c>
      <c r="F31" s="2"/>
      <c r="G31" s="260" t="s">
        <v>2947</v>
      </c>
      <c r="H31" s="261">
        <v>34</v>
      </c>
      <c r="I31" s="261">
        <v>217</v>
      </c>
      <c r="J31" s="261">
        <v>2</v>
      </c>
      <c r="K31" s="35"/>
      <c r="L31" s="35"/>
      <c r="N31" s="33"/>
      <c r="O31" s="33"/>
      <c r="P31" s="33"/>
      <c r="Q31" s="34"/>
    </row>
    <row r="32" spans="2:17">
      <c r="B32" s="32"/>
      <c r="C32" s="31"/>
      <c r="D32" s="36"/>
      <c r="E32" s="36"/>
      <c r="F32" s="2"/>
      <c r="G32" s="260" t="s">
        <v>920</v>
      </c>
      <c r="H32" s="261">
        <v>34</v>
      </c>
      <c r="I32" s="261">
        <v>220</v>
      </c>
      <c r="J32" s="261">
        <v>1</v>
      </c>
      <c r="K32" s="35"/>
      <c r="L32" s="35"/>
      <c r="N32" s="33"/>
      <c r="O32" s="33"/>
      <c r="P32" s="33"/>
      <c r="Q32" s="34"/>
    </row>
    <row r="33" spans="2:17">
      <c r="B33" s="32"/>
      <c r="C33" s="31"/>
      <c r="D33" s="36"/>
      <c r="E33" s="36"/>
      <c r="F33" s="2"/>
      <c r="G33" s="260" t="s">
        <v>2947</v>
      </c>
      <c r="H33" s="261">
        <v>34</v>
      </c>
      <c r="I33" s="261">
        <v>220</v>
      </c>
      <c r="J33" s="261">
        <v>2</v>
      </c>
      <c r="K33" s="35"/>
      <c r="L33" s="35"/>
      <c r="N33" s="33"/>
      <c r="O33" s="33"/>
      <c r="P33" s="33"/>
      <c r="Q33" s="34"/>
    </row>
    <row r="34" spans="2:10">
      <c r="B34" s="182"/>
      <c r="C34" s="182"/>
      <c r="D34" s="188"/>
      <c r="E34" s="182"/>
      <c r="G34" s="182"/>
      <c r="H34" s="182"/>
      <c r="I34" s="182"/>
      <c r="J34" s="182"/>
    </row>
    <row r="35" spans="2:17">
      <c r="B35" s="32">
        <v>523</v>
      </c>
      <c r="C35" s="31" t="s">
        <v>6601</v>
      </c>
      <c r="D35" s="36">
        <v>32</v>
      </c>
      <c r="E35" s="36">
        <v>220</v>
      </c>
      <c r="F35" s="2"/>
      <c r="G35" s="260" t="s">
        <v>1725</v>
      </c>
      <c r="H35" s="261">
        <v>32</v>
      </c>
      <c r="I35" s="261">
        <v>204</v>
      </c>
      <c r="J35" s="261">
        <v>2</v>
      </c>
      <c r="K35" s="35"/>
      <c r="L35" s="35"/>
      <c r="N35" s="33"/>
      <c r="O35" s="33"/>
      <c r="P35" s="33"/>
      <c r="Q35" s="34"/>
    </row>
    <row r="36" spans="2:17">
      <c r="B36" s="32">
        <v>508</v>
      </c>
      <c r="C36" s="31" t="s">
        <v>6602</v>
      </c>
      <c r="D36" s="36">
        <v>32</v>
      </c>
      <c r="E36" s="36">
        <v>201</v>
      </c>
      <c r="F36" s="2"/>
      <c r="G36" s="260" t="s">
        <v>3194</v>
      </c>
      <c r="H36" s="261">
        <v>32</v>
      </c>
      <c r="I36" s="261">
        <v>203</v>
      </c>
      <c r="J36" s="261">
        <v>1</v>
      </c>
      <c r="K36" s="35"/>
      <c r="L36" s="35"/>
      <c r="N36" s="33"/>
      <c r="O36" s="33"/>
      <c r="P36" s="33"/>
      <c r="Q36" s="34"/>
    </row>
    <row r="37" spans="2:17">
      <c r="B37" s="32">
        <v>522</v>
      </c>
      <c r="C37" s="31" t="s">
        <v>6603</v>
      </c>
      <c r="D37" s="36">
        <v>32</v>
      </c>
      <c r="E37" s="36">
        <v>219</v>
      </c>
      <c r="F37" s="2"/>
      <c r="G37" s="260" t="s">
        <v>4695</v>
      </c>
      <c r="H37" s="261">
        <v>32</v>
      </c>
      <c r="I37" s="261">
        <v>216</v>
      </c>
      <c r="J37" s="261">
        <v>1</v>
      </c>
      <c r="K37" s="35"/>
      <c r="L37" s="35"/>
      <c r="N37" s="33"/>
      <c r="O37" s="33"/>
      <c r="P37" s="33"/>
      <c r="Q37" s="34"/>
    </row>
    <row r="38" spans="2:17">
      <c r="B38" s="32">
        <v>509</v>
      </c>
      <c r="C38" s="31" t="s">
        <v>6604</v>
      </c>
      <c r="D38" s="36">
        <v>32</v>
      </c>
      <c r="E38" s="36">
        <v>202</v>
      </c>
      <c r="F38" s="2"/>
      <c r="G38" s="260"/>
      <c r="H38" s="261"/>
      <c r="I38" s="261"/>
      <c r="J38" s="261"/>
      <c r="K38" s="35"/>
      <c r="L38" s="35"/>
      <c r="N38" s="33"/>
      <c r="O38" s="33"/>
      <c r="P38" s="33"/>
      <c r="Q38" s="34"/>
    </row>
    <row r="39" spans="2:17">
      <c r="B39" s="32"/>
      <c r="C39" s="31"/>
      <c r="D39" s="36"/>
      <c r="E39" s="36"/>
      <c r="F39" s="2"/>
      <c r="G39" s="260" t="s">
        <v>1121</v>
      </c>
      <c r="H39" s="261">
        <v>32</v>
      </c>
      <c r="I39" s="261">
        <v>204</v>
      </c>
      <c r="J39" s="261">
        <v>1</v>
      </c>
      <c r="K39" s="35"/>
      <c r="L39" s="35"/>
      <c r="N39" s="33"/>
      <c r="O39" s="33"/>
      <c r="P39" s="33"/>
      <c r="Q39" s="34"/>
    </row>
  </sheetData>
  <conditionalFormatting sqref="B5">
    <cfRule type="cellIs" dxfId="12" priority="1902" operator="equal">
      <formula>B18</formula>
    </cfRule>
    <cfRule type="cellIs" dxfId="12" priority="1916" operator="equal">
      <formula>B15</formula>
    </cfRule>
  </conditionalFormatting>
  <conditionalFormatting sqref="B9">
    <cfRule type="cellIs" dxfId="12" priority="1929" operator="equal">
      <formula>B6</formula>
    </cfRule>
  </conditionalFormatting>
  <conditionalFormatting sqref="B10">
    <cfRule type="cellIs" dxfId="12" priority="68" operator="equal">
      <formula>B685</formula>
    </cfRule>
  </conditionalFormatting>
  <conditionalFormatting sqref="B11">
    <cfRule type="cellIs" dxfId="12" priority="63" operator="equal">
      <formula>B10</formula>
    </cfRule>
  </conditionalFormatting>
  <conditionalFormatting sqref="B13">
    <cfRule type="cellIs" dxfId="12" priority="1915" operator="equal">
      <formula>B16</formula>
    </cfRule>
  </conditionalFormatting>
  <conditionalFormatting sqref="B16">
    <cfRule type="cellIs" dxfId="12" priority="1914" operator="equal">
      <formula>B17</formula>
    </cfRule>
  </conditionalFormatting>
  <conditionalFormatting sqref="B19">
    <cfRule type="cellIs" dxfId="12" priority="1899" operator="equal">
      <formula>B26</formula>
    </cfRule>
  </conditionalFormatting>
  <conditionalFormatting sqref="B28">
    <cfRule type="cellIs" dxfId="12" priority="18" operator="equal">
      <formula>B25</formula>
    </cfRule>
  </conditionalFormatting>
  <conditionalFormatting sqref="G28">
    <cfRule type="duplicateValues" dxfId="23" priority="12"/>
  </conditionalFormatting>
  <conditionalFormatting sqref="G28:I28">
    <cfRule type="cellIs" dxfId="24" priority="14" operator="equal">
      <formula>"sadmin"</formula>
    </cfRule>
    <cfRule type="cellIs" dxfId="25" priority="15" operator="equal">
      <formula>"global1"</formula>
    </cfRule>
  </conditionalFormatting>
  <conditionalFormatting sqref="B35">
    <cfRule type="cellIs" dxfId="12" priority="85" operator="equal">
      <formula>#REF!</formula>
    </cfRule>
  </conditionalFormatting>
  <conditionalFormatting sqref="G39">
    <cfRule type="duplicateValues" dxfId="23" priority="21"/>
  </conditionalFormatting>
  <conditionalFormatting sqref="B3:B4">
    <cfRule type="cellIs" dxfId="12" priority="75" operator="equal">
      <formula>B2</formula>
    </cfRule>
  </conditionalFormatting>
  <conditionalFormatting sqref="B6:B8">
    <cfRule type="cellIs" dxfId="12" priority="1910" operator="equal">
      <formula>B15</formula>
    </cfRule>
  </conditionalFormatting>
  <conditionalFormatting sqref="B7:B8">
    <cfRule type="cellIs" dxfId="12" priority="67" operator="equal">
      <formula>B9</formula>
    </cfRule>
  </conditionalFormatting>
  <conditionalFormatting sqref="B15:B16">
    <cfRule type="cellIs" dxfId="12" priority="1912" operator="equal">
      <formula>B4</formula>
    </cfRule>
  </conditionalFormatting>
  <conditionalFormatting sqref="B17:B18">
    <cfRule type="cellIs" dxfId="12" priority="1905" operator="equal">
      <formula>B12</formula>
    </cfRule>
  </conditionalFormatting>
  <conditionalFormatting sqref="B36:B39">
    <cfRule type="cellIs" dxfId="12" priority="27" operator="equal">
      <formula>B35</formula>
    </cfRule>
  </conditionalFormatting>
  <conditionalFormatting sqref="C3:C20">
    <cfRule type="cellIs" dxfId="12" priority="53" operator="equal">
      <formula>0</formula>
    </cfRule>
  </conditionalFormatting>
  <conditionalFormatting sqref="C26:C28">
    <cfRule type="cellIs" dxfId="12" priority="17" operator="equal">
      <formula>0</formula>
    </cfRule>
  </conditionalFormatting>
  <conditionalFormatting sqref="C35:C39">
    <cfRule type="cellIs" dxfId="12" priority="26" operator="equal">
      <formula>0</formula>
    </cfRule>
  </conditionalFormatting>
  <conditionalFormatting sqref="G30:G33">
    <cfRule type="duplicateValues" dxfId="23" priority="1928"/>
  </conditionalFormatting>
  <conditionalFormatting sqref="G3:I21">
    <cfRule type="cellIs" dxfId="26" priority="10" operator="notEqual">
      <formula>C3</formula>
    </cfRule>
  </conditionalFormatting>
  <conditionalFormatting sqref="B12:B16 B20 B24 B26:B27 B32">
    <cfRule type="cellIs" dxfId="12" priority="1834" operator="equal">
      <formula>#REF!</formula>
    </cfRule>
  </conditionalFormatting>
  <conditionalFormatting sqref="B18 B23 B30:B31 B33">
    <cfRule type="cellIs" dxfId="12" priority="83" operator="equal">
      <formula>B17</formula>
    </cfRule>
  </conditionalFormatting>
  <conditionalFormatting sqref="C23:C24 C30:C33">
    <cfRule type="cellIs" dxfId="12" priority="82" operator="equal">
      <formula>0</formula>
    </cfRule>
  </conditionalFormatting>
  <conditionalFormatting sqref="G23:I24 G30:I33">
    <cfRule type="cellIs" dxfId="26" priority="78" operator="notEqual">
      <formula>C23</formula>
    </cfRule>
  </conditionalFormatting>
  <conditionalFormatting sqref="G26:I28">
    <cfRule type="cellIs" dxfId="26" priority="13" operator="notEqual">
      <formula>C26</formula>
    </cfRule>
  </conditionalFormatting>
  <conditionalFormatting sqref="G30:I33 G39:I39">
    <cfRule type="cellIs" dxfId="24" priority="23" operator="equal">
      <formula>"sadmin"</formula>
    </cfRule>
    <cfRule type="cellIs" dxfId="25" priority="24" operator="equal">
      <formula>"global1"</formula>
    </cfRule>
  </conditionalFormatting>
  <conditionalFormatting sqref="G35:I39">
    <cfRule type="cellIs" dxfId="26" priority="22" operator="notEqual">
      <formula>C35</formula>
    </cfRule>
  </conditionalFormatting>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25"/>
  <sheetViews>
    <sheetView zoomScale="115" zoomScaleNormal="115" workbookViewId="0">
      <selection activeCell="C6" sqref="C6"/>
    </sheetView>
  </sheetViews>
  <sheetFormatPr defaultColWidth="9" defaultRowHeight="14.5"/>
  <cols>
    <col min="1" max="1" width="10" customWidth="1"/>
    <col min="2" max="2" width="10.2818181818182" customWidth="1"/>
    <col min="3" max="3" width="36" customWidth="1"/>
    <col min="4" max="4" width="16.1363636363636" customWidth="1"/>
    <col min="5" max="5" width="20.2818181818182" customWidth="1"/>
    <col min="7" max="7" width="9" hidden="1" customWidth="1"/>
    <col min="8" max="8" width="19.7090909090909" hidden="1" customWidth="1"/>
    <col min="9" max="9" width="36" hidden="1" customWidth="1"/>
    <col min="10" max="10" width="9.13636363636364" hidden="1" customWidth="1"/>
    <col min="11" max="11" width="13.8545454545455" hidden="1" customWidth="1"/>
    <col min="12" max="12" width="21.8545454545455" hidden="1" customWidth="1"/>
    <col min="14" max="14" width="10.4272727272727" customWidth="1"/>
    <col min="15" max="15" width="25.1363636363636" customWidth="1"/>
    <col min="16" max="16" width="5.57272727272727" customWidth="1"/>
  </cols>
  <sheetData>
    <row r="1" ht="24" customHeight="1" spans="1:12">
      <c r="A1" s="174" t="s">
        <v>0</v>
      </c>
      <c r="B1" s="174" t="s">
        <v>1</v>
      </c>
      <c r="C1" s="174" t="s">
        <v>2</v>
      </c>
      <c r="D1" s="174" t="s">
        <v>3</v>
      </c>
      <c r="E1" s="174" t="s">
        <v>4</v>
      </c>
      <c r="H1" s="206" t="s">
        <v>0</v>
      </c>
      <c r="I1" s="206" t="s">
        <v>2</v>
      </c>
      <c r="J1" s="206" t="s">
        <v>1</v>
      </c>
      <c r="K1" s="206" t="s">
        <v>3</v>
      </c>
      <c r="L1" s="206" t="s">
        <v>4</v>
      </c>
    </row>
    <row r="2" spans="1:12">
      <c r="A2" s="170" t="s">
        <v>8</v>
      </c>
      <c r="B2" s="170" t="s">
        <v>9</v>
      </c>
      <c r="C2" t="s">
        <v>10</v>
      </c>
      <c r="D2" s="170" t="s">
        <v>11</v>
      </c>
      <c r="E2" s="170" t="s">
        <v>12</v>
      </c>
      <c r="H2" s="207">
        <v>452127</v>
      </c>
      <c r="I2" s="182" t="s">
        <v>13</v>
      </c>
      <c r="J2" s="182" t="s">
        <v>14</v>
      </c>
      <c r="K2" s="207">
        <v>189</v>
      </c>
      <c r="L2" s="207" t="s">
        <v>15</v>
      </c>
    </row>
    <row r="3" spans="1:12">
      <c r="A3" s="170" t="s">
        <v>16</v>
      </c>
      <c r="B3" s="170" t="s">
        <v>17</v>
      </c>
      <c r="C3" s="178" t="s">
        <v>10</v>
      </c>
      <c r="D3" s="170" t="s">
        <v>11</v>
      </c>
      <c r="E3" s="170" t="s">
        <v>12</v>
      </c>
      <c r="H3" s="207" t="s">
        <v>18</v>
      </c>
      <c r="I3" s="182" t="s">
        <v>10</v>
      </c>
      <c r="J3" s="182" t="s">
        <v>18</v>
      </c>
      <c r="K3" s="207">
        <v>824</v>
      </c>
      <c r="L3" s="207" t="s">
        <v>19</v>
      </c>
    </row>
    <row r="4" spans="1:12">
      <c r="A4" s="170" t="s">
        <v>20</v>
      </c>
      <c r="B4" s="170" t="s">
        <v>21</v>
      </c>
      <c r="C4" s="178" t="s">
        <v>10</v>
      </c>
      <c r="D4" s="170" t="s">
        <v>11</v>
      </c>
      <c r="E4" s="170" t="s">
        <v>12</v>
      </c>
      <c r="H4" s="207">
        <v>506372</v>
      </c>
      <c r="I4" s="182" t="s">
        <v>22</v>
      </c>
      <c r="J4" s="182" t="s">
        <v>23</v>
      </c>
      <c r="K4" s="207">
        <v>447</v>
      </c>
      <c r="L4" s="207" t="s">
        <v>15</v>
      </c>
    </row>
    <row r="5" spans="1:12">
      <c r="A5" s="170" t="s">
        <v>24</v>
      </c>
      <c r="B5" s="170" t="s">
        <v>25</v>
      </c>
      <c r="C5" s="178" t="s">
        <v>10</v>
      </c>
      <c r="D5" s="170" t="s">
        <v>11</v>
      </c>
      <c r="E5" s="170" t="s">
        <v>12</v>
      </c>
      <c r="H5" s="207">
        <v>472536</v>
      </c>
      <c r="I5" s="182" t="s">
        <v>26</v>
      </c>
      <c r="J5" s="182" t="s">
        <v>27</v>
      </c>
      <c r="K5" s="207">
        <v>455</v>
      </c>
      <c r="L5" s="207" t="s">
        <v>15</v>
      </c>
    </row>
    <row r="6" spans="1:12">
      <c r="A6" s="170" t="s">
        <v>28</v>
      </c>
      <c r="B6" s="170" t="s">
        <v>29</v>
      </c>
      <c r="C6" s="178" t="s">
        <v>10</v>
      </c>
      <c r="D6" s="170" t="s">
        <v>11</v>
      </c>
      <c r="E6" s="170" t="s">
        <v>12</v>
      </c>
      <c r="H6" s="207">
        <v>508884</v>
      </c>
      <c r="I6" s="182" t="s">
        <v>30</v>
      </c>
      <c r="J6" s="182" t="s">
        <v>31</v>
      </c>
      <c r="K6" s="207">
        <v>232</v>
      </c>
      <c r="L6" s="207" t="s">
        <v>15</v>
      </c>
    </row>
    <row r="7" spans="1:12">
      <c r="A7" s="170" t="s">
        <v>32</v>
      </c>
      <c r="B7" s="170" t="s">
        <v>33</v>
      </c>
      <c r="C7" s="178" t="s">
        <v>10</v>
      </c>
      <c r="D7" s="170" t="s">
        <v>11</v>
      </c>
      <c r="E7" s="170" t="s">
        <v>12</v>
      </c>
      <c r="H7" s="207">
        <v>410103</v>
      </c>
      <c r="I7" s="182" t="s">
        <v>34</v>
      </c>
      <c r="J7" s="182" t="s">
        <v>35</v>
      </c>
      <c r="K7" s="207">
        <v>615</v>
      </c>
      <c r="L7" s="207" t="s">
        <v>15</v>
      </c>
    </row>
    <row r="8" spans="1:12">
      <c r="A8" s="170" t="s">
        <v>36</v>
      </c>
      <c r="B8" s="170" t="s">
        <v>6605</v>
      </c>
      <c r="C8" s="208" t="s">
        <v>38</v>
      </c>
      <c r="D8" s="170" t="s">
        <v>11</v>
      </c>
      <c r="E8" s="170" t="s">
        <v>12</v>
      </c>
      <c r="H8" s="207">
        <v>393712</v>
      </c>
      <c r="I8" s="182" t="s">
        <v>39</v>
      </c>
      <c r="J8" s="182" t="s">
        <v>40</v>
      </c>
      <c r="K8" s="207">
        <v>620</v>
      </c>
      <c r="L8" s="207" t="s">
        <v>15</v>
      </c>
    </row>
    <row r="9" spans="1:12">
      <c r="A9" s="170" t="s">
        <v>45</v>
      </c>
      <c r="B9" s="170" t="s">
        <v>46</v>
      </c>
      <c r="C9" s="170"/>
      <c r="D9" s="170" t="s">
        <v>11</v>
      </c>
      <c r="E9" s="170" t="s">
        <v>12</v>
      </c>
      <c r="H9" s="207">
        <v>534522</v>
      </c>
      <c r="I9" s="182" t="s">
        <v>47</v>
      </c>
      <c r="J9" s="182" t="s">
        <v>48</v>
      </c>
      <c r="K9" s="207">
        <v>641</v>
      </c>
      <c r="L9" s="207" t="s">
        <v>15</v>
      </c>
    </row>
    <row r="10" spans="1:12">
      <c r="A10" s="170" t="s">
        <v>50</v>
      </c>
      <c r="B10" s="170" t="s">
        <v>51</v>
      </c>
      <c r="C10" s="170"/>
      <c r="D10" s="170" t="s">
        <v>11</v>
      </c>
      <c r="E10" s="170" t="s">
        <v>12</v>
      </c>
      <c r="H10" s="207" t="s">
        <v>52</v>
      </c>
      <c r="I10" s="182" t="s">
        <v>10</v>
      </c>
      <c r="J10" s="182" t="s">
        <v>52</v>
      </c>
      <c r="K10" s="207">
        <v>305</v>
      </c>
      <c r="L10" s="207" t="s">
        <v>53</v>
      </c>
    </row>
    <row r="11" spans="1:12">
      <c r="A11" s="170" t="s">
        <v>55</v>
      </c>
      <c r="B11" s="170" t="s">
        <v>56</v>
      </c>
      <c r="C11" s="208" t="s">
        <v>57</v>
      </c>
      <c r="D11" s="170" t="s">
        <v>11</v>
      </c>
      <c r="E11" s="170" t="s">
        <v>12</v>
      </c>
      <c r="H11" s="207">
        <v>439367</v>
      </c>
      <c r="I11" s="182" t="s">
        <v>58</v>
      </c>
      <c r="J11" s="182" t="s">
        <v>59</v>
      </c>
      <c r="K11" s="207">
        <v>724</v>
      </c>
      <c r="L11" s="207" t="s">
        <v>15</v>
      </c>
    </row>
    <row r="12" spans="1:12">
      <c r="A12" s="170" t="s">
        <v>62</v>
      </c>
      <c r="B12" s="170" t="s">
        <v>37</v>
      </c>
      <c r="C12" s="170"/>
      <c r="D12" s="170" t="s">
        <v>11</v>
      </c>
      <c r="E12" s="170" t="s">
        <v>12</v>
      </c>
      <c r="H12" s="207">
        <v>478336</v>
      </c>
      <c r="I12" s="182" t="s">
        <v>63</v>
      </c>
      <c r="J12" s="182" t="s">
        <v>64</v>
      </c>
      <c r="K12" s="207">
        <v>59</v>
      </c>
      <c r="L12" s="207" t="s">
        <v>15</v>
      </c>
    </row>
    <row r="13" spans="1:12">
      <c r="A13" s="170" t="s">
        <v>65</v>
      </c>
      <c r="B13" s="170" t="s">
        <v>66</v>
      </c>
      <c r="C13" s="170"/>
      <c r="D13" s="170" t="s">
        <v>11</v>
      </c>
      <c r="E13" s="170" t="s">
        <v>12</v>
      </c>
      <c r="H13" s="207" t="s">
        <v>67</v>
      </c>
      <c r="I13" s="182" t="s">
        <v>10</v>
      </c>
      <c r="J13" s="182" t="s">
        <v>67</v>
      </c>
      <c r="K13" s="207">
        <v>394</v>
      </c>
      <c r="L13" s="207" t="s">
        <v>53</v>
      </c>
    </row>
    <row r="14" spans="1:12">
      <c r="A14" s="170" t="s">
        <v>68</v>
      </c>
      <c r="B14" s="170" t="s">
        <v>6606</v>
      </c>
      <c r="C14" s="209" t="s">
        <v>70</v>
      </c>
      <c r="D14" s="170" t="s">
        <v>11</v>
      </c>
      <c r="E14" s="170" t="s">
        <v>12</v>
      </c>
      <c r="H14" s="207">
        <v>307201</v>
      </c>
      <c r="I14" s="182" t="s">
        <v>71</v>
      </c>
      <c r="J14" s="182" t="s">
        <v>72</v>
      </c>
      <c r="K14" s="207">
        <v>909</v>
      </c>
      <c r="L14" s="207" t="s">
        <v>15</v>
      </c>
    </row>
    <row r="15" spans="1:12">
      <c r="A15" s="170" t="s">
        <v>75</v>
      </c>
      <c r="B15" s="170" t="s">
        <v>76</v>
      </c>
      <c r="C15" s="170"/>
      <c r="D15" s="170" t="s">
        <v>11</v>
      </c>
      <c r="E15" s="170" t="s">
        <v>12</v>
      </c>
      <c r="H15" s="207" t="s">
        <v>77</v>
      </c>
      <c r="I15" s="182" t="s">
        <v>10</v>
      </c>
      <c r="J15" s="182" t="s">
        <v>77</v>
      </c>
      <c r="K15" s="207">
        <v>838</v>
      </c>
      <c r="L15" s="207" t="s">
        <v>19</v>
      </c>
    </row>
    <row r="16" spans="1:12">
      <c r="A16" s="170" t="s">
        <v>78</v>
      </c>
      <c r="B16" s="170" t="s">
        <v>79</v>
      </c>
      <c r="C16" s="170"/>
      <c r="D16" s="170" t="s">
        <v>11</v>
      </c>
      <c r="E16" s="170" t="s">
        <v>12</v>
      </c>
      <c r="H16" s="207">
        <v>193022</v>
      </c>
      <c r="I16" s="182" t="s">
        <v>80</v>
      </c>
      <c r="J16" s="182" t="s">
        <v>81</v>
      </c>
      <c r="K16" s="207">
        <v>974</v>
      </c>
      <c r="L16" s="207" t="s">
        <v>15</v>
      </c>
    </row>
    <row r="17" spans="1:12">
      <c r="A17" s="170" t="s">
        <v>82</v>
      </c>
      <c r="B17" s="170" t="s">
        <v>83</v>
      </c>
      <c r="C17" s="209" t="s">
        <v>84</v>
      </c>
      <c r="D17" s="170" t="s">
        <v>11</v>
      </c>
      <c r="E17" s="170" t="s">
        <v>12</v>
      </c>
      <c r="H17" s="207">
        <v>194935</v>
      </c>
      <c r="I17" s="182" t="s">
        <v>85</v>
      </c>
      <c r="J17" s="182" t="s">
        <v>86</v>
      </c>
      <c r="K17" s="207">
        <v>47</v>
      </c>
      <c r="L17" s="207" t="s">
        <v>15</v>
      </c>
    </row>
    <row r="18" spans="1:12">
      <c r="A18" s="170" t="s">
        <v>90</v>
      </c>
      <c r="B18" s="170" t="s">
        <v>91</v>
      </c>
      <c r="C18" s="170"/>
      <c r="D18" s="170" t="s">
        <v>11</v>
      </c>
      <c r="E18" s="170" t="s">
        <v>12</v>
      </c>
      <c r="H18" s="207">
        <v>397279</v>
      </c>
      <c r="I18" s="182" t="s">
        <v>92</v>
      </c>
      <c r="J18" s="182" t="s">
        <v>93</v>
      </c>
      <c r="K18" s="207">
        <v>545</v>
      </c>
      <c r="L18" s="207" t="s">
        <v>15</v>
      </c>
    </row>
    <row r="19" spans="1:12">
      <c r="A19" s="170" t="s">
        <v>94</v>
      </c>
      <c r="B19" s="170" t="s">
        <v>95</v>
      </c>
      <c r="C19" s="170"/>
      <c r="D19" s="170" t="s">
        <v>11</v>
      </c>
      <c r="E19" s="170" t="s">
        <v>12</v>
      </c>
      <c r="H19" s="207" t="s">
        <v>96</v>
      </c>
      <c r="I19" s="182" t="s">
        <v>10</v>
      </c>
      <c r="J19" s="182" t="s">
        <v>96</v>
      </c>
      <c r="K19" s="207">
        <v>847</v>
      </c>
      <c r="L19" s="207" t="s">
        <v>19</v>
      </c>
    </row>
    <row r="20" spans="1:12">
      <c r="A20" s="170" t="s">
        <v>97</v>
      </c>
      <c r="B20" s="170" t="s">
        <v>6607</v>
      </c>
      <c r="C20" s="209" t="s">
        <v>99</v>
      </c>
      <c r="D20" s="170" t="s">
        <v>11</v>
      </c>
      <c r="E20" s="170" t="s">
        <v>12</v>
      </c>
      <c r="H20" s="207">
        <v>511788</v>
      </c>
      <c r="I20" s="182" t="s">
        <v>100</v>
      </c>
      <c r="J20" s="182" t="s">
        <v>101</v>
      </c>
      <c r="K20" s="207">
        <v>1011</v>
      </c>
      <c r="L20" s="207" t="s">
        <v>15</v>
      </c>
    </row>
    <row r="21" spans="1:12">
      <c r="A21" s="170" t="s">
        <v>105</v>
      </c>
      <c r="B21" s="170" t="s">
        <v>98</v>
      </c>
      <c r="C21" s="170"/>
      <c r="D21" s="170" t="s">
        <v>11</v>
      </c>
      <c r="E21" s="170" t="s">
        <v>12</v>
      </c>
      <c r="H21" s="207" t="s">
        <v>106</v>
      </c>
      <c r="I21" s="182" t="s">
        <v>10</v>
      </c>
      <c r="J21" s="182" t="s">
        <v>106</v>
      </c>
      <c r="K21" s="207">
        <v>848</v>
      </c>
      <c r="L21" s="207" t="s">
        <v>19</v>
      </c>
    </row>
    <row r="22" spans="1:12">
      <c r="A22" s="170" t="s">
        <v>107</v>
      </c>
      <c r="B22" s="170" t="s">
        <v>108</v>
      </c>
      <c r="C22" s="170"/>
      <c r="D22" s="170" t="s">
        <v>11</v>
      </c>
      <c r="E22" s="170" t="s">
        <v>12</v>
      </c>
      <c r="H22" s="207">
        <v>431628</v>
      </c>
      <c r="I22" s="182" t="s">
        <v>109</v>
      </c>
      <c r="J22" s="182" t="s">
        <v>110</v>
      </c>
      <c r="K22" s="207">
        <v>1000</v>
      </c>
      <c r="L22" s="207" t="s">
        <v>15</v>
      </c>
    </row>
    <row r="23" spans="1:12">
      <c r="A23" s="170" t="s">
        <v>111</v>
      </c>
      <c r="B23" s="170" t="s">
        <v>112</v>
      </c>
      <c r="C23" s="208" t="s">
        <v>113</v>
      </c>
      <c r="D23" s="170" t="s">
        <v>11</v>
      </c>
      <c r="E23" s="170" t="s">
        <v>12</v>
      </c>
      <c r="H23" s="207">
        <v>494353</v>
      </c>
      <c r="I23" s="182" t="s">
        <v>114</v>
      </c>
      <c r="J23" s="182" t="s">
        <v>115</v>
      </c>
      <c r="K23" s="207">
        <v>768</v>
      </c>
      <c r="L23" s="207" t="s">
        <v>15</v>
      </c>
    </row>
    <row r="24" spans="1:12">
      <c r="A24" s="170" t="s">
        <v>116</v>
      </c>
      <c r="B24" s="170" t="s">
        <v>117</v>
      </c>
      <c r="C24" s="170"/>
      <c r="D24" s="170" t="s">
        <v>11</v>
      </c>
      <c r="E24" s="170" t="s">
        <v>12</v>
      </c>
      <c r="H24" s="207">
        <v>495997</v>
      </c>
      <c r="I24" s="182" t="s">
        <v>118</v>
      </c>
      <c r="J24" s="182" t="s">
        <v>119</v>
      </c>
      <c r="K24" s="207">
        <v>1104</v>
      </c>
      <c r="L24" s="207" t="s">
        <v>15</v>
      </c>
    </row>
    <row r="25" spans="1:12">
      <c r="A25" s="170" t="s">
        <v>120</v>
      </c>
      <c r="B25" s="170" t="s">
        <v>121</v>
      </c>
      <c r="C25" s="170"/>
      <c r="D25" s="170" t="s">
        <v>11</v>
      </c>
      <c r="E25" s="170" t="s">
        <v>12</v>
      </c>
      <c r="H25" s="207">
        <v>495475</v>
      </c>
      <c r="I25" s="182" t="s">
        <v>122</v>
      </c>
      <c r="J25" s="182" t="s">
        <v>123</v>
      </c>
      <c r="K25" s="207">
        <v>1024</v>
      </c>
      <c r="L25" s="207" t="s">
        <v>15</v>
      </c>
    </row>
    <row r="26" spans="1:12">
      <c r="A26" s="170" t="s">
        <v>124</v>
      </c>
      <c r="B26" s="170" t="s">
        <v>125</v>
      </c>
      <c r="C26" s="208" t="s">
        <v>126</v>
      </c>
      <c r="D26" s="170" t="s">
        <v>11</v>
      </c>
      <c r="E26" s="170" t="s">
        <v>12</v>
      </c>
      <c r="H26" s="207">
        <v>456552</v>
      </c>
      <c r="I26" s="182" t="s">
        <v>127</v>
      </c>
      <c r="J26" s="182" t="s">
        <v>128</v>
      </c>
      <c r="K26" s="207">
        <v>513</v>
      </c>
      <c r="L26" s="207" t="s">
        <v>15</v>
      </c>
    </row>
    <row r="27" spans="1:12">
      <c r="A27" s="170" t="s">
        <v>129</v>
      </c>
      <c r="B27" s="170" t="s">
        <v>130</v>
      </c>
      <c r="C27" s="170"/>
      <c r="D27" s="170" t="s">
        <v>11</v>
      </c>
      <c r="E27" s="170" t="s">
        <v>12</v>
      </c>
      <c r="H27" s="207">
        <v>303575</v>
      </c>
      <c r="I27" s="182" t="s">
        <v>131</v>
      </c>
      <c r="J27" s="182" t="s">
        <v>132</v>
      </c>
      <c r="K27" s="207">
        <v>243</v>
      </c>
      <c r="L27" s="207" t="s">
        <v>15</v>
      </c>
    </row>
    <row r="28" spans="1:12">
      <c r="A28" s="170" t="s">
        <v>133</v>
      </c>
      <c r="B28" s="170" t="s">
        <v>134</v>
      </c>
      <c r="C28" s="170"/>
      <c r="D28" s="170" t="s">
        <v>11</v>
      </c>
      <c r="E28" s="170" t="s">
        <v>12</v>
      </c>
      <c r="H28" s="207">
        <v>197679</v>
      </c>
      <c r="I28" s="182" t="s">
        <v>135</v>
      </c>
      <c r="J28" s="182" t="s">
        <v>136</v>
      </c>
      <c r="K28" s="207">
        <v>674</v>
      </c>
      <c r="L28" s="207" t="s">
        <v>15</v>
      </c>
    </row>
    <row r="29" spans="1:12">
      <c r="A29" s="170" t="s">
        <v>137</v>
      </c>
      <c r="B29" s="170" t="s">
        <v>138</v>
      </c>
      <c r="C29" s="209" t="s">
        <v>139</v>
      </c>
      <c r="D29" s="170" t="s">
        <v>11</v>
      </c>
      <c r="E29" s="170" t="s">
        <v>12</v>
      </c>
      <c r="H29" s="207">
        <v>171119</v>
      </c>
      <c r="I29" s="182" t="s">
        <v>140</v>
      </c>
      <c r="J29" s="182" t="s">
        <v>141</v>
      </c>
      <c r="K29" s="207">
        <v>820</v>
      </c>
      <c r="L29" s="207" t="s">
        <v>15</v>
      </c>
    </row>
    <row r="30" spans="1:12">
      <c r="A30" s="170" t="s">
        <v>142</v>
      </c>
      <c r="B30" s="170" t="s">
        <v>143</v>
      </c>
      <c r="C30" s="170"/>
      <c r="D30" s="170" t="s">
        <v>11</v>
      </c>
      <c r="E30" s="170" t="s">
        <v>12</v>
      </c>
      <c r="H30" s="207">
        <v>485435</v>
      </c>
      <c r="I30" s="182" t="s">
        <v>144</v>
      </c>
      <c r="J30" s="182" t="s">
        <v>145</v>
      </c>
      <c r="K30" s="207">
        <v>654</v>
      </c>
      <c r="L30" s="207" t="s">
        <v>15</v>
      </c>
    </row>
    <row r="31" spans="1:12">
      <c r="A31" s="170" t="s">
        <v>146</v>
      </c>
      <c r="B31" s="170" t="s">
        <v>147</v>
      </c>
      <c r="C31" s="170"/>
      <c r="D31" s="170" t="s">
        <v>11</v>
      </c>
      <c r="E31" s="170" t="s">
        <v>12</v>
      </c>
      <c r="H31" s="207">
        <v>456401</v>
      </c>
      <c r="I31" s="182" t="s">
        <v>148</v>
      </c>
      <c r="J31" s="182" t="s">
        <v>149</v>
      </c>
      <c r="K31" s="207">
        <v>740</v>
      </c>
      <c r="L31" s="207" t="s">
        <v>15</v>
      </c>
    </row>
    <row r="32" spans="1:12">
      <c r="A32" s="170" t="s">
        <v>150</v>
      </c>
      <c r="B32" s="170" t="s">
        <v>151</v>
      </c>
      <c r="C32" s="209" t="s">
        <v>152</v>
      </c>
      <c r="D32" s="170" t="s">
        <v>11</v>
      </c>
      <c r="E32" s="170" t="s">
        <v>12</v>
      </c>
      <c r="H32" s="207" t="s">
        <v>153</v>
      </c>
      <c r="I32" s="182" t="s">
        <v>10</v>
      </c>
      <c r="J32" s="182" t="s">
        <v>153</v>
      </c>
      <c r="K32" s="207">
        <v>822</v>
      </c>
      <c r="L32" s="207" t="s">
        <v>19</v>
      </c>
    </row>
    <row r="33" spans="1:12">
      <c r="A33" s="170" t="s">
        <v>154</v>
      </c>
      <c r="B33" s="170" t="s">
        <v>155</v>
      </c>
      <c r="C33" s="170"/>
      <c r="D33" s="170" t="s">
        <v>11</v>
      </c>
      <c r="E33" s="170" t="s">
        <v>12</v>
      </c>
      <c r="H33" s="207">
        <v>459106</v>
      </c>
      <c r="I33" s="182" t="s">
        <v>156</v>
      </c>
      <c r="J33" s="182" t="s">
        <v>157</v>
      </c>
      <c r="K33" s="207">
        <v>15</v>
      </c>
      <c r="L33" s="207" t="s">
        <v>15</v>
      </c>
    </row>
    <row r="34" spans="1:12">
      <c r="A34" s="170" t="s">
        <v>158</v>
      </c>
      <c r="B34" s="170" t="s">
        <v>159</v>
      </c>
      <c r="C34" s="170"/>
      <c r="D34" s="170" t="s">
        <v>11</v>
      </c>
      <c r="E34" s="170" t="s">
        <v>12</v>
      </c>
      <c r="H34" s="207">
        <v>509424</v>
      </c>
      <c r="I34" s="182" t="s">
        <v>160</v>
      </c>
      <c r="J34" s="182" t="s">
        <v>161</v>
      </c>
      <c r="K34" s="207">
        <v>84</v>
      </c>
      <c r="L34" s="207" t="s">
        <v>15</v>
      </c>
    </row>
    <row r="35" spans="1:12">
      <c r="A35" s="170" t="s">
        <v>162</v>
      </c>
      <c r="B35" s="170" t="s">
        <v>163</v>
      </c>
      <c r="C35" s="209" t="s">
        <v>164</v>
      </c>
      <c r="D35" s="170" t="s">
        <v>11</v>
      </c>
      <c r="E35" s="170" t="s">
        <v>12</v>
      </c>
      <c r="H35" s="207" t="s">
        <v>165</v>
      </c>
      <c r="I35" s="182" t="s">
        <v>10</v>
      </c>
      <c r="J35" s="182" t="s">
        <v>165</v>
      </c>
      <c r="K35" s="207">
        <v>454</v>
      </c>
      <c r="L35" s="207" t="s">
        <v>19</v>
      </c>
    </row>
    <row r="36" spans="1:12">
      <c r="A36" s="170" t="s">
        <v>166</v>
      </c>
      <c r="B36" s="170" t="s">
        <v>167</v>
      </c>
      <c r="C36" s="170"/>
      <c r="D36" s="170" t="s">
        <v>11</v>
      </c>
      <c r="E36" s="170" t="s">
        <v>12</v>
      </c>
      <c r="H36" s="207" t="s">
        <v>168</v>
      </c>
      <c r="I36" s="182" t="s">
        <v>10</v>
      </c>
      <c r="J36" s="182" t="s">
        <v>168</v>
      </c>
      <c r="K36" s="207">
        <v>357</v>
      </c>
      <c r="L36" s="207" t="s">
        <v>53</v>
      </c>
    </row>
    <row r="37" spans="1:12">
      <c r="A37" s="170" t="s">
        <v>169</v>
      </c>
      <c r="B37" s="170" t="s">
        <v>170</v>
      </c>
      <c r="C37" s="170"/>
      <c r="D37" s="170" t="s">
        <v>11</v>
      </c>
      <c r="E37" s="170" t="s">
        <v>12</v>
      </c>
      <c r="H37" s="207" t="s">
        <v>171</v>
      </c>
      <c r="I37" s="182" t="s">
        <v>10</v>
      </c>
      <c r="J37" s="182" t="s">
        <v>171</v>
      </c>
      <c r="K37" s="207">
        <v>381</v>
      </c>
      <c r="L37" s="207" t="s">
        <v>53</v>
      </c>
    </row>
    <row r="38" spans="1:12">
      <c r="A38" s="170" t="s">
        <v>172</v>
      </c>
      <c r="B38" s="170" t="s">
        <v>173</v>
      </c>
      <c r="C38" s="208" t="s">
        <v>174</v>
      </c>
      <c r="D38" s="170" t="s">
        <v>11</v>
      </c>
      <c r="E38" s="170" t="s">
        <v>12</v>
      </c>
      <c r="H38" s="207" t="s">
        <v>175</v>
      </c>
      <c r="I38" s="182" t="s">
        <v>10</v>
      </c>
      <c r="J38" s="182" t="s">
        <v>175</v>
      </c>
      <c r="K38" s="207">
        <v>63</v>
      </c>
      <c r="L38" s="207" t="s">
        <v>53</v>
      </c>
    </row>
    <row r="39" spans="1:12">
      <c r="A39" s="170" t="s">
        <v>176</v>
      </c>
      <c r="B39" s="170" t="s">
        <v>177</v>
      </c>
      <c r="C39" s="170"/>
      <c r="D39" s="170" t="s">
        <v>11</v>
      </c>
      <c r="E39" s="170" t="s">
        <v>12</v>
      </c>
      <c r="H39" s="207">
        <v>425459</v>
      </c>
      <c r="I39" s="182" t="s">
        <v>178</v>
      </c>
      <c r="J39" s="182" t="s">
        <v>179</v>
      </c>
      <c r="K39" s="207">
        <v>885</v>
      </c>
      <c r="L39" s="207" t="s">
        <v>15</v>
      </c>
    </row>
    <row r="40" spans="1:12">
      <c r="A40" s="170" t="s">
        <v>180</v>
      </c>
      <c r="B40" s="170" t="s">
        <v>181</v>
      </c>
      <c r="C40" s="170"/>
      <c r="D40" s="170" t="s">
        <v>11</v>
      </c>
      <c r="E40" s="170" t="s">
        <v>12</v>
      </c>
      <c r="H40" s="207">
        <v>501115</v>
      </c>
      <c r="I40" s="182" t="s">
        <v>182</v>
      </c>
      <c r="J40" s="182" t="s">
        <v>183</v>
      </c>
      <c r="K40" s="207">
        <v>696</v>
      </c>
      <c r="L40" s="207" t="s">
        <v>15</v>
      </c>
    </row>
    <row r="41" spans="1:12">
      <c r="A41" s="170" t="s">
        <v>184</v>
      </c>
      <c r="B41" s="170" t="s">
        <v>185</v>
      </c>
      <c r="C41" s="208" t="s">
        <v>186</v>
      </c>
      <c r="D41" s="170" t="s">
        <v>11</v>
      </c>
      <c r="E41" s="170" t="s">
        <v>12</v>
      </c>
      <c r="H41" s="207">
        <v>669595</v>
      </c>
      <c r="I41" s="182" t="s">
        <v>187</v>
      </c>
      <c r="J41" s="182" t="s">
        <v>188</v>
      </c>
      <c r="K41" s="207">
        <v>1046</v>
      </c>
      <c r="L41" s="207" t="s">
        <v>15</v>
      </c>
    </row>
    <row r="42" spans="1:12">
      <c r="A42" s="170" t="s">
        <v>189</v>
      </c>
      <c r="B42" s="170" t="s">
        <v>190</v>
      </c>
      <c r="C42" s="170"/>
      <c r="D42" s="170" t="s">
        <v>11</v>
      </c>
      <c r="E42" s="170" t="s">
        <v>12</v>
      </c>
      <c r="H42" s="207">
        <v>505536</v>
      </c>
      <c r="I42" s="182" t="s">
        <v>191</v>
      </c>
      <c r="J42" s="182" t="s">
        <v>192</v>
      </c>
      <c r="K42" s="207">
        <v>404</v>
      </c>
      <c r="L42" s="207" t="s">
        <v>15</v>
      </c>
    </row>
    <row r="43" spans="1:12">
      <c r="A43" s="170" t="s">
        <v>193</v>
      </c>
      <c r="B43" s="170" t="s">
        <v>194</v>
      </c>
      <c r="C43" s="170"/>
      <c r="D43" s="170" t="s">
        <v>11</v>
      </c>
      <c r="E43" s="170" t="s">
        <v>12</v>
      </c>
      <c r="H43" s="207" t="s">
        <v>195</v>
      </c>
      <c r="I43" s="182" t="s">
        <v>10</v>
      </c>
      <c r="J43" s="182" t="s">
        <v>195</v>
      </c>
      <c r="K43" s="207">
        <v>626</v>
      </c>
      <c r="L43" s="207" t="s">
        <v>19</v>
      </c>
    </row>
    <row r="44" spans="1:12">
      <c r="A44" s="170" t="s">
        <v>196</v>
      </c>
      <c r="B44" s="170" t="s">
        <v>197</v>
      </c>
      <c r="C44" s="208" t="s">
        <v>198</v>
      </c>
      <c r="D44" s="170" t="s">
        <v>11</v>
      </c>
      <c r="E44" s="170" t="s">
        <v>12</v>
      </c>
      <c r="H44" s="207">
        <v>229537</v>
      </c>
      <c r="I44" s="182" t="s">
        <v>199</v>
      </c>
      <c r="J44" s="182" t="s">
        <v>200</v>
      </c>
      <c r="K44" s="207">
        <v>161</v>
      </c>
      <c r="L44" s="207" t="s">
        <v>15</v>
      </c>
    </row>
    <row r="45" spans="1:12">
      <c r="A45" s="170" t="s">
        <v>201</v>
      </c>
      <c r="B45" s="170" t="s">
        <v>202</v>
      </c>
      <c r="C45" s="170"/>
      <c r="D45" s="170" t="s">
        <v>11</v>
      </c>
      <c r="E45" s="170" t="s">
        <v>12</v>
      </c>
      <c r="H45" s="207">
        <v>500801</v>
      </c>
      <c r="I45" s="182" t="s">
        <v>203</v>
      </c>
      <c r="J45" s="182" t="s">
        <v>204</v>
      </c>
      <c r="K45" s="207">
        <v>1186</v>
      </c>
      <c r="L45" s="207" t="s">
        <v>15</v>
      </c>
    </row>
    <row r="46" spans="1:12">
      <c r="A46" s="170" t="s">
        <v>205</v>
      </c>
      <c r="B46" s="170" t="s">
        <v>206</v>
      </c>
      <c r="C46" s="170"/>
      <c r="D46" s="170" t="s">
        <v>11</v>
      </c>
      <c r="E46" s="170" t="s">
        <v>12</v>
      </c>
      <c r="H46" s="207">
        <v>424712</v>
      </c>
      <c r="I46" s="182" t="s">
        <v>207</v>
      </c>
      <c r="J46" s="182" t="s">
        <v>208</v>
      </c>
      <c r="K46" s="207">
        <v>273</v>
      </c>
      <c r="L46" s="207" t="s">
        <v>15</v>
      </c>
    </row>
    <row r="47" spans="1:12">
      <c r="A47" s="170" t="s">
        <v>209</v>
      </c>
      <c r="B47" s="170" t="s">
        <v>210</v>
      </c>
      <c r="C47" s="209" t="s">
        <v>211</v>
      </c>
      <c r="D47" s="170" t="s">
        <v>11</v>
      </c>
      <c r="E47" s="170" t="s">
        <v>12</v>
      </c>
      <c r="H47" s="207">
        <v>508348</v>
      </c>
      <c r="I47" s="182" t="s">
        <v>212</v>
      </c>
      <c r="J47" s="182" t="s">
        <v>213</v>
      </c>
      <c r="K47" s="207">
        <v>134</v>
      </c>
      <c r="L47" s="207" t="s">
        <v>15</v>
      </c>
    </row>
    <row r="48" spans="1:12">
      <c r="A48" s="170" t="s">
        <v>214</v>
      </c>
      <c r="B48" s="170" t="s">
        <v>215</v>
      </c>
      <c r="C48" s="170"/>
      <c r="D48" s="170" t="s">
        <v>11</v>
      </c>
      <c r="E48" s="170" t="s">
        <v>12</v>
      </c>
      <c r="H48" s="207">
        <v>514411</v>
      </c>
      <c r="I48" s="182" t="s">
        <v>216</v>
      </c>
      <c r="J48" s="182" t="s">
        <v>217</v>
      </c>
      <c r="K48" s="207">
        <v>452</v>
      </c>
      <c r="L48" s="207" t="s">
        <v>15</v>
      </c>
    </row>
    <row r="49" spans="1:12">
      <c r="A49" s="170" t="s">
        <v>218</v>
      </c>
      <c r="B49" s="170" t="s">
        <v>219</v>
      </c>
      <c r="C49" s="170"/>
      <c r="D49" s="170" t="s">
        <v>11</v>
      </c>
      <c r="E49" s="170" t="s">
        <v>12</v>
      </c>
      <c r="H49" s="207">
        <v>373817</v>
      </c>
      <c r="I49" s="182" t="s">
        <v>220</v>
      </c>
      <c r="J49" s="182" t="s">
        <v>221</v>
      </c>
      <c r="K49" s="207">
        <v>590</v>
      </c>
      <c r="L49" s="207" t="s">
        <v>15</v>
      </c>
    </row>
    <row r="50" spans="1:12">
      <c r="A50" s="170" t="s">
        <v>222</v>
      </c>
      <c r="B50" s="170" t="s">
        <v>223</v>
      </c>
      <c r="C50" s="208" t="s">
        <v>224</v>
      </c>
      <c r="D50" s="170" t="s">
        <v>11</v>
      </c>
      <c r="E50" s="170" t="s">
        <v>12</v>
      </c>
      <c r="H50" s="207">
        <v>507538</v>
      </c>
      <c r="I50" s="182" t="s">
        <v>225</v>
      </c>
      <c r="J50" s="182" t="s">
        <v>226</v>
      </c>
      <c r="K50" s="207">
        <v>23</v>
      </c>
      <c r="L50" s="207" t="s">
        <v>15</v>
      </c>
    </row>
    <row r="51" spans="1:12">
      <c r="A51" s="170" t="s">
        <v>227</v>
      </c>
      <c r="B51" s="170" t="s">
        <v>228</v>
      </c>
      <c r="C51" s="170"/>
      <c r="D51" s="170" t="s">
        <v>11</v>
      </c>
      <c r="E51" s="170" t="s">
        <v>12</v>
      </c>
      <c r="H51" s="207">
        <v>501406</v>
      </c>
      <c r="I51" s="182" t="s">
        <v>229</v>
      </c>
      <c r="J51" s="182" t="s">
        <v>230</v>
      </c>
      <c r="K51" s="207">
        <v>698</v>
      </c>
      <c r="L51" s="207" t="s">
        <v>15</v>
      </c>
    </row>
    <row r="52" spans="1:12">
      <c r="A52" s="170" t="s">
        <v>231</v>
      </c>
      <c r="B52" s="170" t="s">
        <v>232</v>
      </c>
      <c r="C52" s="170"/>
      <c r="D52" s="170" t="s">
        <v>11</v>
      </c>
      <c r="E52" s="170" t="s">
        <v>12</v>
      </c>
      <c r="H52" s="207">
        <v>493372</v>
      </c>
      <c r="I52" s="182" t="s">
        <v>233</v>
      </c>
      <c r="J52" s="182" t="s">
        <v>234</v>
      </c>
      <c r="K52" s="207">
        <v>234</v>
      </c>
      <c r="L52" s="207" t="s">
        <v>15</v>
      </c>
    </row>
    <row r="53" spans="1:12">
      <c r="A53" s="170" t="s">
        <v>235</v>
      </c>
      <c r="B53" s="170" t="s">
        <v>6608</v>
      </c>
      <c r="C53" s="208" t="s">
        <v>237</v>
      </c>
      <c r="D53" s="170" t="s">
        <v>11</v>
      </c>
      <c r="E53" s="170" t="s">
        <v>12</v>
      </c>
      <c r="H53" s="207">
        <v>473689</v>
      </c>
      <c r="I53" s="182" t="s">
        <v>238</v>
      </c>
      <c r="J53" s="182" t="s">
        <v>239</v>
      </c>
      <c r="K53" s="207">
        <v>1115</v>
      </c>
      <c r="L53" s="207" t="s">
        <v>15</v>
      </c>
    </row>
    <row r="54" spans="1:12">
      <c r="A54" s="170" t="s">
        <v>240</v>
      </c>
      <c r="B54" s="170" t="s">
        <v>241</v>
      </c>
      <c r="C54" s="170"/>
      <c r="D54" s="170" t="s">
        <v>11</v>
      </c>
      <c r="E54" s="170" t="s">
        <v>12</v>
      </c>
      <c r="H54" s="207">
        <v>483759</v>
      </c>
      <c r="I54" s="182" t="s">
        <v>242</v>
      </c>
      <c r="J54" s="182" t="s">
        <v>243</v>
      </c>
      <c r="K54" s="207">
        <v>786</v>
      </c>
      <c r="L54" s="207" t="s">
        <v>15</v>
      </c>
    </row>
    <row r="55" spans="1:12">
      <c r="A55" s="170" t="s">
        <v>244</v>
      </c>
      <c r="B55" s="170" t="s">
        <v>236</v>
      </c>
      <c r="C55" s="170"/>
      <c r="D55" s="170" t="s">
        <v>11</v>
      </c>
      <c r="E55" s="170" t="s">
        <v>12</v>
      </c>
      <c r="H55" s="207">
        <v>492162</v>
      </c>
      <c r="I55" s="182" t="s">
        <v>245</v>
      </c>
      <c r="J55" s="182" t="s">
        <v>246</v>
      </c>
      <c r="K55" s="207">
        <v>504</v>
      </c>
      <c r="L55" s="207" t="s">
        <v>15</v>
      </c>
    </row>
    <row r="56" spans="1:12">
      <c r="A56" s="170" t="s">
        <v>247</v>
      </c>
      <c r="B56" s="170" t="s">
        <v>248</v>
      </c>
      <c r="C56" s="208" t="s">
        <v>249</v>
      </c>
      <c r="D56" s="170" t="s">
        <v>11</v>
      </c>
      <c r="E56" s="170" t="s">
        <v>12</v>
      </c>
      <c r="H56" s="207">
        <v>202347</v>
      </c>
      <c r="I56" s="182" t="s">
        <v>250</v>
      </c>
      <c r="J56" s="182" t="s">
        <v>251</v>
      </c>
      <c r="K56" s="207">
        <v>916</v>
      </c>
      <c r="L56" s="207" t="s">
        <v>15</v>
      </c>
    </row>
    <row r="57" spans="1:12">
      <c r="A57" s="170" t="s">
        <v>252</v>
      </c>
      <c r="B57" s="170" t="s">
        <v>253</v>
      </c>
      <c r="C57" s="170"/>
      <c r="D57" s="170" t="s">
        <v>11</v>
      </c>
      <c r="E57" s="170" t="s">
        <v>12</v>
      </c>
      <c r="H57" s="207" t="s">
        <v>254</v>
      </c>
      <c r="I57" s="182" t="s">
        <v>10</v>
      </c>
      <c r="J57" s="182" t="s">
        <v>254</v>
      </c>
      <c r="K57" s="207">
        <v>318</v>
      </c>
      <c r="L57" s="207" t="s">
        <v>53</v>
      </c>
    </row>
    <row r="58" spans="1:12">
      <c r="A58" s="170" t="s">
        <v>255</v>
      </c>
      <c r="B58" s="170" t="s">
        <v>256</v>
      </c>
      <c r="C58" s="170"/>
      <c r="D58" s="170" t="s">
        <v>11</v>
      </c>
      <c r="E58" s="170" t="s">
        <v>12</v>
      </c>
      <c r="H58" s="207" t="s">
        <v>257</v>
      </c>
      <c r="I58" s="182" t="s">
        <v>10</v>
      </c>
      <c r="J58" s="182" t="s">
        <v>257</v>
      </c>
      <c r="K58" s="207">
        <v>1066</v>
      </c>
      <c r="L58" s="207" t="s">
        <v>19</v>
      </c>
    </row>
    <row r="59" spans="1:12">
      <c r="A59" s="170" t="s">
        <v>258</v>
      </c>
      <c r="B59" s="170" t="s">
        <v>259</v>
      </c>
      <c r="C59" s="208" t="s">
        <v>260</v>
      </c>
      <c r="D59" s="170" t="s">
        <v>11</v>
      </c>
      <c r="E59" s="170" t="s">
        <v>12</v>
      </c>
      <c r="H59" s="207">
        <v>469660</v>
      </c>
      <c r="I59" s="182" t="s">
        <v>261</v>
      </c>
      <c r="J59" s="182" t="s">
        <v>262</v>
      </c>
      <c r="K59" s="207">
        <v>925</v>
      </c>
      <c r="L59" s="207" t="s">
        <v>15</v>
      </c>
    </row>
    <row r="60" spans="1:12">
      <c r="A60" s="170" t="s">
        <v>263</v>
      </c>
      <c r="B60" s="170" t="s">
        <v>264</v>
      </c>
      <c r="C60" s="170"/>
      <c r="D60" s="170" t="s">
        <v>11</v>
      </c>
      <c r="E60" s="170" t="s">
        <v>12</v>
      </c>
      <c r="H60" s="207">
        <v>492840</v>
      </c>
      <c r="I60" s="182" t="s">
        <v>265</v>
      </c>
      <c r="J60" s="182" t="s">
        <v>266</v>
      </c>
      <c r="K60" s="207">
        <v>923</v>
      </c>
      <c r="L60" s="207" t="s">
        <v>15</v>
      </c>
    </row>
    <row r="61" spans="1:12">
      <c r="A61" s="170" t="s">
        <v>267</v>
      </c>
      <c r="B61" s="170" t="s">
        <v>268</v>
      </c>
      <c r="C61" s="170"/>
      <c r="D61" s="170" t="s">
        <v>11</v>
      </c>
      <c r="E61" s="170" t="s">
        <v>12</v>
      </c>
      <c r="H61" s="207">
        <v>495752</v>
      </c>
      <c r="I61" s="182" t="s">
        <v>269</v>
      </c>
      <c r="J61" s="182" t="s">
        <v>270</v>
      </c>
      <c r="K61" s="207">
        <v>650</v>
      </c>
      <c r="L61" s="207" t="s">
        <v>15</v>
      </c>
    </row>
    <row r="62" spans="1:12">
      <c r="A62" s="170" t="s">
        <v>271</v>
      </c>
      <c r="B62" s="170" t="s">
        <v>272</v>
      </c>
      <c r="C62" s="208" t="s">
        <v>273</v>
      </c>
      <c r="D62" s="170" t="s">
        <v>11</v>
      </c>
      <c r="E62" s="170" t="s">
        <v>12</v>
      </c>
      <c r="H62" s="207">
        <v>498325</v>
      </c>
      <c r="I62" s="182" t="s">
        <v>274</v>
      </c>
      <c r="J62" s="182" t="s">
        <v>275</v>
      </c>
      <c r="K62" s="207">
        <v>509</v>
      </c>
      <c r="L62" s="207" t="s">
        <v>15</v>
      </c>
    </row>
    <row r="63" spans="1:12">
      <c r="A63" s="170" t="s">
        <v>276</v>
      </c>
      <c r="B63" s="170" t="s">
        <v>277</v>
      </c>
      <c r="C63" s="170"/>
      <c r="D63" s="170" t="s">
        <v>11</v>
      </c>
      <c r="E63" s="170" t="s">
        <v>12</v>
      </c>
      <c r="H63" s="207">
        <v>23055</v>
      </c>
      <c r="I63" s="182" t="s">
        <v>278</v>
      </c>
      <c r="J63" s="182" t="s">
        <v>279</v>
      </c>
      <c r="K63" s="207">
        <v>1051</v>
      </c>
      <c r="L63" s="207" t="s">
        <v>15</v>
      </c>
    </row>
    <row r="64" spans="1:12">
      <c r="A64" s="170" t="s">
        <v>280</v>
      </c>
      <c r="B64" s="170" t="s">
        <v>281</v>
      </c>
      <c r="C64" s="170"/>
      <c r="D64" s="170" t="s">
        <v>11</v>
      </c>
      <c r="E64" s="170" t="s">
        <v>12</v>
      </c>
      <c r="H64" s="207">
        <v>465035</v>
      </c>
      <c r="I64" s="182" t="s">
        <v>282</v>
      </c>
      <c r="J64" s="182" t="s">
        <v>283</v>
      </c>
      <c r="K64" s="207">
        <v>1084</v>
      </c>
      <c r="L64" s="207" t="s">
        <v>15</v>
      </c>
    </row>
    <row r="65" spans="1:12">
      <c r="A65" s="170" t="s">
        <v>284</v>
      </c>
      <c r="B65" s="170" t="s">
        <v>285</v>
      </c>
      <c r="C65" s="208" t="s">
        <v>286</v>
      </c>
      <c r="D65" s="170" t="s">
        <v>11</v>
      </c>
      <c r="E65" s="170" t="s">
        <v>12</v>
      </c>
      <c r="H65" s="207" t="s">
        <v>287</v>
      </c>
      <c r="I65" s="182" t="s">
        <v>10</v>
      </c>
      <c r="J65" s="182" t="s">
        <v>287</v>
      </c>
      <c r="K65" s="207">
        <v>424</v>
      </c>
      <c r="L65" s="207" t="s">
        <v>19</v>
      </c>
    </row>
    <row r="66" spans="1:12">
      <c r="A66" s="170" t="s">
        <v>288</v>
      </c>
      <c r="B66" s="170" t="s">
        <v>289</v>
      </c>
      <c r="C66" s="170"/>
      <c r="D66" s="170" t="s">
        <v>11</v>
      </c>
      <c r="E66" s="170" t="s">
        <v>12</v>
      </c>
      <c r="H66" s="207">
        <v>496167</v>
      </c>
      <c r="I66" s="182" t="s">
        <v>290</v>
      </c>
      <c r="J66" s="182" t="s">
        <v>291</v>
      </c>
      <c r="K66" s="182"/>
      <c r="L66" s="182" t="s">
        <v>15</v>
      </c>
    </row>
    <row r="67" spans="1:12">
      <c r="A67" s="170" t="s">
        <v>292</v>
      </c>
      <c r="B67" s="170" t="s">
        <v>293</v>
      </c>
      <c r="C67" s="170"/>
      <c r="D67" s="170" t="s">
        <v>11</v>
      </c>
      <c r="E67" s="170" t="s">
        <v>12</v>
      </c>
      <c r="H67" s="207">
        <v>301281</v>
      </c>
      <c r="I67" s="182" t="s">
        <v>294</v>
      </c>
      <c r="J67" s="182" t="s">
        <v>295</v>
      </c>
      <c r="K67" s="182" t="s">
        <v>296</v>
      </c>
      <c r="L67" s="182" t="s">
        <v>15</v>
      </c>
    </row>
    <row r="68" spans="1:12">
      <c r="A68" s="170" t="s">
        <v>297</v>
      </c>
      <c r="B68" s="170" t="s">
        <v>298</v>
      </c>
      <c r="C68" s="178" t="s">
        <v>10</v>
      </c>
      <c r="D68" s="170" t="s">
        <v>11</v>
      </c>
      <c r="E68" s="170" t="s">
        <v>12</v>
      </c>
      <c r="H68" s="207">
        <v>473040</v>
      </c>
      <c r="I68" s="182" t="s">
        <v>299</v>
      </c>
      <c r="J68" s="182" t="s">
        <v>300</v>
      </c>
      <c r="K68" s="182" t="s">
        <v>301</v>
      </c>
      <c r="L68" s="182" t="s">
        <v>15</v>
      </c>
    </row>
    <row r="69" spans="1:12">
      <c r="A69" s="170" t="s">
        <v>302</v>
      </c>
      <c r="B69" s="170" t="s">
        <v>303</v>
      </c>
      <c r="C69" s="178" t="s">
        <v>10</v>
      </c>
      <c r="D69" s="170" t="s">
        <v>11</v>
      </c>
      <c r="E69" s="170" t="s">
        <v>12</v>
      </c>
      <c r="H69" s="207">
        <v>486075</v>
      </c>
      <c r="I69" s="182" t="s">
        <v>304</v>
      </c>
      <c r="J69" s="182" t="s">
        <v>305</v>
      </c>
      <c r="K69" s="182" t="s">
        <v>306</v>
      </c>
      <c r="L69" s="182" t="s">
        <v>15</v>
      </c>
    </row>
    <row r="70" spans="1:12">
      <c r="A70" s="170" t="s">
        <v>307</v>
      </c>
      <c r="B70" s="170" t="s">
        <v>308</v>
      </c>
      <c r="C70" s="178" t="s">
        <v>10</v>
      </c>
      <c r="D70" s="170" t="s">
        <v>11</v>
      </c>
      <c r="E70" s="170" t="s">
        <v>12</v>
      </c>
      <c r="H70" s="207">
        <v>971109</v>
      </c>
      <c r="I70" s="182" t="s">
        <v>309</v>
      </c>
      <c r="J70" s="182" t="s">
        <v>310</v>
      </c>
      <c r="K70" s="182" t="s">
        <v>311</v>
      </c>
      <c r="L70" s="182" t="s">
        <v>15</v>
      </c>
    </row>
    <row r="71" spans="1:12">
      <c r="A71" s="170" t="s">
        <v>312</v>
      </c>
      <c r="B71" s="170" t="s">
        <v>313</v>
      </c>
      <c r="C71" s="178" t="s">
        <v>10</v>
      </c>
      <c r="D71" s="170" t="s">
        <v>11</v>
      </c>
      <c r="E71" s="170" t="s">
        <v>12</v>
      </c>
      <c r="H71" s="207">
        <v>519406</v>
      </c>
      <c r="I71" s="182" t="s">
        <v>314</v>
      </c>
      <c r="J71" s="182" t="s">
        <v>315</v>
      </c>
      <c r="K71" s="182" t="s">
        <v>316</v>
      </c>
      <c r="L71" s="182" t="s">
        <v>15</v>
      </c>
    </row>
    <row r="72" spans="1:12">
      <c r="A72" s="170" t="s">
        <v>317</v>
      </c>
      <c r="B72" s="170" t="s">
        <v>318</v>
      </c>
      <c r="C72" s="178" t="s">
        <v>10</v>
      </c>
      <c r="D72" s="170" t="s">
        <v>11</v>
      </c>
      <c r="E72" s="170" t="s">
        <v>12</v>
      </c>
      <c r="H72" s="207">
        <v>224340</v>
      </c>
      <c r="I72" s="182" t="s">
        <v>319</v>
      </c>
      <c r="J72" s="182" t="s">
        <v>320</v>
      </c>
      <c r="K72" s="182" t="s">
        <v>321</v>
      </c>
      <c r="L72" s="182" t="s">
        <v>15</v>
      </c>
    </row>
    <row r="73" spans="1:12">
      <c r="A73" s="170" t="s">
        <v>322</v>
      </c>
      <c r="B73" s="170" t="s">
        <v>323</v>
      </c>
      <c r="C73" s="178" t="s">
        <v>10</v>
      </c>
      <c r="D73" s="170" t="s">
        <v>11</v>
      </c>
      <c r="E73" s="170" t="s">
        <v>12</v>
      </c>
      <c r="H73" s="207" t="s">
        <v>324</v>
      </c>
      <c r="I73" s="182" t="s">
        <v>10</v>
      </c>
      <c r="J73" s="182" t="s">
        <v>324</v>
      </c>
      <c r="K73" s="182" t="s">
        <v>325</v>
      </c>
      <c r="L73" s="182" t="s">
        <v>53</v>
      </c>
    </row>
    <row r="74" spans="1:12">
      <c r="A74" s="170" t="s">
        <v>326</v>
      </c>
      <c r="B74" s="170" t="s">
        <v>327</v>
      </c>
      <c r="C74" s="208" t="s">
        <v>328</v>
      </c>
      <c r="D74" s="170" t="s">
        <v>11</v>
      </c>
      <c r="E74" s="170" t="s">
        <v>12</v>
      </c>
      <c r="H74" s="207">
        <v>497202</v>
      </c>
      <c r="I74" s="182" t="s">
        <v>329</v>
      </c>
      <c r="J74" s="182" t="s">
        <v>330</v>
      </c>
      <c r="K74" s="182" t="s">
        <v>331</v>
      </c>
      <c r="L74" s="182" t="s">
        <v>15</v>
      </c>
    </row>
    <row r="75" spans="1:12">
      <c r="A75" s="170" t="s">
        <v>332</v>
      </c>
      <c r="B75" s="170" t="s">
        <v>333</v>
      </c>
      <c r="C75" s="170"/>
      <c r="D75" s="170" t="s">
        <v>11</v>
      </c>
      <c r="E75" s="170" t="s">
        <v>12</v>
      </c>
      <c r="H75" s="207">
        <v>497124</v>
      </c>
      <c r="I75" s="182" t="s">
        <v>334</v>
      </c>
      <c r="J75" s="182" t="s">
        <v>335</v>
      </c>
      <c r="K75" s="182" t="s">
        <v>336</v>
      </c>
      <c r="L75" s="182" t="s">
        <v>15</v>
      </c>
    </row>
    <row r="76" spans="1:12">
      <c r="A76" s="170" t="s">
        <v>337</v>
      </c>
      <c r="B76" s="170" t="s">
        <v>338</v>
      </c>
      <c r="C76" s="170"/>
      <c r="D76" s="170" t="s">
        <v>11</v>
      </c>
      <c r="E76" s="170" t="s">
        <v>12</v>
      </c>
      <c r="H76" s="207">
        <v>544064</v>
      </c>
      <c r="I76" s="182" t="s">
        <v>339</v>
      </c>
      <c r="J76" s="182" t="s">
        <v>340</v>
      </c>
      <c r="K76" s="182" t="s">
        <v>341</v>
      </c>
      <c r="L76" s="182" t="s">
        <v>15</v>
      </c>
    </row>
    <row r="77" spans="1:12">
      <c r="A77" s="170" t="s">
        <v>342</v>
      </c>
      <c r="B77" s="170" t="s">
        <v>343</v>
      </c>
      <c r="C77" s="208" t="s">
        <v>344</v>
      </c>
      <c r="D77" s="170" t="s">
        <v>11</v>
      </c>
      <c r="E77" s="170" t="s">
        <v>12</v>
      </c>
      <c r="H77" s="207" t="s">
        <v>345</v>
      </c>
      <c r="I77" s="182" t="s">
        <v>10</v>
      </c>
      <c r="J77" s="182" t="s">
        <v>345</v>
      </c>
      <c r="K77" s="182" t="s">
        <v>346</v>
      </c>
      <c r="L77" s="182" t="s">
        <v>53</v>
      </c>
    </row>
    <row r="78" spans="1:12">
      <c r="A78" s="170" t="s">
        <v>347</v>
      </c>
      <c r="B78" s="170" t="s">
        <v>348</v>
      </c>
      <c r="C78" s="170"/>
      <c r="D78" s="170" t="s">
        <v>11</v>
      </c>
      <c r="E78" s="170" t="s">
        <v>12</v>
      </c>
      <c r="H78" s="207">
        <v>490977</v>
      </c>
      <c r="I78" s="182" t="s">
        <v>349</v>
      </c>
      <c r="J78" s="182" t="s">
        <v>350</v>
      </c>
      <c r="K78" s="182" t="s">
        <v>351</v>
      </c>
      <c r="L78" s="182" t="s">
        <v>15</v>
      </c>
    </row>
    <row r="79" spans="1:12">
      <c r="A79" s="170" t="s">
        <v>352</v>
      </c>
      <c r="B79" s="170" t="s">
        <v>353</v>
      </c>
      <c r="C79" s="170"/>
      <c r="D79" s="170" t="s">
        <v>11</v>
      </c>
      <c r="E79" s="170" t="s">
        <v>12</v>
      </c>
      <c r="H79" s="207">
        <v>496720</v>
      </c>
      <c r="I79" s="182" t="s">
        <v>354</v>
      </c>
      <c r="J79" s="182" t="s">
        <v>355</v>
      </c>
      <c r="K79" s="182" t="s">
        <v>356</v>
      </c>
      <c r="L79" s="182" t="s">
        <v>15</v>
      </c>
    </row>
    <row r="80" spans="1:12">
      <c r="A80" s="170" t="s">
        <v>357</v>
      </c>
      <c r="B80" s="170" t="s">
        <v>358</v>
      </c>
      <c r="C80" s="208" t="s">
        <v>359</v>
      </c>
      <c r="D80" s="170" t="s">
        <v>11</v>
      </c>
      <c r="E80" s="170" t="s">
        <v>12</v>
      </c>
      <c r="H80" s="207">
        <v>370004</v>
      </c>
      <c r="I80" s="182" t="s">
        <v>360</v>
      </c>
      <c r="J80" s="182" t="s">
        <v>361</v>
      </c>
      <c r="K80" s="182" t="s">
        <v>362</v>
      </c>
      <c r="L80" s="182" t="s">
        <v>15</v>
      </c>
    </row>
    <row r="81" spans="1:12">
      <c r="A81" s="170" t="s">
        <v>363</v>
      </c>
      <c r="B81" s="170" t="s">
        <v>364</v>
      </c>
      <c r="C81" s="208" t="s">
        <v>365</v>
      </c>
      <c r="D81" s="170" t="s">
        <v>11</v>
      </c>
      <c r="E81" s="170" t="s">
        <v>12</v>
      </c>
      <c r="H81" s="207">
        <v>40874</v>
      </c>
      <c r="I81" s="182" t="s">
        <v>366</v>
      </c>
      <c r="J81" s="182" t="s">
        <v>367</v>
      </c>
      <c r="K81" s="182" t="s">
        <v>368</v>
      </c>
      <c r="L81" s="182" t="s">
        <v>369</v>
      </c>
    </row>
    <row r="82" spans="1:12">
      <c r="A82" s="170" t="s">
        <v>370</v>
      </c>
      <c r="B82" s="170" t="s">
        <v>371</v>
      </c>
      <c r="C82" s="170"/>
      <c r="D82" s="170" t="s">
        <v>11</v>
      </c>
      <c r="E82" s="170" t="s">
        <v>12</v>
      </c>
      <c r="H82" s="207">
        <v>486003</v>
      </c>
      <c r="I82" s="182" t="s">
        <v>372</v>
      </c>
      <c r="J82" s="182" t="s">
        <v>373</v>
      </c>
      <c r="K82" s="182" t="s">
        <v>374</v>
      </c>
      <c r="L82" s="182" t="s">
        <v>15</v>
      </c>
    </row>
    <row r="83" spans="1:12">
      <c r="A83" s="170" t="s">
        <v>375</v>
      </c>
      <c r="B83" s="170" t="s">
        <v>376</v>
      </c>
      <c r="C83" s="208" t="s">
        <v>377</v>
      </c>
      <c r="D83" s="170" t="s">
        <v>11</v>
      </c>
      <c r="E83" s="170" t="s">
        <v>12</v>
      </c>
      <c r="H83" s="207">
        <v>411408</v>
      </c>
      <c r="I83" s="182" t="s">
        <v>378</v>
      </c>
      <c r="J83" s="182" t="s">
        <v>379</v>
      </c>
      <c r="K83" s="182" t="s">
        <v>380</v>
      </c>
      <c r="L83" s="182" t="s">
        <v>15</v>
      </c>
    </row>
    <row r="84" spans="1:12">
      <c r="A84" s="170" t="s">
        <v>382</v>
      </c>
      <c r="B84" s="170" t="s">
        <v>381</v>
      </c>
      <c r="C84" s="208" t="s">
        <v>383</v>
      </c>
      <c r="D84" s="170" t="s">
        <v>11</v>
      </c>
      <c r="E84" s="170" t="s">
        <v>12</v>
      </c>
      <c r="H84" s="207">
        <v>496672</v>
      </c>
      <c r="I84" s="182" t="s">
        <v>384</v>
      </c>
      <c r="J84" s="182" t="s">
        <v>385</v>
      </c>
      <c r="K84" s="182" t="s">
        <v>386</v>
      </c>
      <c r="L84" s="182" t="s">
        <v>15</v>
      </c>
    </row>
    <row r="85" spans="1:12">
      <c r="A85" s="170" t="s">
        <v>387</v>
      </c>
      <c r="B85" s="170" t="s">
        <v>388</v>
      </c>
      <c r="C85" s="170"/>
      <c r="D85" s="170" t="s">
        <v>11</v>
      </c>
      <c r="E85" s="170" t="s">
        <v>12</v>
      </c>
      <c r="H85" s="207">
        <v>481627</v>
      </c>
      <c r="I85" s="182" t="s">
        <v>389</v>
      </c>
      <c r="J85" s="182" t="s">
        <v>390</v>
      </c>
      <c r="K85" s="182" t="s">
        <v>391</v>
      </c>
      <c r="L85" s="182" t="s">
        <v>15</v>
      </c>
    </row>
    <row r="86" spans="1:12">
      <c r="A86" s="170" t="s">
        <v>392</v>
      </c>
      <c r="B86" s="170" t="s">
        <v>393</v>
      </c>
      <c r="C86" s="170" t="s">
        <v>394</v>
      </c>
      <c r="D86" s="170" t="s">
        <v>11</v>
      </c>
      <c r="E86" s="170" t="s">
        <v>12</v>
      </c>
      <c r="H86" s="207">
        <v>513520</v>
      </c>
      <c r="I86" s="182" t="s">
        <v>395</v>
      </c>
      <c r="J86" s="182" t="s">
        <v>396</v>
      </c>
      <c r="K86" s="182" t="s">
        <v>397</v>
      </c>
      <c r="L86" s="182" t="s">
        <v>15</v>
      </c>
    </row>
    <row r="87" spans="1:12">
      <c r="A87" s="170" t="s">
        <v>398</v>
      </c>
      <c r="B87" s="170" t="s">
        <v>399</v>
      </c>
      <c r="C87" s="170" t="s">
        <v>400</v>
      </c>
      <c r="D87" s="170" t="s">
        <v>11</v>
      </c>
      <c r="E87" s="170" t="s">
        <v>12</v>
      </c>
      <c r="H87" s="207">
        <v>501415</v>
      </c>
      <c r="I87" s="182" t="s">
        <v>401</v>
      </c>
      <c r="J87" s="182" t="s">
        <v>402</v>
      </c>
      <c r="K87" s="182" t="s">
        <v>403</v>
      </c>
      <c r="L87" s="182" t="s">
        <v>15</v>
      </c>
    </row>
    <row r="88" spans="1:12">
      <c r="A88" s="170" t="s">
        <v>404</v>
      </c>
      <c r="B88" s="170" t="s">
        <v>405</v>
      </c>
      <c r="C88" s="170"/>
      <c r="D88" s="170" t="s">
        <v>11</v>
      </c>
      <c r="E88" s="170" t="s">
        <v>12</v>
      </c>
      <c r="H88" s="207">
        <v>508766</v>
      </c>
      <c r="I88" s="182" t="s">
        <v>406</v>
      </c>
      <c r="J88" s="182" t="s">
        <v>407</v>
      </c>
      <c r="K88" s="182" t="s">
        <v>408</v>
      </c>
      <c r="L88" s="182" t="s">
        <v>15</v>
      </c>
    </row>
    <row r="89" spans="1:12">
      <c r="A89" s="170" t="s">
        <v>409</v>
      </c>
      <c r="B89" s="170" t="s">
        <v>410</v>
      </c>
      <c r="C89" s="170" t="s">
        <v>411</v>
      </c>
      <c r="D89" s="170" t="s">
        <v>11</v>
      </c>
      <c r="E89" s="170" t="s">
        <v>12</v>
      </c>
      <c r="H89" s="207">
        <v>213926</v>
      </c>
      <c r="I89" s="182" t="s">
        <v>412</v>
      </c>
      <c r="J89" s="182" t="s">
        <v>413</v>
      </c>
      <c r="K89" s="182" t="s">
        <v>414</v>
      </c>
      <c r="L89" s="182" t="s">
        <v>415</v>
      </c>
    </row>
    <row r="90" spans="1:12">
      <c r="A90" s="170" t="s">
        <v>416</v>
      </c>
      <c r="B90" s="170" t="s">
        <v>417</v>
      </c>
      <c r="C90" s="170"/>
      <c r="D90" s="170" t="s">
        <v>11</v>
      </c>
      <c r="E90" s="170" t="s">
        <v>12</v>
      </c>
      <c r="H90" s="207">
        <v>177841</v>
      </c>
      <c r="I90" s="182" t="s">
        <v>418</v>
      </c>
      <c r="J90" s="182" t="s">
        <v>419</v>
      </c>
      <c r="K90" s="182" t="s">
        <v>420</v>
      </c>
      <c r="L90" s="182" t="s">
        <v>15</v>
      </c>
    </row>
    <row r="91" spans="1:12">
      <c r="A91" s="170" t="s">
        <v>421</v>
      </c>
      <c r="B91" s="170" t="s">
        <v>422</v>
      </c>
      <c r="C91" s="170"/>
      <c r="D91" s="170" t="s">
        <v>11</v>
      </c>
      <c r="E91" s="170" t="s">
        <v>12</v>
      </c>
      <c r="H91" s="207">
        <v>693439</v>
      </c>
      <c r="I91" s="182" t="s">
        <v>423</v>
      </c>
      <c r="J91" s="182" t="s">
        <v>424</v>
      </c>
      <c r="K91" s="182" t="s">
        <v>425</v>
      </c>
      <c r="L91" s="182" t="s">
        <v>369</v>
      </c>
    </row>
    <row r="92" spans="1:12">
      <c r="A92" s="170" t="s">
        <v>426</v>
      </c>
      <c r="B92" s="170" t="s">
        <v>427</v>
      </c>
      <c r="C92" s="170" t="s">
        <v>428</v>
      </c>
      <c r="D92" s="170" t="s">
        <v>11</v>
      </c>
      <c r="E92" s="170" t="s">
        <v>12</v>
      </c>
      <c r="H92" s="207">
        <v>486517</v>
      </c>
      <c r="I92" s="182" t="s">
        <v>429</v>
      </c>
      <c r="J92" s="182" t="s">
        <v>430</v>
      </c>
      <c r="K92" s="182" t="s">
        <v>431</v>
      </c>
      <c r="L92" s="182" t="s">
        <v>15</v>
      </c>
    </row>
    <row r="93" spans="1:12">
      <c r="A93" s="170" t="s">
        <v>432</v>
      </c>
      <c r="B93" s="170" t="s">
        <v>433</v>
      </c>
      <c r="C93" s="170"/>
      <c r="D93" s="170" t="s">
        <v>11</v>
      </c>
      <c r="E93" s="170" t="s">
        <v>12</v>
      </c>
      <c r="H93" s="207">
        <v>477832</v>
      </c>
      <c r="I93" s="182" t="s">
        <v>434</v>
      </c>
      <c r="J93" s="182" t="s">
        <v>435</v>
      </c>
      <c r="K93" s="182" t="s">
        <v>436</v>
      </c>
      <c r="L93" s="182" t="s">
        <v>15</v>
      </c>
    </row>
    <row r="94" spans="1:12">
      <c r="A94" s="170" t="s">
        <v>437</v>
      </c>
      <c r="B94" s="170" t="s">
        <v>438</v>
      </c>
      <c r="C94" s="170"/>
      <c r="D94" s="170" t="s">
        <v>11</v>
      </c>
      <c r="E94" s="170" t="s">
        <v>12</v>
      </c>
      <c r="H94" s="207">
        <v>219455</v>
      </c>
      <c r="I94" s="182" t="s">
        <v>439</v>
      </c>
      <c r="J94" s="182" t="s">
        <v>440</v>
      </c>
      <c r="K94" s="182" t="s">
        <v>441</v>
      </c>
      <c r="L94" s="182" t="s">
        <v>15</v>
      </c>
    </row>
    <row r="95" spans="1:12">
      <c r="A95" s="170" t="s">
        <v>442</v>
      </c>
      <c r="B95" s="170" t="s">
        <v>443</v>
      </c>
      <c r="C95" s="170" t="s">
        <v>444</v>
      </c>
      <c r="D95" s="170" t="s">
        <v>11</v>
      </c>
      <c r="E95" s="170" t="s">
        <v>12</v>
      </c>
      <c r="H95" s="207" t="s">
        <v>445</v>
      </c>
      <c r="I95" s="182" t="s">
        <v>10</v>
      </c>
      <c r="J95" s="182" t="s">
        <v>445</v>
      </c>
      <c r="K95" s="182" t="s">
        <v>446</v>
      </c>
      <c r="L95" s="182" t="s">
        <v>447</v>
      </c>
    </row>
    <row r="96" spans="1:12">
      <c r="A96" s="170" t="s">
        <v>448</v>
      </c>
      <c r="B96" s="170" t="s">
        <v>449</v>
      </c>
      <c r="C96" s="170" t="s">
        <v>450</v>
      </c>
      <c r="D96" s="170" t="s">
        <v>11</v>
      </c>
      <c r="E96" s="170" t="s">
        <v>12</v>
      </c>
      <c r="H96" s="207" t="s">
        <v>451</v>
      </c>
      <c r="I96" s="182" t="s">
        <v>10</v>
      </c>
      <c r="J96" s="182" t="s">
        <v>451</v>
      </c>
      <c r="K96" s="182" t="s">
        <v>452</v>
      </c>
      <c r="L96" s="182" t="s">
        <v>53</v>
      </c>
    </row>
    <row r="97" spans="1:12">
      <c r="A97" s="170" t="s">
        <v>453</v>
      </c>
      <c r="B97" s="170" t="s">
        <v>454</v>
      </c>
      <c r="C97" s="170"/>
      <c r="D97" s="170" t="s">
        <v>11</v>
      </c>
      <c r="E97" s="170" t="s">
        <v>12</v>
      </c>
      <c r="H97" s="207" t="s">
        <v>10</v>
      </c>
      <c r="I97" s="182" t="s">
        <v>10</v>
      </c>
      <c r="J97" s="182" t="s">
        <v>455</v>
      </c>
      <c r="K97" s="182" t="s">
        <v>456</v>
      </c>
      <c r="L97" s="182" t="s">
        <v>53</v>
      </c>
    </row>
    <row r="98" spans="1:12">
      <c r="A98" s="170" t="s">
        <v>457</v>
      </c>
      <c r="B98" s="170" t="s">
        <v>458</v>
      </c>
      <c r="C98" s="170" t="s">
        <v>459</v>
      </c>
      <c r="D98" s="170" t="s">
        <v>11</v>
      </c>
      <c r="E98" s="170" t="s">
        <v>12</v>
      </c>
      <c r="H98" s="207">
        <v>469354</v>
      </c>
      <c r="I98" s="182" t="s">
        <v>460</v>
      </c>
      <c r="J98" s="182" t="s">
        <v>461</v>
      </c>
      <c r="K98" s="182" t="s">
        <v>462</v>
      </c>
      <c r="L98" s="182" t="s">
        <v>15</v>
      </c>
    </row>
    <row r="99" spans="1:12">
      <c r="A99" s="170" t="s">
        <v>463</v>
      </c>
      <c r="B99" s="170" t="s">
        <v>464</v>
      </c>
      <c r="C99" s="170" t="s">
        <v>465</v>
      </c>
      <c r="D99" s="170" t="s">
        <v>11</v>
      </c>
      <c r="E99" s="170" t="s">
        <v>12</v>
      </c>
      <c r="H99" s="207">
        <v>222374</v>
      </c>
      <c r="I99" s="182" t="s">
        <v>466</v>
      </c>
      <c r="J99" s="182" t="s">
        <v>467</v>
      </c>
      <c r="K99" s="182" t="s">
        <v>468</v>
      </c>
      <c r="L99" s="182" t="s">
        <v>15</v>
      </c>
    </row>
    <row r="100" spans="1:12">
      <c r="A100" s="170" t="s">
        <v>469</v>
      </c>
      <c r="B100" s="170" t="s">
        <v>470</v>
      </c>
      <c r="C100" s="170"/>
      <c r="D100" s="170" t="s">
        <v>11</v>
      </c>
      <c r="E100" s="170" t="s">
        <v>12</v>
      </c>
      <c r="H100" s="207">
        <v>466321</v>
      </c>
      <c r="I100" s="182" t="s">
        <v>471</v>
      </c>
      <c r="J100" s="182" t="s">
        <v>472</v>
      </c>
      <c r="K100" s="182" t="s">
        <v>473</v>
      </c>
      <c r="L100" s="182" t="s">
        <v>15</v>
      </c>
    </row>
    <row r="101" spans="1:12">
      <c r="A101" s="170" t="s">
        <v>474</v>
      </c>
      <c r="B101" s="170" t="s">
        <v>475</v>
      </c>
      <c r="C101" s="170" t="s">
        <v>476</v>
      </c>
      <c r="D101" s="170" t="s">
        <v>11</v>
      </c>
      <c r="E101" s="170" t="s">
        <v>12</v>
      </c>
      <c r="H101" s="207">
        <v>481705</v>
      </c>
      <c r="I101" s="182" t="s">
        <v>477</v>
      </c>
      <c r="J101" s="182" t="s">
        <v>478</v>
      </c>
      <c r="K101" s="182" t="s">
        <v>479</v>
      </c>
      <c r="L101" s="182" t="s">
        <v>15</v>
      </c>
    </row>
    <row r="102" spans="1:12">
      <c r="A102" s="170" t="s">
        <v>480</v>
      </c>
      <c r="B102" s="170" t="s">
        <v>481</v>
      </c>
      <c r="C102" s="170" t="s">
        <v>482</v>
      </c>
      <c r="D102" s="170" t="s">
        <v>11</v>
      </c>
      <c r="E102" s="170" t="s">
        <v>12</v>
      </c>
      <c r="H102" s="207" t="s">
        <v>483</v>
      </c>
      <c r="I102" s="182" t="s">
        <v>10</v>
      </c>
      <c r="J102" s="182" t="s">
        <v>483</v>
      </c>
      <c r="K102" s="182" t="s">
        <v>484</v>
      </c>
      <c r="L102" s="182" t="s">
        <v>19</v>
      </c>
    </row>
    <row r="103" spans="1:12">
      <c r="A103" s="170" t="s">
        <v>485</v>
      </c>
      <c r="B103" s="170" t="s">
        <v>486</v>
      </c>
      <c r="C103" s="170"/>
      <c r="D103" s="170" t="s">
        <v>11</v>
      </c>
      <c r="E103" s="170" t="s">
        <v>12</v>
      </c>
      <c r="H103" s="207">
        <v>198788</v>
      </c>
      <c r="I103" s="182" t="s">
        <v>487</v>
      </c>
      <c r="J103" s="182" t="s">
        <v>488</v>
      </c>
      <c r="K103" s="182" t="s">
        <v>489</v>
      </c>
      <c r="L103" s="182" t="s">
        <v>15</v>
      </c>
    </row>
    <row r="104" spans="1:12">
      <c r="A104" s="170" t="s">
        <v>490</v>
      </c>
      <c r="B104" s="170" t="s">
        <v>491</v>
      </c>
      <c r="C104" s="170" t="s">
        <v>492</v>
      </c>
      <c r="D104" s="170" t="s">
        <v>11</v>
      </c>
      <c r="E104" s="170" t="s">
        <v>12</v>
      </c>
      <c r="H104" s="207" t="s">
        <v>493</v>
      </c>
      <c r="I104" s="182" t="s">
        <v>10</v>
      </c>
      <c r="J104" s="182" t="s">
        <v>493</v>
      </c>
      <c r="K104" s="182" t="s">
        <v>494</v>
      </c>
      <c r="L104" s="182" t="s">
        <v>447</v>
      </c>
    </row>
    <row r="105" spans="1:12">
      <c r="A105" s="170" t="s">
        <v>495</v>
      </c>
      <c r="B105" s="170" t="s">
        <v>496</v>
      </c>
      <c r="C105" s="170"/>
      <c r="D105" s="170" t="s">
        <v>11</v>
      </c>
      <c r="E105" s="170" t="s">
        <v>12</v>
      </c>
      <c r="H105" s="207">
        <v>486934</v>
      </c>
      <c r="I105" s="182" t="s">
        <v>497</v>
      </c>
      <c r="J105" s="182" t="s">
        <v>498</v>
      </c>
      <c r="K105" s="182" t="s">
        <v>499</v>
      </c>
      <c r="L105" s="182" t="s">
        <v>15</v>
      </c>
    </row>
    <row r="106" spans="1:12">
      <c r="A106" s="170" t="s">
        <v>500</v>
      </c>
      <c r="B106" s="170" t="s">
        <v>501</v>
      </c>
      <c r="C106" s="170"/>
      <c r="D106" s="170" t="s">
        <v>11</v>
      </c>
      <c r="E106" s="170" t="s">
        <v>12</v>
      </c>
      <c r="H106" s="207">
        <v>500852</v>
      </c>
      <c r="I106" s="182" t="s">
        <v>502</v>
      </c>
      <c r="J106" s="182" t="s">
        <v>503</v>
      </c>
      <c r="K106" s="182" t="s">
        <v>504</v>
      </c>
      <c r="L106" s="182" t="s">
        <v>15</v>
      </c>
    </row>
    <row r="107" spans="1:12">
      <c r="A107" s="170" t="s">
        <v>505</v>
      </c>
      <c r="B107" s="170" t="s">
        <v>506</v>
      </c>
      <c r="C107" s="170"/>
      <c r="D107" s="170" t="s">
        <v>11</v>
      </c>
      <c r="E107" s="170" t="s">
        <v>12</v>
      </c>
      <c r="H107" s="207">
        <v>496380</v>
      </c>
      <c r="I107" s="182" t="s">
        <v>507</v>
      </c>
      <c r="J107" s="182" t="s">
        <v>508</v>
      </c>
      <c r="K107" s="182" t="s">
        <v>509</v>
      </c>
      <c r="L107" s="182" t="s">
        <v>15</v>
      </c>
    </row>
    <row r="108" spans="1:12">
      <c r="A108" s="170" t="s">
        <v>510</v>
      </c>
      <c r="B108" s="170" t="s">
        <v>511</v>
      </c>
      <c r="C108" s="170"/>
      <c r="D108" s="170" t="s">
        <v>11</v>
      </c>
      <c r="E108" s="170" t="s">
        <v>12</v>
      </c>
      <c r="H108" s="207">
        <v>492346</v>
      </c>
      <c r="I108" s="182" t="s">
        <v>512</v>
      </c>
      <c r="J108" s="182" t="s">
        <v>513</v>
      </c>
      <c r="K108" s="182"/>
      <c r="L108" s="182" t="s">
        <v>15</v>
      </c>
    </row>
    <row r="109" spans="1:12">
      <c r="A109" s="170" t="s">
        <v>514</v>
      </c>
      <c r="B109" s="170" t="s">
        <v>515</v>
      </c>
      <c r="C109" s="170"/>
      <c r="D109" s="170" t="s">
        <v>11</v>
      </c>
      <c r="E109" s="170" t="s">
        <v>12</v>
      </c>
      <c r="H109" s="207">
        <v>464936</v>
      </c>
      <c r="I109" s="182" t="s">
        <v>516</v>
      </c>
      <c r="J109" s="182" t="s">
        <v>517</v>
      </c>
      <c r="K109" s="182" t="s">
        <v>518</v>
      </c>
      <c r="L109" s="182" t="s">
        <v>15</v>
      </c>
    </row>
    <row r="110" spans="1:12">
      <c r="A110" s="170" t="s">
        <v>519</v>
      </c>
      <c r="B110" s="170" t="s">
        <v>520</v>
      </c>
      <c r="C110" s="170" t="s">
        <v>521</v>
      </c>
      <c r="D110" s="170" t="s">
        <v>11</v>
      </c>
      <c r="E110" s="170" t="s">
        <v>12</v>
      </c>
      <c r="H110" s="207">
        <v>454269</v>
      </c>
      <c r="I110" s="182" t="s">
        <v>522</v>
      </c>
      <c r="J110" s="182" t="s">
        <v>523</v>
      </c>
      <c r="K110" s="182" t="s">
        <v>524</v>
      </c>
      <c r="L110" s="182" t="s">
        <v>15</v>
      </c>
    </row>
    <row r="111" spans="1:12">
      <c r="A111" s="170" t="s">
        <v>525</v>
      </c>
      <c r="B111" s="170" t="s">
        <v>526</v>
      </c>
      <c r="C111" s="170" t="s">
        <v>527</v>
      </c>
      <c r="D111" s="170" t="s">
        <v>11</v>
      </c>
      <c r="E111" s="170" t="s">
        <v>12</v>
      </c>
      <c r="H111" s="207" t="s">
        <v>528</v>
      </c>
      <c r="I111" s="182" t="s">
        <v>10</v>
      </c>
      <c r="J111" s="182" t="s">
        <v>528</v>
      </c>
      <c r="K111" s="182" t="s">
        <v>529</v>
      </c>
      <c r="L111" s="182" t="s">
        <v>53</v>
      </c>
    </row>
    <row r="112" spans="1:12">
      <c r="A112" s="170" t="s">
        <v>530</v>
      </c>
      <c r="B112" s="170" t="s">
        <v>531</v>
      </c>
      <c r="C112" s="170"/>
      <c r="D112" s="170" t="s">
        <v>11</v>
      </c>
      <c r="E112" s="170" t="s">
        <v>12</v>
      </c>
      <c r="H112" s="207">
        <v>514024</v>
      </c>
      <c r="I112" s="182" t="s">
        <v>532</v>
      </c>
      <c r="J112" s="182" t="s">
        <v>533</v>
      </c>
      <c r="K112" s="182"/>
      <c r="L112" s="182" t="s">
        <v>15</v>
      </c>
    </row>
    <row r="113" spans="1:12">
      <c r="A113" s="170" t="s">
        <v>534</v>
      </c>
      <c r="B113" s="170" t="s">
        <v>535</v>
      </c>
      <c r="C113" s="170" t="s">
        <v>536</v>
      </c>
      <c r="D113" s="170" t="s">
        <v>11</v>
      </c>
      <c r="E113" s="170" t="s">
        <v>12</v>
      </c>
      <c r="H113" s="207">
        <v>181283</v>
      </c>
      <c r="I113" s="182" t="s">
        <v>537</v>
      </c>
      <c r="J113" s="182" t="s">
        <v>538</v>
      </c>
      <c r="K113" s="182" t="s">
        <v>539</v>
      </c>
      <c r="L113" s="182" t="s">
        <v>15</v>
      </c>
    </row>
    <row r="114" spans="1:12">
      <c r="A114" s="170" t="s">
        <v>540</v>
      </c>
      <c r="B114" s="170" t="s">
        <v>541</v>
      </c>
      <c r="C114" s="170" t="s">
        <v>542</v>
      </c>
      <c r="D114" s="170" t="s">
        <v>11</v>
      </c>
      <c r="E114" s="170" t="s">
        <v>12</v>
      </c>
      <c r="H114" s="207" t="s">
        <v>543</v>
      </c>
      <c r="I114" s="182" t="s">
        <v>10</v>
      </c>
      <c r="J114" s="182" t="s">
        <v>543</v>
      </c>
      <c r="K114" s="182" t="s">
        <v>544</v>
      </c>
      <c r="L114" s="182" t="s">
        <v>53</v>
      </c>
    </row>
    <row r="115" spans="1:12">
      <c r="A115" s="170" t="s">
        <v>545</v>
      </c>
      <c r="B115" s="170" t="s">
        <v>546</v>
      </c>
      <c r="C115" s="170"/>
      <c r="D115" s="170" t="s">
        <v>11</v>
      </c>
      <c r="E115" s="170" t="s">
        <v>12</v>
      </c>
      <c r="H115" s="207">
        <v>155205</v>
      </c>
      <c r="I115" s="182" t="s">
        <v>547</v>
      </c>
      <c r="J115" s="182" t="s">
        <v>548</v>
      </c>
      <c r="K115" s="182" t="s">
        <v>549</v>
      </c>
      <c r="L115" s="182" t="s">
        <v>15</v>
      </c>
    </row>
    <row r="116" spans="1:12">
      <c r="A116" s="170" t="s">
        <v>550</v>
      </c>
      <c r="B116" s="170" t="s">
        <v>551</v>
      </c>
      <c r="C116" s="170" t="s">
        <v>552</v>
      </c>
      <c r="D116" s="170" t="s">
        <v>11</v>
      </c>
      <c r="E116" s="170" t="s">
        <v>12</v>
      </c>
      <c r="H116" s="207">
        <v>503410</v>
      </c>
      <c r="I116" s="182" t="s">
        <v>553</v>
      </c>
      <c r="J116" s="182" t="s">
        <v>554</v>
      </c>
      <c r="K116" s="182" t="s">
        <v>555</v>
      </c>
      <c r="L116" s="182" t="s">
        <v>15</v>
      </c>
    </row>
    <row r="117" spans="1:12">
      <c r="A117" s="200" t="s">
        <v>556</v>
      </c>
      <c r="B117" s="200" t="s">
        <v>557</v>
      </c>
      <c r="C117" s="200" t="s">
        <v>558</v>
      </c>
      <c r="D117" s="200" t="s">
        <v>11</v>
      </c>
      <c r="E117" s="200" t="s">
        <v>12</v>
      </c>
      <c r="H117" s="207">
        <v>477301</v>
      </c>
      <c r="I117" s="182" t="s">
        <v>559</v>
      </c>
      <c r="J117" s="182" t="s">
        <v>560</v>
      </c>
      <c r="K117" s="182" t="s">
        <v>561</v>
      </c>
      <c r="L117" s="182" t="s">
        <v>15</v>
      </c>
    </row>
    <row r="118" spans="1:12">
      <c r="A118" s="200" t="s">
        <v>562</v>
      </c>
      <c r="B118" s="200" t="s">
        <v>563</v>
      </c>
      <c r="C118" s="200"/>
      <c r="D118" s="200" t="s">
        <v>11</v>
      </c>
      <c r="E118" s="200" t="s">
        <v>12</v>
      </c>
      <c r="H118" s="207">
        <v>496832</v>
      </c>
      <c r="I118" s="182" t="s">
        <v>564</v>
      </c>
      <c r="J118" s="182" t="s">
        <v>565</v>
      </c>
      <c r="K118" s="182" t="s">
        <v>566</v>
      </c>
      <c r="L118" s="182" t="s">
        <v>15</v>
      </c>
    </row>
    <row r="119" spans="1:12">
      <c r="A119" s="200" t="s">
        <v>6609</v>
      </c>
      <c r="B119" s="200" t="s">
        <v>6610</v>
      </c>
      <c r="C119" s="200"/>
      <c r="D119" s="200" t="s">
        <v>11</v>
      </c>
      <c r="E119" s="200" t="s">
        <v>12</v>
      </c>
      <c r="H119" s="207">
        <v>309971</v>
      </c>
      <c r="I119" s="182" t="s">
        <v>109</v>
      </c>
      <c r="J119" s="182" t="s">
        <v>6611</v>
      </c>
      <c r="K119" s="182" t="s">
        <v>6612</v>
      </c>
      <c r="L119" s="182" t="s">
        <v>15</v>
      </c>
    </row>
    <row r="120" spans="1:12">
      <c r="A120" s="200" t="s">
        <v>567</v>
      </c>
      <c r="B120" s="200" t="s">
        <v>568</v>
      </c>
      <c r="C120" s="200"/>
      <c r="D120" s="200" t="s">
        <v>11</v>
      </c>
      <c r="E120" s="200" t="s">
        <v>12</v>
      </c>
      <c r="H120" s="207" t="s">
        <v>569</v>
      </c>
      <c r="I120" s="182" t="s">
        <v>10</v>
      </c>
      <c r="J120" s="182" t="s">
        <v>569</v>
      </c>
      <c r="K120" s="182" t="s">
        <v>570</v>
      </c>
      <c r="L120" s="182" t="s">
        <v>19</v>
      </c>
    </row>
    <row r="121" spans="1:12">
      <c r="A121" s="200" t="s">
        <v>571</v>
      </c>
      <c r="B121" s="200" t="s">
        <v>572</v>
      </c>
      <c r="C121" s="200"/>
      <c r="D121" s="200" t="s">
        <v>11</v>
      </c>
      <c r="E121" s="200" t="s">
        <v>12</v>
      </c>
      <c r="H121" s="207">
        <v>501146</v>
      </c>
      <c r="I121" s="182" t="s">
        <v>573</v>
      </c>
      <c r="J121" s="182" t="s">
        <v>574</v>
      </c>
      <c r="K121" s="182" t="s">
        <v>575</v>
      </c>
      <c r="L121" s="182" t="s">
        <v>15</v>
      </c>
    </row>
    <row r="122" spans="1:12">
      <c r="A122" s="200" t="s">
        <v>576</v>
      </c>
      <c r="B122" s="200" t="s">
        <v>577</v>
      </c>
      <c r="C122" s="201" t="s">
        <v>578</v>
      </c>
      <c r="D122" s="200" t="s">
        <v>11</v>
      </c>
      <c r="E122" s="200" t="s">
        <v>12</v>
      </c>
      <c r="H122" s="207" t="s">
        <v>579</v>
      </c>
      <c r="I122" s="182" t="s">
        <v>10</v>
      </c>
      <c r="J122" s="182" t="s">
        <v>579</v>
      </c>
      <c r="K122" s="182" t="s">
        <v>580</v>
      </c>
      <c r="L122" s="182" t="s">
        <v>19</v>
      </c>
    </row>
    <row r="123" spans="1:12">
      <c r="A123" s="200" t="s">
        <v>581</v>
      </c>
      <c r="B123" s="200" t="s">
        <v>582</v>
      </c>
      <c r="C123" s="201" t="s">
        <v>583</v>
      </c>
      <c r="D123" s="200" t="s">
        <v>11</v>
      </c>
      <c r="E123" s="200" t="s">
        <v>12</v>
      </c>
      <c r="H123" s="207" t="s">
        <v>584</v>
      </c>
      <c r="I123" s="182" t="s">
        <v>10</v>
      </c>
      <c r="J123" s="182" t="s">
        <v>584</v>
      </c>
      <c r="K123" s="182" t="s">
        <v>585</v>
      </c>
      <c r="L123" s="182" t="s">
        <v>19</v>
      </c>
    </row>
    <row r="124" spans="1:12">
      <c r="A124" s="200" t="s">
        <v>586</v>
      </c>
      <c r="B124" s="200" t="s">
        <v>587</v>
      </c>
      <c r="C124" s="200"/>
      <c r="D124" s="200" t="s">
        <v>11</v>
      </c>
      <c r="E124" s="200" t="s">
        <v>12</v>
      </c>
      <c r="H124" s="207">
        <v>431485</v>
      </c>
      <c r="I124" s="182" t="s">
        <v>588</v>
      </c>
      <c r="J124" s="182" t="s">
        <v>589</v>
      </c>
      <c r="K124" s="182" t="s">
        <v>590</v>
      </c>
      <c r="L124" s="182" t="s">
        <v>369</v>
      </c>
    </row>
    <row r="125" spans="1:12">
      <c r="A125" s="200" t="s">
        <v>591</v>
      </c>
      <c r="B125" s="200" t="s">
        <v>592</v>
      </c>
      <c r="C125" s="210" t="s">
        <v>593</v>
      </c>
      <c r="D125" s="200" t="s">
        <v>11</v>
      </c>
      <c r="E125" s="200" t="s">
        <v>12</v>
      </c>
      <c r="H125" s="207">
        <v>127910</v>
      </c>
      <c r="I125" s="182" t="s">
        <v>594</v>
      </c>
      <c r="J125" s="182" t="s">
        <v>595</v>
      </c>
      <c r="K125" s="182" t="s">
        <v>596</v>
      </c>
      <c r="L125" s="182" t="s">
        <v>15</v>
      </c>
    </row>
    <row r="126" spans="1:12">
      <c r="A126" s="200" t="s">
        <v>597</v>
      </c>
      <c r="B126" s="200" t="s">
        <v>598</v>
      </c>
      <c r="C126" s="210" t="s">
        <v>599</v>
      </c>
      <c r="D126" s="200" t="s">
        <v>11</v>
      </c>
      <c r="E126" s="200" t="s">
        <v>12</v>
      </c>
      <c r="H126" s="207">
        <v>487306</v>
      </c>
      <c r="I126" s="182" t="s">
        <v>600</v>
      </c>
      <c r="J126" s="182" t="s">
        <v>601</v>
      </c>
      <c r="K126" s="182" t="s">
        <v>602</v>
      </c>
      <c r="L126" s="182" t="s">
        <v>15</v>
      </c>
    </row>
    <row r="127" spans="1:12">
      <c r="A127" s="200" t="s">
        <v>603</v>
      </c>
      <c r="B127" s="200" t="s">
        <v>604</v>
      </c>
      <c r="C127" s="200"/>
      <c r="D127" s="200" t="s">
        <v>11</v>
      </c>
      <c r="E127" s="200" t="s">
        <v>12</v>
      </c>
      <c r="H127" s="207">
        <v>324307</v>
      </c>
      <c r="I127" s="182" t="s">
        <v>605</v>
      </c>
      <c r="J127" s="182" t="s">
        <v>606</v>
      </c>
      <c r="K127" s="182" t="s">
        <v>607</v>
      </c>
      <c r="L127" s="182" t="s">
        <v>15</v>
      </c>
    </row>
    <row r="128" spans="1:12">
      <c r="A128" s="200" t="s">
        <v>608</v>
      </c>
      <c r="B128" s="200" t="s">
        <v>609</v>
      </c>
      <c r="C128" s="210" t="s">
        <v>610</v>
      </c>
      <c r="D128" s="200" t="s">
        <v>11</v>
      </c>
      <c r="E128" s="200" t="s">
        <v>12</v>
      </c>
      <c r="H128" s="207">
        <v>497571</v>
      </c>
      <c r="I128" s="182" t="s">
        <v>611</v>
      </c>
      <c r="J128" s="182" t="s">
        <v>612</v>
      </c>
      <c r="K128" s="182" t="s">
        <v>613</v>
      </c>
      <c r="L128" s="182" t="s">
        <v>15</v>
      </c>
    </row>
    <row r="129" spans="1:12">
      <c r="A129" s="200" t="s">
        <v>614</v>
      </c>
      <c r="B129" s="200" t="s">
        <v>615</v>
      </c>
      <c r="C129" s="210" t="s">
        <v>616</v>
      </c>
      <c r="D129" s="200" t="s">
        <v>11</v>
      </c>
      <c r="E129" s="200" t="s">
        <v>12</v>
      </c>
      <c r="H129" s="207">
        <v>328732</v>
      </c>
      <c r="I129" s="182" t="s">
        <v>617</v>
      </c>
      <c r="J129" s="182" t="s">
        <v>618</v>
      </c>
      <c r="K129" s="182" t="s">
        <v>619</v>
      </c>
      <c r="L129" s="182" t="s">
        <v>15</v>
      </c>
    </row>
    <row r="130" spans="1:12">
      <c r="A130" s="200" t="s">
        <v>620</v>
      </c>
      <c r="B130" s="200" t="s">
        <v>621</v>
      </c>
      <c r="C130" s="200"/>
      <c r="D130" s="200" t="s">
        <v>11</v>
      </c>
      <c r="E130" s="200" t="s">
        <v>12</v>
      </c>
      <c r="H130" s="207" t="s">
        <v>622</v>
      </c>
      <c r="I130" s="182" t="s">
        <v>10</v>
      </c>
      <c r="J130" s="182" t="s">
        <v>622</v>
      </c>
      <c r="K130" s="182" t="s">
        <v>623</v>
      </c>
      <c r="L130" s="182" t="s">
        <v>19</v>
      </c>
    </row>
    <row r="131" spans="1:12">
      <c r="A131" s="200" t="s">
        <v>624</v>
      </c>
      <c r="B131" s="200" t="s">
        <v>625</v>
      </c>
      <c r="C131" s="210" t="s">
        <v>626</v>
      </c>
      <c r="D131" s="200" t="s">
        <v>11</v>
      </c>
      <c r="E131" s="200" t="s">
        <v>12</v>
      </c>
      <c r="H131" s="207">
        <v>472482</v>
      </c>
      <c r="I131" s="182" t="s">
        <v>627</v>
      </c>
      <c r="J131" s="182" t="s">
        <v>628</v>
      </c>
      <c r="K131" s="182" t="s">
        <v>629</v>
      </c>
      <c r="L131" s="182" t="s">
        <v>15</v>
      </c>
    </row>
    <row r="132" spans="1:12">
      <c r="A132" s="170" t="s">
        <v>630</v>
      </c>
      <c r="B132" s="170" t="s">
        <v>631</v>
      </c>
      <c r="C132" s="170"/>
      <c r="D132" s="170" t="s">
        <v>11</v>
      </c>
      <c r="E132" s="170" t="s">
        <v>12</v>
      </c>
      <c r="H132" s="207" t="s">
        <v>632</v>
      </c>
      <c r="I132" s="182" t="s">
        <v>10</v>
      </c>
      <c r="J132" s="182" t="s">
        <v>632</v>
      </c>
      <c r="K132" s="182" t="s">
        <v>633</v>
      </c>
      <c r="L132" s="182" t="s">
        <v>19</v>
      </c>
    </row>
    <row r="133" spans="1:12">
      <c r="A133" s="170" t="s">
        <v>634</v>
      </c>
      <c r="B133" s="170" t="s">
        <v>635</v>
      </c>
      <c r="C133" s="170"/>
      <c r="D133" s="170" t="s">
        <v>11</v>
      </c>
      <c r="E133" s="170" t="s">
        <v>12</v>
      </c>
      <c r="H133" s="207">
        <v>148159</v>
      </c>
      <c r="I133" s="182" t="s">
        <v>636</v>
      </c>
      <c r="J133" s="182" t="s">
        <v>637</v>
      </c>
      <c r="K133" s="182" t="s">
        <v>638</v>
      </c>
      <c r="L133" s="182" t="s">
        <v>15</v>
      </c>
    </row>
    <row r="134" spans="1:12">
      <c r="A134" s="170" t="s">
        <v>639</v>
      </c>
      <c r="B134" s="170" t="s">
        <v>640</v>
      </c>
      <c r="C134" s="178" t="s">
        <v>10</v>
      </c>
      <c r="D134" s="170" t="s">
        <v>11</v>
      </c>
      <c r="E134" s="170" t="s">
        <v>12</v>
      </c>
      <c r="H134" s="207">
        <v>359361</v>
      </c>
      <c r="I134" s="182" t="s">
        <v>641</v>
      </c>
      <c r="J134" s="182" t="s">
        <v>642</v>
      </c>
      <c r="K134" s="182" t="s">
        <v>643</v>
      </c>
      <c r="L134" s="182" t="s">
        <v>15</v>
      </c>
    </row>
    <row r="135" spans="1:12">
      <c r="A135" s="170" t="s">
        <v>644</v>
      </c>
      <c r="B135" s="170" t="s">
        <v>645</v>
      </c>
      <c r="C135" s="178" t="s">
        <v>10</v>
      </c>
      <c r="D135" s="170" t="s">
        <v>11</v>
      </c>
      <c r="E135" s="170" t="s">
        <v>12</v>
      </c>
      <c r="H135" s="207" t="s">
        <v>646</v>
      </c>
      <c r="I135" s="182" t="s">
        <v>10</v>
      </c>
      <c r="J135" s="182" t="s">
        <v>646</v>
      </c>
      <c r="K135" s="182" t="s">
        <v>647</v>
      </c>
      <c r="L135" s="182" t="s">
        <v>19</v>
      </c>
    </row>
    <row r="136" spans="1:12">
      <c r="A136" s="170" t="s">
        <v>648</v>
      </c>
      <c r="B136" s="170" t="s">
        <v>649</v>
      </c>
      <c r="C136" s="178" t="s">
        <v>10</v>
      </c>
      <c r="D136" s="170" t="s">
        <v>11</v>
      </c>
      <c r="E136" s="170" t="s">
        <v>12</v>
      </c>
      <c r="H136" s="207">
        <v>503306</v>
      </c>
      <c r="I136" s="182" t="s">
        <v>650</v>
      </c>
      <c r="J136" s="182" t="s">
        <v>651</v>
      </c>
      <c r="K136" s="182" t="s">
        <v>652</v>
      </c>
      <c r="L136" s="182" t="s">
        <v>15</v>
      </c>
    </row>
    <row r="137" spans="1:12">
      <c r="A137" s="170" t="s">
        <v>653</v>
      </c>
      <c r="B137" s="170" t="s">
        <v>654</v>
      </c>
      <c r="C137" s="178" t="s">
        <v>10</v>
      </c>
      <c r="D137" s="170" t="s">
        <v>11</v>
      </c>
      <c r="E137" s="170" t="s">
        <v>12</v>
      </c>
      <c r="H137" s="207">
        <v>508682</v>
      </c>
      <c r="I137" s="182" t="s">
        <v>655</v>
      </c>
      <c r="J137" s="182" t="s">
        <v>656</v>
      </c>
      <c r="K137" s="182"/>
      <c r="L137" s="182" t="s">
        <v>15</v>
      </c>
    </row>
    <row r="138" spans="1:12">
      <c r="A138" s="170" t="s">
        <v>657</v>
      </c>
      <c r="B138" s="170" t="s">
        <v>658</v>
      </c>
      <c r="C138" s="178" t="s">
        <v>10</v>
      </c>
      <c r="D138" s="170" t="s">
        <v>11</v>
      </c>
      <c r="E138" s="170" t="s">
        <v>12</v>
      </c>
      <c r="H138" s="207">
        <v>481384</v>
      </c>
      <c r="I138" s="182" t="s">
        <v>659</v>
      </c>
      <c r="J138" s="182" t="s">
        <v>660</v>
      </c>
      <c r="K138" s="182" t="s">
        <v>661</v>
      </c>
      <c r="L138" s="182" t="s">
        <v>15</v>
      </c>
    </row>
    <row r="139" spans="1:12">
      <c r="A139" s="170" t="s">
        <v>662</v>
      </c>
      <c r="B139" s="170" t="s">
        <v>663</v>
      </c>
      <c r="C139" s="178" t="s">
        <v>10</v>
      </c>
      <c r="D139" s="170" t="s">
        <v>11</v>
      </c>
      <c r="E139" s="170" t="s">
        <v>12</v>
      </c>
      <c r="H139" s="207">
        <v>720859</v>
      </c>
      <c r="I139" s="182" t="s">
        <v>664</v>
      </c>
      <c r="J139" s="182" t="s">
        <v>665</v>
      </c>
      <c r="K139" s="182" t="s">
        <v>666</v>
      </c>
      <c r="L139" s="182" t="s">
        <v>369</v>
      </c>
    </row>
    <row r="140" spans="1:12">
      <c r="A140" s="170" t="s">
        <v>667</v>
      </c>
      <c r="B140" s="170" t="s">
        <v>668</v>
      </c>
      <c r="C140" s="178" t="s">
        <v>10</v>
      </c>
      <c r="D140" s="170" t="s">
        <v>11</v>
      </c>
      <c r="E140" s="170" t="s">
        <v>12</v>
      </c>
      <c r="H140" s="207">
        <v>503509</v>
      </c>
      <c r="I140" s="182" t="s">
        <v>669</v>
      </c>
      <c r="J140" s="182" t="s">
        <v>670</v>
      </c>
      <c r="K140" s="182" t="s">
        <v>671</v>
      </c>
      <c r="L140" s="182" t="s">
        <v>15</v>
      </c>
    </row>
    <row r="141" spans="1:12">
      <c r="A141" s="170" t="s">
        <v>672</v>
      </c>
      <c r="B141" s="170" t="s">
        <v>673</v>
      </c>
      <c r="C141" s="178" t="s">
        <v>10</v>
      </c>
      <c r="D141" s="170" t="s">
        <v>11</v>
      </c>
      <c r="E141" s="170" t="s">
        <v>12</v>
      </c>
      <c r="H141" s="207">
        <v>477089</v>
      </c>
      <c r="I141" s="182" t="s">
        <v>674</v>
      </c>
      <c r="J141" s="182" t="s">
        <v>675</v>
      </c>
      <c r="K141" s="182" t="s">
        <v>676</v>
      </c>
      <c r="L141" s="182" t="s">
        <v>15</v>
      </c>
    </row>
    <row r="142" spans="1:12">
      <c r="A142" s="170" t="s">
        <v>677</v>
      </c>
      <c r="B142" s="170" t="s">
        <v>678</v>
      </c>
      <c r="C142" s="178" t="s">
        <v>10</v>
      </c>
      <c r="D142" s="170" t="s">
        <v>11</v>
      </c>
      <c r="E142" s="170" t="s">
        <v>12</v>
      </c>
      <c r="H142" s="207">
        <v>444115</v>
      </c>
      <c r="I142" s="182" t="s">
        <v>679</v>
      </c>
      <c r="J142" s="182" t="s">
        <v>680</v>
      </c>
      <c r="K142" s="182" t="s">
        <v>681</v>
      </c>
      <c r="L142" s="182" t="s">
        <v>15</v>
      </c>
    </row>
    <row r="143" spans="1:12">
      <c r="A143" s="170" t="s">
        <v>682</v>
      </c>
      <c r="B143" s="170" t="s">
        <v>683</v>
      </c>
      <c r="C143" s="178" t="s">
        <v>10</v>
      </c>
      <c r="D143" s="170" t="s">
        <v>11</v>
      </c>
      <c r="E143" s="170" t="s">
        <v>12</v>
      </c>
      <c r="H143" s="207">
        <v>496309</v>
      </c>
      <c r="I143" s="182" t="s">
        <v>684</v>
      </c>
      <c r="J143" s="182" t="s">
        <v>685</v>
      </c>
      <c r="K143" s="182" t="s">
        <v>686</v>
      </c>
      <c r="L143" s="182" t="s">
        <v>15</v>
      </c>
    </row>
    <row r="144" spans="1:12">
      <c r="A144" s="170" t="s">
        <v>687</v>
      </c>
      <c r="B144" s="170" t="s">
        <v>688</v>
      </c>
      <c r="C144" s="178" t="s">
        <v>10</v>
      </c>
      <c r="D144" s="170" t="s">
        <v>11</v>
      </c>
      <c r="E144" s="170" t="s">
        <v>12</v>
      </c>
      <c r="H144" s="207">
        <v>217166</v>
      </c>
      <c r="I144" s="182" t="s">
        <v>689</v>
      </c>
      <c r="J144" s="182" t="s">
        <v>690</v>
      </c>
      <c r="K144" s="182" t="s">
        <v>691</v>
      </c>
      <c r="L144" s="182" t="s">
        <v>15</v>
      </c>
    </row>
    <row r="145" spans="1:12">
      <c r="A145" s="170" t="s">
        <v>692</v>
      </c>
      <c r="B145" s="170" t="s">
        <v>693</v>
      </c>
      <c r="C145" s="178" t="s">
        <v>10</v>
      </c>
      <c r="D145" s="170" t="s">
        <v>11</v>
      </c>
      <c r="E145" s="170" t="s">
        <v>12</v>
      </c>
      <c r="H145" s="207" t="s">
        <v>694</v>
      </c>
      <c r="I145" s="182" t="s">
        <v>10</v>
      </c>
      <c r="J145" s="182" t="s">
        <v>694</v>
      </c>
      <c r="K145" s="182" t="s">
        <v>695</v>
      </c>
      <c r="L145" s="182" t="s">
        <v>53</v>
      </c>
    </row>
    <row r="146" spans="1:12">
      <c r="A146" s="170" t="s">
        <v>696</v>
      </c>
      <c r="B146" s="170" t="s">
        <v>697</v>
      </c>
      <c r="C146" s="211" t="s">
        <v>698</v>
      </c>
      <c r="D146" s="170" t="s">
        <v>11</v>
      </c>
      <c r="E146" s="170" t="s">
        <v>12</v>
      </c>
      <c r="H146" s="207" t="s">
        <v>699</v>
      </c>
      <c r="I146" s="182" t="s">
        <v>10</v>
      </c>
      <c r="J146" s="182" t="s">
        <v>699</v>
      </c>
      <c r="K146" s="182" t="s">
        <v>700</v>
      </c>
      <c r="L146" s="182" t="s">
        <v>19</v>
      </c>
    </row>
    <row r="147" spans="1:12">
      <c r="A147" s="170" t="s">
        <v>701</v>
      </c>
      <c r="B147" s="170" t="s">
        <v>702</v>
      </c>
      <c r="C147" s="170"/>
      <c r="D147" s="170" t="s">
        <v>11</v>
      </c>
      <c r="E147" s="170" t="s">
        <v>12</v>
      </c>
      <c r="H147" s="207">
        <v>183569</v>
      </c>
      <c r="I147" s="182" t="s">
        <v>703</v>
      </c>
      <c r="J147" s="182" t="s">
        <v>704</v>
      </c>
      <c r="K147" s="182" t="s">
        <v>705</v>
      </c>
      <c r="L147" s="182" t="s">
        <v>15</v>
      </c>
    </row>
    <row r="148" spans="1:12">
      <c r="A148" s="170" t="s">
        <v>706</v>
      </c>
      <c r="B148" s="170" t="s">
        <v>707</v>
      </c>
      <c r="C148" s="170"/>
      <c r="D148" s="170" t="s">
        <v>11</v>
      </c>
      <c r="E148" s="170" t="s">
        <v>12</v>
      </c>
      <c r="H148" s="207" t="s">
        <v>708</v>
      </c>
      <c r="I148" s="182" t="s">
        <v>10</v>
      </c>
      <c r="J148" s="182" t="s">
        <v>708</v>
      </c>
      <c r="K148" s="182" t="s">
        <v>709</v>
      </c>
      <c r="L148" s="182" t="s">
        <v>53</v>
      </c>
    </row>
    <row r="149" spans="1:12">
      <c r="A149" s="170" t="s">
        <v>710</v>
      </c>
      <c r="B149" s="170" t="s">
        <v>711</v>
      </c>
      <c r="C149" s="212" t="s">
        <v>712</v>
      </c>
      <c r="D149" s="170" t="s">
        <v>11</v>
      </c>
      <c r="E149" s="170" t="s">
        <v>12</v>
      </c>
      <c r="H149" s="207">
        <v>493140</v>
      </c>
      <c r="I149" s="182" t="s">
        <v>713</v>
      </c>
      <c r="J149" s="182" t="s">
        <v>714</v>
      </c>
      <c r="K149" s="182" t="s">
        <v>715</v>
      </c>
      <c r="L149" s="182" t="s">
        <v>15</v>
      </c>
    </row>
    <row r="150" spans="1:12">
      <c r="A150" s="170" t="s">
        <v>716</v>
      </c>
      <c r="B150" s="170" t="s">
        <v>717</v>
      </c>
      <c r="C150" s="213" t="s">
        <v>718</v>
      </c>
      <c r="D150" s="170" t="s">
        <v>11</v>
      </c>
      <c r="E150" s="170" t="s">
        <v>12</v>
      </c>
      <c r="H150" s="207">
        <v>415288</v>
      </c>
      <c r="I150" s="182" t="s">
        <v>719</v>
      </c>
      <c r="J150" s="182" t="s">
        <v>720</v>
      </c>
      <c r="K150" s="182" t="s">
        <v>721</v>
      </c>
      <c r="L150" s="182" t="s">
        <v>15</v>
      </c>
    </row>
    <row r="151" spans="1:12">
      <c r="A151" s="170" t="s">
        <v>722</v>
      </c>
      <c r="B151" s="170" t="s">
        <v>723</v>
      </c>
      <c r="C151" s="170"/>
      <c r="D151" s="170" t="s">
        <v>11</v>
      </c>
      <c r="E151" s="170" t="s">
        <v>12</v>
      </c>
      <c r="H151" s="207" t="s">
        <v>724</v>
      </c>
      <c r="I151" s="182" t="s">
        <v>725</v>
      </c>
      <c r="J151" s="182" t="s">
        <v>726</v>
      </c>
      <c r="K151" s="182" t="s">
        <v>727</v>
      </c>
      <c r="L151" s="182" t="s">
        <v>15</v>
      </c>
    </row>
    <row r="152" spans="1:12">
      <c r="A152" s="170" t="s">
        <v>728</v>
      </c>
      <c r="B152" s="170" t="s">
        <v>729</v>
      </c>
      <c r="C152" s="214" t="s">
        <v>730</v>
      </c>
      <c r="D152" s="170"/>
      <c r="E152" s="170" t="s">
        <v>12</v>
      </c>
      <c r="H152" s="207" t="s">
        <v>731</v>
      </c>
      <c r="I152" s="182" t="s">
        <v>10</v>
      </c>
      <c r="J152" s="182" t="s">
        <v>731</v>
      </c>
      <c r="K152" s="182" t="s">
        <v>732</v>
      </c>
      <c r="L152" s="182" t="s">
        <v>53</v>
      </c>
    </row>
    <row r="153" spans="1:12">
      <c r="A153" s="170" t="s">
        <v>733</v>
      </c>
      <c r="B153" s="170" t="s">
        <v>734</v>
      </c>
      <c r="C153" s="215" t="s">
        <v>735</v>
      </c>
      <c r="D153" s="170" t="s">
        <v>11</v>
      </c>
      <c r="E153" s="170" t="s">
        <v>12</v>
      </c>
      <c r="H153" s="207">
        <v>512897</v>
      </c>
      <c r="I153" s="182" t="s">
        <v>736</v>
      </c>
      <c r="J153" s="182" t="s">
        <v>737</v>
      </c>
      <c r="K153" s="182" t="s">
        <v>738</v>
      </c>
      <c r="L153" s="182" t="s">
        <v>15</v>
      </c>
    </row>
    <row r="154" spans="1:12">
      <c r="A154" s="170" t="s">
        <v>739</v>
      </c>
      <c r="B154" s="170" t="s">
        <v>740</v>
      </c>
      <c r="C154" s="170"/>
      <c r="D154" s="170" t="s">
        <v>11</v>
      </c>
      <c r="E154" s="170" t="s">
        <v>12</v>
      </c>
      <c r="H154" s="207">
        <v>467989</v>
      </c>
      <c r="I154" s="182" t="s">
        <v>741</v>
      </c>
      <c r="J154" s="182" t="s">
        <v>742</v>
      </c>
      <c r="K154" s="182" t="s">
        <v>743</v>
      </c>
      <c r="L154" s="182" t="s">
        <v>15</v>
      </c>
    </row>
    <row r="155" spans="1:12">
      <c r="A155" s="170" t="s">
        <v>744</v>
      </c>
      <c r="B155" s="170" t="s">
        <v>745</v>
      </c>
      <c r="C155" s="215" t="s">
        <v>746</v>
      </c>
      <c r="D155" s="170" t="s">
        <v>11</v>
      </c>
      <c r="E155" s="170" t="s">
        <v>12</v>
      </c>
      <c r="H155" s="207">
        <v>469229</v>
      </c>
      <c r="I155" s="182" t="s">
        <v>747</v>
      </c>
      <c r="J155" s="182" t="s">
        <v>748</v>
      </c>
      <c r="K155" s="182"/>
      <c r="L155" s="182" t="s">
        <v>15</v>
      </c>
    </row>
    <row r="156" spans="1:12">
      <c r="A156" s="170" t="s">
        <v>749</v>
      </c>
      <c r="B156" s="170" t="s">
        <v>750</v>
      </c>
      <c r="C156" s="215" t="s">
        <v>751</v>
      </c>
      <c r="D156" s="170" t="s">
        <v>11</v>
      </c>
      <c r="E156" s="170" t="s">
        <v>12</v>
      </c>
      <c r="H156" s="207">
        <v>513360</v>
      </c>
      <c r="I156" s="182" t="s">
        <v>752</v>
      </c>
      <c r="J156" s="182" t="s">
        <v>753</v>
      </c>
      <c r="K156" s="182" t="s">
        <v>754</v>
      </c>
      <c r="L156" s="182" t="s">
        <v>15</v>
      </c>
    </row>
    <row r="157" spans="1:12">
      <c r="A157" s="170" t="s">
        <v>755</v>
      </c>
      <c r="B157" s="170" t="s">
        <v>756</v>
      </c>
      <c r="C157" s="170"/>
      <c r="D157" s="170" t="s">
        <v>11</v>
      </c>
      <c r="E157" s="170" t="s">
        <v>12</v>
      </c>
      <c r="H157" s="207">
        <v>478433</v>
      </c>
      <c r="I157" s="182" t="s">
        <v>757</v>
      </c>
      <c r="J157" s="182" t="s">
        <v>758</v>
      </c>
      <c r="K157" s="182" t="s">
        <v>759</v>
      </c>
      <c r="L157" s="182" t="s">
        <v>15</v>
      </c>
    </row>
    <row r="158" spans="1:12">
      <c r="A158" s="170" t="s">
        <v>760</v>
      </c>
      <c r="B158" s="170" t="s">
        <v>761</v>
      </c>
      <c r="C158" s="215" t="s">
        <v>762</v>
      </c>
      <c r="D158" s="170" t="s">
        <v>11</v>
      </c>
      <c r="E158" s="170" t="s">
        <v>12</v>
      </c>
      <c r="H158" s="207">
        <v>447418</v>
      </c>
      <c r="I158" s="182" t="s">
        <v>763</v>
      </c>
      <c r="J158" s="182" t="s">
        <v>764</v>
      </c>
      <c r="K158" s="182" t="s">
        <v>765</v>
      </c>
      <c r="L158" s="182" t="s">
        <v>15</v>
      </c>
    </row>
    <row r="159" spans="1:12">
      <c r="A159" s="170" t="s">
        <v>766</v>
      </c>
      <c r="B159" s="170" t="s">
        <v>767</v>
      </c>
      <c r="C159" s="215" t="s">
        <v>768</v>
      </c>
      <c r="D159" s="170" t="s">
        <v>11</v>
      </c>
      <c r="E159" s="170" t="s">
        <v>12</v>
      </c>
      <c r="H159" s="207">
        <v>486000</v>
      </c>
      <c r="I159" s="182" t="s">
        <v>769</v>
      </c>
      <c r="J159" s="182" t="s">
        <v>770</v>
      </c>
      <c r="K159" s="182"/>
      <c r="L159" s="182" t="s">
        <v>15</v>
      </c>
    </row>
    <row r="160" spans="1:12">
      <c r="A160" s="170" t="s">
        <v>771</v>
      </c>
      <c r="B160" s="170" t="s">
        <v>772</v>
      </c>
      <c r="C160" s="170"/>
      <c r="D160" s="170" t="s">
        <v>11</v>
      </c>
      <c r="E160" s="170" t="s">
        <v>12</v>
      </c>
      <c r="H160" s="207" t="s">
        <v>773</v>
      </c>
      <c r="I160" s="182" t="s">
        <v>10</v>
      </c>
      <c r="J160" s="182" t="s">
        <v>773</v>
      </c>
      <c r="K160" s="182" t="s">
        <v>774</v>
      </c>
      <c r="L160" s="182" t="s">
        <v>53</v>
      </c>
    </row>
    <row r="161" spans="1:12">
      <c r="A161" s="170" t="s">
        <v>775</v>
      </c>
      <c r="B161" s="170" t="s">
        <v>776</v>
      </c>
      <c r="C161" s="214" t="s">
        <v>777</v>
      </c>
      <c r="D161" s="170" t="s">
        <v>11</v>
      </c>
      <c r="E161" s="170" t="s">
        <v>12</v>
      </c>
      <c r="H161" s="207">
        <v>347528</v>
      </c>
      <c r="I161" s="182" t="s">
        <v>778</v>
      </c>
      <c r="J161" s="182" t="s">
        <v>779</v>
      </c>
      <c r="K161" s="182" t="s">
        <v>780</v>
      </c>
      <c r="L161" s="182" t="s">
        <v>15</v>
      </c>
    </row>
    <row r="162" spans="1:12">
      <c r="A162" s="170" t="s">
        <v>781</v>
      </c>
      <c r="B162" s="170" t="s">
        <v>782</v>
      </c>
      <c r="C162" s="215" t="s">
        <v>783</v>
      </c>
      <c r="D162" s="170" t="s">
        <v>11</v>
      </c>
      <c r="E162" s="170" t="s">
        <v>12</v>
      </c>
      <c r="H162" s="207">
        <v>838661</v>
      </c>
      <c r="I162" s="182" t="s">
        <v>784</v>
      </c>
      <c r="J162" s="182" t="s">
        <v>785</v>
      </c>
      <c r="K162" s="182" t="s">
        <v>786</v>
      </c>
      <c r="L162" s="182" t="s">
        <v>15</v>
      </c>
    </row>
    <row r="163" spans="1:12">
      <c r="A163" s="170" t="s">
        <v>787</v>
      </c>
      <c r="B163" s="170" t="s">
        <v>788</v>
      </c>
      <c r="C163" s="170"/>
      <c r="D163" s="170" t="s">
        <v>11</v>
      </c>
      <c r="E163" s="170" t="s">
        <v>12</v>
      </c>
      <c r="H163" s="207">
        <v>506165</v>
      </c>
      <c r="I163" s="182" t="s">
        <v>789</v>
      </c>
      <c r="J163" s="182" t="s">
        <v>790</v>
      </c>
      <c r="K163" s="182" t="s">
        <v>791</v>
      </c>
      <c r="L163" s="182" t="s">
        <v>15</v>
      </c>
    </row>
    <row r="164" spans="1:12">
      <c r="A164" s="170" t="s">
        <v>792</v>
      </c>
      <c r="B164" s="170" t="s">
        <v>793</v>
      </c>
      <c r="C164" s="216" t="s">
        <v>794</v>
      </c>
      <c r="D164" s="170" t="s">
        <v>11</v>
      </c>
      <c r="E164" s="170" t="s">
        <v>12</v>
      </c>
      <c r="H164" s="207">
        <v>496504</v>
      </c>
      <c r="I164" s="182" t="s">
        <v>795</v>
      </c>
      <c r="J164" s="182" t="s">
        <v>796</v>
      </c>
      <c r="K164" s="182" t="s">
        <v>797</v>
      </c>
      <c r="L164" s="182" t="s">
        <v>15</v>
      </c>
    </row>
    <row r="165" spans="1:12">
      <c r="A165" s="170" t="s">
        <v>798</v>
      </c>
      <c r="B165" s="170" t="s">
        <v>799</v>
      </c>
      <c r="C165" s="215" t="s">
        <v>800</v>
      </c>
      <c r="D165" s="170" t="s">
        <v>11</v>
      </c>
      <c r="E165" s="170" t="s">
        <v>12</v>
      </c>
      <c r="H165" s="207" t="s">
        <v>801</v>
      </c>
      <c r="I165" s="182" t="s">
        <v>10</v>
      </c>
      <c r="J165" s="182" t="s">
        <v>801</v>
      </c>
      <c r="K165" s="182" t="s">
        <v>802</v>
      </c>
      <c r="L165" s="182" t="s">
        <v>53</v>
      </c>
    </row>
    <row r="166" spans="1:12">
      <c r="A166" s="170" t="s">
        <v>803</v>
      </c>
      <c r="B166" s="170" t="s">
        <v>804</v>
      </c>
      <c r="C166" s="170"/>
      <c r="D166" s="170" t="s">
        <v>11</v>
      </c>
      <c r="E166" s="170" t="s">
        <v>12</v>
      </c>
      <c r="H166" s="207">
        <v>485261</v>
      </c>
      <c r="I166" s="182" t="s">
        <v>805</v>
      </c>
      <c r="J166" s="182" t="s">
        <v>806</v>
      </c>
      <c r="K166" s="182" t="s">
        <v>807</v>
      </c>
      <c r="L166" s="182" t="s">
        <v>15</v>
      </c>
    </row>
    <row r="167" spans="1:12">
      <c r="A167" s="170" t="s">
        <v>808</v>
      </c>
      <c r="B167" s="170" t="s">
        <v>809</v>
      </c>
      <c r="C167" s="215" t="s">
        <v>810</v>
      </c>
      <c r="D167" s="170" t="s">
        <v>11</v>
      </c>
      <c r="E167" s="170" t="s">
        <v>12</v>
      </c>
      <c r="H167" s="207">
        <v>493144</v>
      </c>
      <c r="I167" s="182" t="s">
        <v>811</v>
      </c>
      <c r="J167" s="182" t="s">
        <v>812</v>
      </c>
      <c r="K167" s="182" t="s">
        <v>813</v>
      </c>
      <c r="L167" s="182" t="s">
        <v>15</v>
      </c>
    </row>
    <row r="168" spans="1:12">
      <c r="A168" s="170" t="s">
        <v>814</v>
      </c>
      <c r="B168" s="170" t="s">
        <v>815</v>
      </c>
      <c r="C168" s="215" t="s">
        <v>816</v>
      </c>
      <c r="D168" s="170" t="s">
        <v>11</v>
      </c>
      <c r="E168" s="170" t="s">
        <v>12</v>
      </c>
      <c r="H168" s="207" t="s">
        <v>817</v>
      </c>
      <c r="I168" s="182" t="s">
        <v>10</v>
      </c>
      <c r="J168" s="182" t="s">
        <v>817</v>
      </c>
      <c r="K168" s="182" t="s">
        <v>818</v>
      </c>
      <c r="L168" s="182" t="s">
        <v>19</v>
      </c>
    </row>
    <row r="169" spans="1:12">
      <c r="A169" s="170" t="s">
        <v>819</v>
      </c>
      <c r="B169" s="170" t="s">
        <v>820</v>
      </c>
      <c r="C169" s="170"/>
      <c r="D169" s="170" t="s">
        <v>11</v>
      </c>
      <c r="E169" s="170" t="s">
        <v>12</v>
      </c>
      <c r="H169" s="207" t="s">
        <v>821</v>
      </c>
      <c r="I169" s="182" t="s">
        <v>10</v>
      </c>
      <c r="J169" s="182" t="s">
        <v>821</v>
      </c>
      <c r="K169" s="182"/>
      <c r="L169" s="182" t="s">
        <v>53</v>
      </c>
    </row>
    <row r="170" spans="1:12">
      <c r="A170" s="170" t="s">
        <v>822</v>
      </c>
      <c r="B170" s="170" t="s">
        <v>823</v>
      </c>
      <c r="C170" s="215" t="s">
        <v>824</v>
      </c>
      <c r="D170" s="170" t="s">
        <v>11</v>
      </c>
      <c r="E170" s="170" t="s">
        <v>12</v>
      </c>
      <c r="H170" s="207">
        <v>303216</v>
      </c>
      <c r="I170" s="182" t="s">
        <v>825</v>
      </c>
      <c r="J170" s="182" t="s">
        <v>826</v>
      </c>
      <c r="K170" s="182" t="s">
        <v>827</v>
      </c>
      <c r="L170" s="182" t="s">
        <v>369</v>
      </c>
    </row>
    <row r="171" spans="1:12">
      <c r="A171" s="170" t="s">
        <v>828</v>
      </c>
      <c r="B171" s="170" t="s">
        <v>829</v>
      </c>
      <c r="C171" s="215" t="s">
        <v>830</v>
      </c>
      <c r="D171" s="170" t="s">
        <v>11</v>
      </c>
      <c r="E171" s="170" t="s">
        <v>12</v>
      </c>
      <c r="H171" s="207">
        <v>181828</v>
      </c>
      <c r="I171" s="182" t="s">
        <v>831</v>
      </c>
      <c r="J171" s="182" t="s">
        <v>832</v>
      </c>
      <c r="K171" s="182" t="s">
        <v>833</v>
      </c>
      <c r="L171" s="182" t="s">
        <v>15</v>
      </c>
    </row>
    <row r="172" spans="1:12">
      <c r="A172" s="170" t="s">
        <v>834</v>
      </c>
      <c r="B172" s="170" t="s">
        <v>835</v>
      </c>
      <c r="C172" s="170"/>
      <c r="D172" s="170" t="s">
        <v>11</v>
      </c>
      <c r="E172" s="170" t="s">
        <v>12</v>
      </c>
      <c r="H172" s="207">
        <v>502184</v>
      </c>
      <c r="I172" s="182" t="s">
        <v>836</v>
      </c>
      <c r="J172" s="182" t="s">
        <v>837</v>
      </c>
      <c r="K172" s="182" t="s">
        <v>838</v>
      </c>
      <c r="L172" s="182" t="s">
        <v>15</v>
      </c>
    </row>
    <row r="173" spans="1:12">
      <c r="A173" s="170" t="s">
        <v>839</v>
      </c>
      <c r="B173" s="170" t="s">
        <v>840</v>
      </c>
      <c r="C173" s="215" t="s">
        <v>841</v>
      </c>
      <c r="D173" s="170" t="s">
        <v>11</v>
      </c>
      <c r="E173" s="170" t="s">
        <v>12</v>
      </c>
      <c r="H173" s="207">
        <v>473112</v>
      </c>
      <c r="I173" s="182" t="s">
        <v>842</v>
      </c>
      <c r="J173" s="182" t="s">
        <v>843</v>
      </c>
      <c r="K173" s="182" t="s">
        <v>844</v>
      </c>
      <c r="L173" s="182" t="s">
        <v>15</v>
      </c>
    </row>
    <row r="174" spans="1:12">
      <c r="A174" s="170" t="s">
        <v>845</v>
      </c>
      <c r="B174" s="170" t="s">
        <v>846</v>
      </c>
      <c r="C174" s="217" t="s">
        <v>847</v>
      </c>
      <c r="D174" s="170" t="s">
        <v>11</v>
      </c>
      <c r="E174" s="170" t="s">
        <v>12</v>
      </c>
      <c r="H174" s="207">
        <v>496945</v>
      </c>
      <c r="I174" s="182" t="s">
        <v>848</v>
      </c>
      <c r="J174" s="182" t="s">
        <v>849</v>
      </c>
      <c r="K174" s="182" t="s">
        <v>850</v>
      </c>
      <c r="L174" s="182" t="s">
        <v>15</v>
      </c>
    </row>
    <row r="175" spans="1:12">
      <c r="A175" s="170" t="s">
        <v>851</v>
      </c>
      <c r="B175" s="170" t="s">
        <v>852</v>
      </c>
      <c r="C175" s="170"/>
      <c r="D175" s="170" t="s">
        <v>11</v>
      </c>
      <c r="E175" s="170" t="s">
        <v>12</v>
      </c>
      <c r="H175" s="207">
        <v>495951</v>
      </c>
      <c r="I175" s="182" t="s">
        <v>853</v>
      </c>
      <c r="J175" s="182" t="s">
        <v>854</v>
      </c>
      <c r="K175" s="182"/>
      <c r="L175" s="182" t="s">
        <v>15</v>
      </c>
    </row>
    <row r="176" spans="1:12">
      <c r="A176" s="170" t="s">
        <v>855</v>
      </c>
      <c r="B176" s="170" t="s">
        <v>856</v>
      </c>
      <c r="C176" s="211" t="s">
        <v>857</v>
      </c>
      <c r="D176" s="170" t="s">
        <v>11</v>
      </c>
      <c r="E176" s="170" t="s">
        <v>12</v>
      </c>
      <c r="H176" s="207">
        <v>512065</v>
      </c>
      <c r="I176" s="182" t="s">
        <v>858</v>
      </c>
      <c r="J176" s="182" t="s">
        <v>859</v>
      </c>
      <c r="K176" s="182" t="s">
        <v>860</v>
      </c>
      <c r="L176" s="182" t="s">
        <v>15</v>
      </c>
    </row>
    <row r="177" spans="1:12">
      <c r="A177" s="170" t="s">
        <v>861</v>
      </c>
      <c r="B177" s="170" t="s">
        <v>862</v>
      </c>
      <c r="C177" s="170"/>
      <c r="D177" s="170" t="s">
        <v>11</v>
      </c>
      <c r="E177" s="170" t="s">
        <v>12</v>
      </c>
      <c r="H177" s="207">
        <v>492111</v>
      </c>
      <c r="I177" s="182" t="s">
        <v>863</v>
      </c>
      <c r="J177" s="182" t="s">
        <v>864</v>
      </c>
      <c r="K177" s="182" t="s">
        <v>865</v>
      </c>
      <c r="L177" s="182" t="s">
        <v>15</v>
      </c>
    </row>
    <row r="178" spans="1:12">
      <c r="A178" s="170" t="s">
        <v>866</v>
      </c>
      <c r="B178" s="170" t="s">
        <v>867</v>
      </c>
      <c r="C178" s="170"/>
      <c r="D178" s="170" t="s">
        <v>11</v>
      </c>
      <c r="E178" s="170" t="s">
        <v>12</v>
      </c>
      <c r="H178" s="207">
        <v>180945</v>
      </c>
      <c r="I178" s="182" t="s">
        <v>868</v>
      </c>
      <c r="J178" s="182" t="s">
        <v>869</v>
      </c>
      <c r="K178" s="182"/>
      <c r="L178" s="182" t="s">
        <v>15</v>
      </c>
    </row>
    <row r="179" spans="1:12">
      <c r="A179" s="170" t="s">
        <v>870</v>
      </c>
      <c r="B179" s="170" t="s">
        <v>871</v>
      </c>
      <c r="C179" s="218" t="s">
        <v>872</v>
      </c>
      <c r="D179" s="170" t="s">
        <v>11</v>
      </c>
      <c r="E179" s="170" t="s">
        <v>12</v>
      </c>
      <c r="H179" s="207">
        <v>250972</v>
      </c>
      <c r="I179" s="182" t="s">
        <v>873</v>
      </c>
      <c r="J179" s="182" t="s">
        <v>874</v>
      </c>
      <c r="K179" s="182" t="s">
        <v>875</v>
      </c>
      <c r="L179" s="182" t="s">
        <v>15</v>
      </c>
    </row>
    <row r="180" spans="1:12">
      <c r="A180" s="170" t="s">
        <v>876</v>
      </c>
      <c r="B180" s="170" t="s">
        <v>877</v>
      </c>
      <c r="C180" s="170"/>
      <c r="D180" s="170" t="s">
        <v>11</v>
      </c>
      <c r="E180" s="170" t="s">
        <v>12</v>
      </c>
      <c r="H180" s="207">
        <v>468473</v>
      </c>
      <c r="I180" s="182" t="s">
        <v>878</v>
      </c>
      <c r="J180" s="182" t="s">
        <v>879</v>
      </c>
      <c r="K180" s="182" t="s">
        <v>880</v>
      </c>
      <c r="L180" s="182" t="s">
        <v>15</v>
      </c>
    </row>
    <row r="181" spans="1:12">
      <c r="A181" s="170" t="s">
        <v>881</v>
      </c>
      <c r="B181" s="170" t="s">
        <v>882</v>
      </c>
      <c r="C181" s="170"/>
      <c r="D181" s="170" t="s">
        <v>11</v>
      </c>
      <c r="E181" s="170" t="s">
        <v>12</v>
      </c>
      <c r="H181" s="207">
        <v>493230</v>
      </c>
      <c r="I181" s="182" t="s">
        <v>883</v>
      </c>
      <c r="J181" s="182" t="s">
        <v>884</v>
      </c>
      <c r="K181" s="182" t="s">
        <v>885</v>
      </c>
      <c r="L181" s="182" t="s">
        <v>15</v>
      </c>
    </row>
    <row r="182" spans="1:12">
      <c r="A182" s="200" t="s">
        <v>886</v>
      </c>
      <c r="B182" s="200" t="s">
        <v>887</v>
      </c>
      <c r="C182" s="215" t="s">
        <v>888</v>
      </c>
      <c r="D182" s="200" t="s">
        <v>11</v>
      </c>
      <c r="E182" s="200" t="s">
        <v>12</v>
      </c>
      <c r="H182" s="207">
        <v>426197</v>
      </c>
      <c r="I182" s="182" t="s">
        <v>889</v>
      </c>
      <c r="J182" s="182" t="s">
        <v>890</v>
      </c>
      <c r="K182" s="182" t="s">
        <v>891</v>
      </c>
      <c r="L182" s="182" t="s">
        <v>15</v>
      </c>
    </row>
    <row r="183" spans="1:12">
      <c r="A183" s="200" t="s">
        <v>892</v>
      </c>
      <c r="B183" s="200" t="s">
        <v>893</v>
      </c>
      <c r="C183" s="215" t="s">
        <v>894</v>
      </c>
      <c r="D183" s="200" t="s">
        <v>11</v>
      </c>
      <c r="E183" s="200" t="s">
        <v>12</v>
      </c>
      <c r="H183" s="207">
        <v>450753</v>
      </c>
      <c r="I183" s="182" t="s">
        <v>895</v>
      </c>
      <c r="J183" s="182" t="s">
        <v>896</v>
      </c>
      <c r="K183" s="182" t="s">
        <v>897</v>
      </c>
      <c r="L183" s="182" t="s">
        <v>15</v>
      </c>
    </row>
    <row r="184" spans="1:12">
      <c r="A184" s="200" t="s">
        <v>898</v>
      </c>
      <c r="B184" s="200" t="s">
        <v>899</v>
      </c>
      <c r="C184" s="200"/>
      <c r="D184" s="200" t="s">
        <v>11</v>
      </c>
      <c r="E184" s="200" t="s">
        <v>12</v>
      </c>
      <c r="H184" s="207">
        <v>472429</v>
      </c>
      <c r="I184" s="182" t="s">
        <v>900</v>
      </c>
      <c r="J184" s="182" t="s">
        <v>901</v>
      </c>
      <c r="K184" s="182" t="s">
        <v>902</v>
      </c>
      <c r="L184" s="182" t="s">
        <v>15</v>
      </c>
    </row>
    <row r="185" spans="1:12">
      <c r="A185" s="200" t="s">
        <v>903</v>
      </c>
      <c r="B185" s="200" t="s">
        <v>904</v>
      </c>
      <c r="C185" s="215" t="s">
        <v>905</v>
      </c>
      <c r="D185" s="200" t="s">
        <v>11</v>
      </c>
      <c r="E185" s="200" t="s">
        <v>12</v>
      </c>
      <c r="H185" s="207" t="s">
        <v>724</v>
      </c>
      <c r="I185" s="182" t="s">
        <v>725</v>
      </c>
      <c r="J185" s="182" t="s">
        <v>906</v>
      </c>
      <c r="K185" s="182" t="s">
        <v>907</v>
      </c>
      <c r="L185" s="182" t="s">
        <v>15</v>
      </c>
    </row>
    <row r="186" spans="1:12">
      <c r="A186" s="200" t="s">
        <v>913</v>
      </c>
      <c r="B186" s="200" t="s">
        <v>914</v>
      </c>
      <c r="C186" s="219" t="s">
        <v>910</v>
      </c>
      <c r="D186" s="200" t="s">
        <v>11</v>
      </c>
      <c r="E186" s="200" t="s">
        <v>12</v>
      </c>
      <c r="H186" s="207">
        <v>486819</v>
      </c>
      <c r="I186" s="182" t="s">
        <v>915</v>
      </c>
      <c r="J186" s="182" t="s">
        <v>916</v>
      </c>
      <c r="K186" s="182"/>
      <c r="L186" s="182" t="s">
        <v>53</v>
      </c>
    </row>
    <row r="187" spans="1:12">
      <c r="A187" s="200" t="s">
        <v>917</v>
      </c>
      <c r="B187" s="200" t="s">
        <v>918</v>
      </c>
      <c r="C187" s="215" t="s">
        <v>919</v>
      </c>
      <c r="D187" s="200" t="s">
        <v>11</v>
      </c>
      <c r="E187" s="200" t="s">
        <v>12</v>
      </c>
      <c r="H187" s="207">
        <v>455033</v>
      </c>
      <c r="I187" s="182" t="s">
        <v>920</v>
      </c>
      <c r="J187" s="182" t="s">
        <v>921</v>
      </c>
      <c r="K187" s="182" t="s">
        <v>922</v>
      </c>
      <c r="L187" s="182" t="s">
        <v>15</v>
      </c>
    </row>
    <row r="188" spans="1:12">
      <c r="A188" s="200" t="s">
        <v>923</v>
      </c>
      <c r="B188" s="200" t="s">
        <v>924</v>
      </c>
      <c r="C188" s="220" t="s">
        <v>925</v>
      </c>
      <c r="D188" s="200" t="s">
        <v>11</v>
      </c>
      <c r="E188" s="200" t="s">
        <v>12</v>
      </c>
      <c r="H188" s="207">
        <v>497766</v>
      </c>
      <c r="I188" s="182" t="s">
        <v>926</v>
      </c>
      <c r="J188" s="182" t="s">
        <v>927</v>
      </c>
      <c r="K188" s="182" t="s">
        <v>928</v>
      </c>
      <c r="L188" s="182" t="s">
        <v>15</v>
      </c>
    </row>
    <row r="189" spans="1:12">
      <c r="A189" s="200" t="s">
        <v>929</v>
      </c>
      <c r="B189" s="200" t="s">
        <v>930</v>
      </c>
      <c r="C189" s="200"/>
      <c r="D189" s="200" t="s">
        <v>11</v>
      </c>
      <c r="E189" s="200" t="s">
        <v>12</v>
      </c>
      <c r="H189" s="207">
        <v>299763</v>
      </c>
      <c r="I189" s="182" t="s">
        <v>931</v>
      </c>
      <c r="J189" s="182" t="s">
        <v>932</v>
      </c>
      <c r="K189" s="182" t="s">
        <v>933</v>
      </c>
      <c r="L189" s="182" t="s">
        <v>15</v>
      </c>
    </row>
    <row r="190" spans="1:12">
      <c r="A190" s="200" t="s">
        <v>934</v>
      </c>
      <c r="B190" s="200" t="s">
        <v>935</v>
      </c>
      <c r="C190" s="215" t="s">
        <v>936</v>
      </c>
      <c r="D190" s="200" t="s">
        <v>11</v>
      </c>
      <c r="E190" s="200" t="s">
        <v>12</v>
      </c>
      <c r="H190" s="207">
        <v>507428</v>
      </c>
      <c r="I190" s="182" t="s">
        <v>937</v>
      </c>
      <c r="J190" s="182" t="s">
        <v>938</v>
      </c>
      <c r="K190" s="182" t="s">
        <v>939</v>
      </c>
      <c r="L190" s="182" t="s">
        <v>15</v>
      </c>
    </row>
    <row r="191" spans="1:12">
      <c r="A191" s="170" t="s">
        <v>940</v>
      </c>
      <c r="B191" s="170" t="s">
        <v>941</v>
      </c>
      <c r="C191" s="215" t="s">
        <v>942</v>
      </c>
      <c r="D191" s="170" t="s">
        <v>11</v>
      </c>
      <c r="E191" s="170" t="s">
        <v>12</v>
      </c>
      <c r="H191" s="207">
        <v>464236</v>
      </c>
      <c r="I191" s="182" t="s">
        <v>943</v>
      </c>
      <c r="J191" s="182" t="s">
        <v>944</v>
      </c>
      <c r="K191" s="182" t="s">
        <v>945</v>
      </c>
      <c r="L191" s="182" t="s">
        <v>15</v>
      </c>
    </row>
    <row r="192" spans="1:12">
      <c r="A192" s="170" t="s">
        <v>946</v>
      </c>
      <c r="B192" s="170" t="s">
        <v>947</v>
      </c>
      <c r="C192" s="170"/>
      <c r="D192" s="170" t="s">
        <v>11</v>
      </c>
      <c r="E192" s="170" t="s">
        <v>12</v>
      </c>
      <c r="H192" s="207">
        <v>422181</v>
      </c>
      <c r="I192" s="182" t="s">
        <v>948</v>
      </c>
      <c r="J192" s="182" t="s">
        <v>949</v>
      </c>
      <c r="K192" s="182" t="s">
        <v>950</v>
      </c>
      <c r="L192" s="182" t="s">
        <v>15</v>
      </c>
    </row>
    <row r="193" spans="1:12">
      <c r="A193" s="170" t="s">
        <v>951</v>
      </c>
      <c r="B193" s="170" t="s">
        <v>952</v>
      </c>
      <c r="C193" s="215" t="s">
        <v>953</v>
      </c>
      <c r="D193" s="170" t="s">
        <v>11</v>
      </c>
      <c r="E193" s="170" t="s">
        <v>12</v>
      </c>
      <c r="H193" s="207" t="s">
        <v>10</v>
      </c>
      <c r="I193" s="182" t="s">
        <v>954</v>
      </c>
      <c r="J193" s="182" t="s">
        <v>955</v>
      </c>
      <c r="K193" s="182" t="s">
        <v>956</v>
      </c>
      <c r="L193" s="182" t="s">
        <v>15</v>
      </c>
    </row>
    <row r="194" spans="1:12">
      <c r="A194" s="170" t="s">
        <v>957</v>
      </c>
      <c r="B194" s="170" t="s">
        <v>958</v>
      </c>
      <c r="C194" s="215" t="s">
        <v>959</v>
      </c>
      <c r="D194" s="170" t="s">
        <v>11</v>
      </c>
      <c r="E194" s="170" t="s">
        <v>12</v>
      </c>
      <c r="H194" s="207">
        <v>317256</v>
      </c>
      <c r="I194" s="182" t="s">
        <v>960</v>
      </c>
      <c r="J194" s="182" t="s">
        <v>961</v>
      </c>
      <c r="K194" s="182" t="s">
        <v>962</v>
      </c>
      <c r="L194" s="182" t="s">
        <v>15</v>
      </c>
    </row>
    <row r="195" spans="1:12">
      <c r="A195" s="170" t="s">
        <v>963</v>
      </c>
      <c r="B195" s="170" t="s">
        <v>964</v>
      </c>
      <c r="C195" s="170"/>
      <c r="D195" s="170" t="s">
        <v>11</v>
      </c>
      <c r="E195" s="170" t="s">
        <v>12</v>
      </c>
      <c r="H195" s="207">
        <v>469641</v>
      </c>
      <c r="I195" s="182" t="s">
        <v>965</v>
      </c>
      <c r="J195" s="182" t="s">
        <v>966</v>
      </c>
      <c r="K195" s="182" t="s">
        <v>967</v>
      </c>
      <c r="L195" s="182" t="s">
        <v>15</v>
      </c>
    </row>
    <row r="196" spans="1:12">
      <c r="A196" s="170" t="s">
        <v>968</v>
      </c>
      <c r="B196" s="170" t="s">
        <v>969</v>
      </c>
      <c r="C196" s="216" t="s">
        <v>970</v>
      </c>
      <c r="D196" s="170" t="s">
        <v>11</v>
      </c>
      <c r="E196" s="170" t="s">
        <v>12</v>
      </c>
      <c r="H196" s="207" t="s">
        <v>971</v>
      </c>
      <c r="I196" s="182" t="s">
        <v>10</v>
      </c>
      <c r="J196" s="182" t="s">
        <v>971</v>
      </c>
      <c r="K196" s="182" t="s">
        <v>972</v>
      </c>
      <c r="L196" s="182" t="s">
        <v>19</v>
      </c>
    </row>
    <row r="197" spans="1:12">
      <c r="A197" s="170" t="s">
        <v>973</v>
      </c>
      <c r="B197" s="170" t="s">
        <v>974</v>
      </c>
      <c r="C197" s="170"/>
      <c r="D197" s="170" t="s">
        <v>11</v>
      </c>
      <c r="E197" s="170" t="s">
        <v>12</v>
      </c>
      <c r="H197" s="207">
        <v>501674</v>
      </c>
      <c r="I197" s="182" t="s">
        <v>975</v>
      </c>
      <c r="J197" s="182" t="s">
        <v>976</v>
      </c>
      <c r="K197" s="182" t="s">
        <v>977</v>
      </c>
      <c r="L197" s="182" t="s">
        <v>15</v>
      </c>
    </row>
    <row r="198" spans="1:12">
      <c r="A198" s="170" t="s">
        <v>978</v>
      </c>
      <c r="B198" s="170" t="s">
        <v>979</v>
      </c>
      <c r="C198" s="170"/>
      <c r="D198" s="170" t="s">
        <v>11</v>
      </c>
      <c r="E198" s="170" t="s">
        <v>12</v>
      </c>
      <c r="H198" s="207">
        <v>454753</v>
      </c>
      <c r="I198" s="182" t="s">
        <v>980</v>
      </c>
      <c r="J198" s="182" t="s">
        <v>981</v>
      </c>
      <c r="K198" s="182"/>
      <c r="L198" s="182" t="s">
        <v>15</v>
      </c>
    </row>
    <row r="199" spans="1:12">
      <c r="A199" s="170" t="s">
        <v>982</v>
      </c>
      <c r="B199" s="170" t="s">
        <v>983</v>
      </c>
      <c r="C199" s="217" t="s">
        <v>984</v>
      </c>
      <c r="D199" s="170" t="s">
        <v>11</v>
      </c>
      <c r="E199" s="170" t="s">
        <v>12</v>
      </c>
      <c r="H199" s="207">
        <v>507202</v>
      </c>
      <c r="I199" s="182" t="s">
        <v>985</v>
      </c>
      <c r="J199" s="182" t="s">
        <v>986</v>
      </c>
      <c r="K199" s="182" t="s">
        <v>987</v>
      </c>
      <c r="L199" s="182" t="s">
        <v>15</v>
      </c>
    </row>
    <row r="200" spans="1:12">
      <c r="A200" s="170" t="s">
        <v>988</v>
      </c>
      <c r="B200" s="170" t="s">
        <v>989</v>
      </c>
      <c r="C200" s="215" t="s">
        <v>990</v>
      </c>
      <c r="D200" s="170" t="s">
        <v>11</v>
      </c>
      <c r="E200" s="170" t="s">
        <v>12</v>
      </c>
      <c r="H200" s="207" t="s">
        <v>991</v>
      </c>
      <c r="I200" s="182" t="s">
        <v>10</v>
      </c>
      <c r="J200" s="182" t="s">
        <v>991</v>
      </c>
      <c r="K200" s="182" t="s">
        <v>992</v>
      </c>
      <c r="L200" s="182" t="s">
        <v>53</v>
      </c>
    </row>
    <row r="201" spans="1:12">
      <c r="A201" s="170" t="s">
        <v>994</v>
      </c>
      <c r="B201" s="170" t="s">
        <v>993</v>
      </c>
      <c r="C201" s="170"/>
      <c r="D201" s="170" t="s">
        <v>11</v>
      </c>
      <c r="E201" s="170" t="s">
        <v>12</v>
      </c>
      <c r="H201" s="207">
        <v>497971</v>
      </c>
      <c r="I201" s="182" t="s">
        <v>995</v>
      </c>
      <c r="J201" s="182" t="s">
        <v>996</v>
      </c>
      <c r="K201" s="182" t="s">
        <v>997</v>
      </c>
      <c r="L201" s="182" t="s">
        <v>15</v>
      </c>
    </row>
    <row r="202" spans="1:12">
      <c r="A202" s="170" t="s">
        <v>998</v>
      </c>
      <c r="B202" s="170" t="s">
        <v>999</v>
      </c>
      <c r="C202" s="221" t="s">
        <v>1000</v>
      </c>
      <c r="D202" s="170" t="s">
        <v>11</v>
      </c>
      <c r="E202" s="170" t="s">
        <v>12</v>
      </c>
      <c r="H202" s="207">
        <v>392597</v>
      </c>
      <c r="I202" s="182" t="s">
        <v>1001</v>
      </c>
      <c r="J202" s="182" t="s">
        <v>1002</v>
      </c>
      <c r="K202" s="182" t="s">
        <v>1003</v>
      </c>
      <c r="L202" s="182" t="s">
        <v>15</v>
      </c>
    </row>
    <row r="203" spans="1:12">
      <c r="A203" s="170" t="s">
        <v>1004</v>
      </c>
      <c r="B203" s="170" t="s">
        <v>1005</v>
      </c>
      <c r="C203" s="170"/>
      <c r="D203" s="170" t="s">
        <v>11</v>
      </c>
      <c r="E203" s="170" t="s">
        <v>12</v>
      </c>
      <c r="H203" s="207">
        <v>512995</v>
      </c>
      <c r="I203" s="182" t="s">
        <v>1006</v>
      </c>
      <c r="J203" s="182" t="s">
        <v>1007</v>
      </c>
      <c r="K203" s="182"/>
      <c r="L203" s="182" t="s">
        <v>15</v>
      </c>
    </row>
    <row r="204" spans="1:12">
      <c r="A204" s="170" t="s">
        <v>1008</v>
      </c>
      <c r="B204" s="170" t="s">
        <v>1009</v>
      </c>
      <c r="C204" s="170"/>
      <c r="D204" s="170" t="s">
        <v>11</v>
      </c>
      <c r="E204" s="170" t="s">
        <v>12</v>
      </c>
      <c r="H204" s="207">
        <v>485221</v>
      </c>
      <c r="I204" s="182" t="s">
        <v>1010</v>
      </c>
      <c r="J204" s="182" t="s">
        <v>1011</v>
      </c>
      <c r="K204" s="182" t="s">
        <v>1012</v>
      </c>
      <c r="L204" s="182" t="s">
        <v>15</v>
      </c>
    </row>
    <row r="205" spans="1:12">
      <c r="A205" s="170" t="s">
        <v>1013</v>
      </c>
      <c r="B205" s="170" t="s">
        <v>1014</v>
      </c>
      <c r="C205" s="178" t="s">
        <v>10</v>
      </c>
      <c r="D205" s="170" t="s">
        <v>11</v>
      </c>
      <c r="E205" s="170" t="s">
        <v>12</v>
      </c>
      <c r="H205" s="207">
        <v>174181</v>
      </c>
      <c r="I205" s="182" t="s">
        <v>1015</v>
      </c>
      <c r="J205" s="182" t="s">
        <v>1016</v>
      </c>
      <c r="K205" s="182" t="s">
        <v>1017</v>
      </c>
      <c r="L205" s="182" t="s">
        <v>15</v>
      </c>
    </row>
    <row r="206" spans="1:12">
      <c r="A206" s="170" t="s">
        <v>1018</v>
      </c>
      <c r="B206" s="170" t="s">
        <v>1019</v>
      </c>
      <c r="C206" s="178" t="s">
        <v>10</v>
      </c>
      <c r="D206" s="170" t="s">
        <v>11</v>
      </c>
      <c r="E206" s="170" t="s">
        <v>12</v>
      </c>
      <c r="H206" s="207" t="s">
        <v>1020</v>
      </c>
      <c r="I206" s="182" t="s">
        <v>10</v>
      </c>
      <c r="J206" s="182" t="s">
        <v>1021</v>
      </c>
      <c r="K206" s="182" t="s">
        <v>1022</v>
      </c>
      <c r="L206" s="182" t="s">
        <v>53</v>
      </c>
    </row>
    <row r="207" spans="1:12">
      <c r="A207" s="170" t="s">
        <v>1023</v>
      </c>
      <c r="B207" s="170" t="s">
        <v>1024</v>
      </c>
      <c r="C207" s="178" t="s">
        <v>10</v>
      </c>
      <c r="D207" s="170" t="s">
        <v>11</v>
      </c>
      <c r="E207" s="170" t="s">
        <v>12</v>
      </c>
      <c r="H207" s="207">
        <v>508845</v>
      </c>
      <c r="I207" s="182" t="s">
        <v>1025</v>
      </c>
      <c r="J207" s="182" t="s">
        <v>1026</v>
      </c>
      <c r="K207" s="182" t="s">
        <v>1027</v>
      </c>
      <c r="L207" s="182" t="s">
        <v>15</v>
      </c>
    </row>
    <row r="208" spans="1:12">
      <c r="A208" s="170" t="s">
        <v>1028</v>
      </c>
      <c r="B208" s="170" t="s">
        <v>1029</v>
      </c>
      <c r="C208" s="178" t="s">
        <v>10</v>
      </c>
      <c r="D208" s="170" t="s">
        <v>11</v>
      </c>
      <c r="E208" s="170" t="s">
        <v>12</v>
      </c>
      <c r="H208" s="207">
        <v>486743</v>
      </c>
      <c r="I208" s="182" t="s">
        <v>1030</v>
      </c>
      <c r="J208" s="182" t="s">
        <v>1031</v>
      </c>
      <c r="K208" s="182" t="s">
        <v>1032</v>
      </c>
      <c r="L208" s="182" t="s">
        <v>15</v>
      </c>
    </row>
    <row r="209" spans="1:12">
      <c r="A209" s="170" t="s">
        <v>1033</v>
      </c>
      <c r="B209" s="170" t="s">
        <v>1034</v>
      </c>
      <c r="C209" s="178" t="s">
        <v>10</v>
      </c>
      <c r="D209" s="170" t="s">
        <v>11</v>
      </c>
      <c r="E209" s="170" t="s">
        <v>12</v>
      </c>
      <c r="H209" s="207">
        <v>492234</v>
      </c>
      <c r="I209" s="182" t="s">
        <v>1035</v>
      </c>
      <c r="J209" s="182" t="s">
        <v>1036</v>
      </c>
      <c r="K209" s="182" t="s">
        <v>1037</v>
      </c>
      <c r="L209" s="182" t="s">
        <v>15</v>
      </c>
    </row>
    <row r="210" spans="1:12">
      <c r="A210" s="170" t="s">
        <v>1038</v>
      </c>
      <c r="B210" s="170" t="s">
        <v>1039</v>
      </c>
      <c r="C210" s="178" t="s">
        <v>10</v>
      </c>
      <c r="D210" s="170" t="s">
        <v>11</v>
      </c>
      <c r="E210" s="170" t="s">
        <v>12</v>
      </c>
      <c r="H210" s="207">
        <v>477815</v>
      </c>
      <c r="I210" s="182" t="s">
        <v>1040</v>
      </c>
      <c r="J210" s="182" t="s">
        <v>1041</v>
      </c>
      <c r="K210" s="182" t="s">
        <v>1042</v>
      </c>
      <c r="L210" s="182" t="s">
        <v>15</v>
      </c>
    </row>
    <row r="211" spans="1:12">
      <c r="A211" s="170" t="s">
        <v>1043</v>
      </c>
      <c r="B211" s="170" t="s">
        <v>1044</v>
      </c>
      <c r="C211" s="216" t="s">
        <v>1045</v>
      </c>
      <c r="D211" s="170" t="s">
        <v>11</v>
      </c>
      <c r="E211" s="170" t="s">
        <v>12</v>
      </c>
      <c r="H211" s="207">
        <v>502013</v>
      </c>
      <c r="I211" s="182" t="s">
        <v>1046</v>
      </c>
      <c r="J211" s="182" t="s">
        <v>1047</v>
      </c>
      <c r="K211" s="182" t="s">
        <v>1048</v>
      </c>
      <c r="L211" s="182" t="s">
        <v>15</v>
      </c>
    </row>
    <row r="212" spans="1:12">
      <c r="A212" s="170" t="s">
        <v>1049</v>
      </c>
      <c r="B212" s="170" t="s">
        <v>1050</v>
      </c>
      <c r="C212" s="170"/>
      <c r="D212" s="170" t="s">
        <v>11</v>
      </c>
      <c r="E212" s="170" t="s">
        <v>12</v>
      </c>
      <c r="H212" s="207">
        <v>617853</v>
      </c>
      <c r="I212" s="182" t="s">
        <v>1051</v>
      </c>
      <c r="J212" s="182" t="s">
        <v>1052</v>
      </c>
      <c r="K212" s="182" t="s">
        <v>1053</v>
      </c>
      <c r="L212" s="182" t="s">
        <v>15</v>
      </c>
    </row>
    <row r="213" spans="1:12">
      <c r="A213" s="170" t="s">
        <v>1054</v>
      </c>
      <c r="B213" s="170" t="s">
        <v>1055</v>
      </c>
      <c r="C213" s="170"/>
      <c r="D213" s="170" t="s">
        <v>11</v>
      </c>
      <c r="E213" s="170" t="s">
        <v>12</v>
      </c>
      <c r="H213" s="207">
        <v>473159</v>
      </c>
      <c r="I213" s="182" t="s">
        <v>1056</v>
      </c>
      <c r="J213" s="182" t="s">
        <v>1057</v>
      </c>
      <c r="K213" s="182" t="s">
        <v>1058</v>
      </c>
      <c r="L213" s="182" t="s">
        <v>15</v>
      </c>
    </row>
    <row r="214" spans="1:12">
      <c r="A214" s="170" t="s">
        <v>1059</v>
      </c>
      <c r="B214" s="170" t="s">
        <v>1060</v>
      </c>
      <c r="C214" s="216" t="s">
        <v>1061</v>
      </c>
      <c r="D214" s="170" t="s">
        <v>11</v>
      </c>
      <c r="E214" s="170" t="s">
        <v>12</v>
      </c>
      <c r="H214" s="207" t="s">
        <v>1062</v>
      </c>
      <c r="I214" s="182" t="s">
        <v>10</v>
      </c>
      <c r="J214" s="182" t="s">
        <v>1062</v>
      </c>
      <c r="K214" s="182" t="s">
        <v>1063</v>
      </c>
      <c r="L214" s="182" t="s">
        <v>53</v>
      </c>
    </row>
    <row r="215" spans="1:12">
      <c r="A215" s="170" t="s">
        <v>1064</v>
      </c>
      <c r="B215" s="170" t="s">
        <v>1065</v>
      </c>
      <c r="C215" s="216" t="s">
        <v>1066</v>
      </c>
      <c r="D215" s="170" t="s">
        <v>11</v>
      </c>
      <c r="E215" s="170" t="s">
        <v>12</v>
      </c>
      <c r="H215" s="207">
        <v>392173</v>
      </c>
      <c r="I215" s="182" t="s">
        <v>1067</v>
      </c>
      <c r="J215" s="182" t="s">
        <v>1068</v>
      </c>
      <c r="K215" s="182"/>
      <c r="L215" s="182" t="s">
        <v>15</v>
      </c>
    </row>
    <row r="216" spans="1:12">
      <c r="A216" s="170" t="s">
        <v>1069</v>
      </c>
      <c r="B216" s="170" t="s">
        <v>1070</v>
      </c>
      <c r="C216" s="170"/>
      <c r="D216" s="170" t="s">
        <v>11</v>
      </c>
      <c r="E216" s="170" t="s">
        <v>12</v>
      </c>
      <c r="H216" s="207">
        <v>481378</v>
      </c>
      <c r="I216" s="182" t="s">
        <v>1071</v>
      </c>
      <c r="J216" s="182" t="s">
        <v>1072</v>
      </c>
      <c r="K216" s="182" t="s">
        <v>1073</v>
      </c>
      <c r="L216" s="182" t="s">
        <v>15</v>
      </c>
    </row>
    <row r="217" spans="1:12">
      <c r="A217" s="170" t="s">
        <v>1074</v>
      </c>
      <c r="B217" s="170" t="s">
        <v>1075</v>
      </c>
      <c r="C217" s="215" t="s">
        <v>1076</v>
      </c>
      <c r="D217" s="170" t="s">
        <v>11</v>
      </c>
      <c r="E217" s="170" t="s">
        <v>12</v>
      </c>
      <c r="H217" s="207">
        <v>377349</v>
      </c>
      <c r="I217" s="182" t="s">
        <v>1077</v>
      </c>
      <c r="J217" s="182" t="s">
        <v>1078</v>
      </c>
      <c r="K217" s="182" t="s">
        <v>1079</v>
      </c>
      <c r="L217" s="182" t="s">
        <v>15</v>
      </c>
    </row>
    <row r="218" spans="1:12">
      <c r="A218" s="170" t="s">
        <v>1080</v>
      </c>
      <c r="B218" s="170" t="s">
        <v>1081</v>
      </c>
      <c r="C218" s="215" t="s">
        <v>1082</v>
      </c>
      <c r="D218" s="170" t="s">
        <v>11</v>
      </c>
      <c r="E218" s="170" t="s">
        <v>12</v>
      </c>
      <c r="H218" s="207">
        <v>486756</v>
      </c>
      <c r="I218" s="182" t="s">
        <v>1083</v>
      </c>
      <c r="J218" s="182" t="s">
        <v>1084</v>
      </c>
      <c r="K218" s="182" t="s">
        <v>1085</v>
      </c>
      <c r="L218" s="182" t="s">
        <v>15</v>
      </c>
    </row>
    <row r="219" spans="1:12">
      <c r="A219" s="170" t="s">
        <v>1086</v>
      </c>
      <c r="B219" s="170" t="s">
        <v>1087</v>
      </c>
      <c r="C219" s="170"/>
      <c r="D219" s="170" t="s">
        <v>11</v>
      </c>
      <c r="E219" s="170" t="s">
        <v>12</v>
      </c>
      <c r="H219" s="207">
        <v>476629</v>
      </c>
      <c r="I219" s="182" t="s">
        <v>1088</v>
      </c>
      <c r="J219" s="182" t="s">
        <v>1089</v>
      </c>
      <c r="K219" s="182" t="s">
        <v>1090</v>
      </c>
      <c r="L219" s="182" t="s">
        <v>15</v>
      </c>
    </row>
    <row r="220" spans="1:12">
      <c r="A220" s="170" t="s">
        <v>1091</v>
      </c>
      <c r="B220" s="170" t="s">
        <v>1092</v>
      </c>
      <c r="C220" s="214" t="s">
        <v>1093</v>
      </c>
      <c r="D220" s="170" t="s">
        <v>11</v>
      </c>
      <c r="E220" s="170" t="s">
        <v>12</v>
      </c>
      <c r="H220" s="207">
        <v>454484</v>
      </c>
      <c r="I220" s="182" t="s">
        <v>1094</v>
      </c>
      <c r="J220" s="182" t="s">
        <v>1095</v>
      </c>
      <c r="K220" s="182" t="s">
        <v>1096</v>
      </c>
      <c r="L220" s="182" t="s">
        <v>15</v>
      </c>
    </row>
    <row r="221" spans="1:12">
      <c r="A221" s="170" t="s">
        <v>1097</v>
      </c>
      <c r="B221" s="170" t="s">
        <v>1098</v>
      </c>
      <c r="C221" s="215" t="s">
        <v>1099</v>
      </c>
      <c r="D221" s="170" t="s">
        <v>11</v>
      </c>
      <c r="E221" s="170" t="s">
        <v>12</v>
      </c>
      <c r="H221" s="207">
        <v>501413</v>
      </c>
      <c r="I221" s="182" t="s">
        <v>1100</v>
      </c>
      <c r="J221" s="182" t="s">
        <v>1101</v>
      </c>
      <c r="K221" s="182" t="s">
        <v>1102</v>
      </c>
      <c r="L221" s="182" t="s">
        <v>15</v>
      </c>
    </row>
    <row r="222" spans="1:12">
      <c r="A222" s="170" t="s">
        <v>1103</v>
      </c>
      <c r="B222" s="170" t="s">
        <v>1104</v>
      </c>
      <c r="C222" s="170"/>
      <c r="D222" s="170" t="s">
        <v>11</v>
      </c>
      <c r="E222" s="170" t="s">
        <v>12</v>
      </c>
      <c r="H222" s="207">
        <v>509250</v>
      </c>
      <c r="I222" s="182" t="s">
        <v>1105</v>
      </c>
      <c r="J222" s="182" t="s">
        <v>1106</v>
      </c>
      <c r="K222" s="182" t="s">
        <v>1107</v>
      </c>
      <c r="L222" s="182" t="s">
        <v>15</v>
      </c>
    </row>
    <row r="223" spans="1:12">
      <c r="A223" s="170" t="s">
        <v>1108</v>
      </c>
      <c r="B223" s="170" t="s">
        <v>1109</v>
      </c>
      <c r="C223" s="216" t="s">
        <v>1110</v>
      </c>
      <c r="D223" s="170" t="s">
        <v>11</v>
      </c>
      <c r="E223" s="170" t="s">
        <v>12</v>
      </c>
      <c r="H223" s="207" t="s">
        <v>1111</v>
      </c>
      <c r="I223" s="182" t="s">
        <v>10</v>
      </c>
      <c r="J223" s="182" t="s">
        <v>1111</v>
      </c>
      <c r="K223" s="182" t="s">
        <v>1112</v>
      </c>
      <c r="L223" s="182" t="s">
        <v>53</v>
      </c>
    </row>
    <row r="224" spans="1:12">
      <c r="A224" s="170" t="s">
        <v>1113</v>
      </c>
      <c r="B224" s="170" t="s">
        <v>1114</v>
      </c>
      <c r="C224" s="215" t="s">
        <v>1115</v>
      </c>
      <c r="D224" s="170" t="s">
        <v>11</v>
      </c>
      <c r="E224" s="170" t="s">
        <v>12</v>
      </c>
      <c r="H224" s="207">
        <v>454438</v>
      </c>
      <c r="I224" s="182" t="s">
        <v>1116</v>
      </c>
      <c r="J224" s="182" t="s">
        <v>1117</v>
      </c>
      <c r="K224" s="182"/>
      <c r="L224" s="182" t="s">
        <v>15</v>
      </c>
    </row>
    <row r="225" spans="1:12">
      <c r="A225" s="170" t="s">
        <v>1118</v>
      </c>
      <c r="B225" s="170" t="s">
        <v>1119</v>
      </c>
      <c r="C225" s="170"/>
      <c r="D225" s="170" t="s">
        <v>11</v>
      </c>
      <c r="E225" s="170" t="s">
        <v>12</v>
      </c>
      <c r="H225" s="207" t="s">
        <v>1120</v>
      </c>
      <c r="I225" s="182" t="s">
        <v>1121</v>
      </c>
      <c r="J225" s="182" t="s">
        <v>1122</v>
      </c>
      <c r="K225" s="182" t="s">
        <v>1123</v>
      </c>
      <c r="L225" s="182" t="s">
        <v>15</v>
      </c>
    </row>
    <row r="226" spans="1:12">
      <c r="A226" s="170" t="s">
        <v>1124</v>
      </c>
      <c r="B226" s="170" t="s">
        <v>1125</v>
      </c>
      <c r="C226" s="215" t="s">
        <v>1126</v>
      </c>
      <c r="D226" s="170" t="s">
        <v>11</v>
      </c>
      <c r="E226" s="170" t="s">
        <v>12</v>
      </c>
      <c r="H226" s="207">
        <v>501913</v>
      </c>
      <c r="I226" s="182" t="s">
        <v>1127</v>
      </c>
      <c r="J226" s="182" t="s">
        <v>1128</v>
      </c>
      <c r="K226" s="182" t="s">
        <v>1129</v>
      </c>
      <c r="L226" s="182" t="s">
        <v>15</v>
      </c>
    </row>
    <row r="227" spans="1:12">
      <c r="A227" s="170" t="s">
        <v>1130</v>
      </c>
      <c r="B227" s="170" t="s">
        <v>1131</v>
      </c>
      <c r="C227" s="215" t="s">
        <v>1132</v>
      </c>
      <c r="D227" s="170" t="s">
        <v>11</v>
      </c>
      <c r="E227" s="170" t="s">
        <v>12</v>
      </c>
      <c r="H227" s="207">
        <v>959271</v>
      </c>
      <c r="I227" s="182" t="s">
        <v>1133</v>
      </c>
      <c r="J227" s="182" t="s">
        <v>1134</v>
      </c>
      <c r="K227" s="182" t="s">
        <v>1135</v>
      </c>
      <c r="L227" s="182" t="s">
        <v>15</v>
      </c>
    </row>
    <row r="228" spans="1:12">
      <c r="A228" s="170" t="s">
        <v>1136</v>
      </c>
      <c r="B228" s="170" t="s">
        <v>1137</v>
      </c>
      <c r="C228" s="170"/>
      <c r="D228" s="170" t="s">
        <v>11</v>
      </c>
      <c r="E228" s="170" t="s">
        <v>12</v>
      </c>
      <c r="H228" s="207">
        <v>463607</v>
      </c>
      <c r="I228" s="182" t="s">
        <v>1138</v>
      </c>
      <c r="J228" s="182" t="s">
        <v>1139</v>
      </c>
      <c r="K228" s="182" t="s">
        <v>1140</v>
      </c>
      <c r="L228" s="182" t="s">
        <v>15</v>
      </c>
    </row>
    <row r="229" spans="1:12">
      <c r="A229" s="170" t="s">
        <v>1141</v>
      </c>
      <c r="B229" s="170" t="s">
        <v>1142</v>
      </c>
      <c r="C229" s="216" t="s">
        <v>1143</v>
      </c>
      <c r="D229" s="170" t="s">
        <v>11</v>
      </c>
      <c r="E229" s="170" t="s">
        <v>12</v>
      </c>
      <c r="H229" s="207">
        <v>954455</v>
      </c>
      <c r="I229" s="182" t="s">
        <v>1144</v>
      </c>
      <c r="J229" s="182" t="s">
        <v>1145</v>
      </c>
      <c r="K229" s="182" t="s">
        <v>1146</v>
      </c>
      <c r="L229" s="182" t="s">
        <v>15</v>
      </c>
    </row>
    <row r="230" spans="1:12">
      <c r="A230" s="170" t="s">
        <v>1147</v>
      </c>
      <c r="B230" s="170" t="s">
        <v>1148</v>
      </c>
      <c r="C230" s="170"/>
      <c r="D230" s="170" t="s">
        <v>11</v>
      </c>
      <c r="E230" s="170" t="s">
        <v>12</v>
      </c>
      <c r="H230" s="207">
        <v>465790</v>
      </c>
      <c r="I230" s="182" t="s">
        <v>1149</v>
      </c>
      <c r="J230" s="182" t="s">
        <v>1150</v>
      </c>
      <c r="K230" s="182" t="s">
        <v>1151</v>
      </c>
      <c r="L230" s="182" t="s">
        <v>15</v>
      </c>
    </row>
    <row r="231" spans="1:12">
      <c r="A231" s="170" t="s">
        <v>1152</v>
      </c>
      <c r="B231" s="170" t="s">
        <v>1153</v>
      </c>
      <c r="C231" s="170"/>
      <c r="D231" s="170" t="s">
        <v>11</v>
      </c>
      <c r="E231" s="170" t="s">
        <v>12</v>
      </c>
      <c r="H231" s="207">
        <v>490850</v>
      </c>
      <c r="I231" s="182" t="s">
        <v>1154</v>
      </c>
      <c r="J231" s="182" t="s">
        <v>1155</v>
      </c>
      <c r="K231" s="182" t="s">
        <v>1156</v>
      </c>
      <c r="L231" s="182" t="s">
        <v>15</v>
      </c>
    </row>
    <row r="232" spans="1:12">
      <c r="A232" s="170" t="s">
        <v>1157</v>
      </c>
      <c r="B232" s="170" t="s">
        <v>1158</v>
      </c>
      <c r="C232" s="216" t="s">
        <v>1159</v>
      </c>
      <c r="D232" s="170" t="s">
        <v>11</v>
      </c>
      <c r="E232" s="170" t="s">
        <v>12</v>
      </c>
      <c r="H232" s="207">
        <v>464406</v>
      </c>
      <c r="I232" s="182" t="s">
        <v>1160</v>
      </c>
      <c r="J232" s="182" t="s">
        <v>1161</v>
      </c>
      <c r="K232" s="182" t="s">
        <v>1162</v>
      </c>
      <c r="L232" s="182" t="s">
        <v>15</v>
      </c>
    </row>
    <row r="233" spans="1:12">
      <c r="A233" s="170" t="s">
        <v>1163</v>
      </c>
      <c r="B233" s="170" t="s">
        <v>1164</v>
      </c>
      <c r="C233" s="216" t="s">
        <v>1165</v>
      </c>
      <c r="D233" s="170" t="s">
        <v>11</v>
      </c>
      <c r="E233" s="170" t="s">
        <v>12</v>
      </c>
      <c r="H233" s="207">
        <v>227355</v>
      </c>
      <c r="I233" s="182" t="s">
        <v>1166</v>
      </c>
      <c r="J233" s="182" t="s">
        <v>1167</v>
      </c>
      <c r="K233" s="182"/>
      <c r="L233" s="182" t="s">
        <v>15</v>
      </c>
    </row>
    <row r="234" spans="1:12">
      <c r="A234" s="170" t="s">
        <v>1168</v>
      </c>
      <c r="B234" s="170" t="s">
        <v>1169</v>
      </c>
      <c r="C234" s="170"/>
      <c r="D234" s="170" t="s">
        <v>11</v>
      </c>
      <c r="E234" s="170" t="s">
        <v>12</v>
      </c>
      <c r="H234" s="207" t="s">
        <v>1170</v>
      </c>
      <c r="I234" s="182" t="s">
        <v>10</v>
      </c>
      <c r="J234" s="182" t="s">
        <v>1170</v>
      </c>
      <c r="K234" s="182" t="s">
        <v>1171</v>
      </c>
      <c r="L234" s="182" t="s">
        <v>19</v>
      </c>
    </row>
    <row r="235" spans="1:12">
      <c r="A235" s="170" t="s">
        <v>1172</v>
      </c>
      <c r="B235" s="170" t="s">
        <v>1173</v>
      </c>
      <c r="C235" s="221" t="s">
        <v>1174</v>
      </c>
      <c r="D235" s="170" t="s">
        <v>11</v>
      </c>
      <c r="E235" s="170" t="s">
        <v>12</v>
      </c>
      <c r="H235" s="207">
        <v>486555</v>
      </c>
      <c r="I235" s="182" t="s">
        <v>1175</v>
      </c>
      <c r="J235" s="182" t="s">
        <v>1176</v>
      </c>
      <c r="K235" s="182" t="s">
        <v>1177</v>
      </c>
      <c r="L235" s="182" t="s">
        <v>15</v>
      </c>
    </row>
    <row r="236" spans="1:12">
      <c r="A236" s="170" t="s">
        <v>1178</v>
      </c>
      <c r="B236" s="170" t="s">
        <v>1179</v>
      </c>
      <c r="C236" s="216" t="s">
        <v>1180</v>
      </c>
      <c r="D236" s="170" t="s">
        <v>11</v>
      </c>
      <c r="E236" s="170" t="s">
        <v>12</v>
      </c>
      <c r="H236" s="207" t="s">
        <v>1181</v>
      </c>
      <c r="I236" s="182" t="s">
        <v>10</v>
      </c>
      <c r="J236" s="182" t="s">
        <v>1181</v>
      </c>
      <c r="K236" s="182" t="s">
        <v>1182</v>
      </c>
      <c r="L236" s="182" t="s">
        <v>53</v>
      </c>
    </row>
    <row r="237" spans="1:12">
      <c r="A237" s="170" t="s">
        <v>1183</v>
      </c>
      <c r="B237" s="170" t="s">
        <v>1184</v>
      </c>
      <c r="C237" s="170"/>
      <c r="D237" s="170" t="s">
        <v>11</v>
      </c>
      <c r="E237" s="170" t="s">
        <v>12</v>
      </c>
      <c r="H237" s="207" t="s">
        <v>1185</v>
      </c>
      <c r="I237" s="182" t="s">
        <v>10</v>
      </c>
      <c r="J237" s="182" t="s">
        <v>1185</v>
      </c>
      <c r="K237" s="182" t="s">
        <v>1186</v>
      </c>
      <c r="L237" s="182" t="s">
        <v>53</v>
      </c>
    </row>
    <row r="238" spans="1:12">
      <c r="A238" s="170" t="s">
        <v>1187</v>
      </c>
      <c r="B238" s="170" t="s">
        <v>1188</v>
      </c>
      <c r="C238" s="215" t="s">
        <v>1189</v>
      </c>
      <c r="D238" s="170" t="s">
        <v>11</v>
      </c>
      <c r="E238" s="170" t="s">
        <v>12</v>
      </c>
      <c r="H238" s="207">
        <v>444239</v>
      </c>
      <c r="I238" s="182" t="s">
        <v>1190</v>
      </c>
      <c r="J238" s="182" t="s">
        <v>1191</v>
      </c>
      <c r="K238" s="182" t="s">
        <v>1192</v>
      </c>
      <c r="L238" s="182" t="s">
        <v>15</v>
      </c>
    </row>
    <row r="239" spans="1:12">
      <c r="A239" s="170" t="s">
        <v>1193</v>
      </c>
      <c r="B239" s="170" t="s">
        <v>1194</v>
      </c>
      <c r="C239" s="215" t="s">
        <v>1195</v>
      </c>
      <c r="D239" s="170" t="s">
        <v>11</v>
      </c>
      <c r="E239" s="170" t="s">
        <v>12</v>
      </c>
      <c r="H239" s="207">
        <v>58861</v>
      </c>
      <c r="I239" s="182" t="s">
        <v>1196</v>
      </c>
      <c r="J239" s="182" t="s">
        <v>1197</v>
      </c>
      <c r="K239" s="182" t="s">
        <v>1198</v>
      </c>
      <c r="L239" s="182" t="s">
        <v>415</v>
      </c>
    </row>
    <row r="240" spans="1:12">
      <c r="A240" s="170" t="s">
        <v>1200</v>
      </c>
      <c r="B240" s="170" t="s">
        <v>1201</v>
      </c>
      <c r="C240" s="170"/>
      <c r="D240" s="170" t="s">
        <v>11</v>
      </c>
      <c r="E240" s="170" t="s">
        <v>12</v>
      </c>
      <c r="H240" s="207">
        <v>473640</v>
      </c>
      <c r="I240" s="182" t="s">
        <v>1202</v>
      </c>
      <c r="J240" s="182" t="s">
        <v>1203</v>
      </c>
      <c r="K240" s="182" t="s">
        <v>1204</v>
      </c>
      <c r="L240" s="182" t="s">
        <v>415</v>
      </c>
    </row>
    <row r="241" spans="1:12">
      <c r="A241" s="170" t="s">
        <v>1205</v>
      </c>
      <c r="B241" s="170" t="s">
        <v>1206</v>
      </c>
      <c r="C241" s="216" t="s">
        <v>1207</v>
      </c>
      <c r="D241" s="170" t="s">
        <v>11</v>
      </c>
      <c r="E241" s="170" t="s">
        <v>12</v>
      </c>
      <c r="H241" s="207" t="s">
        <v>1208</v>
      </c>
      <c r="I241" s="182" t="s">
        <v>10</v>
      </c>
      <c r="J241" s="182" t="s">
        <v>1208</v>
      </c>
      <c r="K241" s="182" t="s">
        <v>1209</v>
      </c>
      <c r="L241" s="182" t="s">
        <v>53</v>
      </c>
    </row>
    <row r="242" spans="1:12">
      <c r="A242" s="170" t="s">
        <v>1210</v>
      </c>
      <c r="B242" s="170" t="s">
        <v>1211</v>
      </c>
      <c r="C242" s="170"/>
      <c r="D242" s="170" t="s">
        <v>11</v>
      </c>
      <c r="E242" s="170" t="s">
        <v>12</v>
      </c>
      <c r="H242" s="207">
        <v>485226</v>
      </c>
      <c r="I242" s="182" t="s">
        <v>1212</v>
      </c>
      <c r="J242" s="182" t="s">
        <v>1213</v>
      </c>
      <c r="K242" s="182" t="s">
        <v>1214</v>
      </c>
      <c r="L242" s="182" t="s">
        <v>15</v>
      </c>
    </row>
    <row r="243" spans="1:12">
      <c r="A243" s="170" t="s">
        <v>1215</v>
      </c>
      <c r="B243" s="170" t="s">
        <v>1216</v>
      </c>
      <c r="C243" s="170"/>
      <c r="D243" s="170" t="s">
        <v>11</v>
      </c>
      <c r="E243" s="170" t="s">
        <v>12</v>
      </c>
      <c r="H243" s="207">
        <v>468934</v>
      </c>
      <c r="I243" s="182" t="s">
        <v>1217</v>
      </c>
      <c r="J243" s="182" t="s">
        <v>1218</v>
      </c>
      <c r="K243" s="182" t="s">
        <v>1219</v>
      </c>
      <c r="L243" s="182" t="s">
        <v>369</v>
      </c>
    </row>
    <row r="244" spans="1:12">
      <c r="A244" s="170" t="s">
        <v>1220</v>
      </c>
      <c r="B244" s="170" t="s">
        <v>1221</v>
      </c>
      <c r="C244" s="216" t="s">
        <v>1222</v>
      </c>
      <c r="D244" s="170" t="s">
        <v>11</v>
      </c>
      <c r="E244" s="170" t="s">
        <v>12</v>
      </c>
      <c r="H244" s="207">
        <v>502081</v>
      </c>
      <c r="I244" s="182" t="s">
        <v>1223</v>
      </c>
      <c r="J244" s="182" t="s">
        <v>1224</v>
      </c>
      <c r="K244" s="182" t="s">
        <v>1225</v>
      </c>
      <c r="L244" s="182" t="s">
        <v>15</v>
      </c>
    </row>
    <row r="245" spans="1:12">
      <c r="A245" s="170" t="s">
        <v>1226</v>
      </c>
      <c r="B245" s="170" t="s">
        <v>1227</v>
      </c>
      <c r="C245" s="170"/>
      <c r="D245" s="170" t="s">
        <v>11</v>
      </c>
      <c r="E245" s="170" t="s">
        <v>12</v>
      </c>
      <c r="H245" s="207">
        <v>477584</v>
      </c>
      <c r="I245" s="182" t="s">
        <v>1228</v>
      </c>
      <c r="J245" s="182" t="s">
        <v>1229</v>
      </c>
      <c r="K245" s="182" t="s">
        <v>1230</v>
      </c>
      <c r="L245" s="182" t="s">
        <v>15</v>
      </c>
    </row>
    <row r="246" spans="1:12">
      <c r="A246" s="170" t="s">
        <v>1231</v>
      </c>
      <c r="B246" s="170" t="s">
        <v>1232</v>
      </c>
      <c r="C246" s="170"/>
      <c r="D246" s="170" t="s">
        <v>11</v>
      </c>
      <c r="E246" s="170" t="s">
        <v>12</v>
      </c>
      <c r="H246" s="207">
        <v>509420</v>
      </c>
      <c r="I246" s="182" t="s">
        <v>1233</v>
      </c>
      <c r="J246" s="182" t="s">
        <v>1234</v>
      </c>
      <c r="K246" s="182"/>
      <c r="L246" s="182" t="s">
        <v>15</v>
      </c>
    </row>
    <row r="247" spans="1:12">
      <c r="A247" s="170" t="s">
        <v>1235</v>
      </c>
      <c r="B247" s="170" t="s">
        <v>1236</v>
      </c>
      <c r="C247" s="214" t="s">
        <v>1237</v>
      </c>
      <c r="D247" s="170" t="s">
        <v>11</v>
      </c>
      <c r="E247" s="170" t="s">
        <v>12</v>
      </c>
      <c r="H247" s="207" t="s">
        <v>1238</v>
      </c>
      <c r="I247" s="182" t="s">
        <v>10</v>
      </c>
      <c r="J247" s="182" t="s">
        <v>1238</v>
      </c>
      <c r="K247" s="182" t="s">
        <v>1239</v>
      </c>
      <c r="L247" s="182" t="s">
        <v>53</v>
      </c>
    </row>
    <row r="248" spans="1:12">
      <c r="A248" s="170" t="s">
        <v>1240</v>
      </c>
      <c r="B248" s="170" t="s">
        <v>1241</v>
      </c>
      <c r="C248" s="216" t="s">
        <v>1242</v>
      </c>
      <c r="D248" s="170" t="s">
        <v>11</v>
      </c>
      <c r="E248" s="170" t="s">
        <v>12</v>
      </c>
      <c r="H248" s="207">
        <v>500818</v>
      </c>
      <c r="I248" s="182" t="s">
        <v>1243</v>
      </c>
      <c r="J248" s="182" t="s">
        <v>1244</v>
      </c>
      <c r="K248" s="182" t="s">
        <v>1245</v>
      </c>
      <c r="L248" s="182" t="s">
        <v>15</v>
      </c>
    </row>
    <row r="249" spans="1:12">
      <c r="A249" s="170" t="s">
        <v>1246</v>
      </c>
      <c r="B249" s="170" t="s">
        <v>1247</v>
      </c>
      <c r="C249" s="170"/>
      <c r="D249" s="170" t="s">
        <v>11</v>
      </c>
      <c r="E249" s="170" t="s">
        <v>12</v>
      </c>
      <c r="H249" s="207">
        <v>501128</v>
      </c>
      <c r="I249" s="182" t="s">
        <v>1248</v>
      </c>
      <c r="J249" s="182" t="s">
        <v>1249</v>
      </c>
      <c r="K249" s="182" t="s">
        <v>1250</v>
      </c>
      <c r="L249" s="182" t="s">
        <v>15</v>
      </c>
    </row>
    <row r="250" spans="1:12">
      <c r="A250" s="170" t="s">
        <v>1251</v>
      </c>
      <c r="B250" s="170" t="s">
        <v>1252</v>
      </c>
      <c r="C250" s="216" t="s">
        <v>1253</v>
      </c>
      <c r="D250" s="170" t="s">
        <v>11</v>
      </c>
      <c r="E250" s="170" t="s">
        <v>12</v>
      </c>
      <c r="H250" s="207">
        <v>485650</v>
      </c>
      <c r="I250" s="182" t="s">
        <v>1254</v>
      </c>
      <c r="J250" s="182" t="s">
        <v>1255</v>
      </c>
      <c r="K250" s="182" t="s">
        <v>1256</v>
      </c>
      <c r="L250" s="182" t="s">
        <v>15</v>
      </c>
    </row>
    <row r="251" spans="1:12">
      <c r="A251" s="170" t="s">
        <v>1257</v>
      </c>
      <c r="B251" s="170" t="s">
        <v>1258</v>
      </c>
      <c r="C251" s="216" t="s">
        <v>1259</v>
      </c>
      <c r="D251" s="170" t="s">
        <v>11</v>
      </c>
      <c r="E251" s="170" t="s">
        <v>12</v>
      </c>
      <c r="H251" s="207">
        <v>528030</v>
      </c>
      <c r="I251" s="182" t="s">
        <v>1260</v>
      </c>
      <c r="J251" s="182" t="s">
        <v>1261</v>
      </c>
      <c r="K251" s="182" t="s">
        <v>1262</v>
      </c>
      <c r="L251" s="182" t="s">
        <v>15</v>
      </c>
    </row>
    <row r="252" spans="1:12">
      <c r="A252" s="170" t="s">
        <v>1263</v>
      </c>
      <c r="B252" s="170" t="s">
        <v>1264</v>
      </c>
      <c r="C252" s="170"/>
      <c r="D252" s="170" t="s">
        <v>11</v>
      </c>
      <c r="E252" s="170" t="s">
        <v>12</v>
      </c>
      <c r="H252" s="207">
        <v>513977</v>
      </c>
      <c r="I252" s="182" t="s">
        <v>1265</v>
      </c>
      <c r="J252" s="182" t="s">
        <v>1266</v>
      </c>
      <c r="K252" s="182" t="s">
        <v>1267</v>
      </c>
      <c r="L252" s="182" t="s">
        <v>15</v>
      </c>
    </row>
    <row r="253" spans="1:12">
      <c r="A253" s="170" t="s">
        <v>1268</v>
      </c>
      <c r="B253" s="170" t="s">
        <v>1269</v>
      </c>
      <c r="C253" s="216" t="s">
        <v>1270</v>
      </c>
      <c r="D253" s="170" t="s">
        <v>11</v>
      </c>
      <c r="E253" s="170" t="s">
        <v>12</v>
      </c>
      <c r="H253" s="207" t="s">
        <v>1271</v>
      </c>
      <c r="I253" s="182" t="s">
        <v>10</v>
      </c>
      <c r="J253" s="182" t="s">
        <v>1271</v>
      </c>
      <c r="K253" s="182" t="s">
        <v>1272</v>
      </c>
      <c r="L253" s="182" t="s">
        <v>19</v>
      </c>
    </row>
    <row r="254" spans="1:12">
      <c r="A254" s="170" t="s">
        <v>1273</v>
      </c>
      <c r="B254" s="170" t="s">
        <v>1274</v>
      </c>
      <c r="C254" s="216" t="s">
        <v>1275</v>
      </c>
      <c r="D254" s="170" t="s">
        <v>11</v>
      </c>
      <c r="E254" s="170" t="s">
        <v>12</v>
      </c>
      <c r="H254" s="207" t="s">
        <v>1276</v>
      </c>
      <c r="I254" s="182" t="s">
        <v>1277</v>
      </c>
      <c r="J254" s="182" t="s">
        <v>1278</v>
      </c>
      <c r="K254" s="182"/>
      <c r="L254" s="182" t="s">
        <v>15</v>
      </c>
    </row>
    <row r="255" spans="1:12">
      <c r="A255" s="170" t="s">
        <v>1279</v>
      </c>
      <c r="B255" s="170" t="s">
        <v>1280</v>
      </c>
      <c r="C255" s="170"/>
      <c r="D255" s="170" t="s">
        <v>11</v>
      </c>
      <c r="E255" s="170" t="s">
        <v>12</v>
      </c>
      <c r="H255" s="207" t="s">
        <v>1281</v>
      </c>
      <c r="I255" s="182" t="s">
        <v>10</v>
      </c>
      <c r="J255" s="182" t="s">
        <v>1281</v>
      </c>
      <c r="K255" s="182" t="s">
        <v>1282</v>
      </c>
      <c r="L255" s="182" t="s">
        <v>19</v>
      </c>
    </row>
    <row r="256" spans="1:12">
      <c r="A256" s="170" t="s">
        <v>1283</v>
      </c>
      <c r="B256" s="170" t="s">
        <v>1284</v>
      </c>
      <c r="C256" s="216" t="s">
        <v>1285</v>
      </c>
      <c r="D256" s="170" t="s">
        <v>11</v>
      </c>
      <c r="E256" s="170" t="s">
        <v>12</v>
      </c>
      <c r="H256" s="207" t="s">
        <v>1286</v>
      </c>
      <c r="I256" s="182" t="s">
        <v>10</v>
      </c>
      <c r="J256" s="182" t="s">
        <v>1286</v>
      </c>
      <c r="K256" s="182" t="s">
        <v>1287</v>
      </c>
      <c r="L256" s="182" t="s">
        <v>53</v>
      </c>
    </row>
    <row r="257" spans="1:12">
      <c r="A257" s="170" t="s">
        <v>1288</v>
      </c>
      <c r="B257" s="170" t="s">
        <v>1289</v>
      </c>
      <c r="C257" s="216" t="s">
        <v>1290</v>
      </c>
      <c r="D257" s="170" t="s">
        <v>11</v>
      </c>
      <c r="E257" s="170" t="s">
        <v>12</v>
      </c>
      <c r="H257" s="207" t="s">
        <v>10</v>
      </c>
      <c r="I257" s="182" t="s">
        <v>10</v>
      </c>
      <c r="J257" s="182" t="s">
        <v>1291</v>
      </c>
      <c r="K257" s="182" t="s">
        <v>1292</v>
      </c>
      <c r="L257" s="182" t="s">
        <v>53</v>
      </c>
    </row>
    <row r="258" spans="1:12">
      <c r="A258" s="170" t="s">
        <v>1293</v>
      </c>
      <c r="B258" s="170" t="s">
        <v>1294</v>
      </c>
      <c r="C258" s="170"/>
      <c r="D258" s="170" t="s">
        <v>11</v>
      </c>
      <c r="E258" s="170" t="s">
        <v>12</v>
      </c>
      <c r="H258" s="207">
        <v>491907</v>
      </c>
      <c r="I258" s="182" t="s">
        <v>1295</v>
      </c>
      <c r="J258" s="182" t="s">
        <v>1296</v>
      </c>
      <c r="K258" s="182" t="s">
        <v>1297</v>
      </c>
      <c r="L258" s="182" t="s">
        <v>15</v>
      </c>
    </row>
    <row r="259" spans="1:12">
      <c r="A259" s="170" t="s">
        <v>1298</v>
      </c>
      <c r="B259" s="170" t="s">
        <v>1299</v>
      </c>
      <c r="C259" s="215" t="s">
        <v>1300</v>
      </c>
      <c r="D259" s="170" t="s">
        <v>11</v>
      </c>
      <c r="E259" s="170" t="s">
        <v>12</v>
      </c>
      <c r="H259" s="207">
        <v>212919</v>
      </c>
      <c r="I259" s="182" t="s">
        <v>1301</v>
      </c>
      <c r="J259" s="182" t="s">
        <v>1302</v>
      </c>
      <c r="K259" s="182" t="s">
        <v>1303</v>
      </c>
      <c r="L259" s="182" t="s">
        <v>15</v>
      </c>
    </row>
    <row r="260" spans="1:12">
      <c r="A260" s="170" t="s">
        <v>1304</v>
      </c>
      <c r="B260" s="170" t="s">
        <v>1305</v>
      </c>
      <c r="C260" s="216" t="s">
        <v>1306</v>
      </c>
      <c r="D260" s="170" t="s">
        <v>11</v>
      </c>
      <c r="E260" s="170" t="s">
        <v>12</v>
      </c>
      <c r="H260" s="207">
        <v>473393</v>
      </c>
      <c r="I260" s="182" t="s">
        <v>1307</v>
      </c>
      <c r="J260" s="182" t="s">
        <v>1308</v>
      </c>
      <c r="K260" s="182"/>
      <c r="L260" s="182" t="s">
        <v>15</v>
      </c>
    </row>
    <row r="261" spans="1:12">
      <c r="A261" s="170" t="s">
        <v>1309</v>
      </c>
      <c r="B261" s="170" t="s">
        <v>1310</v>
      </c>
      <c r="C261" s="170"/>
      <c r="D261" s="170" t="s">
        <v>11</v>
      </c>
      <c r="E261" s="170" t="s">
        <v>12</v>
      </c>
      <c r="H261" s="207">
        <v>472603</v>
      </c>
      <c r="I261" s="182" t="s">
        <v>1311</v>
      </c>
      <c r="J261" s="182" t="s">
        <v>1312</v>
      </c>
      <c r="K261" s="182" t="s">
        <v>1313</v>
      </c>
      <c r="L261" s="182" t="s">
        <v>15</v>
      </c>
    </row>
    <row r="262" spans="1:12">
      <c r="A262" s="170" t="s">
        <v>1314</v>
      </c>
      <c r="B262" s="170" t="s">
        <v>1315</v>
      </c>
      <c r="C262" s="216" t="s">
        <v>1316</v>
      </c>
      <c r="D262" s="170" t="s">
        <v>11</v>
      </c>
      <c r="E262" s="170" t="s">
        <v>12</v>
      </c>
      <c r="H262" s="207">
        <v>492696</v>
      </c>
      <c r="I262" s="182" t="s">
        <v>1317</v>
      </c>
      <c r="J262" s="182" t="s">
        <v>1318</v>
      </c>
      <c r="K262" s="182" t="s">
        <v>1319</v>
      </c>
      <c r="L262" s="182" t="s">
        <v>15</v>
      </c>
    </row>
    <row r="263" spans="1:12">
      <c r="A263" s="170" t="s">
        <v>1320</v>
      </c>
      <c r="B263" s="170" t="s">
        <v>1321</v>
      </c>
      <c r="C263" s="222" t="s">
        <v>1322</v>
      </c>
      <c r="D263" s="170" t="s">
        <v>11</v>
      </c>
      <c r="E263" s="170" t="s">
        <v>12</v>
      </c>
      <c r="H263" s="207">
        <v>499488</v>
      </c>
      <c r="I263" s="182" t="s">
        <v>1323</v>
      </c>
      <c r="J263" s="182" t="s">
        <v>1324</v>
      </c>
      <c r="K263" s="182" t="s">
        <v>1325</v>
      </c>
      <c r="L263" s="182" t="s">
        <v>15</v>
      </c>
    </row>
    <row r="264" spans="1:12">
      <c r="A264" s="170" t="s">
        <v>1326</v>
      </c>
      <c r="B264" s="170" t="s">
        <v>1327</v>
      </c>
      <c r="C264" s="170"/>
      <c r="D264" s="170" t="s">
        <v>11</v>
      </c>
      <c r="E264" s="170" t="s">
        <v>12</v>
      </c>
      <c r="H264" s="207">
        <v>450874</v>
      </c>
      <c r="I264" s="182" t="s">
        <v>1328</v>
      </c>
      <c r="J264" s="182" t="s">
        <v>1329</v>
      </c>
      <c r="K264" s="182" t="s">
        <v>1330</v>
      </c>
      <c r="L264" s="182" t="s">
        <v>15</v>
      </c>
    </row>
    <row r="265" spans="1:12">
      <c r="A265" s="170" t="s">
        <v>1331</v>
      </c>
      <c r="B265" s="170" t="s">
        <v>1332</v>
      </c>
      <c r="C265" s="215" t="s">
        <v>1333</v>
      </c>
      <c r="D265" s="170" t="s">
        <v>11</v>
      </c>
      <c r="E265" s="170" t="s">
        <v>12</v>
      </c>
      <c r="H265" s="207" t="s">
        <v>1334</v>
      </c>
      <c r="I265" s="182" t="s">
        <v>10</v>
      </c>
      <c r="J265" s="182" t="s">
        <v>1334</v>
      </c>
      <c r="K265" s="182" t="s">
        <v>1335</v>
      </c>
      <c r="L265" s="182" t="s">
        <v>53</v>
      </c>
    </row>
    <row r="266" spans="1:12">
      <c r="A266" s="170" t="s">
        <v>1336</v>
      </c>
      <c r="B266" s="170" t="s">
        <v>1337</v>
      </c>
      <c r="C266" s="215" t="s">
        <v>1338</v>
      </c>
      <c r="D266" s="170" t="s">
        <v>11</v>
      </c>
      <c r="E266" s="170" t="s">
        <v>12</v>
      </c>
      <c r="H266" s="207">
        <v>473015</v>
      </c>
      <c r="I266" s="182" t="s">
        <v>1339</v>
      </c>
      <c r="J266" s="182" t="s">
        <v>1340</v>
      </c>
      <c r="K266" s="182" t="s">
        <v>1341</v>
      </c>
      <c r="L266" s="182" t="s">
        <v>15</v>
      </c>
    </row>
    <row r="267" spans="1:12">
      <c r="A267" s="170" t="s">
        <v>1342</v>
      </c>
      <c r="B267" s="170" t="s">
        <v>1343</v>
      </c>
      <c r="C267" s="170"/>
      <c r="D267" s="170" t="s">
        <v>11</v>
      </c>
      <c r="E267" s="170" t="s">
        <v>12</v>
      </c>
      <c r="H267" s="207">
        <v>370124</v>
      </c>
      <c r="I267" s="182" t="s">
        <v>1344</v>
      </c>
      <c r="J267" s="182" t="s">
        <v>1345</v>
      </c>
      <c r="K267" s="182" t="s">
        <v>1346</v>
      </c>
      <c r="L267" s="182" t="s">
        <v>15</v>
      </c>
    </row>
    <row r="268" spans="1:12">
      <c r="A268" s="170" t="s">
        <v>1347</v>
      </c>
      <c r="B268" s="170" t="s">
        <v>1348</v>
      </c>
      <c r="C268" s="216" t="s">
        <v>1349</v>
      </c>
      <c r="D268" s="170" t="s">
        <v>11</v>
      </c>
      <c r="E268" s="170" t="s">
        <v>12</v>
      </c>
      <c r="H268" s="207">
        <v>481921</v>
      </c>
      <c r="I268" s="182" t="s">
        <v>1350</v>
      </c>
      <c r="J268" s="182" t="s">
        <v>1351</v>
      </c>
      <c r="K268" s="182" t="s">
        <v>1352</v>
      </c>
      <c r="L268" s="182" t="s">
        <v>15</v>
      </c>
    </row>
    <row r="269" spans="1:12">
      <c r="A269" s="170" t="s">
        <v>1353</v>
      </c>
      <c r="B269" s="170" t="s">
        <v>1354</v>
      </c>
      <c r="C269" s="170"/>
      <c r="D269" s="170" t="s">
        <v>11</v>
      </c>
      <c r="E269" s="170" t="s">
        <v>12</v>
      </c>
      <c r="H269" s="207">
        <v>352386</v>
      </c>
      <c r="I269" s="182" t="s">
        <v>1355</v>
      </c>
      <c r="J269" s="182" t="s">
        <v>1356</v>
      </c>
      <c r="K269" s="182" t="s">
        <v>1357</v>
      </c>
      <c r="L269" s="182" t="s">
        <v>15</v>
      </c>
    </row>
    <row r="270" spans="1:12">
      <c r="A270" s="170" t="s">
        <v>1358</v>
      </c>
      <c r="B270" s="170" t="s">
        <v>1359</v>
      </c>
      <c r="C270" s="170"/>
      <c r="D270" s="170" t="s">
        <v>11</v>
      </c>
      <c r="E270" s="170" t="s">
        <v>12</v>
      </c>
      <c r="H270" s="207">
        <v>225567</v>
      </c>
      <c r="I270" s="182" t="s">
        <v>1360</v>
      </c>
      <c r="J270" s="182" t="s">
        <v>1361</v>
      </c>
      <c r="K270" s="182" t="s">
        <v>1362</v>
      </c>
      <c r="L270" s="182" t="s">
        <v>15</v>
      </c>
    </row>
    <row r="271" spans="1:12">
      <c r="A271" s="170" t="s">
        <v>1363</v>
      </c>
      <c r="B271" s="170" t="s">
        <v>1364</v>
      </c>
      <c r="C271" s="178" t="s">
        <v>10</v>
      </c>
      <c r="D271" s="170" t="s">
        <v>11</v>
      </c>
      <c r="E271" s="170" t="s">
        <v>12</v>
      </c>
      <c r="H271" s="207">
        <v>513721</v>
      </c>
      <c r="I271" s="182" t="s">
        <v>1365</v>
      </c>
      <c r="J271" s="182" t="s">
        <v>1366</v>
      </c>
      <c r="K271" s="182"/>
      <c r="L271" s="182" t="s">
        <v>15</v>
      </c>
    </row>
    <row r="272" spans="1:12">
      <c r="A272" s="170" t="s">
        <v>1367</v>
      </c>
      <c r="B272" s="170" t="s">
        <v>1368</v>
      </c>
      <c r="C272" s="178" t="s">
        <v>10</v>
      </c>
      <c r="D272" s="170" t="s">
        <v>11</v>
      </c>
      <c r="E272" s="170" t="s">
        <v>12</v>
      </c>
      <c r="H272" s="207">
        <v>493532</v>
      </c>
      <c r="I272" s="182" t="s">
        <v>1369</v>
      </c>
      <c r="J272" s="182" t="s">
        <v>1370</v>
      </c>
      <c r="K272" s="182" t="s">
        <v>1371</v>
      </c>
      <c r="L272" s="182" t="s">
        <v>15</v>
      </c>
    </row>
    <row r="273" spans="1:12">
      <c r="A273" s="170" t="s">
        <v>1372</v>
      </c>
      <c r="B273" s="170" t="s">
        <v>1373</v>
      </c>
      <c r="C273" s="178" t="s">
        <v>10</v>
      </c>
      <c r="D273" s="170" t="s">
        <v>11</v>
      </c>
      <c r="E273" s="170" t="s">
        <v>12</v>
      </c>
      <c r="H273" s="207">
        <v>509167</v>
      </c>
      <c r="I273" s="182" t="s">
        <v>1374</v>
      </c>
      <c r="J273" s="182" t="s">
        <v>1375</v>
      </c>
      <c r="K273" s="182" t="s">
        <v>1376</v>
      </c>
      <c r="L273" s="182" t="s">
        <v>15</v>
      </c>
    </row>
    <row r="274" spans="1:12">
      <c r="A274" s="170" t="s">
        <v>1377</v>
      </c>
      <c r="B274" s="170" t="s">
        <v>1378</v>
      </c>
      <c r="C274" s="178" t="s">
        <v>10</v>
      </c>
      <c r="D274" s="170" t="s">
        <v>11</v>
      </c>
      <c r="E274" s="170" t="s">
        <v>12</v>
      </c>
      <c r="H274" s="207">
        <v>508312</v>
      </c>
      <c r="I274" s="182" t="s">
        <v>1379</v>
      </c>
      <c r="J274" s="182" t="s">
        <v>1380</v>
      </c>
      <c r="K274" s="182" t="s">
        <v>1381</v>
      </c>
      <c r="L274" s="182" t="s">
        <v>15</v>
      </c>
    </row>
    <row r="275" spans="1:12">
      <c r="A275" s="170" t="s">
        <v>1382</v>
      </c>
      <c r="B275" s="170" t="s">
        <v>1383</v>
      </c>
      <c r="C275" s="178" t="s">
        <v>10</v>
      </c>
      <c r="D275" s="170" t="s">
        <v>11</v>
      </c>
      <c r="E275" s="170" t="s">
        <v>12</v>
      </c>
      <c r="H275" s="207">
        <v>496109</v>
      </c>
      <c r="I275" s="182" t="s">
        <v>1384</v>
      </c>
      <c r="J275" s="182" t="s">
        <v>1385</v>
      </c>
      <c r="K275" s="182" t="s">
        <v>1386</v>
      </c>
      <c r="L275" s="182" t="s">
        <v>15</v>
      </c>
    </row>
    <row r="276" spans="1:12">
      <c r="A276" s="170" t="s">
        <v>1387</v>
      </c>
      <c r="B276" s="170" t="s">
        <v>1388</v>
      </c>
      <c r="C276" s="178" t="s">
        <v>10</v>
      </c>
      <c r="D276" s="170" t="s">
        <v>11</v>
      </c>
      <c r="E276" s="170" t="s">
        <v>12</v>
      </c>
      <c r="H276" s="207">
        <v>497187</v>
      </c>
      <c r="I276" s="182" t="s">
        <v>1389</v>
      </c>
      <c r="J276" s="182" t="s">
        <v>1390</v>
      </c>
      <c r="K276" s="182" t="s">
        <v>1391</v>
      </c>
      <c r="L276" s="182" t="s">
        <v>15</v>
      </c>
    </row>
    <row r="277" spans="1:12">
      <c r="A277" s="170" t="s">
        <v>1392</v>
      </c>
      <c r="B277" s="170" t="s">
        <v>1393</v>
      </c>
      <c r="C277" s="178" t="s">
        <v>10</v>
      </c>
      <c r="D277" s="170" t="s">
        <v>11</v>
      </c>
      <c r="E277" s="170" t="s">
        <v>12</v>
      </c>
      <c r="H277" s="207">
        <v>473146</v>
      </c>
      <c r="I277" s="182" t="s">
        <v>1394</v>
      </c>
      <c r="J277" s="182" t="s">
        <v>1395</v>
      </c>
      <c r="K277" s="182" t="s">
        <v>1396</v>
      </c>
      <c r="L277" s="182" t="s">
        <v>15</v>
      </c>
    </row>
    <row r="278" spans="1:12">
      <c r="A278" s="170" t="s">
        <v>1397</v>
      </c>
      <c r="B278" s="170" t="s">
        <v>1398</v>
      </c>
      <c r="C278" s="178" t="s">
        <v>10</v>
      </c>
      <c r="D278" s="170" t="s">
        <v>11</v>
      </c>
      <c r="E278" s="170" t="s">
        <v>12</v>
      </c>
      <c r="H278" s="207">
        <v>173722</v>
      </c>
      <c r="I278" s="182" t="s">
        <v>1399</v>
      </c>
      <c r="J278" s="182" t="s">
        <v>1400</v>
      </c>
      <c r="K278" s="182" t="s">
        <v>1401</v>
      </c>
      <c r="L278" s="182" t="s">
        <v>15</v>
      </c>
    </row>
    <row r="279" spans="1:12">
      <c r="A279" s="170" t="s">
        <v>1402</v>
      </c>
      <c r="B279" s="170" t="s">
        <v>1403</v>
      </c>
      <c r="C279" s="178" t="s">
        <v>10</v>
      </c>
      <c r="D279" s="170" t="s">
        <v>11</v>
      </c>
      <c r="E279" s="170" t="s">
        <v>12</v>
      </c>
      <c r="H279" s="207">
        <v>423765</v>
      </c>
      <c r="I279" s="182" t="s">
        <v>1404</v>
      </c>
      <c r="J279" s="182" t="s">
        <v>1405</v>
      </c>
      <c r="K279" s="182" t="s">
        <v>1406</v>
      </c>
      <c r="L279" s="182" t="s">
        <v>15</v>
      </c>
    </row>
    <row r="280" spans="1:12">
      <c r="A280" s="170" t="s">
        <v>1407</v>
      </c>
      <c r="B280" s="170" t="s">
        <v>1408</v>
      </c>
      <c r="C280" s="178" t="s">
        <v>10</v>
      </c>
      <c r="D280" s="170" t="s">
        <v>11</v>
      </c>
      <c r="E280" s="170" t="s">
        <v>12</v>
      </c>
      <c r="H280" s="207">
        <v>485972</v>
      </c>
      <c r="I280" s="182" t="s">
        <v>1409</v>
      </c>
      <c r="J280" s="182" t="s">
        <v>1410</v>
      </c>
      <c r="K280" s="182" t="s">
        <v>1411</v>
      </c>
      <c r="L280" s="182" t="s">
        <v>15</v>
      </c>
    </row>
    <row r="281" spans="1:12">
      <c r="A281" s="170" t="s">
        <v>1412</v>
      </c>
      <c r="B281" s="170" t="s">
        <v>1413</v>
      </c>
      <c r="C281" s="178" t="s">
        <v>10</v>
      </c>
      <c r="D281" s="170" t="s">
        <v>11</v>
      </c>
      <c r="E281" s="170" t="s">
        <v>12</v>
      </c>
      <c r="H281" s="207">
        <v>458729</v>
      </c>
      <c r="I281" s="182" t="s">
        <v>1414</v>
      </c>
      <c r="J281" s="182" t="s">
        <v>1415</v>
      </c>
      <c r="K281" s="182"/>
      <c r="L281" s="182" t="s">
        <v>15</v>
      </c>
    </row>
    <row r="282" spans="1:12">
      <c r="A282" s="170" t="s">
        <v>1416</v>
      </c>
      <c r="B282" s="170" t="s">
        <v>1417</v>
      </c>
      <c r="C282" s="178" t="s">
        <v>10</v>
      </c>
      <c r="D282" s="170" t="s">
        <v>11</v>
      </c>
      <c r="E282" s="170" t="s">
        <v>12</v>
      </c>
      <c r="H282" s="207">
        <v>477224</v>
      </c>
      <c r="I282" s="182" t="s">
        <v>1418</v>
      </c>
      <c r="J282" s="182" t="s">
        <v>1419</v>
      </c>
      <c r="K282" s="182" t="s">
        <v>1420</v>
      </c>
      <c r="L282" s="182" t="s">
        <v>15</v>
      </c>
    </row>
    <row r="283" spans="1:12">
      <c r="A283" s="170" t="s">
        <v>1421</v>
      </c>
      <c r="B283" s="170" t="s">
        <v>1422</v>
      </c>
      <c r="C283" s="223" t="s">
        <v>1423</v>
      </c>
      <c r="D283" s="170" t="s">
        <v>11</v>
      </c>
      <c r="E283" s="170" t="s">
        <v>12</v>
      </c>
      <c r="H283" s="207">
        <v>482496</v>
      </c>
      <c r="I283" s="182" t="s">
        <v>1424</v>
      </c>
      <c r="J283" s="182" t="s">
        <v>1425</v>
      </c>
      <c r="K283" s="182" t="s">
        <v>1426</v>
      </c>
      <c r="L283" s="182" t="s">
        <v>15</v>
      </c>
    </row>
    <row r="284" spans="1:12">
      <c r="A284" s="170" t="s">
        <v>1427</v>
      </c>
      <c r="B284" s="170" t="s">
        <v>1428</v>
      </c>
      <c r="C284" s="170"/>
      <c r="D284" s="170" t="s">
        <v>11</v>
      </c>
      <c r="E284" s="170" t="s">
        <v>12</v>
      </c>
      <c r="H284" s="207">
        <v>381059</v>
      </c>
      <c r="I284" s="182" t="s">
        <v>1429</v>
      </c>
      <c r="J284" s="182" t="s">
        <v>1430</v>
      </c>
      <c r="K284" s="182" t="s">
        <v>1431</v>
      </c>
      <c r="L284" s="182" t="s">
        <v>15</v>
      </c>
    </row>
    <row r="285" spans="1:12">
      <c r="A285" s="170" t="s">
        <v>1432</v>
      </c>
      <c r="B285" s="170" t="s">
        <v>1433</v>
      </c>
      <c r="C285" s="170"/>
      <c r="D285" s="170" t="s">
        <v>11</v>
      </c>
      <c r="E285" s="170" t="s">
        <v>12</v>
      </c>
      <c r="H285" s="207">
        <v>9330</v>
      </c>
      <c r="I285" s="182" t="s">
        <v>1434</v>
      </c>
      <c r="J285" s="182" t="s">
        <v>1435</v>
      </c>
      <c r="K285" s="182" t="s">
        <v>1436</v>
      </c>
      <c r="L285" s="182" t="s">
        <v>15</v>
      </c>
    </row>
    <row r="286" spans="1:12">
      <c r="A286" s="170" t="s">
        <v>1437</v>
      </c>
      <c r="B286" s="170" t="s">
        <v>1438</v>
      </c>
      <c r="C286" s="223" t="s">
        <v>1439</v>
      </c>
      <c r="D286" s="170" t="s">
        <v>11</v>
      </c>
      <c r="E286" s="170" t="s">
        <v>12</v>
      </c>
      <c r="H286" s="207">
        <v>304783</v>
      </c>
      <c r="I286" s="182" t="s">
        <v>1440</v>
      </c>
      <c r="J286" s="182" t="s">
        <v>1441</v>
      </c>
      <c r="K286" s="182" t="s">
        <v>1442</v>
      </c>
      <c r="L286" s="182" t="s">
        <v>15</v>
      </c>
    </row>
    <row r="287" spans="1:12">
      <c r="A287" s="170" t="s">
        <v>1443</v>
      </c>
      <c r="B287" s="170" t="s">
        <v>1444</v>
      </c>
      <c r="C287" s="170"/>
      <c r="D287" s="170" t="s">
        <v>11</v>
      </c>
      <c r="E287" s="170" t="s">
        <v>12</v>
      </c>
      <c r="H287" s="207">
        <v>775260</v>
      </c>
      <c r="I287" s="182" t="s">
        <v>1445</v>
      </c>
      <c r="J287" s="182" t="s">
        <v>1446</v>
      </c>
      <c r="K287" s="182" t="s">
        <v>1447</v>
      </c>
      <c r="L287" s="182" t="s">
        <v>15</v>
      </c>
    </row>
    <row r="288" spans="1:12">
      <c r="A288" s="170" t="s">
        <v>1448</v>
      </c>
      <c r="B288" s="170" t="s">
        <v>1449</v>
      </c>
      <c r="C288" s="170"/>
      <c r="D288" s="170" t="s">
        <v>11</v>
      </c>
      <c r="E288" s="170" t="s">
        <v>12</v>
      </c>
      <c r="H288" s="207">
        <v>54762</v>
      </c>
      <c r="I288" s="182" t="s">
        <v>1450</v>
      </c>
      <c r="J288" s="182" t="s">
        <v>1451</v>
      </c>
      <c r="K288" s="182" t="s">
        <v>1452</v>
      </c>
      <c r="L288" s="182" t="s">
        <v>15</v>
      </c>
    </row>
    <row r="289" spans="1:12">
      <c r="A289" s="170" t="s">
        <v>1453</v>
      </c>
      <c r="B289" s="170" t="s">
        <v>1454</v>
      </c>
      <c r="C289" s="224" t="s">
        <v>1455</v>
      </c>
      <c r="D289" s="170" t="s">
        <v>11</v>
      </c>
      <c r="E289" s="170" t="s">
        <v>12</v>
      </c>
      <c r="H289" s="207">
        <v>487087</v>
      </c>
      <c r="I289" s="182" t="s">
        <v>1456</v>
      </c>
      <c r="J289" s="182" t="s">
        <v>1457</v>
      </c>
      <c r="K289" s="182"/>
      <c r="L289" s="182" t="s">
        <v>15</v>
      </c>
    </row>
    <row r="290" spans="1:12">
      <c r="A290" s="170" t="s">
        <v>1458</v>
      </c>
      <c r="B290" s="170" t="s">
        <v>1459</v>
      </c>
      <c r="C290" s="170"/>
      <c r="D290" s="170" t="s">
        <v>11</v>
      </c>
      <c r="E290" s="170" t="s">
        <v>12</v>
      </c>
      <c r="H290" s="207">
        <v>506217</v>
      </c>
      <c r="I290" s="182" t="s">
        <v>1460</v>
      </c>
      <c r="J290" s="182" t="s">
        <v>1461</v>
      </c>
      <c r="K290" s="182"/>
      <c r="L290" s="182" t="s">
        <v>15</v>
      </c>
    </row>
    <row r="291" spans="1:12">
      <c r="A291" s="170" t="s">
        <v>1462</v>
      </c>
      <c r="B291" s="170" t="s">
        <v>1463</v>
      </c>
      <c r="C291" s="170"/>
      <c r="D291" s="170" t="s">
        <v>11</v>
      </c>
      <c r="E291" s="170" t="s">
        <v>12</v>
      </c>
      <c r="H291" s="207">
        <v>439675</v>
      </c>
      <c r="I291" s="182" t="s">
        <v>1464</v>
      </c>
      <c r="J291" s="182" t="s">
        <v>1465</v>
      </c>
      <c r="K291" s="182" t="s">
        <v>1466</v>
      </c>
      <c r="L291" s="182" t="s">
        <v>15</v>
      </c>
    </row>
    <row r="292" spans="1:12">
      <c r="A292" s="170" t="s">
        <v>1467</v>
      </c>
      <c r="B292" s="170" t="s">
        <v>1468</v>
      </c>
      <c r="C292" s="192" t="s">
        <v>1469</v>
      </c>
      <c r="D292" s="170" t="s">
        <v>11</v>
      </c>
      <c r="E292" s="170" t="s">
        <v>12</v>
      </c>
      <c r="H292" s="207">
        <v>497598</v>
      </c>
      <c r="I292" s="182" t="s">
        <v>1470</v>
      </c>
      <c r="J292" s="182" t="s">
        <v>1471</v>
      </c>
      <c r="K292" s="182" t="s">
        <v>1472</v>
      </c>
      <c r="L292" s="182" t="s">
        <v>15</v>
      </c>
    </row>
    <row r="293" spans="1:12">
      <c r="A293" s="170" t="s">
        <v>1473</v>
      </c>
      <c r="B293" s="170" t="s">
        <v>1474</v>
      </c>
      <c r="C293" s="170"/>
      <c r="D293" s="170" t="s">
        <v>11</v>
      </c>
      <c r="E293" s="170" t="s">
        <v>12</v>
      </c>
      <c r="H293" s="207">
        <v>472491</v>
      </c>
      <c r="I293" s="182" t="s">
        <v>1475</v>
      </c>
      <c r="J293" s="182" t="s">
        <v>1476</v>
      </c>
      <c r="K293" s="182" t="s">
        <v>1477</v>
      </c>
      <c r="L293" s="182" t="s">
        <v>15</v>
      </c>
    </row>
    <row r="294" spans="1:12">
      <c r="A294" s="170" t="s">
        <v>1478</v>
      </c>
      <c r="B294" s="170" t="s">
        <v>1479</v>
      </c>
      <c r="C294" s="170"/>
      <c r="D294" s="170" t="s">
        <v>11</v>
      </c>
      <c r="E294" s="170" t="s">
        <v>12</v>
      </c>
      <c r="H294" s="207" t="s">
        <v>1480</v>
      </c>
      <c r="I294" s="182" t="s">
        <v>10</v>
      </c>
      <c r="J294" s="182" t="s">
        <v>1480</v>
      </c>
      <c r="K294" s="182" t="s">
        <v>1481</v>
      </c>
      <c r="L294" s="182" t="s">
        <v>53</v>
      </c>
    </row>
    <row r="295" spans="1:12">
      <c r="A295" s="170" t="s">
        <v>1482</v>
      </c>
      <c r="B295" s="170" t="s">
        <v>1483</v>
      </c>
      <c r="C295" s="192" t="s">
        <v>1484</v>
      </c>
      <c r="D295" s="170" t="s">
        <v>11</v>
      </c>
      <c r="E295" s="170" t="s">
        <v>12</v>
      </c>
      <c r="H295" s="207">
        <v>481586</v>
      </c>
      <c r="I295" s="182" t="s">
        <v>1485</v>
      </c>
      <c r="J295" s="182" t="s">
        <v>1486</v>
      </c>
      <c r="K295" s="182" t="s">
        <v>1487</v>
      </c>
      <c r="L295" s="182" t="s">
        <v>15</v>
      </c>
    </row>
    <row r="296" spans="1:12">
      <c r="A296" s="170" t="s">
        <v>1488</v>
      </c>
      <c r="B296" s="170" t="s">
        <v>1489</v>
      </c>
      <c r="C296" s="192" t="s">
        <v>1490</v>
      </c>
      <c r="D296" s="170" t="s">
        <v>11</v>
      </c>
      <c r="E296" s="170" t="s">
        <v>12</v>
      </c>
      <c r="H296" s="207">
        <v>480316</v>
      </c>
      <c r="I296" s="182" t="s">
        <v>1491</v>
      </c>
      <c r="J296" s="182" t="s">
        <v>1492</v>
      </c>
      <c r="K296" s="182" t="s">
        <v>1493</v>
      </c>
      <c r="L296" s="182" t="s">
        <v>15</v>
      </c>
    </row>
    <row r="297" spans="1:12">
      <c r="A297" s="170" t="s">
        <v>1494</v>
      </c>
      <c r="B297" s="170" t="s">
        <v>1495</v>
      </c>
      <c r="C297" s="170"/>
      <c r="D297" s="170" t="s">
        <v>11</v>
      </c>
      <c r="E297" s="170" t="s">
        <v>12</v>
      </c>
      <c r="H297" s="207">
        <v>393277</v>
      </c>
      <c r="I297" s="182" t="s">
        <v>1496</v>
      </c>
      <c r="J297" s="182" t="s">
        <v>1497</v>
      </c>
      <c r="K297" s="182" t="s">
        <v>1498</v>
      </c>
      <c r="L297" s="182" t="s">
        <v>15</v>
      </c>
    </row>
    <row r="298" spans="1:12">
      <c r="A298" s="170" t="s">
        <v>1499</v>
      </c>
      <c r="B298" s="170" t="s">
        <v>1500</v>
      </c>
      <c r="C298" s="192" t="s">
        <v>1501</v>
      </c>
      <c r="D298" s="170" t="s">
        <v>11</v>
      </c>
      <c r="E298" s="170" t="s">
        <v>12</v>
      </c>
      <c r="H298" s="207">
        <v>666752</v>
      </c>
      <c r="I298" s="182" t="s">
        <v>1502</v>
      </c>
      <c r="J298" s="182" t="s">
        <v>1503</v>
      </c>
      <c r="K298" s="182" t="s">
        <v>1504</v>
      </c>
      <c r="L298" s="182" t="s">
        <v>415</v>
      </c>
    </row>
    <row r="299" spans="1:12">
      <c r="A299" s="170" t="s">
        <v>1505</v>
      </c>
      <c r="B299" s="170" t="s">
        <v>1506</v>
      </c>
      <c r="C299" s="192" t="s">
        <v>1507</v>
      </c>
      <c r="D299" s="170" t="s">
        <v>11</v>
      </c>
      <c r="E299" s="170" t="s">
        <v>12</v>
      </c>
      <c r="H299" s="207">
        <v>513348</v>
      </c>
      <c r="I299" s="182" t="s">
        <v>1508</v>
      </c>
      <c r="J299" s="182" t="s">
        <v>1509</v>
      </c>
      <c r="K299" s="182" t="s">
        <v>1510</v>
      </c>
      <c r="L299" s="182" t="s">
        <v>15</v>
      </c>
    </row>
    <row r="300" spans="1:12">
      <c r="A300" s="170" t="s">
        <v>1511</v>
      </c>
      <c r="B300" s="170" t="s">
        <v>1512</v>
      </c>
      <c r="C300" s="170"/>
      <c r="D300" s="170" t="s">
        <v>11</v>
      </c>
      <c r="E300" s="170" t="s">
        <v>12</v>
      </c>
      <c r="H300" s="207">
        <v>472758</v>
      </c>
      <c r="I300" s="182" t="s">
        <v>1513</v>
      </c>
      <c r="J300" s="182" t="s">
        <v>1514</v>
      </c>
      <c r="K300" s="182" t="s">
        <v>1515</v>
      </c>
      <c r="L300" s="182" t="s">
        <v>15</v>
      </c>
    </row>
    <row r="301" spans="1:12">
      <c r="A301" s="170" t="s">
        <v>1516</v>
      </c>
      <c r="B301" s="170" t="s">
        <v>1517</v>
      </c>
      <c r="C301" s="224" t="s">
        <v>1518</v>
      </c>
      <c r="D301" s="170" t="s">
        <v>11</v>
      </c>
      <c r="E301" s="170" t="s">
        <v>12</v>
      </c>
      <c r="H301" s="207">
        <v>686490</v>
      </c>
      <c r="I301" s="182" t="s">
        <v>1519</v>
      </c>
      <c r="J301" s="182" t="s">
        <v>1520</v>
      </c>
      <c r="K301" s="182" t="s">
        <v>1521</v>
      </c>
      <c r="L301" s="182" t="s">
        <v>15</v>
      </c>
    </row>
    <row r="302" spans="1:12">
      <c r="A302" s="170" t="s">
        <v>1522</v>
      </c>
      <c r="B302" s="170" t="s">
        <v>1523</v>
      </c>
      <c r="C302" s="192" t="s">
        <v>1524</v>
      </c>
      <c r="D302" s="170" t="s">
        <v>11</v>
      </c>
      <c r="E302" s="170" t="s">
        <v>12</v>
      </c>
      <c r="H302" s="207" t="s">
        <v>1525</v>
      </c>
      <c r="I302" s="182" t="s">
        <v>10</v>
      </c>
      <c r="J302" s="182" t="s">
        <v>1525</v>
      </c>
      <c r="K302" s="182" t="s">
        <v>1526</v>
      </c>
      <c r="L302" s="182" t="s">
        <v>53</v>
      </c>
    </row>
    <row r="303" spans="1:12">
      <c r="A303" s="170" t="s">
        <v>1527</v>
      </c>
      <c r="B303" s="170" t="s">
        <v>1528</v>
      </c>
      <c r="C303" s="170"/>
      <c r="D303" s="170" t="s">
        <v>11</v>
      </c>
      <c r="E303" s="170" t="s">
        <v>12</v>
      </c>
      <c r="H303" s="207">
        <v>468156</v>
      </c>
      <c r="I303" s="182" t="s">
        <v>1529</v>
      </c>
      <c r="J303" s="182" t="s">
        <v>1530</v>
      </c>
      <c r="K303" s="182" t="s">
        <v>1531</v>
      </c>
      <c r="L303" s="182" t="s">
        <v>15</v>
      </c>
    </row>
    <row r="304" spans="1:12">
      <c r="A304" s="170" t="s">
        <v>1532</v>
      </c>
      <c r="B304" s="170" t="s">
        <v>1533</v>
      </c>
      <c r="C304" s="224" t="s">
        <v>1534</v>
      </c>
      <c r="D304" s="170" t="s">
        <v>11</v>
      </c>
      <c r="E304" s="170" t="s">
        <v>12</v>
      </c>
      <c r="H304" s="207" t="s">
        <v>1535</v>
      </c>
      <c r="I304" s="182" t="s">
        <v>10</v>
      </c>
      <c r="J304" s="182" t="s">
        <v>1535</v>
      </c>
      <c r="K304" s="182" t="s">
        <v>1536</v>
      </c>
      <c r="L304" s="182" t="s">
        <v>19</v>
      </c>
    </row>
    <row r="305" spans="1:12">
      <c r="A305" s="170" t="s">
        <v>1537</v>
      </c>
      <c r="B305" s="170" t="s">
        <v>1538</v>
      </c>
      <c r="C305" s="192" t="s">
        <v>1539</v>
      </c>
      <c r="D305" s="170" t="s">
        <v>11</v>
      </c>
      <c r="E305" s="170" t="s">
        <v>12</v>
      </c>
      <c r="H305" s="207">
        <v>39904</v>
      </c>
      <c r="I305" s="182" t="s">
        <v>1540</v>
      </c>
      <c r="J305" s="182" t="s">
        <v>1541</v>
      </c>
      <c r="K305" s="182" t="s">
        <v>1542</v>
      </c>
      <c r="L305" s="182" t="s">
        <v>415</v>
      </c>
    </row>
    <row r="306" spans="1:12">
      <c r="A306" s="170" t="s">
        <v>1543</v>
      </c>
      <c r="B306" s="170" t="s">
        <v>1544</v>
      </c>
      <c r="C306" s="170"/>
      <c r="D306" s="170" t="s">
        <v>11</v>
      </c>
      <c r="E306" s="170" t="s">
        <v>12</v>
      </c>
      <c r="H306" s="207" t="s">
        <v>1545</v>
      </c>
      <c r="I306" s="182" t="s">
        <v>10</v>
      </c>
      <c r="J306" s="182" t="s">
        <v>1545</v>
      </c>
      <c r="K306" s="182" t="s">
        <v>1546</v>
      </c>
      <c r="L306" s="182" t="s">
        <v>53</v>
      </c>
    </row>
    <row r="307" spans="1:12">
      <c r="A307" s="170" t="s">
        <v>1547</v>
      </c>
      <c r="B307" s="170" t="s">
        <v>1548</v>
      </c>
      <c r="C307" s="192" t="s">
        <v>1549</v>
      </c>
      <c r="D307" s="170" t="s">
        <v>11</v>
      </c>
      <c r="E307" s="170" t="s">
        <v>12</v>
      </c>
      <c r="H307" s="207">
        <v>492557</v>
      </c>
      <c r="I307" s="182" t="s">
        <v>1550</v>
      </c>
      <c r="J307" s="182" t="s">
        <v>1551</v>
      </c>
      <c r="K307" s="182" t="s">
        <v>1552</v>
      </c>
      <c r="L307" s="182" t="s">
        <v>15</v>
      </c>
    </row>
    <row r="308" spans="1:12">
      <c r="A308" s="170" t="s">
        <v>1553</v>
      </c>
      <c r="B308" s="170" t="s">
        <v>1554</v>
      </c>
      <c r="C308" s="192" t="s">
        <v>1555</v>
      </c>
      <c r="D308" s="170" t="s">
        <v>11</v>
      </c>
      <c r="E308" s="170" t="s">
        <v>12</v>
      </c>
      <c r="H308" s="207">
        <v>492594</v>
      </c>
      <c r="I308" s="182" t="s">
        <v>1556</v>
      </c>
      <c r="J308" s="182" t="s">
        <v>1557</v>
      </c>
      <c r="K308" s="182"/>
      <c r="L308" s="182" t="s">
        <v>15</v>
      </c>
    </row>
    <row r="309" spans="1:12">
      <c r="A309" s="170" t="s">
        <v>1558</v>
      </c>
      <c r="B309" s="170" t="s">
        <v>1559</v>
      </c>
      <c r="C309" s="170"/>
      <c r="D309" s="170" t="s">
        <v>11</v>
      </c>
      <c r="E309" s="170" t="s">
        <v>12</v>
      </c>
      <c r="H309" s="207">
        <v>717298</v>
      </c>
      <c r="I309" s="182" t="s">
        <v>1560</v>
      </c>
      <c r="J309" s="182" t="s">
        <v>1561</v>
      </c>
      <c r="K309" s="182" t="s">
        <v>1562</v>
      </c>
      <c r="L309" s="182" t="s">
        <v>15</v>
      </c>
    </row>
    <row r="310" spans="1:12">
      <c r="A310" s="170" t="s">
        <v>1563</v>
      </c>
      <c r="B310" s="170" t="s">
        <v>1564</v>
      </c>
      <c r="C310" s="192" t="s">
        <v>1565</v>
      </c>
      <c r="D310" s="170" t="s">
        <v>11</v>
      </c>
      <c r="E310" s="170" t="s">
        <v>12</v>
      </c>
      <c r="H310" s="207">
        <v>496935</v>
      </c>
      <c r="I310" s="182" t="s">
        <v>1566</v>
      </c>
      <c r="J310" s="182" t="s">
        <v>1567</v>
      </c>
      <c r="K310" s="182" t="s">
        <v>1568</v>
      </c>
      <c r="L310" s="182" t="s">
        <v>15</v>
      </c>
    </row>
    <row r="311" spans="1:12">
      <c r="A311" s="170" t="s">
        <v>1569</v>
      </c>
      <c r="B311" s="170" t="s">
        <v>1570</v>
      </c>
      <c r="C311" s="192" t="s">
        <v>1571</v>
      </c>
      <c r="D311" s="170" t="s">
        <v>11</v>
      </c>
      <c r="E311" s="170" t="s">
        <v>12</v>
      </c>
      <c r="H311" s="207" t="s">
        <v>1572</v>
      </c>
      <c r="I311" s="182" t="s">
        <v>10</v>
      </c>
      <c r="J311" s="182" t="s">
        <v>1572</v>
      </c>
      <c r="K311" s="182" t="s">
        <v>1573</v>
      </c>
      <c r="L311" s="182" t="s">
        <v>53</v>
      </c>
    </row>
    <row r="312" spans="1:12">
      <c r="A312" s="170" t="s">
        <v>1574</v>
      </c>
      <c r="B312" s="170" t="s">
        <v>1575</v>
      </c>
      <c r="C312" s="170"/>
      <c r="D312" s="170" t="s">
        <v>11</v>
      </c>
      <c r="E312" s="170" t="s">
        <v>12</v>
      </c>
      <c r="H312" s="207">
        <v>481491</v>
      </c>
      <c r="I312" s="182" t="s">
        <v>1576</v>
      </c>
      <c r="J312" s="182" t="s">
        <v>1577</v>
      </c>
      <c r="K312" s="182" t="s">
        <v>1578</v>
      </c>
      <c r="L312" s="182" t="s">
        <v>15</v>
      </c>
    </row>
    <row r="313" spans="1:12">
      <c r="A313" s="170" t="s">
        <v>1579</v>
      </c>
      <c r="B313" s="170" t="s">
        <v>1580</v>
      </c>
      <c r="C313" s="192" t="s">
        <v>1581</v>
      </c>
      <c r="D313" s="170" t="s">
        <v>11</v>
      </c>
      <c r="E313" s="170" t="s">
        <v>12</v>
      </c>
      <c r="H313" s="207" t="s">
        <v>1582</v>
      </c>
      <c r="I313" s="182" t="s">
        <v>1583</v>
      </c>
      <c r="J313" s="182" t="s">
        <v>1582</v>
      </c>
      <c r="K313" s="182" t="s">
        <v>1584</v>
      </c>
      <c r="L313" s="182" t="s">
        <v>15</v>
      </c>
    </row>
    <row r="314" spans="1:12">
      <c r="A314" s="170" t="s">
        <v>1585</v>
      </c>
      <c r="B314" s="170" t="s">
        <v>1586</v>
      </c>
      <c r="C314" s="192" t="s">
        <v>1587</v>
      </c>
      <c r="D314" s="170" t="s">
        <v>11</v>
      </c>
      <c r="E314" s="170" t="s">
        <v>12</v>
      </c>
      <c r="H314" s="207">
        <v>215371</v>
      </c>
      <c r="I314" s="182" t="s">
        <v>1588</v>
      </c>
      <c r="J314" s="182" t="s">
        <v>1589</v>
      </c>
      <c r="K314" s="182"/>
      <c r="L314" s="182" t="s">
        <v>15</v>
      </c>
    </row>
    <row r="315" spans="1:12">
      <c r="A315" s="170" t="s">
        <v>1590</v>
      </c>
      <c r="B315" s="170" t="s">
        <v>1591</v>
      </c>
      <c r="C315" s="170"/>
      <c r="D315" s="170" t="s">
        <v>11</v>
      </c>
      <c r="E315" s="170" t="s">
        <v>12</v>
      </c>
      <c r="H315" s="207">
        <v>216819</v>
      </c>
      <c r="I315" s="182" t="s">
        <v>1592</v>
      </c>
      <c r="J315" s="182" t="s">
        <v>1593</v>
      </c>
      <c r="K315" s="182" t="s">
        <v>1594</v>
      </c>
      <c r="L315" s="182" t="s">
        <v>15</v>
      </c>
    </row>
    <row r="316" spans="1:12">
      <c r="A316" s="170" t="s">
        <v>1595</v>
      </c>
      <c r="B316" s="170" t="s">
        <v>1596</v>
      </c>
      <c r="C316" s="192" t="s">
        <v>1597</v>
      </c>
      <c r="D316" s="170" t="s">
        <v>11</v>
      </c>
      <c r="E316" s="170" t="s">
        <v>12</v>
      </c>
      <c r="H316" s="207" t="s">
        <v>1598</v>
      </c>
      <c r="I316" s="182" t="s">
        <v>10</v>
      </c>
      <c r="J316" s="182" t="s">
        <v>1598</v>
      </c>
      <c r="K316" s="182" t="s">
        <v>1599</v>
      </c>
      <c r="L316" s="182" t="s">
        <v>53</v>
      </c>
    </row>
    <row r="317" spans="1:12">
      <c r="A317" s="170" t="s">
        <v>1600</v>
      </c>
      <c r="B317" s="170" t="s">
        <v>1601</v>
      </c>
      <c r="C317" s="192" t="s">
        <v>1602</v>
      </c>
      <c r="D317" s="170" t="s">
        <v>11</v>
      </c>
      <c r="E317" s="170" t="s">
        <v>12</v>
      </c>
      <c r="H317" s="207" t="s">
        <v>1603</v>
      </c>
      <c r="I317" s="182" t="s">
        <v>10</v>
      </c>
      <c r="J317" s="182" t="s">
        <v>1603</v>
      </c>
      <c r="K317" s="182" t="s">
        <v>1604</v>
      </c>
      <c r="L317" s="182" t="s">
        <v>19</v>
      </c>
    </row>
    <row r="318" spans="1:12">
      <c r="A318" s="170" t="s">
        <v>1605</v>
      </c>
      <c r="B318" s="170" t="s">
        <v>1606</v>
      </c>
      <c r="C318" s="170"/>
      <c r="D318" s="170" t="s">
        <v>11</v>
      </c>
      <c r="E318" s="170" t="s">
        <v>12</v>
      </c>
      <c r="H318" s="207">
        <v>338195</v>
      </c>
      <c r="I318" s="182" t="s">
        <v>1607</v>
      </c>
      <c r="J318" s="182" t="s">
        <v>1608</v>
      </c>
      <c r="K318" s="182" t="s">
        <v>1609</v>
      </c>
      <c r="L318" s="182" t="s">
        <v>15</v>
      </c>
    </row>
    <row r="319" spans="1:12">
      <c r="A319" s="170" t="s">
        <v>1610</v>
      </c>
      <c r="B319" s="170" t="s">
        <v>1611</v>
      </c>
      <c r="C319" s="192" t="s">
        <v>1612</v>
      </c>
      <c r="D319" s="170" t="s">
        <v>11</v>
      </c>
      <c r="E319" s="170" t="s">
        <v>12</v>
      </c>
      <c r="H319" s="207">
        <v>505433</v>
      </c>
      <c r="I319" s="182" t="s">
        <v>1613</v>
      </c>
      <c r="J319" s="182" t="s">
        <v>1614</v>
      </c>
      <c r="K319" s="182" t="s">
        <v>1615</v>
      </c>
      <c r="L319" s="182" t="s">
        <v>15</v>
      </c>
    </row>
    <row r="320" spans="1:12">
      <c r="A320" s="170" t="s">
        <v>1616</v>
      </c>
      <c r="B320" s="170" t="s">
        <v>1617</v>
      </c>
      <c r="C320" s="192" t="s">
        <v>1618</v>
      </c>
      <c r="D320" s="170" t="s">
        <v>11</v>
      </c>
      <c r="E320" s="170" t="s">
        <v>12</v>
      </c>
      <c r="H320" s="207" t="s">
        <v>1619</v>
      </c>
      <c r="I320" s="182" t="s">
        <v>10</v>
      </c>
      <c r="J320" s="182" t="s">
        <v>1619</v>
      </c>
      <c r="K320" s="182" t="s">
        <v>1620</v>
      </c>
      <c r="L320" s="182" t="s">
        <v>19</v>
      </c>
    </row>
    <row r="321" spans="1:12">
      <c r="A321" s="170" t="s">
        <v>1621</v>
      </c>
      <c r="B321" s="170" t="s">
        <v>1622</v>
      </c>
      <c r="C321" s="170"/>
      <c r="D321" s="170" t="s">
        <v>11</v>
      </c>
      <c r="E321" s="170" t="s">
        <v>12</v>
      </c>
      <c r="H321" s="207">
        <v>519832</v>
      </c>
      <c r="I321" s="182" t="s">
        <v>1623</v>
      </c>
      <c r="J321" s="182" t="s">
        <v>1624</v>
      </c>
      <c r="K321" s="182"/>
      <c r="L321" s="182" t="s">
        <v>15</v>
      </c>
    </row>
    <row r="322" spans="1:12">
      <c r="A322" s="170" t="s">
        <v>1625</v>
      </c>
      <c r="B322" s="170" t="s">
        <v>1626</v>
      </c>
      <c r="C322" s="192" t="s">
        <v>1627</v>
      </c>
      <c r="D322" s="170" t="s">
        <v>11</v>
      </c>
      <c r="E322" s="170" t="s">
        <v>12</v>
      </c>
      <c r="H322" s="207">
        <v>619169</v>
      </c>
      <c r="I322" s="182" t="s">
        <v>1628</v>
      </c>
      <c r="J322" s="182" t="s">
        <v>1629</v>
      </c>
      <c r="K322" s="182" t="s">
        <v>1630</v>
      </c>
      <c r="L322" s="182" t="s">
        <v>15</v>
      </c>
    </row>
    <row r="323" spans="1:12">
      <c r="A323" s="170" t="s">
        <v>1631</v>
      </c>
      <c r="B323" s="170" t="s">
        <v>1632</v>
      </c>
      <c r="C323" s="192" t="s">
        <v>1633</v>
      </c>
      <c r="D323" s="170" t="s">
        <v>11</v>
      </c>
      <c r="E323" s="170" t="s">
        <v>12</v>
      </c>
      <c r="H323" s="207">
        <v>445978</v>
      </c>
      <c r="I323" s="182" t="s">
        <v>1634</v>
      </c>
      <c r="J323" s="182" t="s">
        <v>1635</v>
      </c>
      <c r="K323" s="182" t="s">
        <v>1636</v>
      </c>
      <c r="L323" s="182" t="s">
        <v>15</v>
      </c>
    </row>
    <row r="324" spans="1:12">
      <c r="A324" s="170" t="s">
        <v>1637</v>
      </c>
      <c r="B324" s="170" t="s">
        <v>1638</v>
      </c>
      <c r="C324" s="170"/>
      <c r="D324" s="170" t="s">
        <v>11</v>
      </c>
      <c r="E324" s="170" t="s">
        <v>12</v>
      </c>
      <c r="H324" s="207">
        <v>485950</v>
      </c>
      <c r="I324" s="182" t="s">
        <v>1639</v>
      </c>
      <c r="J324" s="182" t="s">
        <v>1640</v>
      </c>
      <c r="K324" s="182" t="s">
        <v>1641</v>
      </c>
      <c r="L324" s="182" t="s">
        <v>15</v>
      </c>
    </row>
    <row r="325" spans="1:12">
      <c r="A325" s="170" t="s">
        <v>1642</v>
      </c>
      <c r="B325" s="170" t="s">
        <v>1643</v>
      </c>
      <c r="C325" s="224" t="s">
        <v>1644</v>
      </c>
      <c r="D325" s="170" t="s">
        <v>11</v>
      </c>
      <c r="E325" s="170" t="s">
        <v>12</v>
      </c>
      <c r="H325" s="207" t="s">
        <v>1645</v>
      </c>
      <c r="I325" s="182" t="s">
        <v>10</v>
      </c>
      <c r="J325" s="182" t="s">
        <v>1645</v>
      </c>
      <c r="K325" s="182" t="s">
        <v>1646</v>
      </c>
      <c r="L325" s="182" t="s">
        <v>19</v>
      </c>
    </row>
    <row r="326" spans="1:12">
      <c r="A326" s="170" t="s">
        <v>1647</v>
      </c>
      <c r="B326" s="170" t="s">
        <v>1648</v>
      </c>
      <c r="C326" s="192" t="s">
        <v>1649</v>
      </c>
      <c r="D326" s="170" t="s">
        <v>11</v>
      </c>
      <c r="E326" s="170" t="s">
        <v>12</v>
      </c>
      <c r="H326" s="207">
        <v>514429</v>
      </c>
      <c r="I326" s="182" t="s">
        <v>1650</v>
      </c>
      <c r="J326" s="182" t="s">
        <v>1651</v>
      </c>
      <c r="K326" s="182"/>
      <c r="L326" s="182" t="s">
        <v>15</v>
      </c>
    </row>
    <row r="327" spans="1:12">
      <c r="A327" s="170" t="s">
        <v>1652</v>
      </c>
      <c r="B327" s="170" t="s">
        <v>1653</v>
      </c>
      <c r="C327" s="170"/>
      <c r="D327" s="170" t="s">
        <v>11</v>
      </c>
      <c r="E327" s="170" t="s">
        <v>12</v>
      </c>
      <c r="H327" s="207">
        <v>514529</v>
      </c>
      <c r="I327" s="182" t="s">
        <v>1654</v>
      </c>
      <c r="J327" s="182" t="s">
        <v>1655</v>
      </c>
      <c r="K327" s="182" t="s">
        <v>1656</v>
      </c>
      <c r="L327" s="182" t="s">
        <v>15</v>
      </c>
    </row>
    <row r="328" spans="1:12">
      <c r="A328" s="170" t="s">
        <v>1657</v>
      </c>
      <c r="B328" s="170" t="s">
        <v>1658</v>
      </c>
      <c r="C328" s="192" t="s">
        <v>1659</v>
      </c>
      <c r="D328" s="170" t="s">
        <v>11</v>
      </c>
      <c r="E328" s="170" t="s">
        <v>12</v>
      </c>
      <c r="H328" s="207">
        <v>425346</v>
      </c>
      <c r="I328" s="182" t="s">
        <v>1660</v>
      </c>
      <c r="J328" s="182" t="s">
        <v>1661</v>
      </c>
      <c r="K328" s="182" t="s">
        <v>1662</v>
      </c>
      <c r="L328" s="182" t="s">
        <v>15</v>
      </c>
    </row>
    <row r="329" spans="1:12">
      <c r="A329" s="170" t="s">
        <v>1663</v>
      </c>
      <c r="B329" s="170" t="s">
        <v>1664</v>
      </c>
      <c r="C329" s="192" t="s">
        <v>1665</v>
      </c>
      <c r="D329" s="170" t="s">
        <v>11</v>
      </c>
      <c r="E329" s="170" t="s">
        <v>12</v>
      </c>
      <c r="H329" s="207">
        <v>500730</v>
      </c>
      <c r="I329" s="182" t="s">
        <v>1666</v>
      </c>
      <c r="J329" s="182" t="s">
        <v>1667</v>
      </c>
      <c r="K329" s="182" t="s">
        <v>1668</v>
      </c>
      <c r="L329" s="182" t="s">
        <v>15</v>
      </c>
    </row>
    <row r="330" spans="1:12">
      <c r="A330" s="170" t="s">
        <v>1669</v>
      </c>
      <c r="B330" s="170" t="s">
        <v>1670</v>
      </c>
      <c r="C330" s="170"/>
      <c r="D330" s="170" t="s">
        <v>11</v>
      </c>
      <c r="E330" s="170" t="s">
        <v>12</v>
      </c>
      <c r="H330" s="207">
        <v>506762</v>
      </c>
      <c r="I330" s="182" t="s">
        <v>1671</v>
      </c>
      <c r="J330" s="182" t="s">
        <v>1672</v>
      </c>
      <c r="K330" s="182" t="s">
        <v>1673</v>
      </c>
      <c r="L330" s="182" t="s">
        <v>15</v>
      </c>
    </row>
    <row r="331" spans="1:12">
      <c r="A331" s="170" t="s">
        <v>1674</v>
      </c>
      <c r="B331" s="170" t="s">
        <v>1675</v>
      </c>
      <c r="C331" s="224" t="s">
        <v>1676</v>
      </c>
      <c r="D331" s="170" t="s">
        <v>11</v>
      </c>
      <c r="E331" s="170" t="s">
        <v>12</v>
      </c>
      <c r="H331" s="207">
        <v>113638</v>
      </c>
      <c r="I331" s="182" t="s">
        <v>1677</v>
      </c>
      <c r="J331" s="182" t="s">
        <v>1678</v>
      </c>
      <c r="K331" s="182" t="s">
        <v>1679</v>
      </c>
      <c r="L331" s="182" t="s">
        <v>15</v>
      </c>
    </row>
    <row r="332" spans="1:12">
      <c r="A332" s="170" t="s">
        <v>1680</v>
      </c>
      <c r="B332" s="170" t="s">
        <v>1681</v>
      </c>
      <c r="C332" s="192" t="s">
        <v>1682</v>
      </c>
      <c r="D332" s="170" t="s">
        <v>11</v>
      </c>
      <c r="E332" s="170" t="s">
        <v>12</v>
      </c>
      <c r="H332" s="207" t="s">
        <v>1683</v>
      </c>
      <c r="I332" s="182" t="s">
        <v>10</v>
      </c>
      <c r="J332" s="182" t="s">
        <v>1683</v>
      </c>
      <c r="K332" s="182" t="s">
        <v>1684</v>
      </c>
      <c r="L332" s="182" t="s">
        <v>19</v>
      </c>
    </row>
    <row r="333" spans="1:12">
      <c r="A333" s="170" t="s">
        <v>1685</v>
      </c>
      <c r="B333" s="170" t="s">
        <v>1686</v>
      </c>
      <c r="C333" s="170"/>
      <c r="D333" s="170" t="s">
        <v>11</v>
      </c>
      <c r="E333" s="170" t="s">
        <v>12</v>
      </c>
      <c r="H333" s="207" t="s">
        <v>1687</v>
      </c>
      <c r="I333" s="182" t="s">
        <v>1688</v>
      </c>
      <c r="J333" s="182" t="s">
        <v>1687</v>
      </c>
      <c r="K333" s="182" t="s">
        <v>1689</v>
      </c>
      <c r="L333" s="182" t="s">
        <v>15</v>
      </c>
    </row>
    <row r="334" spans="1:12">
      <c r="A334" s="170" t="s">
        <v>1690</v>
      </c>
      <c r="B334" s="170" t="s">
        <v>1691</v>
      </c>
      <c r="C334" s="192" t="s">
        <v>1692</v>
      </c>
      <c r="D334" s="170" t="s">
        <v>11</v>
      </c>
      <c r="E334" s="170" t="s">
        <v>12</v>
      </c>
      <c r="H334" s="207">
        <v>514346</v>
      </c>
      <c r="I334" s="182" t="s">
        <v>1693</v>
      </c>
      <c r="J334" s="182" t="s">
        <v>1694</v>
      </c>
      <c r="K334" s="182"/>
      <c r="L334" s="182" t="s">
        <v>15</v>
      </c>
    </row>
    <row r="335" spans="1:12">
      <c r="A335" s="170" t="s">
        <v>1696</v>
      </c>
      <c r="B335" s="170" t="s">
        <v>1697</v>
      </c>
      <c r="C335" s="170"/>
      <c r="D335" s="170" t="s">
        <v>11</v>
      </c>
      <c r="E335" s="170" t="s">
        <v>12</v>
      </c>
      <c r="H335" s="207">
        <v>185919</v>
      </c>
      <c r="I335" s="182" t="s">
        <v>1698</v>
      </c>
      <c r="J335" s="182" t="s">
        <v>1699</v>
      </c>
      <c r="K335" s="182" t="s">
        <v>1700</v>
      </c>
      <c r="L335" s="182" t="s">
        <v>15</v>
      </c>
    </row>
    <row r="336" spans="1:12">
      <c r="A336" s="170" t="s">
        <v>1701</v>
      </c>
      <c r="B336" s="170" t="s">
        <v>1702</v>
      </c>
      <c r="C336" s="170"/>
      <c r="D336" s="170" t="s">
        <v>11</v>
      </c>
      <c r="E336" s="170" t="s">
        <v>12</v>
      </c>
      <c r="H336" s="207">
        <v>345010</v>
      </c>
      <c r="I336" s="182" t="s">
        <v>1703</v>
      </c>
      <c r="J336" s="182" t="s">
        <v>1704</v>
      </c>
      <c r="K336" s="182" t="s">
        <v>1705</v>
      </c>
      <c r="L336" s="182" t="s">
        <v>15</v>
      </c>
    </row>
    <row r="337" spans="1:12">
      <c r="A337" s="170" t="s">
        <v>1706</v>
      </c>
      <c r="B337" s="170" t="s">
        <v>1707</v>
      </c>
      <c r="C337" s="192" t="s">
        <v>1708</v>
      </c>
      <c r="D337" s="170" t="s">
        <v>11</v>
      </c>
      <c r="E337" s="170" t="s">
        <v>12</v>
      </c>
      <c r="H337" s="207">
        <v>443057</v>
      </c>
      <c r="I337" s="182" t="s">
        <v>1709</v>
      </c>
      <c r="J337" s="182" t="s">
        <v>1710</v>
      </c>
      <c r="K337" s="182"/>
      <c r="L337" s="182" t="s">
        <v>15</v>
      </c>
    </row>
    <row r="338" spans="1:12">
      <c r="A338" s="170" t="s">
        <v>1711</v>
      </c>
      <c r="B338" s="170" t="s">
        <v>1712</v>
      </c>
      <c r="C338" s="170"/>
      <c r="D338" s="170" t="s">
        <v>11</v>
      </c>
      <c r="E338" s="170" t="s">
        <v>12</v>
      </c>
      <c r="H338" s="207">
        <v>68869</v>
      </c>
      <c r="I338" s="182" t="s">
        <v>1713</v>
      </c>
      <c r="J338" s="182" t="s">
        <v>1714</v>
      </c>
      <c r="K338" s="182" t="s">
        <v>1715</v>
      </c>
      <c r="L338" s="182" t="s">
        <v>369</v>
      </c>
    </row>
    <row r="339" spans="1:12">
      <c r="A339" s="170" t="s">
        <v>1716</v>
      </c>
      <c r="B339" s="170" t="s">
        <v>1717</v>
      </c>
      <c r="C339" s="170"/>
      <c r="D339" s="170" t="s">
        <v>11</v>
      </c>
      <c r="E339" s="170" t="s">
        <v>12</v>
      </c>
      <c r="H339" s="207">
        <v>815657</v>
      </c>
      <c r="I339" s="182" t="s">
        <v>1718</v>
      </c>
      <c r="J339" s="182" t="s">
        <v>1719</v>
      </c>
      <c r="K339" s="182" t="s">
        <v>1720</v>
      </c>
      <c r="L339" s="182" t="s">
        <v>15</v>
      </c>
    </row>
    <row r="340" spans="1:12">
      <c r="A340" s="170" t="s">
        <v>1721</v>
      </c>
      <c r="B340" s="170" t="s">
        <v>1722</v>
      </c>
      <c r="C340" s="192" t="s">
        <v>1723</v>
      </c>
      <c r="D340" s="170" t="s">
        <v>11</v>
      </c>
      <c r="E340" s="170" t="s">
        <v>12</v>
      </c>
      <c r="H340" s="207" t="s">
        <v>1724</v>
      </c>
      <c r="I340" s="182" t="s">
        <v>1725</v>
      </c>
      <c r="J340" s="182" t="s">
        <v>1726</v>
      </c>
      <c r="K340" s="182" t="s">
        <v>1727</v>
      </c>
      <c r="L340" s="182" t="s">
        <v>15</v>
      </c>
    </row>
    <row r="341" spans="1:12">
      <c r="A341" s="170" t="s">
        <v>1728</v>
      </c>
      <c r="B341" s="170" t="s">
        <v>1729</v>
      </c>
      <c r="C341" s="170"/>
      <c r="D341" s="170" t="s">
        <v>11</v>
      </c>
      <c r="E341" s="170" t="s">
        <v>12</v>
      </c>
      <c r="H341" s="207">
        <v>501145</v>
      </c>
      <c r="I341" s="182" t="s">
        <v>1730</v>
      </c>
      <c r="J341" s="182" t="s">
        <v>1731</v>
      </c>
      <c r="K341" s="182" t="s">
        <v>1732</v>
      </c>
      <c r="L341" s="182" t="s">
        <v>15</v>
      </c>
    </row>
    <row r="342" spans="1:12">
      <c r="A342" s="170" t="s">
        <v>1733</v>
      </c>
      <c r="B342" s="170" t="s">
        <v>1734</v>
      </c>
      <c r="C342" s="170"/>
      <c r="D342" s="170" t="s">
        <v>11</v>
      </c>
      <c r="E342" s="170" t="s">
        <v>12</v>
      </c>
      <c r="H342" s="207">
        <v>487302</v>
      </c>
      <c r="I342" s="182" t="s">
        <v>1735</v>
      </c>
      <c r="J342" s="182" t="s">
        <v>1736</v>
      </c>
      <c r="K342" s="182" t="s">
        <v>1737</v>
      </c>
      <c r="L342" s="182" t="s">
        <v>15</v>
      </c>
    </row>
    <row r="343" spans="1:12">
      <c r="A343" s="170" t="s">
        <v>1738</v>
      </c>
      <c r="B343" s="170" t="s">
        <v>1739</v>
      </c>
      <c r="C343" s="178" t="s">
        <v>10</v>
      </c>
      <c r="D343" s="170" t="s">
        <v>11</v>
      </c>
      <c r="E343" s="170" t="s">
        <v>12</v>
      </c>
      <c r="H343" s="207">
        <v>523384</v>
      </c>
      <c r="I343" s="182" t="s">
        <v>1740</v>
      </c>
      <c r="J343" s="182" t="s">
        <v>1741</v>
      </c>
      <c r="K343" s="182" t="s">
        <v>1742</v>
      </c>
      <c r="L343" s="182" t="s">
        <v>15</v>
      </c>
    </row>
    <row r="344" spans="1:12">
      <c r="A344" s="170" t="s">
        <v>1743</v>
      </c>
      <c r="B344" s="170" t="s">
        <v>1744</v>
      </c>
      <c r="C344" s="178" t="s">
        <v>10</v>
      </c>
      <c r="D344" s="170" t="s">
        <v>11</v>
      </c>
      <c r="E344" s="170" t="s">
        <v>12</v>
      </c>
      <c r="H344" s="207" t="s">
        <v>1745</v>
      </c>
      <c r="I344" s="182" t="s">
        <v>10</v>
      </c>
      <c r="J344" s="182" t="s">
        <v>1745</v>
      </c>
      <c r="K344" s="182"/>
      <c r="L344" s="182" t="s">
        <v>53</v>
      </c>
    </row>
    <row r="345" spans="1:12">
      <c r="A345" s="170" t="s">
        <v>1746</v>
      </c>
      <c r="B345" s="170" t="s">
        <v>1747</v>
      </c>
      <c r="C345" s="178" t="s">
        <v>10</v>
      </c>
      <c r="D345" s="170" t="s">
        <v>11</v>
      </c>
      <c r="E345" s="170" t="s">
        <v>12</v>
      </c>
      <c r="H345" s="207">
        <v>492854</v>
      </c>
      <c r="I345" s="182" t="s">
        <v>1748</v>
      </c>
      <c r="J345" s="182" t="s">
        <v>1749</v>
      </c>
      <c r="K345" s="182" t="s">
        <v>1750</v>
      </c>
      <c r="L345" s="182" t="s">
        <v>15</v>
      </c>
    </row>
    <row r="346" spans="1:12">
      <c r="A346" s="170" t="s">
        <v>1751</v>
      </c>
      <c r="B346" s="170" t="s">
        <v>1752</v>
      </c>
      <c r="C346" s="178" t="s">
        <v>10</v>
      </c>
      <c r="D346" s="170" t="s">
        <v>11</v>
      </c>
      <c r="E346" s="170" t="s">
        <v>12</v>
      </c>
      <c r="H346" s="207" t="s">
        <v>1753</v>
      </c>
      <c r="I346" s="182" t="s">
        <v>10</v>
      </c>
      <c r="J346" s="182" t="s">
        <v>1753</v>
      </c>
      <c r="K346" s="182" t="s">
        <v>1754</v>
      </c>
      <c r="L346" s="182" t="s">
        <v>53</v>
      </c>
    </row>
    <row r="347" spans="1:12">
      <c r="A347" s="170" t="s">
        <v>1755</v>
      </c>
      <c r="B347" s="170" t="s">
        <v>1756</v>
      </c>
      <c r="C347" s="178" t="s">
        <v>10</v>
      </c>
      <c r="D347" s="170" t="s">
        <v>11</v>
      </c>
      <c r="E347" s="170" t="s">
        <v>12</v>
      </c>
      <c r="H347" s="207">
        <v>497575</v>
      </c>
      <c r="I347" s="182" t="s">
        <v>1757</v>
      </c>
      <c r="J347" s="182" t="s">
        <v>1758</v>
      </c>
      <c r="K347" s="182" t="s">
        <v>1759</v>
      </c>
      <c r="L347" s="182" t="s">
        <v>15</v>
      </c>
    </row>
    <row r="348" spans="1:12">
      <c r="A348" s="170" t="s">
        <v>1760</v>
      </c>
      <c r="B348" s="170" t="s">
        <v>1761</v>
      </c>
      <c r="C348" s="178" t="s">
        <v>10</v>
      </c>
      <c r="D348" s="170" t="s">
        <v>11</v>
      </c>
      <c r="E348" s="170" t="s">
        <v>12</v>
      </c>
      <c r="H348" s="207">
        <v>417366</v>
      </c>
      <c r="I348" s="182" t="s">
        <v>1762</v>
      </c>
      <c r="J348" s="182" t="s">
        <v>1763</v>
      </c>
      <c r="K348" s="182" t="s">
        <v>1764</v>
      </c>
      <c r="L348" s="182" t="s">
        <v>15</v>
      </c>
    </row>
    <row r="349" spans="1:12">
      <c r="A349" s="170" t="s">
        <v>1765</v>
      </c>
      <c r="B349" s="170" t="s">
        <v>1766</v>
      </c>
      <c r="C349" s="208" t="s">
        <v>1767</v>
      </c>
      <c r="D349" s="170" t="s">
        <v>11</v>
      </c>
      <c r="E349" s="170" t="s">
        <v>12</v>
      </c>
      <c r="H349" s="207">
        <v>506155</v>
      </c>
      <c r="I349" s="182" t="s">
        <v>1768</v>
      </c>
      <c r="J349" s="182" t="s">
        <v>1769</v>
      </c>
      <c r="K349" s="182" t="s">
        <v>1770</v>
      </c>
      <c r="L349" s="182" t="s">
        <v>15</v>
      </c>
    </row>
    <row r="350" spans="1:12">
      <c r="A350" s="170" t="s">
        <v>1771</v>
      </c>
      <c r="B350" s="170" t="s">
        <v>1772</v>
      </c>
      <c r="C350" s="170"/>
      <c r="D350" s="170" t="s">
        <v>11</v>
      </c>
      <c r="E350" s="170" t="s">
        <v>12</v>
      </c>
      <c r="H350" s="207">
        <v>292823</v>
      </c>
      <c r="I350" s="182" t="s">
        <v>1773</v>
      </c>
      <c r="J350" s="182" t="s">
        <v>1774</v>
      </c>
      <c r="K350" s="182" t="s">
        <v>1775</v>
      </c>
      <c r="L350" s="182" t="s">
        <v>15</v>
      </c>
    </row>
    <row r="351" spans="1:12">
      <c r="A351" s="170" t="s">
        <v>1776</v>
      </c>
      <c r="B351" s="170" t="s">
        <v>1777</v>
      </c>
      <c r="C351" s="170"/>
      <c r="D351" s="170" t="s">
        <v>11</v>
      </c>
      <c r="E351" s="170" t="s">
        <v>12</v>
      </c>
      <c r="H351" s="207">
        <v>179054</v>
      </c>
      <c r="I351" s="182" t="s">
        <v>1778</v>
      </c>
      <c r="J351" s="182" t="s">
        <v>1779</v>
      </c>
      <c r="K351" s="182" t="s">
        <v>1780</v>
      </c>
      <c r="L351" s="182" t="s">
        <v>15</v>
      </c>
    </row>
    <row r="352" spans="1:12">
      <c r="A352" s="170" t="s">
        <v>1781</v>
      </c>
      <c r="B352" s="170" t="s">
        <v>1782</v>
      </c>
      <c r="C352" s="208" t="s">
        <v>1783</v>
      </c>
      <c r="D352" s="170" t="s">
        <v>11</v>
      </c>
      <c r="E352" s="170" t="s">
        <v>12</v>
      </c>
      <c r="H352" s="207">
        <v>456859</v>
      </c>
      <c r="I352" s="182" t="s">
        <v>1784</v>
      </c>
      <c r="J352" s="182" t="s">
        <v>1785</v>
      </c>
      <c r="K352" s="182" t="s">
        <v>1786</v>
      </c>
      <c r="L352" s="182" t="s">
        <v>15</v>
      </c>
    </row>
    <row r="353" spans="1:12">
      <c r="A353" s="170" t="s">
        <v>1787</v>
      </c>
      <c r="B353" s="170" t="s">
        <v>1788</v>
      </c>
      <c r="C353" s="170"/>
      <c r="D353" s="170" t="s">
        <v>11</v>
      </c>
      <c r="E353" s="170" t="s">
        <v>12</v>
      </c>
      <c r="H353" s="207">
        <v>476290</v>
      </c>
      <c r="I353" s="182" t="s">
        <v>1789</v>
      </c>
      <c r="J353" s="182" t="s">
        <v>1790</v>
      </c>
      <c r="K353" s="182" t="s">
        <v>1791</v>
      </c>
      <c r="L353" s="182" t="s">
        <v>15</v>
      </c>
    </row>
    <row r="354" spans="1:12">
      <c r="A354" s="170" t="s">
        <v>1792</v>
      </c>
      <c r="B354" s="170" t="s">
        <v>1793</v>
      </c>
      <c r="C354" s="170"/>
      <c r="D354" s="170" t="s">
        <v>11</v>
      </c>
      <c r="E354" s="170" t="s">
        <v>12</v>
      </c>
      <c r="H354" s="207">
        <v>500808</v>
      </c>
      <c r="I354" s="182" t="s">
        <v>1794</v>
      </c>
      <c r="J354" s="182" t="s">
        <v>1795</v>
      </c>
      <c r="K354" s="182" t="s">
        <v>1796</v>
      </c>
      <c r="L354" s="182" t="s">
        <v>15</v>
      </c>
    </row>
    <row r="355" spans="1:12">
      <c r="A355" s="170" t="s">
        <v>1797</v>
      </c>
      <c r="B355" s="170" t="s">
        <v>1798</v>
      </c>
      <c r="C355" s="208" t="s">
        <v>1799</v>
      </c>
      <c r="D355" s="170" t="s">
        <v>11</v>
      </c>
      <c r="E355" s="170" t="s">
        <v>12</v>
      </c>
      <c r="H355" s="207">
        <v>483789</v>
      </c>
      <c r="I355" s="182" t="s">
        <v>1800</v>
      </c>
      <c r="J355" s="182" t="s">
        <v>1801</v>
      </c>
      <c r="K355" s="182" t="s">
        <v>1802</v>
      </c>
      <c r="L355" s="182" t="s">
        <v>15</v>
      </c>
    </row>
    <row r="356" spans="1:12">
      <c r="A356" s="170" t="s">
        <v>1803</v>
      </c>
      <c r="B356" s="170" t="s">
        <v>1804</v>
      </c>
      <c r="C356" s="208" t="s">
        <v>1805</v>
      </c>
      <c r="D356" s="170" t="s">
        <v>11</v>
      </c>
      <c r="E356" s="170" t="s">
        <v>12</v>
      </c>
      <c r="H356" s="207">
        <v>464254</v>
      </c>
      <c r="I356" s="182" t="s">
        <v>1806</v>
      </c>
      <c r="J356" s="182" t="s">
        <v>1807</v>
      </c>
      <c r="K356" s="182" t="s">
        <v>1808</v>
      </c>
      <c r="L356" s="182" t="s">
        <v>15</v>
      </c>
    </row>
    <row r="357" spans="1:12">
      <c r="A357" s="170" t="s">
        <v>1809</v>
      </c>
      <c r="B357" s="170" t="s">
        <v>1810</v>
      </c>
      <c r="C357" s="170"/>
      <c r="D357" s="170" t="s">
        <v>11</v>
      </c>
      <c r="E357" s="170" t="s">
        <v>12</v>
      </c>
      <c r="H357" s="207">
        <v>507018</v>
      </c>
      <c r="I357" s="182" t="s">
        <v>1811</v>
      </c>
      <c r="J357" s="182" t="s">
        <v>1812</v>
      </c>
      <c r="K357" s="182" t="s">
        <v>1813</v>
      </c>
      <c r="L357" s="182" t="s">
        <v>15</v>
      </c>
    </row>
    <row r="358" spans="1:12">
      <c r="A358" s="170" t="s">
        <v>1814</v>
      </c>
      <c r="B358" s="170" t="s">
        <v>1815</v>
      </c>
      <c r="C358" s="208" t="s">
        <v>1816</v>
      </c>
      <c r="D358" s="170" t="s">
        <v>11</v>
      </c>
      <c r="E358" s="170" t="s">
        <v>12</v>
      </c>
      <c r="H358" s="207">
        <v>485238</v>
      </c>
      <c r="I358" s="182" t="s">
        <v>10</v>
      </c>
      <c r="J358" s="182" t="s">
        <v>1817</v>
      </c>
      <c r="K358" s="182" t="s">
        <v>1818</v>
      </c>
      <c r="L358" s="182" t="s">
        <v>447</v>
      </c>
    </row>
    <row r="359" spans="1:12">
      <c r="A359" s="170" t="s">
        <v>1819</v>
      </c>
      <c r="B359" s="170" t="s">
        <v>1820</v>
      </c>
      <c r="C359" s="208" t="s">
        <v>1821</v>
      </c>
      <c r="D359" s="170" t="s">
        <v>11</v>
      </c>
      <c r="E359" s="170" t="s">
        <v>12</v>
      </c>
      <c r="H359" s="207">
        <v>490451</v>
      </c>
      <c r="I359" s="182" t="s">
        <v>1822</v>
      </c>
      <c r="J359" s="182" t="s">
        <v>1823</v>
      </c>
      <c r="K359" s="182" t="s">
        <v>1824</v>
      </c>
      <c r="L359" s="182" t="s">
        <v>15</v>
      </c>
    </row>
    <row r="360" spans="1:12">
      <c r="A360" s="170" t="s">
        <v>1825</v>
      </c>
      <c r="B360" s="170" t="s">
        <v>1826</v>
      </c>
      <c r="C360" s="170"/>
      <c r="D360" s="170" t="s">
        <v>11</v>
      </c>
      <c r="E360" s="170" t="s">
        <v>12</v>
      </c>
      <c r="H360" s="207">
        <v>494372</v>
      </c>
      <c r="I360" s="182" t="s">
        <v>10</v>
      </c>
      <c r="J360" s="182" t="s">
        <v>1827</v>
      </c>
      <c r="K360" s="182" t="s">
        <v>1828</v>
      </c>
      <c r="L360" s="182" t="s">
        <v>447</v>
      </c>
    </row>
    <row r="361" spans="1:12">
      <c r="A361" s="170" t="s">
        <v>1829</v>
      </c>
      <c r="B361" s="170" t="s">
        <v>1830</v>
      </c>
      <c r="C361" s="208" t="s">
        <v>1831</v>
      </c>
      <c r="D361" s="170" t="s">
        <v>11</v>
      </c>
      <c r="E361" s="170" t="s">
        <v>12</v>
      </c>
      <c r="H361" s="207">
        <v>513098</v>
      </c>
      <c r="I361" s="182" t="s">
        <v>1832</v>
      </c>
      <c r="J361" s="182" t="s">
        <v>1833</v>
      </c>
      <c r="K361" s="182"/>
      <c r="L361" s="182" t="s">
        <v>15</v>
      </c>
    </row>
    <row r="362" spans="1:12">
      <c r="A362" s="170" t="s">
        <v>1834</v>
      </c>
      <c r="B362" s="170" t="s">
        <v>1835</v>
      </c>
      <c r="C362" s="208" t="s">
        <v>1836</v>
      </c>
      <c r="D362" s="170" t="s">
        <v>11</v>
      </c>
      <c r="E362" s="170" t="s">
        <v>12</v>
      </c>
      <c r="H362" s="207">
        <v>487221</v>
      </c>
      <c r="I362" s="182" t="s">
        <v>1837</v>
      </c>
      <c r="J362" s="182" t="s">
        <v>1838</v>
      </c>
      <c r="K362" s="182" t="s">
        <v>1839</v>
      </c>
      <c r="L362" s="182" t="s">
        <v>15</v>
      </c>
    </row>
    <row r="363" spans="1:12">
      <c r="A363" s="170" t="s">
        <v>1840</v>
      </c>
      <c r="B363" s="170" t="s">
        <v>1841</v>
      </c>
      <c r="C363" s="170"/>
      <c r="D363" s="170" t="s">
        <v>11</v>
      </c>
      <c r="E363" s="170" t="s">
        <v>12</v>
      </c>
      <c r="H363" s="207">
        <v>305463</v>
      </c>
      <c r="I363" s="182" t="s">
        <v>1842</v>
      </c>
      <c r="J363" s="182" t="s">
        <v>1843</v>
      </c>
      <c r="K363" s="182" t="s">
        <v>1844</v>
      </c>
      <c r="L363" s="182" t="s">
        <v>15</v>
      </c>
    </row>
    <row r="364" spans="1:12">
      <c r="A364" s="170" t="s">
        <v>1845</v>
      </c>
      <c r="B364" s="170" t="s">
        <v>1846</v>
      </c>
      <c r="C364" s="208" t="s">
        <v>1847</v>
      </c>
      <c r="D364" s="170" t="s">
        <v>11</v>
      </c>
      <c r="E364" s="170" t="s">
        <v>12</v>
      </c>
      <c r="H364" s="207">
        <v>513027</v>
      </c>
      <c r="I364" s="182" t="s">
        <v>1848</v>
      </c>
      <c r="J364" s="182" t="s">
        <v>1849</v>
      </c>
      <c r="K364" s="182" t="s">
        <v>1850</v>
      </c>
      <c r="L364" s="182" t="s">
        <v>15</v>
      </c>
    </row>
    <row r="365" spans="1:12">
      <c r="A365" s="170" t="s">
        <v>1851</v>
      </c>
      <c r="B365" s="170" t="s">
        <v>1852</v>
      </c>
      <c r="C365" s="208" t="s">
        <v>1853</v>
      </c>
      <c r="D365" s="170" t="s">
        <v>11</v>
      </c>
      <c r="E365" s="170" t="s">
        <v>12</v>
      </c>
      <c r="H365" s="207">
        <v>399105</v>
      </c>
      <c r="I365" s="182" t="s">
        <v>1854</v>
      </c>
      <c r="J365" s="182" t="s">
        <v>1855</v>
      </c>
      <c r="K365" s="182" t="s">
        <v>1856</v>
      </c>
      <c r="L365" s="182" t="s">
        <v>15</v>
      </c>
    </row>
    <row r="366" spans="1:12">
      <c r="A366" s="170" t="s">
        <v>1857</v>
      </c>
      <c r="B366" s="170" t="s">
        <v>1858</v>
      </c>
      <c r="C366" s="170"/>
      <c r="D366" s="170" t="s">
        <v>11</v>
      </c>
      <c r="E366" s="170" t="s">
        <v>12</v>
      </c>
      <c r="H366" s="207">
        <v>464555</v>
      </c>
      <c r="I366" s="182" t="s">
        <v>1859</v>
      </c>
      <c r="J366" s="182" t="s">
        <v>1860</v>
      </c>
      <c r="K366" s="182" t="s">
        <v>1861</v>
      </c>
      <c r="L366" s="182" t="s">
        <v>15</v>
      </c>
    </row>
    <row r="367" spans="1:12">
      <c r="A367" s="170" t="s">
        <v>1862</v>
      </c>
      <c r="B367" s="170" t="s">
        <v>1863</v>
      </c>
      <c r="C367" s="208" t="s">
        <v>1864</v>
      </c>
      <c r="D367" s="170" t="s">
        <v>11</v>
      </c>
      <c r="E367" s="170" t="s">
        <v>12</v>
      </c>
      <c r="H367" s="207">
        <v>485750</v>
      </c>
      <c r="I367" s="182" t="s">
        <v>1865</v>
      </c>
      <c r="J367" s="182" t="s">
        <v>1866</v>
      </c>
      <c r="K367" s="182" t="s">
        <v>1867</v>
      </c>
      <c r="L367" s="182" t="s">
        <v>15</v>
      </c>
    </row>
    <row r="368" spans="1:12">
      <c r="A368" s="170" t="s">
        <v>1868</v>
      </c>
      <c r="B368" s="170" t="s">
        <v>1869</v>
      </c>
      <c r="C368" s="208" t="s">
        <v>1870</v>
      </c>
      <c r="D368" s="170" t="s">
        <v>11</v>
      </c>
      <c r="E368" s="170" t="s">
        <v>12</v>
      </c>
      <c r="H368" s="207">
        <v>459243</v>
      </c>
      <c r="I368" s="182" t="s">
        <v>1871</v>
      </c>
      <c r="J368" s="182" t="s">
        <v>1872</v>
      </c>
      <c r="K368" s="182" t="s">
        <v>1873</v>
      </c>
      <c r="L368" s="182" t="s">
        <v>15</v>
      </c>
    </row>
    <row r="369" spans="1:12">
      <c r="A369" s="170" t="s">
        <v>1874</v>
      </c>
      <c r="B369" s="170" t="s">
        <v>1875</v>
      </c>
      <c r="C369" s="170"/>
      <c r="D369" s="170" t="s">
        <v>11</v>
      </c>
      <c r="E369" s="170" t="s">
        <v>12</v>
      </c>
      <c r="H369" s="207">
        <v>216841</v>
      </c>
      <c r="I369" s="182" t="s">
        <v>1876</v>
      </c>
      <c r="J369" s="182" t="s">
        <v>1877</v>
      </c>
      <c r="K369" s="182" t="s">
        <v>1878</v>
      </c>
      <c r="L369" s="182" t="s">
        <v>15</v>
      </c>
    </row>
    <row r="370" spans="1:12">
      <c r="A370" s="170" t="s">
        <v>1879</v>
      </c>
      <c r="B370" s="170" t="s">
        <v>1880</v>
      </c>
      <c r="C370" s="208" t="s">
        <v>1881</v>
      </c>
      <c r="D370" s="170" t="s">
        <v>11</v>
      </c>
      <c r="E370" s="170" t="s">
        <v>12</v>
      </c>
      <c r="H370" s="207">
        <v>492649</v>
      </c>
      <c r="I370" s="182" t="s">
        <v>1882</v>
      </c>
      <c r="J370" s="182" t="s">
        <v>1883</v>
      </c>
      <c r="K370" s="182" t="s">
        <v>1884</v>
      </c>
      <c r="L370" s="182" t="s">
        <v>15</v>
      </c>
    </row>
    <row r="371" spans="1:12">
      <c r="A371" s="170" t="s">
        <v>1885</v>
      </c>
      <c r="B371" s="170" t="s">
        <v>1886</v>
      </c>
      <c r="C371" s="208" t="s">
        <v>1887</v>
      </c>
      <c r="D371" s="170" t="s">
        <v>11</v>
      </c>
      <c r="E371" s="170" t="s">
        <v>12</v>
      </c>
      <c r="H371" s="207">
        <v>499559</v>
      </c>
      <c r="I371" s="182" t="s">
        <v>1888</v>
      </c>
      <c r="J371" s="182" t="s">
        <v>1889</v>
      </c>
      <c r="K371" s="182" t="s">
        <v>1890</v>
      </c>
      <c r="L371" s="182" t="s">
        <v>15</v>
      </c>
    </row>
    <row r="372" spans="1:12">
      <c r="A372" s="170" t="s">
        <v>1891</v>
      </c>
      <c r="B372" s="170" t="s">
        <v>1892</v>
      </c>
      <c r="C372" s="170"/>
      <c r="D372" s="170" t="s">
        <v>11</v>
      </c>
      <c r="E372" s="170" t="s">
        <v>12</v>
      </c>
      <c r="H372" s="207">
        <v>495808</v>
      </c>
      <c r="I372" s="182" t="s">
        <v>1893</v>
      </c>
      <c r="J372" s="182" t="s">
        <v>1894</v>
      </c>
      <c r="K372" s="182" t="s">
        <v>1895</v>
      </c>
      <c r="L372" s="182" t="s">
        <v>15</v>
      </c>
    </row>
    <row r="373" spans="1:12">
      <c r="A373" s="170" t="s">
        <v>1896</v>
      </c>
      <c r="B373" s="170" t="s">
        <v>1897</v>
      </c>
      <c r="C373" s="208" t="s">
        <v>1898</v>
      </c>
      <c r="D373" s="170" t="s">
        <v>11</v>
      </c>
      <c r="E373" s="170" t="s">
        <v>12</v>
      </c>
      <c r="H373" s="207" t="s">
        <v>1899</v>
      </c>
      <c r="I373" s="182" t="s">
        <v>10</v>
      </c>
      <c r="J373" s="182" t="s">
        <v>1899</v>
      </c>
      <c r="K373" s="182" t="s">
        <v>1900</v>
      </c>
      <c r="L373" s="182" t="s">
        <v>53</v>
      </c>
    </row>
    <row r="374" spans="1:12">
      <c r="A374" s="170" t="s">
        <v>1901</v>
      </c>
      <c r="B374" s="170" t="s">
        <v>1902</v>
      </c>
      <c r="C374" s="208" t="s">
        <v>1903</v>
      </c>
      <c r="D374" s="170" t="s">
        <v>11</v>
      </c>
      <c r="E374" s="170" t="s">
        <v>12</v>
      </c>
      <c r="H374" s="207" t="s">
        <v>1904</v>
      </c>
      <c r="I374" s="182" t="s">
        <v>10</v>
      </c>
      <c r="J374" s="182" t="s">
        <v>1904</v>
      </c>
      <c r="K374" s="182" t="s">
        <v>1905</v>
      </c>
      <c r="L374" s="182" t="s">
        <v>53</v>
      </c>
    </row>
    <row r="375" spans="1:12">
      <c r="A375" s="170" t="s">
        <v>1906</v>
      </c>
      <c r="B375" s="170" t="s">
        <v>1907</v>
      </c>
      <c r="C375" s="170"/>
      <c r="D375" s="170" t="s">
        <v>11</v>
      </c>
      <c r="E375" s="170" t="s">
        <v>12</v>
      </c>
      <c r="H375" s="207" t="s">
        <v>1908</v>
      </c>
      <c r="I375" s="182" t="s">
        <v>10</v>
      </c>
      <c r="J375" s="182" t="s">
        <v>1908</v>
      </c>
      <c r="K375" s="182" t="s">
        <v>1909</v>
      </c>
      <c r="L375" s="182" t="s">
        <v>19</v>
      </c>
    </row>
    <row r="376" spans="1:12">
      <c r="A376" s="170" t="s">
        <v>1910</v>
      </c>
      <c r="B376" s="170" t="s">
        <v>1911</v>
      </c>
      <c r="C376" s="208" t="s">
        <v>1912</v>
      </c>
      <c r="D376" s="170" t="s">
        <v>11</v>
      </c>
      <c r="E376" s="170" t="s">
        <v>12</v>
      </c>
      <c r="H376" s="207">
        <v>443393</v>
      </c>
      <c r="I376" s="182" t="s">
        <v>1913</v>
      </c>
      <c r="J376" s="182" t="s">
        <v>1914</v>
      </c>
      <c r="K376" s="182" t="s">
        <v>1915</v>
      </c>
      <c r="L376" s="182" t="s">
        <v>15</v>
      </c>
    </row>
    <row r="377" spans="1:12">
      <c r="A377" s="170" t="s">
        <v>1916</v>
      </c>
      <c r="B377" s="170" t="s">
        <v>1917</v>
      </c>
      <c r="C377" s="208" t="s">
        <v>1918</v>
      </c>
      <c r="D377" s="170" t="s">
        <v>11</v>
      </c>
      <c r="E377" s="170" t="s">
        <v>12</v>
      </c>
      <c r="H377" s="207">
        <v>501341</v>
      </c>
      <c r="I377" s="182" t="s">
        <v>1919</v>
      </c>
      <c r="J377" s="182" t="s">
        <v>1920</v>
      </c>
      <c r="K377" s="182" t="s">
        <v>1921</v>
      </c>
      <c r="L377" s="182" t="s">
        <v>15</v>
      </c>
    </row>
    <row r="378" spans="1:12">
      <c r="A378" s="170" t="s">
        <v>1922</v>
      </c>
      <c r="B378" s="170" t="s">
        <v>1923</v>
      </c>
      <c r="C378" s="170"/>
      <c r="D378" s="170" t="s">
        <v>11</v>
      </c>
      <c r="E378" s="170" t="s">
        <v>12</v>
      </c>
      <c r="H378" s="207">
        <v>336882</v>
      </c>
      <c r="I378" s="182" t="s">
        <v>1924</v>
      </c>
      <c r="J378" s="182" t="s">
        <v>1925</v>
      </c>
      <c r="K378" s="182" t="s">
        <v>1926</v>
      </c>
      <c r="L378" s="182" t="s">
        <v>15</v>
      </c>
    </row>
    <row r="379" spans="1:12">
      <c r="A379" s="170" t="s">
        <v>1927</v>
      </c>
      <c r="B379" s="170" t="s">
        <v>1928</v>
      </c>
      <c r="C379" s="208" t="s">
        <v>1929</v>
      </c>
      <c r="D379" s="170" t="s">
        <v>11</v>
      </c>
      <c r="E379" s="170" t="s">
        <v>12</v>
      </c>
      <c r="H379" s="207">
        <v>474940</v>
      </c>
      <c r="I379" s="182" t="s">
        <v>1930</v>
      </c>
      <c r="J379" s="182" t="s">
        <v>1931</v>
      </c>
      <c r="K379" s="182" t="s">
        <v>1932</v>
      </c>
      <c r="L379" s="182" t="s">
        <v>15</v>
      </c>
    </row>
    <row r="380" spans="1:12">
      <c r="A380" s="170" t="s">
        <v>1933</v>
      </c>
      <c r="B380" s="170" t="s">
        <v>1934</v>
      </c>
      <c r="C380" s="208" t="s">
        <v>1935</v>
      </c>
      <c r="D380" s="170" t="s">
        <v>11</v>
      </c>
      <c r="E380" s="170" t="s">
        <v>12</v>
      </c>
      <c r="H380" s="207">
        <v>486889</v>
      </c>
      <c r="I380" s="182" t="s">
        <v>1936</v>
      </c>
      <c r="J380" s="182" t="s">
        <v>1937</v>
      </c>
      <c r="K380" s="182" t="s">
        <v>1938</v>
      </c>
      <c r="L380" s="182" t="s">
        <v>15</v>
      </c>
    </row>
    <row r="381" spans="1:12">
      <c r="A381" s="170" t="s">
        <v>1939</v>
      </c>
      <c r="B381" s="170" t="s">
        <v>1940</v>
      </c>
      <c r="C381" s="170"/>
      <c r="D381" s="170" t="s">
        <v>11</v>
      </c>
      <c r="E381" s="170" t="s">
        <v>12</v>
      </c>
      <c r="H381" s="207">
        <v>500597</v>
      </c>
      <c r="I381" s="182" t="s">
        <v>1941</v>
      </c>
      <c r="J381" s="182" t="s">
        <v>1942</v>
      </c>
      <c r="K381" s="182" t="s">
        <v>1943</v>
      </c>
      <c r="L381" s="182" t="s">
        <v>15</v>
      </c>
    </row>
    <row r="382" spans="1:12">
      <c r="A382" s="170" t="s">
        <v>1944</v>
      </c>
      <c r="B382" s="170" t="s">
        <v>1945</v>
      </c>
      <c r="C382" s="208" t="s">
        <v>1946</v>
      </c>
      <c r="D382" s="170" t="s">
        <v>11</v>
      </c>
      <c r="E382" s="170" t="s">
        <v>12</v>
      </c>
      <c r="H382" s="207">
        <v>503412</v>
      </c>
      <c r="I382" s="182" t="s">
        <v>1947</v>
      </c>
      <c r="J382" s="182" t="s">
        <v>1948</v>
      </c>
      <c r="K382" s="182" t="s">
        <v>1949</v>
      </c>
      <c r="L382" s="182" t="s">
        <v>15</v>
      </c>
    </row>
    <row r="383" spans="1:12">
      <c r="A383" s="170" t="s">
        <v>1950</v>
      </c>
      <c r="B383" s="170" t="s">
        <v>1951</v>
      </c>
      <c r="C383" s="208" t="s">
        <v>1952</v>
      </c>
      <c r="D383" s="170" t="s">
        <v>11</v>
      </c>
      <c r="E383" s="170" t="s">
        <v>12</v>
      </c>
      <c r="H383" s="207">
        <v>513627</v>
      </c>
      <c r="I383" s="182" t="s">
        <v>1953</v>
      </c>
      <c r="J383" s="182" t="s">
        <v>1954</v>
      </c>
      <c r="K383" s="182" t="s">
        <v>1955</v>
      </c>
      <c r="L383" s="182" t="s">
        <v>15</v>
      </c>
    </row>
    <row r="384" spans="1:12">
      <c r="A384" s="170" t="s">
        <v>1956</v>
      </c>
      <c r="B384" s="170" t="s">
        <v>1957</v>
      </c>
      <c r="C384" s="170"/>
      <c r="D384" s="170" t="s">
        <v>11</v>
      </c>
      <c r="E384" s="170" t="s">
        <v>12</v>
      </c>
      <c r="H384" s="207">
        <v>186714</v>
      </c>
      <c r="I384" s="182" t="s">
        <v>1958</v>
      </c>
      <c r="J384" s="182" t="s">
        <v>1959</v>
      </c>
      <c r="K384" s="182" t="s">
        <v>1960</v>
      </c>
      <c r="L384" s="182" t="s">
        <v>15</v>
      </c>
    </row>
    <row r="385" spans="1:12">
      <c r="A385" s="170" t="s">
        <v>1961</v>
      </c>
      <c r="B385" s="170" t="s">
        <v>1962</v>
      </c>
      <c r="C385" s="208" t="s">
        <v>1963</v>
      </c>
      <c r="D385" s="170" t="s">
        <v>11</v>
      </c>
      <c r="E385" s="170" t="s">
        <v>12</v>
      </c>
      <c r="H385" s="207" t="s">
        <v>1964</v>
      </c>
      <c r="I385" s="182" t="s">
        <v>10</v>
      </c>
      <c r="J385" s="182" t="s">
        <v>1964</v>
      </c>
      <c r="K385" s="182" t="s">
        <v>1965</v>
      </c>
      <c r="L385" s="182" t="s">
        <v>53</v>
      </c>
    </row>
    <row r="386" spans="1:12">
      <c r="A386" s="170" t="s">
        <v>1966</v>
      </c>
      <c r="B386" s="170" t="s">
        <v>1967</v>
      </c>
      <c r="C386" s="208" t="s">
        <v>1968</v>
      </c>
      <c r="D386" s="170" t="s">
        <v>11</v>
      </c>
      <c r="E386" s="170" t="s">
        <v>12</v>
      </c>
      <c r="H386" s="207">
        <v>495942</v>
      </c>
      <c r="I386" s="182" t="s">
        <v>1969</v>
      </c>
      <c r="J386" s="182" t="s">
        <v>1970</v>
      </c>
      <c r="K386" s="182" t="s">
        <v>1971</v>
      </c>
      <c r="L386" s="182" t="s">
        <v>15</v>
      </c>
    </row>
    <row r="387" spans="1:12">
      <c r="A387" s="170" t="s">
        <v>1972</v>
      </c>
      <c r="B387" s="170" t="s">
        <v>1973</v>
      </c>
      <c r="C387" s="170"/>
      <c r="D387" s="170" t="s">
        <v>11</v>
      </c>
      <c r="E387" s="170" t="s">
        <v>12</v>
      </c>
      <c r="H387" s="207" t="s">
        <v>1974</v>
      </c>
      <c r="I387" s="182" t="s">
        <v>10</v>
      </c>
      <c r="J387" s="182" t="s">
        <v>1974</v>
      </c>
      <c r="K387" s="182" t="s">
        <v>1975</v>
      </c>
      <c r="L387" s="182" t="s">
        <v>53</v>
      </c>
    </row>
    <row r="388" spans="1:12">
      <c r="A388" s="170" t="s">
        <v>1976</v>
      </c>
      <c r="B388" s="170" t="s">
        <v>1977</v>
      </c>
      <c r="C388" s="208" t="s">
        <v>1978</v>
      </c>
      <c r="D388" s="170" t="s">
        <v>11</v>
      </c>
      <c r="E388" s="170" t="s">
        <v>12</v>
      </c>
      <c r="H388" s="207" t="s">
        <v>1979</v>
      </c>
      <c r="I388" s="182" t="s">
        <v>10</v>
      </c>
      <c r="J388" s="182" t="s">
        <v>1979</v>
      </c>
      <c r="K388" s="182" t="s">
        <v>1980</v>
      </c>
      <c r="L388" s="182" t="s">
        <v>19</v>
      </c>
    </row>
    <row r="389" spans="1:12">
      <c r="A389" s="170" t="s">
        <v>1981</v>
      </c>
      <c r="B389" s="170" t="s">
        <v>1982</v>
      </c>
      <c r="C389" s="208" t="s">
        <v>1983</v>
      </c>
      <c r="D389" s="170" t="s">
        <v>11</v>
      </c>
      <c r="E389" s="170" t="s">
        <v>12</v>
      </c>
      <c r="H389" s="207">
        <v>513965</v>
      </c>
      <c r="I389" s="182" t="s">
        <v>1984</v>
      </c>
      <c r="J389" s="182" t="s">
        <v>1985</v>
      </c>
      <c r="K389" s="182" t="s">
        <v>1986</v>
      </c>
      <c r="L389" s="182" t="s">
        <v>15</v>
      </c>
    </row>
    <row r="390" spans="1:15">
      <c r="A390" s="170" t="s">
        <v>1987</v>
      </c>
      <c r="B390" s="170" t="s">
        <v>1988</v>
      </c>
      <c r="C390" s="170"/>
      <c r="D390" s="170" t="s">
        <v>11</v>
      </c>
      <c r="E390" s="170" t="s">
        <v>12</v>
      </c>
      <c r="H390" s="207">
        <v>399867</v>
      </c>
      <c r="I390" s="182" t="s">
        <v>1989</v>
      </c>
      <c r="J390" s="182" t="s">
        <v>1990</v>
      </c>
      <c r="K390" s="182" t="s">
        <v>1991</v>
      </c>
      <c r="L390" s="182" t="s">
        <v>15</v>
      </c>
      <c r="O390" s="192"/>
    </row>
    <row r="391" spans="1:15">
      <c r="A391" s="170" t="s">
        <v>1992</v>
      </c>
      <c r="B391" s="170" t="s">
        <v>1993</v>
      </c>
      <c r="C391" s="208" t="s">
        <v>1994</v>
      </c>
      <c r="D391" s="170" t="s">
        <v>11</v>
      </c>
      <c r="E391" s="170" t="s">
        <v>12</v>
      </c>
      <c r="H391" s="207">
        <v>514351</v>
      </c>
      <c r="I391" s="182" t="s">
        <v>1995</v>
      </c>
      <c r="J391" s="182" t="s">
        <v>1996</v>
      </c>
      <c r="K391" s="182" t="s">
        <v>1997</v>
      </c>
      <c r="L391" s="182" t="s">
        <v>15</v>
      </c>
      <c r="O391" s="192"/>
    </row>
    <row r="392" spans="1:12">
      <c r="A392" s="170" t="s">
        <v>1998</v>
      </c>
      <c r="B392" s="170" t="s">
        <v>1999</v>
      </c>
      <c r="C392" s="170"/>
      <c r="D392" s="170" t="s">
        <v>11</v>
      </c>
      <c r="E392" s="170" t="s">
        <v>12</v>
      </c>
      <c r="H392" s="207">
        <v>486611</v>
      </c>
      <c r="I392" s="182" t="s">
        <v>2000</v>
      </c>
      <c r="J392" s="182" t="s">
        <v>2001</v>
      </c>
      <c r="K392" s="182" t="s">
        <v>2002</v>
      </c>
      <c r="L392" s="182" t="s">
        <v>15</v>
      </c>
    </row>
    <row r="393" spans="1:12">
      <c r="A393" s="200" t="s">
        <v>2003</v>
      </c>
      <c r="B393" s="200" t="s">
        <v>2004</v>
      </c>
      <c r="C393" s="200"/>
      <c r="D393" s="200" t="s">
        <v>11</v>
      </c>
      <c r="E393" s="200" t="s">
        <v>12</v>
      </c>
      <c r="H393" s="207">
        <v>351831</v>
      </c>
      <c r="I393" s="182" t="s">
        <v>2005</v>
      </c>
      <c r="J393" s="182" t="s">
        <v>2006</v>
      </c>
      <c r="K393" s="182" t="s">
        <v>2007</v>
      </c>
      <c r="L393" s="182" t="s">
        <v>15</v>
      </c>
    </row>
    <row r="394" spans="1:12">
      <c r="A394" s="200" t="s">
        <v>2008</v>
      </c>
      <c r="B394" s="200" t="s">
        <v>2009</v>
      </c>
      <c r="C394" s="210" t="s">
        <v>2010</v>
      </c>
      <c r="D394" s="200" t="s">
        <v>11</v>
      </c>
      <c r="E394" s="200" t="s">
        <v>12</v>
      </c>
      <c r="H394" s="207">
        <v>224912</v>
      </c>
      <c r="I394" s="182" t="s">
        <v>2011</v>
      </c>
      <c r="J394" s="182" t="s">
        <v>2012</v>
      </c>
      <c r="K394" s="182" t="s">
        <v>2013</v>
      </c>
      <c r="L394" s="182" t="s">
        <v>15</v>
      </c>
    </row>
    <row r="395" spans="1:12">
      <c r="A395" s="200" t="s">
        <v>2014</v>
      </c>
      <c r="B395" s="200" t="s">
        <v>2015</v>
      </c>
      <c r="C395" s="210" t="s">
        <v>2016</v>
      </c>
      <c r="D395" s="200" t="s">
        <v>11</v>
      </c>
      <c r="E395" s="200" t="s">
        <v>12</v>
      </c>
      <c r="H395" s="207">
        <v>514324</v>
      </c>
      <c r="I395" s="182" t="s">
        <v>2017</v>
      </c>
      <c r="J395" s="182" t="s">
        <v>2018</v>
      </c>
      <c r="K395" s="182" t="s">
        <v>2019</v>
      </c>
      <c r="L395" s="182" t="s">
        <v>15</v>
      </c>
    </row>
    <row r="396" spans="1:12">
      <c r="A396" s="200" t="s">
        <v>2020</v>
      </c>
      <c r="B396" s="200" t="s">
        <v>2021</v>
      </c>
      <c r="C396" s="210" t="s">
        <v>2022</v>
      </c>
      <c r="D396" s="200" t="s">
        <v>11</v>
      </c>
      <c r="E396" s="200" t="s">
        <v>12</v>
      </c>
      <c r="H396" s="207">
        <v>762295</v>
      </c>
      <c r="I396" s="182" t="s">
        <v>2023</v>
      </c>
      <c r="J396" s="182" t="s">
        <v>2024</v>
      </c>
      <c r="K396" s="182" t="s">
        <v>2025</v>
      </c>
      <c r="L396" s="182" t="s">
        <v>15</v>
      </c>
    </row>
    <row r="397" spans="1:12">
      <c r="A397" s="200" t="s">
        <v>2026</v>
      </c>
      <c r="B397" s="200" t="s">
        <v>2027</v>
      </c>
      <c r="C397" s="210" t="s">
        <v>6613</v>
      </c>
      <c r="D397" s="200" t="s">
        <v>11</v>
      </c>
      <c r="E397" s="200" t="s">
        <v>12</v>
      </c>
      <c r="H397" s="207">
        <v>501407</v>
      </c>
      <c r="I397" s="182" t="s">
        <v>2028</v>
      </c>
      <c r="J397" s="182" t="s">
        <v>2029</v>
      </c>
      <c r="K397" s="182" t="s">
        <v>2030</v>
      </c>
      <c r="L397" s="182" t="s">
        <v>15</v>
      </c>
    </row>
    <row r="398" spans="1:12">
      <c r="A398" s="200" t="s">
        <v>2031</v>
      </c>
      <c r="B398" s="200" t="s">
        <v>2032</v>
      </c>
      <c r="C398" s="210" t="s">
        <v>6614</v>
      </c>
      <c r="D398" s="200" t="s">
        <v>11</v>
      </c>
      <c r="E398" s="200" t="s">
        <v>12</v>
      </c>
      <c r="H398" s="207" t="s">
        <v>2033</v>
      </c>
      <c r="I398" s="182" t="s">
        <v>10</v>
      </c>
      <c r="J398" s="182" t="s">
        <v>2033</v>
      </c>
      <c r="K398" s="182" t="s">
        <v>2034</v>
      </c>
      <c r="L398" s="182" t="s">
        <v>53</v>
      </c>
    </row>
    <row r="399" spans="1:12">
      <c r="A399" s="200" t="s">
        <v>2035</v>
      </c>
      <c r="B399" s="200" t="s">
        <v>2036</v>
      </c>
      <c r="C399" s="210"/>
      <c r="D399" s="200" t="s">
        <v>11</v>
      </c>
      <c r="E399" s="200" t="s">
        <v>12</v>
      </c>
      <c r="H399" s="207">
        <v>450861</v>
      </c>
      <c r="I399" s="182" t="s">
        <v>2037</v>
      </c>
      <c r="J399" s="182" t="s">
        <v>2038</v>
      </c>
      <c r="K399" s="182"/>
      <c r="L399" s="182" t="s">
        <v>15</v>
      </c>
    </row>
    <row r="400" spans="1:12">
      <c r="A400" s="200" t="s">
        <v>2039</v>
      </c>
      <c r="B400" s="200" t="s">
        <v>2040</v>
      </c>
      <c r="C400" s="210" t="s">
        <v>2041</v>
      </c>
      <c r="D400" s="200" t="s">
        <v>11</v>
      </c>
      <c r="E400" s="200" t="s">
        <v>12</v>
      </c>
      <c r="H400" s="207">
        <v>462802</v>
      </c>
      <c r="I400" s="182" t="s">
        <v>2042</v>
      </c>
      <c r="J400" s="182" t="s">
        <v>2043</v>
      </c>
      <c r="K400" s="182"/>
      <c r="L400" s="182" t="s">
        <v>15</v>
      </c>
    </row>
    <row r="401" spans="1:12">
      <c r="A401" s="170" t="s">
        <v>2044</v>
      </c>
      <c r="B401" s="170" t="s">
        <v>2045</v>
      </c>
      <c r="C401" s="208" t="s">
        <v>2046</v>
      </c>
      <c r="D401" s="170" t="s">
        <v>11</v>
      </c>
      <c r="E401" s="170" t="s">
        <v>12</v>
      </c>
      <c r="H401" s="207">
        <v>503513</v>
      </c>
      <c r="I401" s="182" t="s">
        <v>2047</v>
      </c>
      <c r="J401" s="182" t="s">
        <v>2048</v>
      </c>
      <c r="K401" s="182" t="s">
        <v>2049</v>
      </c>
      <c r="L401" s="182" t="s">
        <v>15</v>
      </c>
    </row>
    <row r="402" spans="1:12">
      <c r="A402" s="170" t="s">
        <v>2050</v>
      </c>
      <c r="B402" s="170" t="s">
        <v>2051</v>
      </c>
      <c r="C402" s="170"/>
      <c r="D402" s="170" t="s">
        <v>11</v>
      </c>
      <c r="E402" s="170" t="s">
        <v>12</v>
      </c>
      <c r="H402" s="207">
        <v>494521</v>
      </c>
      <c r="I402" s="182" t="s">
        <v>2052</v>
      </c>
      <c r="J402" s="182" t="s">
        <v>2053</v>
      </c>
      <c r="K402" s="182" t="s">
        <v>2054</v>
      </c>
      <c r="L402" s="182" t="s">
        <v>15</v>
      </c>
    </row>
    <row r="403" spans="1:12">
      <c r="A403" s="170" t="s">
        <v>2055</v>
      </c>
      <c r="B403" s="170" t="s">
        <v>2056</v>
      </c>
      <c r="C403" s="208" t="s">
        <v>2057</v>
      </c>
      <c r="D403" s="170" t="s">
        <v>11</v>
      </c>
      <c r="E403" s="170" t="s">
        <v>12</v>
      </c>
      <c r="H403" s="207">
        <v>443003</v>
      </c>
      <c r="I403" s="182" t="s">
        <v>54</v>
      </c>
      <c r="J403" s="182" t="s">
        <v>2058</v>
      </c>
      <c r="K403" s="182" t="s">
        <v>2059</v>
      </c>
      <c r="L403" s="182" t="s">
        <v>15</v>
      </c>
    </row>
    <row r="404" spans="1:12">
      <c r="A404" s="170" t="s">
        <v>2060</v>
      </c>
      <c r="B404" s="170" t="s">
        <v>2061</v>
      </c>
      <c r="C404" s="170"/>
      <c r="D404" s="170" t="s">
        <v>11</v>
      </c>
      <c r="E404" s="170" t="s">
        <v>12</v>
      </c>
      <c r="H404" s="207">
        <v>411811</v>
      </c>
      <c r="I404" s="182" t="s">
        <v>2062</v>
      </c>
      <c r="J404" s="182" t="s">
        <v>2063</v>
      </c>
      <c r="K404" s="182" t="s">
        <v>2064</v>
      </c>
      <c r="L404" s="182" t="s">
        <v>15</v>
      </c>
    </row>
    <row r="405" spans="1:12">
      <c r="A405" s="170" t="s">
        <v>2065</v>
      </c>
      <c r="B405" s="170" t="s">
        <v>2066</v>
      </c>
      <c r="C405" s="170"/>
      <c r="D405" s="170" t="s">
        <v>11</v>
      </c>
      <c r="E405" s="170" t="s">
        <v>12</v>
      </c>
      <c r="H405" s="207">
        <v>452008</v>
      </c>
      <c r="I405" s="182" t="s">
        <v>2067</v>
      </c>
      <c r="J405" s="182" t="s">
        <v>2068</v>
      </c>
      <c r="K405" s="182" t="s">
        <v>2069</v>
      </c>
      <c r="L405" s="182" t="s">
        <v>15</v>
      </c>
    </row>
    <row r="406" spans="1:12">
      <c r="A406" s="170" t="s">
        <v>2070</v>
      </c>
      <c r="B406" s="170" t="s">
        <v>2071</v>
      </c>
      <c r="C406" s="208" t="s">
        <v>2072</v>
      </c>
      <c r="D406" s="170" t="s">
        <v>11</v>
      </c>
      <c r="E406" s="170" t="s">
        <v>12</v>
      </c>
      <c r="H406" s="207">
        <v>432465</v>
      </c>
      <c r="I406" s="182" t="s">
        <v>2073</v>
      </c>
      <c r="J406" s="182" t="s">
        <v>2074</v>
      </c>
      <c r="K406" s="182" t="s">
        <v>2075</v>
      </c>
      <c r="L406" s="182" t="s">
        <v>15</v>
      </c>
    </row>
    <row r="407" spans="1:12">
      <c r="A407" s="170" t="s">
        <v>2076</v>
      </c>
      <c r="B407" s="170" t="s">
        <v>2077</v>
      </c>
      <c r="C407" s="170"/>
      <c r="D407" s="170" t="s">
        <v>11</v>
      </c>
      <c r="E407" s="170" t="s">
        <v>12</v>
      </c>
      <c r="H407" s="207">
        <v>502077</v>
      </c>
      <c r="I407" s="182" t="s">
        <v>2078</v>
      </c>
      <c r="J407" s="182" t="s">
        <v>2079</v>
      </c>
      <c r="K407" s="182" t="s">
        <v>2080</v>
      </c>
      <c r="L407" s="182" t="s">
        <v>15</v>
      </c>
    </row>
    <row r="408" spans="1:12">
      <c r="A408" s="170" t="s">
        <v>2081</v>
      </c>
      <c r="B408" s="170" t="s">
        <v>2082</v>
      </c>
      <c r="C408" s="170"/>
      <c r="D408" s="170" t="s">
        <v>11</v>
      </c>
      <c r="E408" s="170" t="s">
        <v>12</v>
      </c>
      <c r="H408" s="207">
        <v>384615</v>
      </c>
      <c r="I408" s="182" t="s">
        <v>2083</v>
      </c>
      <c r="J408" s="182" t="s">
        <v>2084</v>
      </c>
      <c r="K408" s="182" t="s">
        <v>2085</v>
      </c>
      <c r="L408" s="182" t="s">
        <v>15</v>
      </c>
    </row>
    <row r="409" spans="1:12">
      <c r="A409" s="170" t="s">
        <v>2086</v>
      </c>
      <c r="B409" s="170" t="s">
        <v>2087</v>
      </c>
      <c r="C409" s="178" t="s">
        <v>10</v>
      </c>
      <c r="D409" s="170" t="s">
        <v>11</v>
      </c>
      <c r="E409" s="170" t="s">
        <v>12</v>
      </c>
      <c r="H409" s="207">
        <v>496387</v>
      </c>
      <c r="I409" s="182" t="s">
        <v>2088</v>
      </c>
      <c r="J409" s="182" t="s">
        <v>2089</v>
      </c>
      <c r="K409" s="182" t="s">
        <v>2090</v>
      </c>
      <c r="L409" s="182" t="s">
        <v>15</v>
      </c>
    </row>
    <row r="410" spans="1:12">
      <c r="A410" s="170" t="s">
        <v>2091</v>
      </c>
      <c r="B410" s="170" t="s">
        <v>2092</v>
      </c>
      <c r="C410" s="178" t="s">
        <v>10</v>
      </c>
      <c r="D410" s="170" t="s">
        <v>11</v>
      </c>
      <c r="E410" s="170" t="s">
        <v>12</v>
      </c>
      <c r="H410" s="207">
        <v>513938</v>
      </c>
      <c r="I410" s="182" t="s">
        <v>2093</v>
      </c>
      <c r="J410" s="182" t="s">
        <v>2094</v>
      </c>
      <c r="K410" s="182" t="s">
        <v>2095</v>
      </c>
      <c r="L410" s="182" t="s">
        <v>15</v>
      </c>
    </row>
    <row r="411" spans="1:12">
      <c r="A411" s="170" t="s">
        <v>2096</v>
      </c>
      <c r="B411" s="170" t="s">
        <v>2097</v>
      </c>
      <c r="C411" s="178" t="s">
        <v>10</v>
      </c>
      <c r="D411" s="170" t="s">
        <v>11</v>
      </c>
      <c r="E411" s="170" t="s">
        <v>12</v>
      </c>
      <c r="H411" s="207">
        <v>513694</v>
      </c>
      <c r="I411" s="182" t="s">
        <v>2098</v>
      </c>
      <c r="J411" s="182" t="s">
        <v>2099</v>
      </c>
      <c r="K411" s="182" t="s">
        <v>2100</v>
      </c>
      <c r="L411" s="182" t="s">
        <v>15</v>
      </c>
    </row>
    <row r="412" spans="1:12">
      <c r="A412" s="170" t="s">
        <v>2101</v>
      </c>
      <c r="B412" s="170" t="s">
        <v>2102</v>
      </c>
      <c r="C412" s="178" t="s">
        <v>10</v>
      </c>
      <c r="D412" s="170" t="s">
        <v>11</v>
      </c>
      <c r="E412" s="170" t="s">
        <v>12</v>
      </c>
      <c r="H412" s="207">
        <v>501174</v>
      </c>
      <c r="I412" s="182" t="s">
        <v>2103</v>
      </c>
      <c r="J412" s="182" t="s">
        <v>2104</v>
      </c>
      <c r="K412" s="182" t="s">
        <v>2105</v>
      </c>
      <c r="L412" s="182" t="s">
        <v>15</v>
      </c>
    </row>
    <row r="413" spans="1:12">
      <c r="A413" s="170" t="s">
        <v>2106</v>
      </c>
      <c r="B413" s="170" t="s">
        <v>2107</v>
      </c>
      <c r="C413" s="178" t="s">
        <v>10</v>
      </c>
      <c r="D413" s="170" t="s">
        <v>11</v>
      </c>
      <c r="E413" s="170" t="s">
        <v>12</v>
      </c>
      <c r="H413" s="207">
        <v>477038</v>
      </c>
      <c r="I413" s="182" t="s">
        <v>2108</v>
      </c>
      <c r="J413" s="182" t="s">
        <v>2109</v>
      </c>
      <c r="K413" s="182" t="s">
        <v>2110</v>
      </c>
      <c r="L413" s="182" t="s">
        <v>15</v>
      </c>
    </row>
    <row r="414" spans="1:12">
      <c r="A414" s="170" t="s">
        <v>2111</v>
      </c>
      <c r="B414" s="170" t="s">
        <v>2112</v>
      </c>
      <c r="C414" s="178" t="s">
        <v>10</v>
      </c>
      <c r="D414" s="170" t="s">
        <v>11</v>
      </c>
      <c r="E414" s="170" t="s">
        <v>12</v>
      </c>
      <c r="H414" s="207">
        <v>395126</v>
      </c>
      <c r="I414" s="182" t="s">
        <v>2113</v>
      </c>
      <c r="J414" s="182" t="s">
        <v>2114</v>
      </c>
      <c r="K414" s="182" t="s">
        <v>2115</v>
      </c>
      <c r="L414" s="182" t="s">
        <v>15</v>
      </c>
    </row>
    <row r="415" spans="1:12">
      <c r="A415" s="170" t="s">
        <v>2116</v>
      </c>
      <c r="B415" s="170" t="s">
        <v>2117</v>
      </c>
      <c r="C415" s="178" t="s">
        <v>10</v>
      </c>
      <c r="D415" s="170" t="s">
        <v>11</v>
      </c>
      <c r="E415" s="170" t="s">
        <v>12</v>
      </c>
      <c r="H415" s="207">
        <v>785639</v>
      </c>
      <c r="I415" s="182" t="s">
        <v>2118</v>
      </c>
      <c r="J415" s="182" t="s">
        <v>2119</v>
      </c>
      <c r="K415" s="182" t="s">
        <v>2120</v>
      </c>
      <c r="L415" s="182" t="s">
        <v>15</v>
      </c>
    </row>
    <row r="416" spans="1:12">
      <c r="A416" s="170" t="s">
        <v>2121</v>
      </c>
      <c r="B416" s="170" t="s">
        <v>2122</v>
      </c>
      <c r="C416" s="178" t="s">
        <v>10</v>
      </c>
      <c r="D416" s="170" t="s">
        <v>11</v>
      </c>
      <c r="E416" s="170" t="s">
        <v>12</v>
      </c>
      <c r="H416" s="207">
        <v>175778</v>
      </c>
      <c r="I416" s="182" t="s">
        <v>2123</v>
      </c>
      <c r="J416" s="182" t="s">
        <v>2124</v>
      </c>
      <c r="K416" s="182" t="s">
        <v>2125</v>
      </c>
      <c r="L416" s="182" t="s">
        <v>15</v>
      </c>
    </row>
    <row r="417" spans="1:12">
      <c r="A417" s="170" t="s">
        <v>2126</v>
      </c>
      <c r="B417" s="170" t="s">
        <v>2127</v>
      </c>
      <c r="C417" s="178" t="s">
        <v>10</v>
      </c>
      <c r="D417" s="170" t="s">
        <v>11</v>
      </c>
      <c r="E417" s="170" t="s">
        <v>12</v>
      </c>
      <c r="H417" s="207">
        <v>492799</v>
      </c>
      <c r="I417" s="182" t="s">
        <v>10</v>
      </c>
      <c r="J417" s="182" t="s">
        <v>2128</v>
      </c>
      <c r="K417" s="182" t="s">
        <v>2129</v>
      </c>
      <c r="L417" s="182" t="s">
        <v>447</v>
      </c>
    </row>
    <row r="418" spans="1:12">
      <c r="A418" s="170" t="s">
        <v>2130</v>
      </c>
      <c r="B418" s="170" t="s">
        <v>2131</v>
      </c>
      <c r="C418" s="178" t="s">
        <v>10</v>
      </c>
      <c r="D418" s="170" t="s">
        <v>11</v>
      </c>
      <c r="E418" s="170" t="s">
        <v>12</v>
      </c>
      <c r="H418" s="207">
        <v>399187</v>
      </c>
      <c r="I418" s="182" t="s">
        <v>2132</v>
      </c>
      <c r="J418" s="182" t="s">
        <v>2133</v>
      </c>
      <c r="K418" s="182" t="s">
        <v>2134</v>
      </c>
      <c r="L418" s="182" t="s">
        <v>15</v>
      </c>
    </row>
    <row r="419" spans="1:12">
      <c r="A419" s="170" t="s">
        <v>2135</v>
      </c>
      <c r="B419" s="170" t="s">
        <v>2136</v>
      </c>
      <c r="C419" s="178" t="s">
        <v>10</v>
      </c>
      <c r="D419" s="170" t="s">
        <v>11</v>
      </c>
      <c r="E419" s="170" t="s">
        <v>12</v>
      </c>
      <c r="H419" s="207">
        <v>589457</v>
      </c>
      <c r="I419" s="182" t="s">
        <v>2137</v>
      </c>
      <c r="J419" s="182" t="s">
        <v>2138</v>
      </c>
      <c r="K419" s="182" t="s">
        <v>2139</v>
      </c>
      <c r="L419" s="182" t="s">
        <v>369</v>
      </c>
    </row>
    <row r="420" spans="1:12">
      <c r="A420" s="170" t="s">
        <v>2140</v>
      </c>
      <c r="B420" s="170" t="s">
        <v>2141</v>
      </c>
      <c r="C420" s="178" t="s">
        <v>10</v>
      </c>
      <c r="D420" s="170" t="s">
        <v>11</v>
      </c>
      <c r="E420" s="170" t="s">
        <v>12</v>
      </c>
      <c r="H420" s="207">
        <v>473735</v>
      </c>
      <c r="I420" s="182" t="s">
        <v>2142</v>
      </c>
      <c r="J420" s="182" t="s">
        <v>2143</v>
      </c>
      <c r="K420" s="182" t="s">
        <v>2144</v>
      </c>
      <c r="L420" s="182" t="s">
        <v>15</v>
      </c>
    </row>
    <row r="421" spans="1:12">
      <c r="A421" s="170" t="s">
        <v>2145</v>
      </c>
      <c r="B421" s="170" t="s">
        <v>2146</v>
      </c>
      <c r="C421" s="208" t="s">
        <v>2147</v>
      </c>
      <c r="D421" s="170" t="s">
        <v>11</v>
      </c>
      <c r="E421" s="170" t="s">
        <v>12</v>
      </c>
      <c r="H421" s="207">
        <v>491955</v>
      </c>
      <c r="I421" s="182" t="s">
        <v>2148</v>
      </c>
      <c r="J421" s="182" t="s">
        <v>2149</v>
      </c>
      <c r="K421" s="182" t="s">
        <v>2150</v>
      </c>
      <c r="L421" s="182" t="s">
        <v>15</v>
      </c>
    </row>
    <row r="422" spans="1:12">
      <c r="A422" s="170" t="s">
        <v>2151</v>
      </c>
      <c r="B422" s="170" t="s">
        <v>2152</v>
      </c>
      <c r="C422" s="208" t="s">
        <v>2153</v>
      </c>
      <c r="D422" s="170" t="s">
        <v>11</v>
      </c>
      <c r="E422" s="170" t="s">
        <v>12</v>
      </c>
      <c r="H422" s="207">
        <v>468209</v>
      </c>
      <c r="I422" s="182" t="s">
        <v>2154</v>
      </c>
      <c r="J422" s="182" t="s">
        <v>2155</v>
      </c>
      <c r="K422" s="182" t="s">
        <v>2156</v>
      </c>
      <c r="L422" s="182" t="s">
        <v>15</v>
      </c>
    </row>
    <row r="423" spans="1:12">
      <c r="A423" s="170" t="s">
        <v>2157</v>
      </c>
      <c r="B423" s="170" t="s">
        <v>2158</v>
      </c>
      <c r="C423" s="170"/>
      <c r="D423" s="170" t="s">
        <v>11</v>
      </c>
      <c r="E423" s="170" t="s">
        <v>12</v>
      </c>
      <c r="H423" s="207">
        <v>447402</v>
      </c>
      <c r="I423" s="182" t="s">
        <v>2159</v>
      </c>
      <c r="J423" s="182" t="s">
        <v>2160</v>
      </c>
      <c r="K423" s="182" t="s">
        <v>2161</v>
      </c>
      <c r="L423" s="182" t="s">
        <v>15</v>
      </c>
    </row>
    <row r="424" spans="1:12">
      <c r="A424" s="170" t="s">
        <v>2162</v>
      </c>
      <c r="B424" s="170" t="s">
        <v>2163</v>
      </c>
      <c r="C424" s="208" t="s">
        <v>2164</v>
      </c>
      <c r="D424" s="170" t="s">
        <v>11</v>
      </c>
      <c r="E424" s="170" t="s">
        <v>12</v>
      </c>
      <c r="H424" s="207" t="s">
        <v>2165</v>
      </c>
      <c r="I424" s="182" t="s">
        <v>10</v>
      </c>
      <c r="J424" s="182" t="s">
        <v>2165</v>
      </c>
      <c r="K424" s="182" t="s">
        <v>2166</v>
      </c>
      <c r="L424" s="182" t="s">
        <v>19</v>
      </c>
    </row>
    <row r="425" spans="1:12">
      <c r="A425" s="170" t="s">
        <v>2167</v>
      </c>
      <c r="B425" s="170" t="s">
        <v>2168</v>
      </c>
      <c r="C425" s="208" t="s">
        <v>2169</v>
      </c>
      <c r="D425" s="170" t="s">
        <v>11</v>
      </c>
      <c r="E425" s="170" t="s">
        <v>12</v>
      </c>
      <c r="H425" s="207">
        <v>482466</v>
      </c>
      <c r="I425" s="182" t="s">
        <v>2170</v>
      </c>
      <c r="J425" s="182" t="s">
        <v>2171</v>
      </c>
      <c r="K425" s="182" t="s">
        <v>2172</v>
      </c>
      <c r="L425" s="182" t="s">
        <v>15</v>
      </c>
    </row>
    <row r="426" spans="1:12">
      <c r="A426" s="170" t="s">
        <v>2173</v>
      </c>
      <c r="B426" s="170" t="s">
        <v>2174</v>
      </c>
      <c r="C426" s="170"/>
      <c r="D426" s="170" t="s">
        <v>11</v>
      </c>
      <c r="E426" s="170" t="s">
        <v>12</v>
      </c>
      <c r="H426" s="207">
        <v>446996</v>
      </c>
      <c r="I426" s="182" t="s">
        <v>2175</v>
      </c>
      <c r="J426" s="182" t="s">
        <v>2176</v>
      </c>
      <c r="K426" s="182" t="s">
        <v>2177</v>
      </c>
      <c r="L426" s="182" t="s">
        <v>15</v>
      </c>
    </row>
    <row r="427" spans="1:12">
      <c r="A427" s="170" t="s">
        <v>2178</v>
      </c>
      <c r="B427" s="170" t="s">
        <v>2179</v>
      </c>
      <c r="C427" s="208" t="s">
        <v>2180</v>
      </c>
      <c r="D427" s="170" t="s">
        <v>11</v>
      </c>
      <c r="E427" s="170" t="s">
        <v>12</v>
      </c>
      <c r="H427" s="207">
        <v>508997</v>
      </c>
      <c r="I427" s="182" t="s">
        <v>2181</v>
      </c>
      <c r="J427" s="182" t="s">
        <v>2182</v>
      </c>
      <c r="K427" s="182" t="s">
        <v>2183</v>
      </c>
      <c r="L427" s="182" t="s">
        <v>15</v>
      </c>
    </row>
    <row r="428" spans="1:12">
      <c r="A428" s="170" t="s">
        <v>2184</v>
      </c>
      <c r="B428" s="170" t="s">
        <v>2185</v>
      </c>
      <c r="C428" s="208" t="s">
        <v>2186</v>
      </c>
      <c r="D428" s="170" t="s">
        <v>11</v>
      </c>
      <c r="E428" s="170" t="s">
        <v>12</v>
      </c>
      <c r="H428" s="207">
        <v>519350</v>
      </c>
      <c r="I428" s="182" t="s">
        <v>2187</v>
      </c>
      <c r="J428" s="182" t="s">
        <v>2188</v>
      </c>
      <c r="K428" s="182" t="s">
        <v>2189</v>
      </c>
      <c r="L428" s="182" t="s">
        <v>15</v>
      </c>
    </row>
    <row r="429" spans="1:12">
      <c r="A429" s="170" t="s">
        <v>2190</v>
      </c>
      <c r="B429" s="170" t="s">
        <v>2191</v>
      </c>
      <c r="C429" s="170"/>
      <c r="D429" s="170" t="s">
        <v>11</v>
      </c>
      <c r="E429" s="170" t="s">
        <v>12</v>
      </c>
      <c r="H429" s="207">
        <v>456318</v>
      </c>
      <c r="I429" s="182" t="s">
        <v>2192</v>
      </c>
      <c r="J429" s="182" t="s">
        <v>2193</v>
      </c>
      <c r="K429" s="182" t="s">
        <v>2194</v>
      </c>
      <c r="L429" s="182" t="s">
        <v>15</v>
      </c>
    </row>
    <row r="430" spans="1:12">
      <c r="A430" s="170" t="s">
        <v>2195</v>
      </c>
      <c r="B430" s="170" t="s">
        <v>2196</v>
      </c>
      <c r="C430" s="208" t="s">
        <v>2197</v>
      </c>
      <c r="D430" s="170" t="s">
        <v>11</v>
      </c>
      <c r="E430" s="170" t="s">
        <v>12</v>
      </c>
      <c r="H430" s="207">
        <v>223880</v>
      </c>
      <c r="I430" s="182" t="s">
        <v>2198</v>
      </c>
      <c r="J430" s="182" t="s">
        <v>2199</v>
      </c>
      <c r="K430" s="182"/>
      <c r="L430" s="182" t="s">
        <v>15</v>
      </c>
    </row>
    <row r="431" spans="1:12">
      <c r="A431" s="170" t="s">
        <v>2200</v>
      </c>
      <c r="B431" s="170" t="s">
        <v>2201</v>
      </c>
      <c r="C431" s="208" t="s">
        <v>2202</v>
      </c>
      <c r="D431" s="170" t="s">
        <v>11</v>
      </c>
      <c r="E431" s="170" t="s">
        <v>12</v>
      </c>
      <c r="H431" s="207">
        <v>162351</v>
      </c>
      <c r="I431" s="182" t="s">
        <v>2203</v>
      </c>
      <c r="J431" s="182" t="s">
        <v>2204</v>
      </c>
      <c r="K431" s="182" t="s">
        <v>2205</v>
      </c>
      <c r="L431" s="182" t="s">
        <v>15</v>
      </c>
    </row>
    <row r="432" spans="1:12">
      <c r="A432" s="170" t="s">
        <v>2206</v>
      </c>
      <c r="B432" s="170" t="s">
        <v>2207</v>
      </c>
      <c r="C432" s="170"/>
      <c r="D432" s="170" t="s">
        <v>11</v>
      </c>
      <c r="E432" s="170" t="s">
        <v>12</v>
      </c>
      <c r="H432" s="207">
        <v>477005</v>
      </c>
      <c r="I432" s="182" t="s">
        <v>2208</v>
      </c>
      <c r="J432" s="182" t="s">
        <v>2209</v>
      </c>
      <c r="K432" s="182" t="s">
        <v>2210</v>
      </c>
      <c r="L432" s="182" t="s">
        <v>15</v>
      </c>
    </row>
    <row r="433" spans="1:12">
      <c r="A433" s="170" t="s">
        <v>2211</v>
      </c>
      <c r="B433" s="170" t="s">
        <v>2212</v>
      </c>
      <c r="C433" s="208" t="s">
        <v>2213</v>
      </c>
      <c r="D433" s="170" t="s">
        <v>11</v>
      </c>
      <c r="E433" s="170" t="s">
        <v>12</v>
      </c>
      <c r="H433" s="207" t="s">
        <v>2214</v>
      </c>
      <c r="I433" s="182" t="s">
        <v>10</v>
      </c>
      <c r="J433" s="182" t="s">
        <v>2214</v>
      </c>
      <c r="K433" s="182" t="s">
        <v>2215</v>
      </c>
      <c r="L433" s="182" t="s">
        <v>53</v>
      </c>
    </row>
    <row r="434" spans="1:12">
      <c r="A434" s="170" t="s">
        <v>2216</v>
      </c>
      <c r="B434" s="170" t="s">
        <v>2217</v>
      </c>
      <c r="C434" s="208" t="s">
        <v>2218</v>
      </c>
      <c r="D434" s="170" t="s">
        <v>11</v>
      </c>
      <c r="E434" s="170" t="s">
        <v>12</v>
      </c>
      <c r="H434" s="207">
        <v>513446</v>
      </c>
      <c r="I434" s="182" t="s">
        <v>2219</v>
      </c>
      <c r="J434" s="182" t="s">
        <v>2220</v>
      </c>
      <c r="K434" s="182" t="s">
        <v>2221</v>
      </c>
      <c r="L434" s="182" t="s">
        <v>15</v>
      </c>
    </row>
    <row r="435" spans="1:12">
      <c r="A435" s="170" t="s">
        <v>2222</v>
      </c>
      <c r="B435" s="170" t="s">
        <v>2223</v>
      </c>
      <c r="C435" s="170"/>
      <c r="D435" s="170" t="s">
        <v>11</v>
      </c>
      <c r="E435" s="170" t="s">
        <v>12</v>
      </c>
      <c r="H435" s="207">
        <v>441628</v>
      </c>
      <c r="I435" s="182" t="s">
        <v>2224</v>
      </c>
      <c r="J435" s="182" t="s">
        <v>2225</v>
      </c>
      <c r="K435" s="182" t="s">
        <v>2226</v>
      </c>
      <c r="L435" s="182" t="s">
        <v>15</v>
      </c>
    </row>
    <row r="436" spans="1:12">
      <c r="A436" s="170" t="s">
        <v>2227</v>
      </c>
      <c r="B436" s="170" t="s">
        <v>2228</v>
      </c>
      <c r="C436" s="208" t="s">
        <v>2229</v>
      </c>
      <c r="D436" s="170" t="s">
        <v>11</v>
      </c>
      <c r="E436" s="170" t="s">
        <v>12</v>
      </c>
      <c r="H436" s="207">
        <v>455509</v>
      </c>
      <c r="I436" s="182" t="s">
        <v>2230</v>
      </c>
      <c r="J436" s="182" t="s">
        <v>2231</v>
      </c>
      <c r="K436" s="182" t="s">
        <v>2232</v>
      </c>
      <c r="L436" s="182" t="s">
        <v>15</v>
      </c>
    </row>
    <row r="437" spans="1:12">
      <c r="A437" s="170" t="s">
        <v>2233</v>
      </c>
      <c r="B437" s="170" t="s">
        <v>2234</v>
      </c>
      <c r="C437" s="208" t="s">
        <v>2235</v>
      </c>
      <c r="D437" s="170" t="s">
        <v>11</v>
      </c>
      <c r="E437" s="170" t="s">
        <v>12</v>
      </c>
      <c r="H437" s="207">
        <v>512980</v>
      </c>
      <c r="I437" s="182" t="s">
        <v>2236</v>
      </c>
      <c r="J437" s="182" t="s">
        <v>2237</v>
      </c>
      <c r="K437" s="182" t="s">
        <v>2238</v>
      </c>
      <c r="L437" s="182" t="s">
        <v>15</v>
      </c>
    </row>
    <row r="438" spans="1:12">
      <c r="A438" s="170" t="s">
        <v>2239</v>
      </c>
      <c r="B438" s="170" t="s">
        <v>2240</v>
      </c>
      <c r="C438" s="170"/>
      <c r="D438" s="170" t="s">
        <v>11</v>
      </c>
      <c r="E438" s="170" t="s">
        <v>12</v>
      </c>
      <c r="H438" s="207">
        <v>497745</v>
      </c>
      <c r="I438" s="182" t="s">
        <v>2241</v>
      </c>
      <c r="J438" s="182" t="s">
        <v>2242</v>
      </c>
      <c r="K438" s="182"/>
      <c r="L438" s="182" t="s">
        <v>15</v>
      </c>
    </row>
    <row r="439" spans="1:12">
      <c r="A439" s="170" t="s">
        <v>2243</v>
      </c>
      <c r="B439" s="170" t="s">
        <v>2244</v>
      </c>
      <c r="C439" s="208" t="s">
        <v>2245</v>
      </c>
      <c r="D439" s="170" t="s">
        <v>11</v>
      </c>
      <c r="E439" s="170" t="s">
        <v>12</v>
      </c>
      <c r="H439" s="207">
        <v>497673</v>
      </c>
      <c r="I439" s="182" t="s">
        <v>2246</v>
      </c>
      <c r="J439" s="182" t="s">
        <v>2247</v>
      </c>
      <c r="K439" s="182" t="s">
        <v>2248</v>
      </c>
      <c r="L439" s="182" t="s">
        <v>15</v>
      </c>
    </row>
    <row r="440" spans="1:12">
      <c r="A440" s="170" t="s">
        <v>2249</v>
      </c>
      <c r="B440" s="170" t="s">
        <v>2250</v>
      </c>
      <c r="C440" s="208" t="s">
        <v>2251</v>
      </c>
      <c r="D440" s="170" t="s">
        <v>11</v>
      </c>
      <c r="E440" s="170" t="s">
        <v>12</v>
      </c>
      <c r="H440" s="207" t="s">
        <v>10</v>
      </c>
      <c r="I440" s="182" t="s">
        <v>10</v>
      </c>
      <c r="J440" s="182" t="s">
        <v>2252</v>
      </c>
      <c r="K440" s="182" t="s">
        <v>2253</v>
      </c>
      <c r="L440" s="182" t="s">
        <v>53</v>
      </c>
    </row>
    <row r="441" spans="1:12">
      <c r="A441" s="170" t="s">
        <v>2254</v>
      </c>
      <c r="B441" s="170" t="s">
        <v>2255</v>
      </c>
      <c r="C441" s="170"/>
      <c r="D441" s="170" t="s">
        <v>11</v>
      </c>
      <c r="E441" s="170" t="s">
        <v>12</v>
      </c>
      <c r="H441" s="207">
        <v>475050</v>
      </c>
      <c r="I441" s="182" t="s">
        <v>2256</v>
      </c>
      <c r="J441" s="182" t="s">
        <v>2257</v>
      </c>
      <c r="K441" s="182" t="s">
        <v>2258</v>
      </c>
      <c r="L441" s="182" t="s">
        <v>15</v>
      </c>
    </row>
    <row r="442" spans="1:12">
      <c r="A442" s="170" t="s">
        <v>2259</v>
      </c>
      <c r="B442" s="170" t="s">
        <v>2260</v>
      </c>
      <c r="C442" s="208" t="s">
        <v>2261</v>
      </c>
      <c r="D442" s="170" t="s">
        <v>11</v>
      </c>
      <c r="E442" s="170" t="s">
        <v>12</v>
      </c>
      <c r="H442" s="207">
        <v>518229</v>
      </c>
      <c r="I442" s="182" t="s">
        <v>2262</v>
      </c>
      <c r="J442" s="182" t="s">
        <v>2263</v>
      </c>
      <c r="K442" s="182"/>
      <c r="L442" s="182" t="s">
        <v>15</v>
      </c>
    </row>
    <row r="443" spans="1:12">
      <c r="A443" s="170" t="s">
        <v>2265</v>
      </c>
      <c r="B443" s="170" t="s">
        <v>2266</v>
      </c>
      <c r="C443" s="208" t="s">
        <v>2267</v>
      </c>
      <c r="D443" s="170" t="s">
        <v>11</v>
      </c>
      <c r="E443" s="170" t="s">
        <v>12</v>
      </c>
      <c r="H443" s="207" t="s">
        <v>2268</v>
      </c>
      <c r="I443" s="182" t="s">
        <v>10</v>
      </c>
      <c r="J443" s="182" t="s">
        <v>2268</v>
      </c>
      <c r="K443" s="182" t="s">
        <v>2269</v>
      </c>
      <c r="L443" s="182" t="s">
        <v>53</v>
      </c>
    </row>
    <row r="444" spans="1:12">
      <c r="A444" s="170" t="s">
        <v>2270</v>
      </c>
      <c r="B444" s="170" t="s">
        <v>2264</v>
      </c>
      <c r="C444" s="170"/>
      <c r="D444" s="170" t="s">
        <v>11</v>
      </c>
      <c r="E444" s="170" t="s">
        <v>12</v>
      </c>
      <c r="H444" s="207">
        <v>496858</v>
      </c>
      <c r="I444" s="182" t="s">
        <v>2271</v>
      </c>
      <c r="J444" s="182" t="s">
        <v>2272</v>
      </c>
      <c r="K444" s="182" t="s">
        <v>2273</v>
      </c>
      <c r="L444" s="182" t="s">
        <v>15</v>
      </c>
    </row>
    <row r="445" spans="1:12">
      <c r="A445" s="170" t="s">
        <v>2274</v>
      </c>
      <c r="B445" s="170" t="s">
        <v>2275</v>
      </c>
      <c r="C445" s="225" t="s">
        <v>2276</v>
      </c>
      <c r="D445" s="170" t="s">
        <v>11</v>
      </c>
      <c r="E445" s="170" t="s">
        <v>12</v>
      </c>
      <c r="H445" s="207">
        <v>468237</v>
      </c>
      <c r="I445" s="182" t="s">
        <v>2277</v>
      </c>
      <c r="J445" s="182" t="s">
        <v>2278</v>
      </c>
      <c r="K445" s="182" t="s">
        <v>2279</v>
      </c>
      <c r="L445" s="182" t="s">
        <v>15</v>
      </c>
    </row>
    <row r="446" spans="1:12">
      <c r="A446" s="170" t="s">
        <v>2280</v>
      </c>
      <c r="B446" s="170" t="s">
        <v>2281</v>
      </c>
      <c r="C446" s="225" t="s">
        <v>2282</v>
      </c>
      <c r="D446" s="170" t="s">
        <v>11</v>
      </c>
      <c r="E446" s="170" t="s">
        <v>12</v>
      </c>
      <c r="H446" s="207">
        <v>429530</v>
      </c>
      <c r="I446" s="182" t="s">
        <v>2283</v>
      </c>
      <c r="J446" s="182" t="s">
        <v>2284</v>
      </c>
      <c r="K446" s="182" t="s">
        <v>2285</v>
      </c>
      <c r="L446" s="182" t="s">
        <v>15</v>
      </c>
    </row>
    <row r="447" spans="1:12">
      <c r="A447" s="170" t="s">
        <v>2286</v>
      </c>
      <c r="B447" s="170" t="s">
        <v>2287</v>
      </c>
      <c r="C447" s="170"/>
      <c r="D447" s="170" t="s">
        <v>11</v>
      </c>
      <c r="E447" s="170" t="s">
        <v>12</v>
      </c>
      <c r="H447" s="207">
        <v>485211</v>
      </c>
      <c r="I447" s="182" t="s">
        <v>2288</v>
      </c>
      <c r="J447" s="182" t="s">
        <v>2289</v>
      </c>
      <c r="K447" s="182" t="s">
        <v>2290</v>
      </c>
      <c r="L447" s="182" t="s">
        <v>15</v>
      </c>
    </row>
    <row r="448" spans="1:12">
      <c r="A448" s="170" t="s">
        <v>2291</v>
      </c>
      <c r="B448" s="170" t="s">
        <v>2292</v>
      </c>
      <c r="C448" s="225" t="s">
        <v>2293</v>
      </c>
      <c r="D448" s="170" t="s">
        <v>11</v>
      </c>
      <c r="E448" s="170" t="s">
        <v>12</v>
      </c>
      <c r="H448" s="207">
        <v>496586</v>
      </c>
      <c r="I448" s="182" t="s">
        <v>2294</v>
      </c>
      <c r="J448" s="182" t="s">
        <v>2295</v>
      </c>
      <c r="K448" s="182" t="s">
        <v>2296</v>
      </c>
      <c r="L448" s="182" t="s">
        <v>15</v>
      </c>
    </row>
    <row r="449" spans="1:12">
      <c r="A449" s="170" t="s">
        <v>2297</v>
      </c>
      <c r="B449" s="170" t="s">
        <v>2298</v>
      </c>
      <c r="C449" s="225" t="s">
        <v>2299</v>
      </c>
      <c r="D449" s="170" t="s">
        <v>11</v>
      </c>
      <c r="E449" s="170" t="s">
        <v>12</v>
      </c>
      <c r="H449" s="207">
        <v>462952</v>
      </c>
      <c r="I449" s="182" t="s">
        <v>2300</v>
      </c>
      <c r="J449" s="182" t="s">
        <v>2301</v>
      </c>
      <c r="K449" s="182" t="s">
        <v>2302</v>
      </c>
      <c r="L449" s="182" t="s">
        <v>15</v>
      </c>
    </row>
    <row r="450" spans="1:12">
      <c r="A450" s="170" t="s">
        <v>2303</v>
      </c>
      <c r="B450" s="170" t="s">
        <v>2304</v>
      </c>
      <c r="C450" s="170"/>
      <c r="D450" s="170" t="s">
        <v>11</v>
      </c>
      <c r="E450" s="170" t="s">
        <v>12</v>
      </c>
      <c r="H450" s="207">
        <v>404301</v>
      </c>
      <c r="I450" s="182" t="s">
        <v>2305</v>
      </c>
      <c r="J450" s="182" t="s">
        <v>2306</v>
      </c>
      <c r="K450" s="182" t="s">
        <v>2307</v>
      </c>
      <c r="L450" s="182" t="s">
        <v>15</v>
      </c>
    </row>
    <row r="451" spans="1:12">
      <c r="A451" s="170" t="s">
        <v>2308</v>
      </c>
      <c r="B451" s="170" t="s">
        <v>2309</v>
      </c>
      <c r="C451" s="226" t="s">
        <v>2310</v>
      </c>
      <c r="D451" s="170" t="s">
        <v>11</v>
      </c>
      <c r="E451" s="170" t="s">
        <v>12</v>
      </c>
      <c r="H451" s="207">
        <v>481859</v>
      </c>
      <c r="I451" s="182" t="s">
        <v>2311</v>
      </c>
      <c r="J451" s="182" t="s">
        <v>2312</v>
      </c>
      <c r="K451" s="182" t="s">
        <v>2313</v>
      </c>
      <c r="L451" s="182" t="s">
        <v>15</v>
      </c>
    </row>
    <row r="452" spans="1:12">
      <c r="A452" s="170" t="s">
        <v>2314</v>
      </c>
      <c r="B452" s="170" t="s">
        <v>2315</v>
      </c>
      <c r="C452" s="226" t="s">
        <v>2316</v>
      </c>
      <c r="D452" s="170" t="s">
        <v>11</v>
      </c>
      <c r="E452" s="170" t="s">
        <v>12</v>
      </c>
      <c r="H452" s="207" t="s">
        <v>2317</v>
      </c>
      <c r="I452" s="182" t="s">
        <v>10</v>
      </c>
      <c r="J452" s="182" t="s">
        <v>2317</v>
      </c>
      <c r="K452" s="182" t="s">
        <v>2318</v>
      </c>
      <c r="L452" s="182" t="s">
        <v>53</v>
      </c>
    </row>
    <row r="453" spans="1:12">
      <c r="A453" s="170" t="s">
        <v>2319</v>
      </c>
      <c r="B453" s="170" t="s">
        <v>2320</v>
      </c>
      <c r="C453" s="170"/>
      <c r="D453" s="170" t="s">
        <v>11</v>
      </c>
      <c r="E453" s="170" t="s">
        <v>12</v>
      </c>
      <c r="H453" s="207" t="s">
        <v>2321</v>
      </c>
      <c r="I453" s="182" t="s">
        <v>10</v>
      </c>
      <c r="J453" s="182" t="s">
        <v>2321</v>
      </c>
      <c r="K453" s="182" t="s">
        <v>2322</v>
      </c>
      <c r="L453" s="182" t="s">
        <v>19</v>
      </c>
    </row>
    <row r="454" spans="1:12">
      <c r="A454" s="170" t="s">
        <v>2323</v>
      </c>
      <c r="B454" s="170" t="s">
        <v>2324</v>
      </c>
      <c r="C454" s="226" t="s">
        <v>2325</v>
      </c>
      <c r="D454" s="170" t="s">
        <v>11</v>
      </c>
      <c r="E454" s="170" t="s">
        <v>12</v>
      </c>
      <c r="H454" s="207">
        <v>415376</v>
      </c>
      <c r="I454" s="182" t="s">
        <v>2326</v>
      </c>
      <c r="J454" s="182" t="s">
        <v>2327</v>
      </c>
      <c r="K454" s="182" t="s">
        <v>2328</v>
      </c>
      <c r="L454" s="182" t="s">
        <v>15</v>
      </c>
    </row>
    <row r="455" spans="1:12">
      <c r="A455" s="170" t="s">
        <v>2329</v>
      </c>
      <c r="B455" s="170" t="s">
        <v>2330</v>
      </c>
      <c r="C455" s="225" t="s">
        <v>2331</v>
      </c>
      <c r="D455" s="170" t="s">
        <v>11</v>
      </c>
      <c r="E455" s="170" t="s">
        <v>12</v>
      </c>
      <c r="H455" s="207" t="s">
        <v>2332</v>
      </c>
      <c r="I455" s="182" t="s">
        <v>10</v>
      </c>
      <c r="J455" s="182" t="s">
        <v>2332</v>
      </c>
      <c r="K455" s="182" t="s">
        <v>2333</v>
      </c>
      <c r="L455" s="182" t="s">
        <v>53</v>
      </c>
    </row>
    <row r="456" spans="1:12">
      <c r="A456" s="170" t="s">
        <v>2334</v>
      </c>
      <c r="B456" s="170" t="s">
        <v>2335</v>
      </c>
      <c r="C456" s="170"/>
      <c r="D456" s="170" t="s">
        <v>11</v>
      </c>
      <c r="E456" s="170" t="s">
        <v>12</v>
      </c>
      <c r="H456" s="207">
        <v>465679</v>
      </c>
      <c r="I456" s="182" t="s">
        <v>2336</v>
      </c>
      <c r="J456" s="182" t="s">
        <v>2337</v>
      </c>
      <c r="K456" s="182" t="s">
        <v>2338</v>
      </c>
      <c r="L456" s="182" t="s">
        <v>15</v>
      </c>
    </row>
    <row r="457" spans="1:12">
      <c r="A457" s="170" t="s">
        <v>2339</v>
      </c>
      <c r="B457" s="170" t="s">
        <v>2340</v>
      </c>
      <c r="C457" s="225" t="s">
        <v>2341</v>
      </c>
      <c r="D457" s="170" t="s">
        <v>11</v>
      </c>
      <c r="E457" s="170" t="s">
        <v>12</v>
      </c>
      <c r="H457" s="207">
        <v>217686</v>
      </c>
      <c r="I457" s="182" t="s">
        <v>2342</v>
      </c>
      <c r="J457" s="182" t="s">
        <v>2343</v>
      </c>
      <c r="K457" s="182" t="s">
        <v>2344</v>
      </c>
      <c r="L457" s="182" t="s">
        <v>15</v>
      </c>
    </row>
    <row r="458" spans="1:12">
      <c r="A458" s="170" t="s">
        <v>2345</v>
      </c>
      <c r="B458" s="170" t="s">
        <v>2346</v>
      </c>
      <c r="C458" s="225" t="s">
        <v>2347</v>
      </c>
      <c r="D458" s="170" t="s">
        <v>11</v>
      </c>
      <c r="E458" s="170" t="s">
        <v>12</v>
      </c>
      <c r="H458" s="207">
        <v>500885</v>
      </c>
      <c r="I458" s="182" t="s">
        <v>2348</v>
      </c>
      <c r="J458" s="182" t="s">
        <v>2349</v>
      </c>
      <c r="K458" s="182" t="s">
        <v>2350</v>
      </c>
      <c r="L458" s="182" t="s">
        <v>15</v>
      </c>
    </row>
    <row r="459" spans="1:12">
      <c r="A459" s="170" t="s">
        <v>2351</v>
      </c>
      <c r="B459" s="170" t="s">
        <v>2352</v>
      </c>
      <c r="C459" s="170"/>
      <c r="D459" s="170" t="s">
        <v>11</v>
      </c>
      <c r="E459" s="170" t="s">
        <v>12</v>
      </c>
      <c r="H459" s="207">
        <v>447084</v>
      </c>
      <c r="I459" s="182" t="s">
        <v>2353</v>
      </c>
      <c r="J459" s="182" t="s">
        <v>2354</v>
      </c>
      <c r="K459" s="182" t="s">
        <v>2355</v>
      </c>
      <c r="L459" s="182" t="s">
        <v>15</v>
      </c>
    </row>
    <row r="460" spans="1:12">
      <c r="A460" s="170" t="s">
        <v>2356</v>
      </c>
      <c r="B460" s="170" t="s">
        <v>2357</v>
      </c>
      <c r="C460" s="225" t="s">
        <v>2358</v>
      </c>
      <c r="D460" s="170" t="s">
        <v>11</v>
      </c>
      <c r="E460" s="170" t="s">
        <v>12</v>
      </c>
      <c r="H460" s="207" t="s">
        <v>2359</v>
      </c>
      <c r="I460" s="182" t="s">
        <v>10</v>
      </c>
      <c r="J460" s="182" t="s">
        <v>2359</v>
      </c>
      <c r="K460" s="182" t="s">
        <v>2360</v>
      </c>
      <c r="L460" s="182" t="s">
        <v>53</v>
      </c>
    </row>
    <row r="461" spans="1:12">
      <c r="A461" s="170" t="s">
        <v>2361</v>
      </c>
      <c r="B461" s="170" t="s">
        <v>2362</v>
      </c>
      <c r="C461" s="225" t="s">
        <v>2363</v>
      </c>
      <c r="D461" s="170" t="s">
        <v>11</v>
      </c>
      <c r="E461" s="170" t="s">
        <v>12</v>
      </c>
      <c r="H461" s="207" t="s">
        <v>2364</v>
      </c>
      <c r="I461" s="182" t="s">
        <v>10</v>
      </c>
      <c r="J461" s="182" t="s">
        <v>2364</v>
      </c>
      <c r="K461" s="182" t="s">
        <v>2365</v>
      </c>
      <c r="L461" s="182" t="s">
        <v>53</v>
      </c>
    </row>
    <row r="462" spans="1:12">
      <c r="A462" s="170" t="s">
        <v>2366</v>
      </c>
      <c r="B462" s="170" t="s">
        <v>2367</v>
      </c>
      <c r="C462" s="170"/>
      <c r="D462" s="170" t="s">
        <v>11</v>
      </c>
      <c r="E462" s="170" t="s">
        <v>12</v>
      </c>
      <c r="H462" s="207">
        <v>360359</v>
      </c>
      <c r="I462" s="182" t="s">
        <v>2368</v>
      </c>
      <c r="J462" s="182" t="s">
        <v>2369</v>
      </c>
      <c r="K462" s="182" t="s">
        <v>2370</v>
      </c>
      <c r="L462" s="182" t="s">
        <v>15</v>
      </c>
    </row>
    <row r="463" spans="1:12">
      <c r="A463" s="170" t="s">
        <v>2371</v>
      </c>
      <c r="B463" s="170" t="s">
        <v>6615</v>
      </c>
      <c r="C463" s="208" t="s">
        <v>2373</v>
      </c>
      <c r="D463" s="170" t="s">
        <v>11</v>
      </c>
      <c r="E463" s="170" t="s">
        <v>12</v>
      </c>
      <c r="H463" s="207">
        <v>496307</v>
      </c>
      <c r="I463" s="182" t="s">
        <v>2374</v>
      </c>
      <c r="J463" s="182" t="s">
        <v>2375</v>
      </c>
      <c r="K463" s="182"/>
      <c r="L463" s="182" t="s">
        <v>15</v>
      </c>
    </row>
    <row r="464" spans="1:12">
      <c r="A464" s="170" t="s">
        <v>2376</v>
      </c>
      <c r="B464" s="170" t="s">
        <v>2377</v>
      </c>
      <c r="C464" s="208" t="s">
        <v>2378</v>
      </c>
      <c r="D464" s="170" t="s">
        <v>11</v>
      </c>
      <c r="E464" s="170" t="s">
        <v>12</v>
      </c>
      <c r="H464" s="207">
        <v>975913</v>
      </c>
      <c r="I464" s="182" t="s">
        <v>2379</v>
      </c>
      <c r="J464" s="182" t="s">
        <v>2380</v>
      </c>
      <c r="K464" s="182" t="s">
        <v>2381</v>
      </c>
      <c r="L464" s="182" t="s">
        <v>15</v>
      </c>
    </row>
    <row r="465" spans="1:12">
      <c r="A465" s="170" t="s">
        <v>2382</v>
      </c>
      <c r="B465" s="170" t="s">
        <v>2372</v>
      </c>
      <c r="C465" s="170"/>
      <c r="D465" s="170" t="s">
        <v>11</v>
      </c>
      <c r="E465" s="170" t="s">
        <v>12</v>
      </c>
      <c r="H465" s="207">
        <v>514204</v>
      </c>
      <c r="I465" s="182" t="s">
        <v>2383</v>
      </c>
      <c r="J465" s="182" t="s">
        <v>2384</v>
      </c>
      <c r="K465" s="182" t="s">
        <v>2385</v>
      </c>
      <c r="L465" s="182" t="s">
        <v>15</v>
      </c>
    </row>
    <row r="466" spans="1:12">
      <c r="A466" s="170" t="s">
        <v>2386</v>
      </c>
      <c r="B466" s="170" t="s">
        <v>2387</v>
      </c>
      <c r="C466" s="208" t="s">
        <v>2388</v>
      </c>
      <c r="D466" s="170" t="s">
        <v>11</v>
      </c>
      <c r="E466" s="170" t="s">
        <v>12</v>
      </c>
      <c r="H466" s="207">
        <v>476158</v>
      </c>
      <c r="I466" s="182" t="s">
        <v>2389</v>
      </c>
      <c r="J466" s="182" t="s">
        <v>2390</v>
      </c>
      <c r="K466" s="182" t="s">
        <v>2391</v>
      </c>
      <c r="L466" s="182" t="s">
        <v>15</v>
      </c>
    </row>
    <row r="467" spans="1:12">
      <c r="A467" s="170" t="s">
        <v>2392</v>
      </c>
      <c r="B467" s="170" t="s">
        <v>2393</v>
      </c>
      <c r="C467" s="208" t="s">
        <v>2394</v>
      </c>
      <c r="D467" s="170" t="s">
        <v>11</v>
      </c>
      <c r="E467" s="170" t="s">
        <v>12</v>
      </c>
      <c r="H467" s="207">
        <v>486781</v>
      </c>
      <c r="I467" s="182" t="s">
        <v>2395</v>
      </c>
      <c r="J467" s="182" t="s">
        <v>2396</v>
      </c>
      <c r="K467" s="182" t="s">
        <v>2397</v>
      </c>
      <c r="L467" s="182" t="s">
        <v>15</v>
      </c>
    </row>
    <row r="468" spans="1:12">
      <c r="A468" s="170" t="s">
        <v>2398</v>
      </c>
      <c r="B468" s="170" t="s">
        <v>2399</v>
      </c>
      <c r="C468" s="170"/>
      <c r="D468" s="170" t="s">
        <v>11</v>
      </c>
      <c r="E468" s="170" t="s">
        <v>12</v>
      </c>
      <c r="H468" s="207">
        <v>261299</v>
      </c>
      <c r="I468" s="182" t="s">
        <v>2400</v>
      </c>
      <c r="J468" s="182" t="s">
        <v>2401</v>
      </c>
      <c r="K468" s="182" t="s">
        <v>2402</v>
      </c>
      <c r="L468" s="182" t="s">
        <v>15</v>
      </c>
    </row>
    <row r="469" spans="1:12">
      <c r="A469" s="170" t="s">
        <v>2403</v>
      </c>
      <c r="B469" s="170" t="s">
        <v>2404</v>
      </c>
      <c r="C469" s="208" t="s">
        <v>2405</v>
      </c>
      <c r="D469" s="170" t="s">
        <v>11</v>
      </c>
      <c r="E469" s="170" t="s">
        <v>12</v>
      </c>
      <c r="H469" s="207">
        <v>505729</v>
      </c>
      <c r="I469" s="182" t="s">
        <v>2406</v>
      </c>
      <c r="J469" s="182" t="s">
        <v>2407</v>
      </c>
      <c r="K469" s="182"/>
      <c r="L469" s="182" t="s">
        <v>15</v>
      </c>
    </row>
    <row r="470" spans="1:12">
      <c r="A470" s="170" t="s">
        <v>2408</v>
      </c>
      <c r="B470" s="170" t="s">
        <v>2409</v>
      </c>
      <c r="C470" s="208" t="s">
        <v>2410</v>
      </c>
      <c r="D470" s="170" t="s">
        <v>11</v>
      </c>
      <c r="E470" s="170" t="s">
        <v>12</v>
      </c>
      <c r="H470" s="207">
        <v>506555</v>
      </c>
      <c r="I470" s="182" t="s">
        <v>2411</v>
      </c>
      <c r="J470" s="182" t="s">
        <v>2412</v>
      </c>
      <c r="K470" s="182"/>
      <c r="L470" s="182" t="s">
        <v>15</v>
      </c>
    </row>
    <row r="471" spans="1:12">
      <c r="A471" s="170" t="s">
        <v>2413</v>
      </c>
      <c r="B471" s="170" t="s">
        <v>2414</v>
      </c>
      <c r="C471" s="170"/>
      <c r="D471" s="170" t="s">
        <v>11</v>
      </c>
      <c r="E471" s="170" t="s">
        <v>12</v>
      </c>
      <c r="H471" s="207">
        <v>473399</v>
      </c>
      <c r="I471" s="182" t="s">
        <v>2415</v>
      </c>
      <c r="J471" s="182" t="s">
        <v>2416</v>
      </c>
      <c r="K471" s="182" t="s">
        <v>2417</v>
      </c>
      <c r="L471" s="182" t="s">
        <v>15</v>
      </c>
    </row>
    <row r="472" spans="1:12">
      <c r="A472" s="170" t="s">
        <v>2418</v>
      </c>
      <c r="B472" s="170" t="s">
        <v>2419</v>
      </c>
      <c r="C472" s="208" t="s">
        <v>2420</v>
      </c>
      <c r="D472" s="170" t="s">
        <v>11</v>
      </c>
      <c r="E472" s="170" t="s">
        <v>12</v>
      </c>
      <c r="H472" s="207">
        <v>450810</v>
      </c>
      <c r="I472" s="182" t="s">
        <v>2421</v>
      </c>
      <c r="J472" s="182" t="s">
        <v>2422</v>
      </c>
      <c r="K472" s="182" t="s">
        <v>2423</v>
      </c>
      <c r="L472" s="182" t="s">
        <v>15</v>
      </c>
    </row>
    <row r="473" spans="1:12">
      <c r="A473" s="170" t="s">
        <v>2424</v>
      </c>
      <c r="B473" s="170" t="s">
        <v>2425</v>
      </c>
      <c r="C473" s="208" t="s">
        <v>2426</v>
      </c>
      <c r="D473" s="170" t="s">
        <v>11</v>
      </c>
      <c r="E473" s="170" t="s">
        <v>12</v>
      </c>
      <c r="H473" s="207" t="s">
        <v>2427</v>
      </c>
      <c r="I473" s="182" t="s">
        <v>10</v>
      </c>
      <c r="J473" s="182" t="s">
        <v>2427</v>
      </c>
      <c r="K473" s="182" t="s">
        <v>2428</v>
      </c>
      <c r="L473" s="182" t="s">
        <v>19</v>
      </c>
    </row>
    <row r="474" spans="1:12">
      <c r="A474" s="170" t="s">
        <v>2429</v>
      </c>
      <c r="B474" s="170" t="s">
        <v>2430</v>
      </c>
      <c r="C474" s="170"/>
      <c r="D474" s="170" t="s">
        <v>11</v>
      </c>
      <c r="E474" s="170" t="s">
        <v>12</v>
      </c>
      <c r="H474" s="207">
        <v>473726</v>
      </c>
      <c r="I474" s="182" t="s">
        <v>2431</v>
      </c>
      <c r="J474" s="182" t="s">
        <v>2432</v>
      </c>
      <c r="K474" s="182" t="s">
        <v>2433</v>
      </c>
      <c r="L474" s="182" t="s">
        <v>15</v>
      </c>
    </row>
    <row r="475" spans="1:12">
      <c r="A475" s="170" t="s">
        <v>2434</v>
      </c>
      <c r="B475" s="170" t="s">
        <v>2435</v>
      </c>
      <c r="C475" s="208" t="s">
        <v>2436</v>
      </c>
      <c r="D475" s="170" t="s">
        <v>11</v>
      </c>
      <c r="E475" s="170" t="s">
        <v>12</v>
      </c>
      <c r="H475" s="207">
        <v>443719</v>
      </c>
      <c r="I475" s="182" t="s">
        <v>2437</v>
      </c>
      <c r="J475" s="182" t="s">
        <v>2438</v>
      </c>
      <c r="K475" s="182"/>
      <c r="L475" s="182" t="s">
        <v>15</v>
      </c>
    </row>
    <row r="476" spans="1:12">
      <c r="A476" s="170" t="s">
        <v>2439</v>
      </c>
      <c r="B476" s="170" t="s">
        <v>2440</v>
      </c>
      <c r="C476" s="170"/>
      <c r="D476" s="170" t="s">
        <v>11</v>
      </c>
      <c r="E476" s="170" t="s">
        <v>12</v>
      </c>
      <c r="H476" s="207">
        <v>307603</v>
      </c>
      <c r="I476" s="182" t="s">
        <v>2441</v>
      </c>
      <c r="J476" s="182" t="s">
        <v>2442</v>
      </c>
      <c r="K476" s="182" t="s">
        <v>2443</v>
      </c>
      <c r="L476" s="182" t="s">
        <v>15</v>
      </c>
    </row>
    <row r="477" spans="1:12">
      <c r="A477" s="170" t="s">
        <v>2444</v>
      </c>
      <c r="B477" s="170" t="s">
        <v>2445</v>
      </c>
      <c r="C477" s="170"/>
      <c r="D477" s="170" t="s">
        <v>11</v>
      </c>
      <c r="E477" s="170" t="s">
        <v>12</v>
      </c>
      <c r="H477" s="207">
        <v>513061</v>
      </c>
      <c r="I477" s="182" t="s">
        <v>2446</v>
      </c>
      <c r="J477" s="182" t="s">
        <v>2447</v>
      </c>
      <c r="K477" s="182" t="s">
        <v>2448</v>
      </c>
      <c r="L477" s="182" t="s">
        <v>15</v>
      </c>
    </row>
    <row r="478" spans="1:12">
      <c r="A478" s="170" t="s">
        <v>2449</v>
      </c>
      <c r="B478" s="170" t="s">
        <v>2450</v>
      </c>
      <c r="C478" s="208" t="s">
        <v>2451</v>
      </c>
      <c r="D478" s="170" t="s">
        <v>11</v>
      </c>
      <c r="E478" s="170" t="s">
        <v>12</v>
      </c>
      <c r="H478" s="207">
        <v>208193</v>
      </c>
      <c r="I478" s="182" t="s">
        <v>2452</v>
      </c>
      <c r="J478" s="182" t="s">
        <v>2453</v>
      </c>
      <c r="K478" s="182" t="s">
        <v>2454</v>
      </c>
      <c r="L478" s="182" t="s">
        <v>15</v>
      </c>
    </row>
    <row r="479" spans="1:12">
      <c r="A479" s="170" t="s">
        <v>2455</v>
      </c>
      <c r="B479" s="170" t="s">
        <v>2456</v>
      </c>
      <c r="C479" s="170"/>
      <c r="D479" s="170" t="s">
        <v>11</v>
      </c>
      <c r="E479" s="170" t="s">
        <v>12</v>
      </c>
      <c r="H479" s="207">
        <v>473460</v>
      </c>
      <c r="I479" s="182" t="s">
        <v>2457</v>
      </c>
      <c r="J479" s="182" t="s">
        <v>2458</v>
      </c>
      <c r="K479" s="182" t="s">
        <v>2459</v>
      </c>
      <c r="L479" s="182" t="s">
        <v>15</v>
      </c>
    </row>
    <row r="480" spans="1:12">
      <c r="A480" s="170" t="s">
        <v>2460</v>
      </c>
      <c r="B480" s="170" t="s">
        <v>2461</v>
      </c>
      <c r="C480" s="170"/>
      <c r="D480" s="170" t="s">
        <v>11</v>
      </c>
      <c r="E480" s="170" t="s">
        <v>12</v>
      </c>
      <c r="H480" s="207">
        <v>496561</v>
      </c>
      <c r="I480" s="182" t="s">
        <v>2462</v>
      </c>
      <c r="J480" s="182" t="s">
        <v>2463</v>
      </c>
      <c r="K480" s="182" t="s">
        <v>2464</v>
      </c>
      <c r="L480" s="182" t="s">
        <v>15</v>
      </c>
    </row>
    <row r="481" spans="1:12">
      <c r="A481" s="170" t="s">
        <v>2465</v>
      </c>
      <c r="B481" s="170" t="s">
        <v>2466</v>
      </c>
      <c r="C481" s="178" t="s">
        <v>10</v>
      </c>
      <c r="D481" s="170" t="s">
        <v>11</v>
      </c>
      <c r="E481" s="170" t="s">
        <v>12</v>
      </c>
      <c r="H481" s="207">
        <v>982405</v>
      </c>
      <c r="I481" s="182" t="s">
        <v>2467</v>
      </c>
      <c r="J481" s="182" t="s">
        <v>2468</v>
      </c>
      <c r="K481" s="182" t="s">
        <v>2469</v>
      </c>
      <c r="L481" s="182" t="s">
        <v>15</v>
      </c>
    </row>
    <row r="482" spans="1:12">
      <c r="A482" s="170" t="s">
        <v>2470</v>
      </c>
      <c r="B482" s="170" t="s">
        <v>2471</v>
      </c>
      <c r="C482" s="178" t="s">
        <v>10</v>
      </c>
      <c r="D482" s="170" t="s">
        <v>11</v>
      </c>
      <c r="E482" s="170" t="s">
        <v>12</v>
      </c>
      <c r="H482" s="207">
        <v>439997</v>
      </c>
      <c r="I482" s="182" t="s">
        <v>2472</v>
      </c>
      <c r="J482" s="182" t="s">
        <v>2473</v>
      </c>
      <c r="K482" s="182" t="s">
        <v>2474</v>
      </c>
      <c r="L482" s="182" t="s">
        <v>15</v>
      </c>
    </row>
    <row r="483" spans="1:12">
      <c r="A483" s="170" t="s">
        <v>2475</v>
      </c>
      <c r="B483" s="170" t="s">
        <v>2476</v>
      </c>
      <c r="C483" s="178" t="s">
        <v>10</v>
      </c>
      <c r="D483" s="170" t="s">
        <v>11</v>
      </c>
      <c r="E483" s="170" t="s">
        <v>12</v>
      </c>
      <c r="H483" s="207">
        <v>447403</v>
      </c>
      <c r="I483" s="182" t="s">
        <v>2477</v>
      </c>
      <c r="J483" s="182" t="s">
        <v>2478</v>
      </c>
      <c r="K483" s="182"/>
      <c r="L483" s="182" t="s">
        <v>15</v>
      </c>
    </row>
    <row r="484" spans="1:12">
      <c r="A484" s="170" t="s">
        <v>2479</v>
      </c>
      <c r="B484" s="170" t="s">
        <v>2480</v>
      </c>
      <c r="C484" s="178" t="s">
        <v>10</v>
      </c>
      <c r="D484" s="170" t="s">
        <v>11</v>
      </c>
      <c r="E484" s="170" t="s">
        <v>12</v>
      </c>
      <c r="H484" s="207">
        <v>478497</v>
      </c>
      <c r="I484" s="182" t="s">
        <v>2481</v>
      </c>
      <c r="J484" s="182" t="s">
        <v>2482</v>
      </c>
      <c r="K484" s="182" t="s">
        <v>2483</v>
      </c>
      <c r="L484" s="182" t="s">
        <v>15</v>
      </c>
    </row>
    <row r="485" spans="1:12">
      <c r="A485" s="170" t="s">
        <v>2484</v>
      </c>
      <c r="B485" s="170" t="s">
        <v>2485</v>
      </c>
      <c r="C485" s="178" t="s">
        <v>10</v>
      </c>
      <c r="D485" s="170" t="s">
        <v>11</v>
      </c>
      <c r="E485" s="170" t="s">
        <v>12</v>
      </c>
      <c r="H485" s="207">
        <v>519822</v>
      </c>
      <c r="I485" s="182" t="s">
        <v>2486</v>
      </c>
      <c r="J485" s="182" t="s">
        <v>2487</v>
      </c>
      <c r="K485" s="182" t="s">
        <v>2488</v>
      </c>
      <c r="L485" s="182" t="s">
        <v>15</v>
      </c>
    </row>
    <row r="486" spans="1:12">
      <c r="A486" s="170" t="s">
        <v>2489</v>
      </c>
      <c r="B486" s="170" t="s">
        <v>2490</v>
      </c>
      <c r="C486" s="178" t="s">
        <v>10</v>
      </c>
      <c r="D486" s="170" t="s">
        <v>11</v>
      </c>
      <c r="E486" s="170" t="s">
        <v>12</v>
      </c>
      <c r="H486" s="207" t="s">
        <v>2491</v>
      </c>
      <c r="I486" s="182" t="s">
        <v>10</v>
      </c>
      <c r="J486" s="182" t="s">
        <v>2491</v>
      </c>
      <c r="K486" s="182" t="s">
        <v>2492</v>
      </c>
      <c r="L486" s="182" t="s">
        <v>19</v>
      </c>
    </row>
    <row r="487" spans="1:12">
      <c r="A487" s="170" t="s">
        <v>2493</v>
      </c>
      <c r="B487" s="170" t="s">
        <v>2494</v>
      </c>
      <c r="C487" s="208" t="s">
        <v>2495</v>
      </c>
      <c r="D487" s="170" t="s">
        <v>11</v>
      </c>
      <c r="E487" s="170" t="s">
        <v>12</v>
      </c>
      <c r="H487" s="207">
        <v>528031</v>
      </c>
      <c r="I487" s="182" t="s">
        <v>2496</v>
      </c>
      <c r="J487" s="182" t="s">
        <v>2497</v>
      </c>
      <c r="K487" s="182" t="s">
        <v>2498</v>
      </c>
      <c r="L487" s="182" t="s">
        <v>15</v>
      </c>
    </row>
    <row r="488" spans="1:12">
      <c r="A488" s="170" t="s">
        <v>2499</v>
      </c>
      <c r="B488" s="170" t="s">
        <v>2500</v>
      </c>
      <c r="C488" s="170"/>
      <c r="D488" s="170" t="s">
        <v>11</v>
      </c>
      <c r="E488" s="170" t="s">
        <v>12</v>
      </c>
      <c r="H488" s="207">
        <v>519927</v>
      </c>
      <c r="I488" s="182" t="s">
        <v>2501</v>
      </c>
      <c r="J488" s="182" t="s">
        <v>2502</v>
      </c>
      <c r="K488" s="182" t="s">
        <v>2503</v>
      </c>
      <c r="L488" s="182" t="s">
        <v>15</v>
      </c>
    </row>
    <row r="489" spans="1:12">
      <c r="A489" s="170" t="s">
        <v>2504</v>
      </c>
      <c r="B489" s="170" t="s">
        <v>2505</v>
      </c>
      <c r="C489" s="170"/>
      <c r="D489" s="170" t="s">
        <v>11</v>
      </c>
      <c r="E489" s="170" t="s">
        <v>12</v>
      </c>
      <c r="H489" s="207">
        <v>486089</v>
      </c>
      <c r="I489" s="182" t="s">
        <v>2506</v>
      </c>
      <c r="J489" s="182" t="s">
        <v>2507</v>
      </c>
      <c r="K489" s="182" t="s">
        <v>2508</v>
      </c>
      <c r="L489" s="182" t="s">
        <v>15</v>
      </c>
    </row>
    <row r="490" spans="1:12">
      <c r="A490" s="170" t="s">
        <v>2509</v>
      </c>
      <c r="B490" s="170" t="s">
        <v>2510</v>
      </c>
      <c r="C490" s="208" t="s">
        <v>2511</v>
      </c>
      <c r="D490" s="170" t="s">
        <v>11</v>
      </c>
      <c r="E490" s="170" t="s">
        <v>12</v>
      </c>
      <c r="H490" s="207">
        <v>500704</v>
      </c>
      <c r="I490" s="182" t="s">
        <v>2512</v>
      </c>
      <c r="J490" s="182" t="s">
        <v>2513</v>
      </c>
      <c r="K490" s="182" t="s">
        <v>2514</v>
      </c>
      <c r="L490" s="182" t="s">
        <v>15</v>
      </c>
    </row>
    <row r="491" spans="1:12">
      <c r="A491" s="170" t="s">
        <v>2515</v>
      </c>
      <c r="B491" s="170" t="s">
        <v>2516</v>
      </c>
      <c r="C491" s="170"/>
      <c r="D491" s="170" t="s">
        <v>11</v>
      </c>
      <c r="E491" s="170" t="s">
        <v>12</v>
      </c>
      <c r="H491" s="207" t="s">
        <v>2517</v>
      </c>
      <c r="I491" s="182" t="s">
        <v>10</v>
      </c>
      <c r="J491" s="182" t="s">
        <v>2517</v>
      </c>
      <c r="K491" s="182" t="s">
        <v>2518</v>
      </c>
      <c r="L491" s="182" t="s">
        <v>53</v>
      </c>
    </row>
    <row r="492" spans="1:12">
      <c r="A492" s="170" t="s">
        <v>2519</v>
      </c>
      <c r="B492" s="170" t="s">
        <v>2520</v>
      </c>
      <c r="C492" s="170"/>
      <c r="D492" s="170" t="s">
        <v>11</v>
      </c>
      <c r="E492" s="170" t="s">
        <v>12</v>
      </c>
      <c r="H492" s="207">
        <v>433414</v>
      </c>
      <c r="I492" s="182" t="s">
        <v>2521</v>
      </c>
      <c r="J492" s="182" t="s">
        <v>2522</v>
      </c>
      <c r="K492" s="182"/>
      <c r="L492" s="182" t="s">
        <v>15</v>
      </c>
    </row>
    <row r="493" spans="1:12">
      <c r="A493" s="170" t="s">
        <v>2523</v>
      </c>
      <c r="B493" s="170" t="s">
        <v>2524</v>
      </c>
      <c r="C493" s="208" t="s">
        <v>2525</v>
      </c>
      <c r="D493" s="170" t="s">
        <v>11</v>
      </c>
      <c r="E493" s="170" t="s">
        <v>12</v>
      </c>
      <c r="H493" s="207">
        <v>464267</v>
      </c>
      <c r="I493" s="182" t="s">
        <v>2526</v>
      </c>
      <c r="J493" s="182" t="s">
        <v>2527</v>
      </c>
      <c r="K493" s="182" t="s">
        <v>2528</v>
      </c>
      <c r="L493" s="182" t="s">
        <v>15</v>
      </c>
    </row>
    <row r="494" spans="1:12">
      <c r="A494" s="170" t="s">
        <v>2529</v>
      </c>
      <c r="B494" s="170" t="s">
        <v>2530</v>
      </c>
      <c r="C494" s="170"/>
      <c r="D494" s="170" t="s">
        <v>11</v>
      </c>
      <c r="E494" s="170" t="s">
        <v>12</v>
      </c>
      <c r="H494" s="207" t="s">
        <v>2531</v>
      </c>
      <c r="I494" s="182" t="s">
        <v>1051</v>
      </c>
      <c r="J494" s="182" t="s">
        <v>2531</v>
      </c>
      <c r="K494" s="182" t="s">
        <v>2532</v>
      </c>
      <c r="L494" s="182" t="s">
        <v>415</v>
      </c>
    </row>
    <row r="495" spans="1:12">
      <c r="A495" s="170" t="s">
        <v>2533</v>
      </c>
      <c r="B495" s="170" t="s">
        <v>2534</v>
      </c>
      <c r="C495" s="170"/>
      <c r="D495" s="170" t="s">
        <v>11</v>
      </c>
      <c r="E495" s="170" t="s">
        <v>12</v>
      </c>
      <c r="H495" s="207">
        <v>437331</v>
      </c>
      <c r="I495" s="182" t="s">
        <v>2535</v>
      </c>
      <c r="J495" s="182" t="s">
        <v>2536</v>
      </c>
      <c r="K495" s="182" t="s">
        <v>2537</v>
      </c>
      <c r="L495" s="182" t="s">
        <v>15</v>
      </c>
    </row>
    <row r="496" spans="1:12">
      <c r="A496" s="170" t="s">
        <v>2538</v>
      </c>
      <c r="B496" s="170" t="s">
        <v>2539</v>
      </c>
      <c r="C496" s="208" t="s">
        <v>2540</v>
      </c>
      <c r="D496" s="170" t="s">
        <v>11</v>
      </c>
      <c r="E496" s="170" t="s">
        <v>12</v>
      </c>
      <c r="H496" s="207">
        <v>465165</v>
      </c>
      <c r="I496" s="182" t="s">
        <v>2541</v>
      </c>
      <c r="J496" s="182" t="s">
        <v>2542</v>
      </c>
      <c r="K496" s="182" t="s">
        <v>2543</v>
      </c>
      <c r="L496" s="182" t="s">
        <v>15</v>
      </c>
    </row>
    <row r="497" spans="1:12">
      <c r="A497" s="170" t="s">
        <v>2544</v>
      </c>
      <c r="B497" s="170" t="s">
        <v>2545</v>
      </c>
      <c r="C497" s="208" t="s">
        <v>2546</v>
      </c>
      <c r="D497" s="170" t="s">
        <v>11</v>
      </c>
      <c r="E497" s="170" t="s">
        <v>12</v>
      </c>
      <c r="H497" s="207">
        <v>451732</v>
      </c>
      <c r="I497" s="182" t="s">
        <v>2547</v>
      </c>
      <c r="J497" s="182" t="s">
        <v>2548</v>
      </c>
      <c r="K497" s="182" t="s">
        <v>2549</v>
      </c>
      <c r="L497" s="182" t="s">
        <v>15</v>
      </c>
    </row>
    <row r="498" spans="1:12">
      <c r="A498" s="170" t="s">
        <v>2550</v>
      </c>
      <c r="B498" s="170" t="s">
        <v>2551</v>
      </c>
      <c r="C498" s="170"/>
      <c r="D498" s="170" t="s">
        <v>11</v>
      </c>
      <c r="E498" s="170" t="s">
        <v>12</v>
      </c>
      <c r="H498" s="207">
        <v>519640</v>
      </c>
      <c r="I498" s="182" t="s">
        <v>2552</v>
      </c>
      <c r="J498" s="182" t="s">
        <v>2553</v>
      </c>
      <c r="K498" s="182" t="s">
        <v>2554</v>
      </c>
      <c r="L498" s="182" t="s">
        <v>15</v>
      </c>
    </row>
    <row r="499" spans="1:12">
      <c r="A499" s="170" t="s">
        <v>2555</v>
      </c>
      <c r="B499" s="170" t="s">
        <v>2556</v>
      </c>
      <c r="C499" s="208" t="s">
        <v>2557</v>
      </c>
      <c r="D499" s="170" t="s">
        <v>11</v>
      </c>
      <c r="E499" s="170" t="s">
        <v>12</v>
      </c>
      <c r="H499" s="207">
        <v>473233</v>
      </c>
      <c r="I499" s="182" t="s">
        <v>2558</v>
      </c>
      <c r="J499" s="182" t="s">
        <v>2559</v>
      </c>
      <c r="K499" s="182" t="s">
        <v>2560</v>
      </c>
      <c r="L499" s="182" t="s">
        <v>15</v>
      </c>
    </row>
    <row r="500" spans="1:12">
      <c r="A500" s="170" t="s">
        <v>2562</v>
      </c>
      <c r="B500" s="170" t="s">
        <v>2563</v>
      </c>
      <c r="C500" s="170"/>
      <c r="D500" s="170" t="s">
        <v>11</v>
      </c>
      <c r="E500" s="170" t="s">
        <v>12</v>
      </c>
      <c r="H500" s="207">
        <v>366426</v>
      </c>
      <c r="I500" s="182" t="s">
        <v>2564</v>
      </c>
      <c r="J500" s="182" t="s">
        <v>2565</v>
      </c>
      <c r="K500" s="182" t="s">
        <v>2566</v>
      </c>
      <c r="L500" s="182" t="s">
        <v>15</v>
      </c>
    </row>
    <row r="501" spans="1:12">
      <c r="A501" s="170" t="s">
        <v>2567</v>
      </c>
      <c r="B501" s="170" t="s">
        <v>2561</v>
      </c>
      <c r="C501" s="170"/>
      <c r="D501" s="170" t="s">
        <v>11</v>
      </c>
      <c r="E501" s="170" t="s">
        <v>12</v>
      </c>
      <c r="H501" s="207">
        <v>562652</v>
      </c>
      <c r="I501" s="182" t="s">
        <v>2568</v>
      </c>
      <c r="J501" s="182" t="s">
        <v>2569</v>
      </c>
      <c r="K501" s="182" t="s">
        <v>2570</v>
      </c>
      <c r="L501" s="182" t="s">
        <v>15</v>
      </c>
    </row>
    <row r="502" spans="1:12">
      <c r="A502" s="170" t="s">
        <v>2571</v>
      </c>
      <c r="B502" s="170" t="s">
        <v>2572</v>
      </c>
      <c r="C502" s="208" t="s">
        <v>2573</v>
      </c>
      <c r="D502" s="170" t="s">
        <v>11</v>
      </c>
      <c r="E502" s="170" t="s">
        <v>12</v>
      </c>
      <c r="H502" s="207">
        <v>477132</v>
      </c>
      <c r="I502" s="182" t="s">
        <v>2574</v>
      </c>
      <c r="J502" s="182" t="s">
        <v>2575</v>
      </c>
      <c r="K502" s="182" t="s">
        <v>2576</v>
      </c>
      <c r="L502" s="182" t="s">
        <v>15</v>
      </c>
    </row>
    <row r="503" spans="1:12">
      <c r="A503" s="170" t="s">
        <v>2577</v>
      </c>
      <c r="B503" s="170" t="s">
        <v>2578</v>
      </c>
      <c r="C503" s="208" t="s">
        <v>2579</v>
      </c>
      <c r="D503" s="170" t="s">
        <v>11</v>
      </c>
      <c r="E503" s="170" t="s">
        <v>12</v>
      </c>
      <c r="H503" s="207">
        <v>501161</v>
      </c>
      <c r="I503" s="182" t="s">
        <v>2580</v>
      </c>
      <c r="J503" s="182" t="s">
        <v>2581</v>
      </c>
      <c r="K503" s="182" t="s">
        <v>2582</v>
      </c>
      <c r="L503" s="182" t="s">
        <v>15</v>
      </c>
    </row>
    <row r="504" spans="1:12">
      <c r="A504" s="170" t="s">
        <v>2583</v>
      </c>
      <c r="B504" s="170" t="s">
        <v>2584</v>
      </c>
      <c r="C504" s="170"/>
      <c r="D504" s="170" t="s">
        <v>11</v>
      </c>
      <c r="E504" s="170" t="s">
        <v>12</v>
      </c>
      <c r="H504" s="207">
        <v>450260</v>
      </c>
      <c r="I504" s="182" t="s">
        <v>2585</v>
      </c>
      <c r="J504" s="182" t="s">
        <v>2586</v>
      </c>
      <c r="K504" s="182" t="s">
        <v>2587</v>
      </c>
      <c r="L504" s="182" t="s">
        <v>15</v>
      </c>
    </row>
    <row r="505" spans="1:12">
      <c r="A505" s="170" t="s">
        <v>2588</v>
      </c>
      <c r="B505" s="170" t="s">
        <v>2589</v>
      </c>
      <c r="C505" s="208" t="s">
        <v>2590</v>
      </c>
      <c r="D505" s="170" t="s">
        <v>11</v>
      </c>
      <c r="E505" s="170" t="s">
        <v>12</v>
      </c>
      <c r="H505" s="207" t="s">
        <v>2591</v>
      </c>
      <c r="I505" s="182" t="s">
        <v>10</v>
      </c>
      <c r="J505" s="182" t="s">
        <v>2591</v>
      </c>
      <c r="K505" s="182" t="s">
        <v>2592</v>
      </c>
      <c r="L505" s="182" t="s">
        <v>19</v>
      </c>
    </row>
    <row r="506" spans="1:12">
      <c r="A506" s="170" t="s">
        <v>2593</v>
      </c>
      <c r="B506" s="170" t="s">
        <v>2594</v>
      </c>
      <c r="C506" s="208" t="s">
        <v>2595</v>
      </c>
      <c r="D506" s="170" t="s">
        <v>11</v>
      </c>
      <c r="E506" s="170" t="s">
        <v>12</v>
      </c>
      <c r="H506" s="207">
        <v>476772</v>
      </c>
      <c r="I506" s="182" t="s">
        <v>2596</v>
      </c>
      <c r="J506" s="182" t="s">
        <v>2597</v>
      </c>
      <c r="K506" s="182"/>
      <c r="L506" s="182" t="s">
        <v>15</v>
      </c>
    </row>
    <row r="507" spans="1:12">
      <c r="A507" s="170" t="s">
        <v>2598</v>
      </c>
      <c r="B507" s="170" t="s">
        <v>2599</v>
      </c>
      <c r="C507" s="170"/>
      <c r="D507" s="170" t="s">
        <v>11</v>
      </c>
      <c r="E507" s="170" t="s">
        <v>12</v>
      </c>
      <c r="H507" s="207">
        <v>351580</v>
      </c>
      <c r="I507" s="182" t="s">
        <v>2600</v>
      </c>
      <c r="J507" s="182" t="s">
        <v>2601</v>
      </c>
      <c r="K507" s="182" t="s">
        <v>2602</v>
      </c>
      <c r="L507" s="182" t="s">
        <v>15</v>
      </c>
    </row>
    <row r="508" spans="1:12">
      <c r="A508" s="170" t="s">
        <v>2603</v>
      </c>
      <c r="B508" s="170" t="s">
        <v>2604</v>
      </c>
      <c r="C508" s="208" t="s">
        <v>2605</v>
      </c>
      <c r="D508" s="170" t="s">
        <v>11</v>
      </c>
      <c r="E508" s="170" t="s">
        <v>12</v>
      </c>
      <c r="H508" s="207">
        <v>519186</v>
      </c>
      <c r="I508" s="182" t="s">
        <v>2606</v>
      </c>
      <c r="J508" s="182" t="s">
        <v>2607</v>
      </c>
      <c r="K508" s="182"/>
      <c r="L508" s="182" t="s">
        <v>15</v>
      </c>
    </row>
    <row r="509" spans="1:12">
      <c r="A509" s="170" t="s">
        <v>2608</v>
      </c>
      <c r="B509" s="170" t="s">
        <v>2609</v>
      </c>
      <c r="C509" s="208" t="s">
        <v>2610</v>
      </c>
      <c r="D509" s="170" t="s">
        <v>11</v>
      </c>
      <c r="E509" s="170" t="s">
        <v>12</v>
      </c>
      <c r="H509" s="207">
        <v>197436</v>
      </c>
      <c r="I509" s="182" t="s">
        <v>109</v>
      </c>
      <c r="J509" s="182" t="s">
        <v>2611</v>
      </c>
      <c r="K509" s="182" t="s">
        <v>2612</v>
      </c>
      <c r="L509" s="182" t="s">
        <v>15</v>
      </c>
    </row>
    <row r="510" spans="1:12">
      <c r="A510" s="170" t="s">
        <v>2613</v>
      </c>
      <c r="B510" s="170" t="s">
        <v>2614</v>
      </c>
      <c r="C510" s="170"/>
      <c r="D510" s="170" t="s">
        <v>11</v>
      </c>
      <c r="E510" s="170" t="s">
        <v>12</v>
      </c>
      <c r="H510" s="207">
        <v>429819</v>
      </c>
      <c r="I510" s="182" t="s">
        <v>2615</v>
      </c>
      <c r="J510" s="182" t="s">
        <v>2616</v>
      </c>
      <c r="K510" s="182" t="s">
        <v>2617</v>
      </c>
      <c r="L510" s="182" t="s">
        <v>15</v>
      </c>
    </row>
    <row r="511" spans="1:12">
      <c r="A511" s="170" t="s">
        <v>2618</v>
      </c>
      <c r="B511" s="170" t="s">
        <v>2619</v>
      </c>
      <c r="C511" s="208" t="s">
        <v>2620</v>
      </c>
      <c r="D511" s="170" t="s">
        <v>11</v>
      </c>
      <c r="E511" s="170" t="s">
        <v>12</v>
      </c>
      <c r="H511" s="207">
        <v>513020</v>
      </c>
      <c r="I511" s="182" t="s">
        <v>2621</v>
      </c>
      <c r="J511" s="182" t="s">
        <v>2622</v>
      </c>
      <c r="K511" s="182"/>
      <c r="L511" s="182" t="s">
        <v>15</v>
      </c>
    </row>
    <row r="512" spans="1:12">
      <c r="A512" s="170" t="s">
        <v>2623</v>
      </c>
      <c r="B512" s="170" t="s">
        <v>2624</v>
      </c>
      <c r="C512" s="208" t="s">
        <v>2625</v>
      </c>
      <c r="D512" s="170" t="s">
        <v>11</v>
      </c>
      <c r="E512" s="170" t="s">
        <v>12</v>
      </c>
      <c r="H512" s="207">
        <v>464924</v>
      </c>
      <c r="I512" s="182" t="s">
        <v>2626</v>
      </c>
      <c r="J512" s="182" t="s">
        <v>2627</v>
      </c>
      <c r="K512" s="182"/>
      <c r="L512" s="182" t="s">
        <v>15</v>
      </c>
    </row>
    <row r="513" spans="1:12">
      <c r="A513" s="170" t="s">
        <v>2628</v>
      </c>
      <c r="B513" s="170" t="s">
        <v>2629</v>
      </c>
      <c r="C513" s="170"/>
      <c r="D513" s="170" t="s">
        <v>11</v>
      </c>
      <c r="E513" s="170" t="s">
        <v>12</v>
      </c>
      <c r="H513" s="207">
        <v>497549</v>
      </c>
      <c r="I513" s="182" t="s">
        <v>2630</v>
      </c>
      <c r="J513" s="182" t="s">
        <v>2631</v>
      </c>
      <c r="K513" s="182" t="s">
        <v>2632</v>
      </c>
      <c r="L513" s="182" t="s">
        <v>15</v>
      </c>
    </row>
    <row r="514" spans="1:12">
      <c r="A514" s="170" t="s">
        <v>2633</v>
      </c>
      <c r="B514" s="170" t="s">
        <v>2634</v>
      </c>
      <c r="C514" s="208" t="s">
        <v>2635</v>
      </c>
      <c r="D514" s="170" t="s">
        <v>11</v>
      </c>
      <c r="E514" s="170" t="s">
        <v>12</v>
      </c>
      <c r="H514" s="207">
        <v>507715</v>
      </c>
      <c r="I514" s="182" t="s">
        <v>2636</v>
      </c>
      <c r="J514" s="182" t="s">
        <v>2637</v>
      </c>
      <c r="K514" s="182" t="s">
        <v>2638</v>
      </c>
      <c r="L514" s="182" t="s">
        <v>15</v>
      </c>
    </row>
    <row r="515" spans="1:12">
      <c r="A515" s="170" t="s">
        <v>2639</v>
      </c>
      <c r="B515" s="170" t="s">
        <v>2640</v>
      </c>
      <c r="C515" s="170"/>
      <c r="D515" s="170" t="s">
        <v>11</v>
      </c>
      <c r="E515" s="170" t="s">
        <v>12</v>
      </c>
      <c r="H515" s="207" t="s">
        <v>2641</v>
      </c>
      <c r="I515" s="182" t="s">
        <v>10</v>
      </c>
      <c r="J515" s="182" t="s">
        <v>2641</v>
      </c>
      <c r="K515" s="182" t="s">
        <v>2642</v>
      </c>
      <c r="L515" s="182" t="s">
        <v>53</v>
      </c>
    </row>
    <row r="516" spans="1:12">
      <c r="A516" s="170" t="s">
        <v>2643</v>
      </c>
      <c r="B516" s="170" t="s">
        <v>2644</v>
      </c>
      <c r="C516" s="170"/>
      <c r="D516" s="170" t="s">
        <v>11</v>
      </c>
      <c r="E516" s="170" t="s">
        <v>12</v>
      </c>
      <c r="H516" s="207">
        <v>514317</v>
      </c>
      <c r="I516" s="182" t="s">
        <v>2645</v>
      </c>
      <c r="J516" s="182" t="s">
        <v>2646</v>
      </c>
      <c r="K516" s="182" t="s">
        <v>2647</v>
      </c>
      <c r="L516" s="182" t="s">
        <v>15</v>
      </c>
    </row>
    <row r="517" spans="1:12">
      <c r="A517" s="170" t="s">
        <v>2648</v>
      </c>
      <c r="B517" s="170" t="s">
        <v>2649</v>
      </c>
      <c r="C517" s="226" t="s">
        <v>2650</v>
      </c>
      <c r="D517" s="170" t="s">
        <v>11</v>
      </c>
      <c r="E517" s="170" t="s">
        <v>12</v>
      </c>
      <c r="H517" s="207">
        <v>508410</v>
      </c>
      <c r="I517" s="182" t="s">
        <v>2651</v>
      </c>
      <c r="J517" s="182" t="s">
        <v>2652</v>
      </c>
      <c r="K517" s="182" t="s">
        <v>2653</v>
      </c>
      <c r="L517" s="182" t="s">
        <v>15</v>
      </c>
    </row>
    <row r="518" spans="1:12">
      <c r="A518" s="170" t="s">
        <v>2654</v>
      </c>
      <c r="B518" s="170" t="s">
        <v>2655</v>
      </c>
      <c r="C518" s="170"/>
      <c r="D518" s="170" t="s">
        <v>11</v>
      </c>
      <c r="E518" s="170" t="s">
        <v>12</v>
      </c>
      <c r="H518" s="207" t="s">
        <v>2656</v>
      </c>
      <c r="I518" s="182" t="s">
        <v>10</v>
      </c>
      <c r="J518" s="182" t="s">
        <v>2656</v>
      </c>
      <c r="K518" s="182" t="s">
        <v>2657</v>
      </c>
      <c r="L518" s="182" t="s">
        <v>19</v>
      </c>
    </row>
    <row r="519" spans="1:12">
      <c r="A519" s="170" t="s">
        <v>2658</v>
      </c>
      <c r="B519" s="170" t="s">
        <v>2659</v>
      </c>
      <c r="C519" s="170"/>
      <c r="D519" s="170" t="s">
        <v>11</v>
      </c>
      <c r="E519" s="170" t="s">
        <v>12</v>
      </c>
      <c r="H519" s="207" t="s">
        <v>10</v>
      </c>
      <c r="I519" s="182" t="s">
        <v>10</v>
      </c>
      <c r="J519" s="182" t="s">
        <v>2660</v>
      </c>
      <c r="K519" s="182" t="s">
        <v>2661</v>
      </c>
      <c r="L519" s="182" t="s">
        <v>15</v>
      </c>
    </row>
    <row r="520" spans="1:12">
      <c r="A520" s="170" t="s">
        <v>2662</v>
      </c>
      <c r="B520" s="170" t="s">
        <v>2663</v>
      </c>
      <c r="C520" s="170"/>
      <c r="D520" s="170" t="s">
        <v>11</v>
      </c>
      <c r="E520" s="170" t="s">
        <v>12</v>
      </c>
      <c r="H520" s="207">
        <v>714162</v>
      </c>
      <c r="I520" s="182" t="s">
        <v>2664</v>
      </c>
      <c r="J520" s="182" t="s">
        <v>2665</v>
      </c>
      <c r="K520" s="182" t="s">
        <v>2666</v>
      </c>
      <c r="L520" s="182" t="s">
        <v>15</v>
      </c>
    </row>
    <row r="521" spans="1:12">
      <c r="A521" s="170" t="s">
        <v>2667</v>
      </c>
      <c r="B521" s="170" t="s">
        <v>2668</v>
      </c>
      <c r="C521" s="170"/>
      <c r="D521" s="170" t="s">
        <v>11</v>
      </c>
      <c r="E521" s="170" t="s">
        <v>12</v>
      </c>
      <c r="H521" s="207">
        <v>458150</v>
      </c>
      <c r="I521" s="182" t="s">
        <v>2669</v>
      </c>
      <c r="J521" s="182" t="s">
        <v>2670</v>
      </c>
      <c r="K521" s="182" t="s">
        <v>2671</v>
      </c>
      <c r="L521" s="182" t="s">
        <v>15</v>
      </c>
    </row>
    <row r="522" spans="1:12">
      <c r="A522" s="170" t="s">
        <v>2672</v>
      </c>
      <c r="B522" s="170" t="s">
        <v>2673</v>
      </c>
      <c r="C522" s="170"/>
      <c r="D522" s="170" t="s">
        <v>11</v>
      </c>
      <c r="E522" s="170" t="s">
        <v>12</v>
      </c>
      <c r="H522" s="207">
        <v>304622</v>
      </c>
      <c r="I522" s="182" t="s">
        <v>2674</v>
      </c>
      <c r="J522" s="182" t="s">
        <v>2675</v>
      </c>
      <c r="K522" s="182" t="s">
        <v>2676</v>
      </c>
      <c r="L522" s="182" t="s">
        <v>15</v>
      </c>
    </row>
    <row r="523" spans="1:12">
      <c r="A523" s="170" t="s">
        <v>2677</v>
      </c>
      <c r="B523" s="170" t="s">
        <v>2678</v>
      </c>
      <c r="C523" s="170"/>
      <c r="D523" s="170" t="s">
        <v>11</v>
      </c>
      <c r="E523" s="170" t="s">
        <v>12</v>
      </c>
      <c r="H523" s="207">
        <v>416519</v>
      </c>
      <c r="I523" s="182" t="s">
        <v>2679</v>
      </c>
      <c r="J523" s="182" t="s">
        <v>2680</v>
      </c>
      <c r="K523" s="182"/>
      <c r="L523" s="182" t="s">
        <v>15</v>
      </c>
    </row>
    <row r="524" spans="1:12">
      <c r="A524" s="170" t="s">
        <v>2681</v>
      </c>
      <c r="B524" s="170" t="s">
        <v>2682</v>
      </c>
      <c r="C524" s="170"/>
      <c r="D524" s="170" t="s">
        <v>11</v>
      </c>
      <c r="E524" s="170" t="s">
        <v>12</v>
      </c>
      <c r="H524" s="207">
        <v>926480</v>
      </c>
      <c r="I524" s="182" t="s">
        <v>2683</v>
      </c>
      <c r="J524" s="182" t="s">
        <v>2684</v>
      </c>
      <c r="K524" s="182" t="s">
        <v>2685</v>
      </c>
      <c r="L524" s="182" t="s">
        <v>15</v>
      </c>
    </row>
    <row r="525" spans="1:12">
      <c r="A525" s="170" t="s">
        <v>2686</v>
      </c>
      <c r="B525" s="170" t="s">
        <v>2687</v>
      </c>
      <c r="C525" s="170"/>
      <c r="D525" s="170" t="s">
        <v>11</v>
      </c>
      <c r="E525" s="170" t="s">
        <v>12</v>
      </c>
      <c r="H525" s="207">
        <v>467531</v>
      </c>
      <c r="I525" s="182" t="s">
        <v>2688</v>
      </c>
      <c r="J525" s="182" t="s">
        <v>2689</v>
      </c>
      <c r="K525" s="182" t="s">
        <v>2690</v>
      </c>
      <c r="L525" s="182" t="s">
        <v>15</v>
      </c>
    </row>
    <row r="526" spans="1:12">
      <c r="A526" s="170" t="s">
        <v>2691</v>
      </c>
      <c r="B526" s="170" t="s">
        <v>2692</v>
      </c>
      <c r="C526" s="227" t="s">
        <v>2693</v>
      </c>
      <c r="D526" s="170" t="s">
        <v>11</v>
      </c>
      <c r="E526" s="170" t="s">
        <v>12</v>
      </c>
      <c r="H526" s="207" t="s">
        <v>2694</v>
      </c>
      <c r="I526" s="182" t="s">
        <v>10</v>
      </c>
      <c r="J526" s="182" t="s">
        <v>2694</v>
      </c>
      <c r="K526" s="182" t="s">
        <v>2695</v>
      </c>
      <c r="L526" s="182" t="s">
        <v>19</v>
      </c>
    </row>
    <row r="527" spans="1:12">
      <c r="A527" s="170" t="s">
        <v>2696</v>
      </c>
      <c r="B527" s="170" t="s">
        <v>2697</v>
      </c>
      <c r="C527" s="208" t="s">
        <v>2698</v>
      </c>
      <c r="D527" s="170" t="s">
        <v>11</v>
      </c>
      <c r="E527" s="170" t="s">
        <v>12</v>
      </c>
      <c r="H527" s="207" t="s">
        <v>2699</v>
      </c>
      <c r="I527" s="182" t="s">
        <v>10</v>
      </c>
      <c r="J527" s="182" t="s">
        <v>2699</v>
      </c>
      <c r="K527" s="182" t="s">
        <v>2700</v>
      </c>
      <c r="L527" s="182" t="s">
        <v>19</v>
      </c>
    </row>
    <row r="528" spans="1:12">
      <c r="A528" s="170" t="s">
        <v>2701</v>
      </c>
      <c r="B528" s="170" t="s">
        <v>2702</v>
      </c>
      <c r="C528" s="170"/>
      <c r="D528" s="170" t="s">
        <v>11</v>
      </c>
      <c r="E528" s="170" t="s">
        <v>12</v>
      </c>
      <c r="H528" s="207">
        <v>462959</v>
      </c>
      <c r="I528" s="182" t="s">
        <v>2703</v>
      </c>
      <c r="J528" s="182" t="s">
        <v>2704</v>
      </c>
      <c r="K528" s="182" t="s">
        <v>2705</v>
      </c>
      <c r="L528" s="182" t="s">
        <v>15</v>
      </c>
    </row>
    <row r="529" spans="1:12">
      <c r="A529" s="170" t="s">
        <v>2706</v>
      </c>
      <c r="B529" s="170" t="s">
        <v>2707</v>
      </c>
      <c r="C529" s="208" t="s">
        <v>2708</v>
      </c>
      <c r="D529" s="170" t="s">
        <v>11</v>
      </c>
      <c r="E529" s="170" t="s">
        <v>12</v>
      </c>
      <c r="H529" s="207">
        <v>474132</v>
      </c>
      <c r="I529" s="182" t="s">
        <v>2709</v>
      </c>
      <c r="J529" s="182" t="s">
        <v>2710</v>
      </c>
      <c r="K529" s="182" t="s">
        <v>2711</v>
      </c>
      <c r="L529" s="182" t="s">
        <v>15</v>
      </c>
    </row>
    <row r="530" spans="1:12">
      <c r="A530" s="170" t="s">
        <v>2712</v>
      </c>
      <c r="B530" s="170" t="s">
        <v>2713</v>
      </c>
      <c r="C530" s="208" t="s">
        <v>2714</v>
      </c>
      <c r="D530" s="170" t="s">
        <v>11</v>
      </c>
      <c r="E530" s="170" t="s">
        <v>12</v>
      </c>
      <c r="H530" s="207">
        <v>478062</v>
      </c>
      <c r="I530" s="182" t="s">
        <v>2715</v>
      </c>
      <c r="J530" s="182" t="s">
        <v>2716</v>
      </c>
      <c r="K530" s="182" t="s">
        <v>2717</v>
      </c>
      <c r="L530" s="182" t="s">
        <v>15</v>
      </c>
    </row>
    <row r="531" spans="1:12">
      <c r="A531" s="170" t="s">
        <v>2718</v>
      </c>
      <c r="B531" s="170" t="s">
        <v>2719</v>
      </c>
      <c r="C531" s="170"/>
      <c r="D531" s="170" t="s">
        <v>11</v>
      </c>
      <c r="E531" s="170" t="s">
        <v>12</v>
      </c>
      <c r="H531" s="207">
        <v>492805</v>
      </c>
      <c r="I531" s="182" t="s">
        <v>2720</v>
      </c>
      <c r="J531" s="182" t="s">
        <v>2721</v>
      </c>
      <c r="K531" s="182" t="s">
        <v>2722</v>
      </c>
      <c r="L531" s="182" t="s">
        <v>15</v>
      </c>
    </row>
    <row r="532" spans="1:12">
      <c r="A532" s="170" t="s">
        <v>2723</v>
      </c>
      <c r="B532" s="170" t="s">
        <v>2724</v>
      </c>
      <c r="C532" s="208" t="s">
        <v>2725</v>
      </c>
      <c r="D532" s="170" t="s">
        <v>11</v>
      </c>
      <c r="E532" s="170" t="s">
        <v>12</v>
      </c>
      <c r="H532" s="207">
        <v>309854</v>
      </c>
      <c r="I532" s="182" t="s">
        <v>2726</v>
      </c>
      <c r="J532" s="182" t="s">
        <v>2727</v>
      </c>
      <c r="K532" s="182" t="s">
        <v>2728</v>
      </c>
      <c r="L532" s="182" t="s">
        <v>15</v>
      </c>
    </row>
    <row r="533" spans="1:12">
      <c r="A533" s="170" t="s">
        <v>2729</v>
      </c>
      <c r="B533" s="170" t="s">
        <v>2730</v>
      </c>
      <c r="C533" s="208" t="s">
        <v>2731</v>
      </c>
      <c r="D533" s="170" t="s">
        <v>11</v>
      </c>
      <c r="E533" s="170" t="s">
        <v>12</v>
      </c>
      <c r="H533" s="207">
        <v>879364</v>
      </c>
      <c r="I533" s="182" t="s">
        <v>2732</v>
      </c>
      <c r="J533" s="182" t="s">
        <v>2733</v>
      </c>
      <c r="K533" s="182" t="s">
        <v>2734</v>
      </c>
      <c r="L533" s="182" t="s">
        <v>15</v>
      </c>
    </row>
    <row r="534" spans="1:12">
      <c r="A534" s="170" t="s">
        <v>2735</v>
      </c>
      <c r="B534" s="170" t="s">
        <v>2736</v>
      </c>
      <c r="C534" s="170"/>
      <c r="D534" s="170" t="s">
        <v>11</v>
      </c>
      <c r="E534" s="170" t="s">
        <v>12</v>
      </c>
      <c r="H534" s="207">
        <v>477205</v>
      </c>
      <c r="I534" s="182" t="s">
        <v>2737</v>
      </c>
      <c r="J534" s="182" t="s">
        <v>2738</v>
      </c>
      <c r="K534" s="182" t="s">
        <v>2739</v>
      </c>
      <c r="L534" s="182" t="s">
        <v>15</v>
      </c>
    </row>
    <row r="535" spans="1:12">
      <c r="A535" s="170" t="s">
        <v>2740</v>
      </c>
      <c r="B535" s="170" t="s">
        <v>2741</v>
      </c>
      <c r="C535" s="208" t="s">
        <v>2742</v>
      </c>
      <c r="D535" s="170" t="s">
        <v>11</v>
      </c>
      <c r="E535" s="170" t="s">
        <v>12</v>
      </c>
      <c r="H535" s="207">
        <v>437693</v>
      </c>
      <c r="I535" s="182" t="s">
        <v>2743</v>
      </c>
      <c r="J535" s="182" t="s">
        <v>2744</v>
      </c>
      <c r="K535" s="182" t="s">
        <v>2745</v>
      </c>
      <c r="L535" s="182" t="s">
        <v>15</v>
      </c>
    </row>
    <row r="536" spans="1:12">
      <c r="A536" s="170" t="s">
        <v>2746</v>
      </c>
      <c r="B536" s="170" t="s">
        <v>2747</v>
      </c>
      <c r="C536" s="208" t="s">
        <v>2748</v>
      </c>
      <c r="D536" s="170" t="s">
        <v>11</v>
      </c>
      <c r="E536" s="170" t="s">
        <v>12</v>
      </c>
      <c r="H536" s="207">
        <v>453341</v>
      </c>
      <c r="I536" s="182" t="s">
        <v>2749</v>
      </c>
      <c r="J536" s="182" t="s">
        <v>2750</v>
      </c>
      <c r="K536" s="182"/>
      <c r="L536" s="182" t="s">
        <v>15</v>
      </c>
    </row>
    <row r="537" spans="1:12">
      <c r="A537" s="170" t="s">
        <v>2751</v>
      </c>
      <c r="B537" s="170" t="s">
        <v>2752</v>
      </c>
      <c r="C537" s="170"/>
      <c r="D537" s="170" t="s">
        <v>11</v>
      </c>
      <c r="E537" s="170" t="s">
        <v>12</v>
      </c>
      <c r="H537" s="207">
        <v>402388</v>
      </c>
      <c r="I537" s="182" t="s">
        <v>2753</v>
      </c>
      <c r="J537" s="182" t="s">
        <v>2754</v>
      </c>
      <c r="K537" s="182" t="s">
        <v>2755</v>
      </c>
      <c r="L537" s="182" t="s">
        <v>15</v>
      </c>
    </row>
    <row r="538" spans="1:12">
      <c r="A538" s="170" t="s">
        <v>2756</v>
      </c>
      <c r="B538" s="170" t="s">
        <v>2757</v>
      </c>
      <c r="C538" s="228" t="s">
        <v>2758</v>
      </c>
      <c r="D538" s="170" t="s">
        <v>11</v>
      </c>
      <c r="E538" s="170" t="s">
        <v>12</v>
      </c>
      <c r="H538" s="207">
        <v>503367</v>
      </c>
      <c r="I538" s="182" t="s">
        <v>2759</v>
      </c>
      <c r="J538" s="182" t="s">
        <v>2760</v>
      </c>
      <c r="K538" s="182"/>
      <c r="L538" s="182" t="s">
        <v>15</v>
      </c>
    </row>
    <row r="539" spans="1:12">
      <c r="A539" s="170" t="s">
        <v>2761</v>
      </c>
      <c r="B539" s="170" t="s">
        <v>2762</v>
      </c>
      <c r="C539" s="228" t="s">
        <v>2763</v>
      </c>
      <c r="D539" s="170" t="s">
        <v>11</v>
      </c>
      <c r="E539" s="170" t="s">
        <v>12</v>
      </c>
      <c r="H539" s="207">
        <v>496955</v>
      </c>
      <c r="I539" s="182" t="s">
        <v>2764</v>
      </c>
      <c r="J539" s="182" t="s">
        <v>2765</v>
      </c>
      <c r="K539" s="182"/>
      <c r="L539" s="182" t="s">
        <v>15</v>
      </c>
    </row>
    <row r="540" spans="1:12">
      <c r="A540" s="170" t="s">
        <v>2766</v>
      </c>
      <c r="B540" s="170" t="s">
        <v>2767</v>
      </c>
      <c r="C540" s="170"/>
      <c r="D540" s="170" t="s">
        <v>11</v>
      </c>
      <c r="E540" s="170" t="s">
        <v>12</v>
      </c>
      <c r="H540" s="207" t="s">
        <v>2768</v>
      </c>
      <c r="I540" s="182" t="s">
        <v>10</v>
      </c>
      <c r="J540" s="182" t="s">
        <v>2768</v>
      </c>
      <c r="K540" s="182" t="s">
        <v>2769</v>
      </c>
      <c r="L540" s="182" t="s">
        <v>53</v>
      </c>
    </row>
    <row r="541" spans="1:12">
      <c r="A541" s="170" t="s">
        <v>2770</v>
      </c>
      <c r="B541" s="170" t="s">
        <v>2771</v>
      </c>
      <c r="C541" s="208" t="s">
        <v>2772</v>
      </c>
      <c r="D541" s="170" t="s">
        <v>11</v>
      </c>
      <c r="E541" s="170" t="s">
        <v>12</v>
      </c>
      <c r="H541" s="207">
        <v>513356</v>
      </c>
      <c r="I541" s="182" t="s">
        <v>2773</v>
      </c>
      <c r="J541" s="182" t="s">
        <v>2774</v>
      </c>
      <c r="K541" s="182"/>
      <c r="L541" s="182" t="s">
        <v>15</v>
      </c>
    </row>
    <row r="542" spans="1:12">
      <c r="A542" s="170" t="s">
        <v>2775</v>
      </c>
      <c r="B542" s="170" t="s">
        <v>2776</v>
      </c>
      <c r="C542" s="170"/>
      <c r="D542" s="170" t="s">
        <v>11</v>
      </c>
      <c r="E542" s="170" t="s">
        <v>12</v>
      </c>
      <c r="H542" s="207">
        <v>443288</v>
      </c>
      <c r="I542" s="182" t="s">
        <v>2777</v>
      </c>
      <c r="J542" s="182" t="s">
        <v>2778</v>
      </c>
      <c r="K542" s="182" t="s">
        <v>2779</v>
      </c>
      <c r="L542" s="182" t="s">
        <v>15</v>
      </c>
    </row>
    <row r="543" spans="1:12">
      <c r="A543" s="170" t="s">
        <v>2780</v>
      </c>
      <c r="B543" s="170" t="s">
        <v>2781</v>
      </c>
      <c r="C543" s="170"/>
      <c r="D543" s="170" t="s">
        <v>11</v>
      </c>
      <c r="E543" s="170" t="s">
        <v>12</v>
      </c>
      <c r="H543" s="207">
        <v>497028</v>
      </c>
      <c r="I543" s="182" t="s">
        <v>2782</v>
      </c>
      <c r="J543" s="182" t="s">
        <v>2783</v>
      </c>
      <c r="K543" s="182" t="s">
        <v>2784</v>
      </c>
      <c r="L543" s="182" t="s">
        <v>15</v>
      </c>
    </row>
    <row r="544" spans="1:12">
      <c r="A544" s="170" t="s">
        <v>2785</v>
      </c>
      <c r="B544" s="170" t="s">
        <v>2786</v>
      </c>
      <c r="C544" s="229" t="s">
        <v>2787</v>
      </c>
      <c r="D544" s="170" t="s">
        <v>11</v>
      </c>
      <c r="E544" s="170" t="s">
        <v>12</v>
      </c>
      <c r="H544" s="207">
        <v>465061</v>
      </c>
      <c r="I544" s="182" t="s">
        <v>2788</v>
      </c>
      <c r="J544" s="182" t="s">
        <v>2789</v>
      </c>
      <c r="K544" s="182" t="s">
        <v>2790</v>
      </c>
      <c r="L544" s="182" t="s">
        <v>15</v>
      </c>
    </row>
    <row r="545" spans="1:12">
      <c r="A545" s="170" t="s">
        <v>2791</v>
      </c>
      <c r="B545" s="170" t="s">
        <v>2792</v>
      </c>
      <c r="C545" s="170"/>
      <c r="D545" s="170" t="s">
        <v>11</v>
      </c>
      <c r="E545" s="170" t="s">
        <v>12</v>
      </c>
      <c r="H545" s="207">
        <v>440128</v>
      </c>
      <c r="I545" s="182" t="s">
        <v>2793</v>
      </c>
      <c r="J545" s="182" t="s">
        <v>2794</v>
      </c>
      <c r="K545" s="182" t="s">
        <v>2795</v>
      </c>
      <c r="L545" s="182" t="s">
        <v>15</v>
      </c>
    </row>
    <row r="546" spans="1:12">
      <c r="A546" s="170" t="s">
        <v>2796</v>
      </c>
      <c r="B546" s="170" t="s">
        <v>2797</v>
      </c>
      <c r="C546" s="170"/>
      <c r="D546" s="170" t="s">
        <v>11</v>
      </c>
      <c r="E546" s="170" t="s">
        <v>12</v>
      </c>
      <c r="H546" s="207">
        <v>485960</v>
      </c>
      <c r="I546" s="182" t="s">
        <v>2798</v>
      </c>
      <c r="J546" s="182" t="s">
        <v>2799</v>
      </c>
      <c r="K546" s="182" t="s">
        <v>2800</v>
      </c>
      <c r="L546" s="182" t="s">
        <v>15</v>
      </c>
    </row>
    <row r="547" spans="1:12">
      <c r="A547" s="170" t="s">
        <v>2801</v>
      </c>
      <c r="B547" s="170" t="s">
        <v>2802</v>
      </c>
      <c r="C547" s="178" t="s">
        <v>10</v>
      </c>
      <c r="D547" s="170" t="s">
        <v>11</v>
      </c>
      <c r="E547" s="170" t="s">
        <v>12</v>
      </c>
      <c r="H547" s="207">
        <v>500773</v>
      </c>
      <c r="I547" s="182" t="s">
        <v>2803</v>
      </c>
      <c r="J547" s="182" t="s">
        <v>2804</v>
      </c>
      <c r="K547" s="182" t="s">
        <v>2805</v>
      </c>
      <c r="L547" s="182" t="s">
        <v>15</v>
      </c>
    </row>
    <row r="548" spans="1:12">
      <c r="A548" s="170" t="s">
        <v>2806</v>
      </c>
      <c r="B548" s="170" t="s">
        <v>2807</v>
      </c>
      <c r="C548" s="178" t="s">
        <v>10</v>
      </c>
      <c r="D548" s="170" t="s">
        <v>11</v>
      </c>
      <c r="E548" s="170" t="s">
        <v>12</v>
      </c>
      <c r="H548" s="207">
        <v>485276</v>
      </c>
      <c r="I548" s="182" t="s">
        <v>2808</v>
      </c>
      <c r="J548" s="182" t="s">
        <v>2809</v>
      </c>
      <c r="K548" s="182" t="s">
        <v>2810</v>
      </c>
      <c r="L548" s="182" t="s">
        <v>15</v>
      </c>
    </row>
    <row r="549" spans="1:12">
      <c r="A549" s="170" t="s">
        <v>2811</v>
      </c>
      <c r="B549" s="170" t="s">
        <v>2812</v>
      </c>
      <c r="C549" s="178" t="s">
        <v>10</v>
      </c>
      <c r="D549" s="170" t="s">
        <v>11</v>
      </c>
      <c r="E549" s="170" t="s">
        <v>12</v>
      </c>
      <c r="H549" s="207" t="s">
        <v>2813</v>
      </c>
      <c r="I549" s="182" t="s">
        <v>10</v>
      </c>
      <c r="J549" s="182" t="s">
        <v>2813</v>
      </c>
      <c r="K549" s="182" t="s">
        <v>2814</v>
      </c>
      <c r="L549" s="182" t="s">
        <v>53</v>
      </c>
    </row>
    <row r="550" spans="1:12">
      <c r="A550" s="170" t="s">
        <v>2815</v>
      </c>
      <c r="B550" s="170" t="s">
        <v>2816</v>
      </c>
      <c r="C550" s="178" t="s">
        <v>10</v>
      </c>
      <c r="D550" s="170" t="s">
        <v>11</v>
      </c>
      <c r="E550" s="170" t="s">
        <v>12</v>
      </c>
      <c r="H550" s="207">
        <v>514546</v>
      </c>
      <c r="I550" s="182" t="s">
        <v>2817</v>
      </c>
      <c r="J550" s="182" t="s">
        <v>2818</v>
      </c>
      <c r="K550" s="182"/>
      <c r="L550" s="182" t="s">
        <v>15</v>
      </c>
    </row>
    <row r="551" spans="1:12">
      <c r="A551" s="170" t="s">
        <v>2819</v>
      </c>
      <c r="B551" s="170" t="s">
        <v>2820</v>
      </c>
      <c r="C551" s="178" t="s">
        <v>10</v>
      </c>
      <c r="D551" s="170" t="s">
        <v>11</v>
      </c>
      <c r="E551" s="170" t="s">
        <v>12</v>
      </c>
      <c r="H551" s="207">
        <v>479476</v>
      </c>
      <c r="I551" s="182" t="s">
        <v>2821</v>
      </c>
      <c r="J551" s="182" t="s">
        <v>2822</v>
      </c>
      <c r="K551" s="182" t="s">
        <v>2823</v>
      </c>
      <c r="L551" s="182" t="s">
        <v>15</v>
      </c>
    </row>
    <row r="552" spans="1:12">
      <c r="A552" s="170" t="s">
        <v>2824</v>
      </c>
      <c r="B552" s="170" t="s">
        <v>2825</v>
      </c>
      <c r="C552" s="178" t="s">
        <v>10</v>
      </c>
      <c r="D552" s="170" t="s">
        <v>11</v>
      </c>
      <c r="E552" s="170" t="s">
        <v>12</v>
      </c>
      <c r="H552" s="207">
        <v>518677</v>
      </c>
      <c r="I552" s="182" t="s">
        <v>2826</v>
      </c>
      <c r="J552" s="182" t="s">
        <v>2827</v>
      </c>
      <c r="K552" s="182" t="s">
        <v>2828</v>
      </c>
      <c r="L552" s="182" t="s">
        <v>15</v>
      </c>
    </row>
    <row r="553" spans="1:12">
      <c r="A553" s="170" t="s">
        <v>2829</v>
      </c>
      <c r="B553" s="170" t="s">
        <v>2830</v>
      </c>
      <c r="C553" s="178" t="s">
        <v>10</v>
      </c>
      <c r="D553" s="170" t="s">
        <v>11</v>
      </c>
      <c r="E553" s="170" t="s">
        <v>12</v>
      </c>
      <c r="H553" s="207" t="s">
        <v>2831</v>
      </c>
      <c r="I553" s="182" t="s">
        <v>10</v>
      </c>
      <c r="J553" s="182" t="s">
        <v>2831</v>
      </c>
      <c r="K553" s="182" t="s">
        <v>2832</v>
      </c>
      <c r="L553" s="182" t="s">
        <v>19</v>
      </c>
    </row>
    <row r="554" spans="1:12">
      <c r="A554" s="170" t="s">
        <v>2833</v>
      </c>
      <c r="B554" s="170" t="s">
        <v>2834</v>
      </c>
      <c r="C554" s="178" t="s">
        <v>10</v>
      </c>
      <c r="D554" s="170" t="s">
        <v>11</v>
      </c>
      <c r="E554" s="170" t="s">
        <v>12</v>
      </c>
      <c r="H554" s="207">
        <v>482358</v>
      </c>
      <c r="I554" s="182" t="s">
        <v>2835</v>
      </c>
      <c r="J554" s="182" t="s">
        <v>2836</v>
      </c>
      <c r="K554" s="182" t="s">
        <v>2837</v>
      </c>
      <c r="L554" s="182" t="s">
        <v>15</v>
      </c>
    </row>
    <row r="555" spans="1:12">
      <c r="A555" s="170" t="s">
        <v>2838</v>
      </c>
      <c r="B555" s="170" t="s">
        <v>2839</v>
      </c>
      <c r="C555" s="178" t="s">
        <v>10</v>
      </c>
      <c r="D555" s="170" t="s">
        <v>11</v>
      </c>
      <c r="E555" s="170" t="s">
        <v>12</v>
      </c>
      <c r="H555" s="207" t="s">
        <v>2840</v>
      </c>
      <c r="I555" s="182" t="s">
        <v>10</v>
      </c>
      <c r="J555" s="182" t="s">
        <v>2840</v>
      </c>
      <c r="K555" s="182" t="s">
        <v>2841</v>
      </c>
      <c r="L555" s="182" t="s">
        <v>53</v>
      </c>
    </row>
    <row r="556" spans="1:12">
      <c r="A556" s="170" t="s">
        <v>2842</v>
      </c>
      <c r="B556" s="170" t="s">
        <v>2843</v>
      </c>
      <c r="C556" s="178" t="s">
        <v>10</v>
      </c>
      <c r="D556" s="170" t="s">
        <v>11</v>
      </c>
      <c r="E556" s="170" t="s">
        <v>12</v>
      </c>
      <c r="H556" s="207">
        <v>455581</v>
      </c>
      <c r="I556" s="182" t="s">
        <v>2844</v>
      </c>
      <c r="J556" s="182" t="s">
        <v>2845</v>
      </c>
      <c r="K556" s="182"/>
      <c r="L556" s="182" t="s">
        <v>15</v>
      </c>
    </row>
    <row r="557" spans="1:12">
      <c r="A557" s="170" t="s">
        <v>2846</v>
      </c>
      <c r="B557" s="170" t="s">
        <v>2847</v>
      </c>
      <c r="C557" s="178" t="s">
        <v>10</v>
      </c>
      <c r="D557" s="170" t="s">
        <v>11</v>
      </c>
      <c r="E557" s="170" t="s">
        <v>12</v>
      </c>
      <c r="H557" s="207">
        <v>519887</v>
      </c>
      <c r="I557" s="182" t="s">
        <v>2848</v>
      </c>
      <c r="J557" s="182" t="s">
        <v>2849</v>
      </c>
      <c r="K557" s="182" t="s">
        <v>2850</v>
      </c>
      <c r="L557" s="182" t="s">
        <v>15</v>
      </c>
    </row>
    <row r="558" spans="1:12">
      <c r="A558" s="170" t="s">
        <v>2851</v>
      </c>
      <c r="B558" s="170" t="s">
        <v>2852</v>
      </c>
      <c r="C558" s="178" t="s">
        <v>10</v>
      </c>
      <c r="D558" s="170" t="s">
        <v>11</v>
      </c>
      <c r="E558" s="170" t="s">
        <v>12</v>
      </c>
      <c r="H558" s="207">
        <v>503472</v>
      </c>
      <c r="I558" s="182" t="s">
        <v>2853</v>
      </c>
      <c r="J558" s="182" t="s">
        <v>2854</v>
      </c>
      <c r="K558" s="182" t="s">
        <v>2855</v>
      </c>
      <c r="L558" s="182" t="s">
        <v>15</v>
      </c>
    </row>
    <row r="559" spans="1:12">
      <c r="A559" s="170" t="s">
        <v>2856</v>
      </c>
      <c r="B559" s="170" t="s">
        <v>2857</v>
      </c>
      <c r="C559" s="170"/>
      <c r="D559" s="170" t="s">
        <v>11</v>
      </c>
      <c r="E559" s="170" t="s">
        <v>12</v>
      </c>
      <c r="H559" s="207">
        <v>451075</v>
      </c>
      <c r="I559" s="182" t="s">
        <v>2858</v>
      </c>
      <c r="J559" s="182" t="s">
        <v>2859</v>
      </c>
      <c r="K559" s="182" t="s">
        <v>2860</v>
      </c>
      <c r="L559" s="182" t="s">
        <v>15</v>
      </c>
    </row>
    <row r="560" spans="1:12">
      <c r="A560" s="170" t="s">
        <v>2861</v>
      </c>
      <c r="B560" s="170" t="s">
        <v>2862</v>
      </c>
      <c r="C560" s="170"/>
      <c r="D560" s="170" t="s">
        <v>11</v>
      </c>
      <c r="E560" s="170" t="s">
        <v>12</v>
      </c>
      <c r="H560" s="207">
        <v>504729</v>
      </c>
      <c r="I560" s="182" t="s">
        <v>2863</v>
      </c>
      <c r="J560" s="182" t="s">
        <v>2864</v>
      </c>
      <c r="K560" s="182" t="s">
        <v>2865</v>
      </c>
      <c r="L560" s="182" t="s">
        <v>15</v>
      </c>
    </row>
    <row r="561" spans="1:12">
      <c r="A561" s="170" t="s">
        <v>2866</v>
      </c>
      <c r="B561" s="170" t="s">
        <v>2867</v>
      </c>
      <c r="C561" s="170"/>
      <c r="D561" s="170" t="s">
        <v>11</v>
      </c>
      <c r="E561" s="170" t="s">
        <v>12</v>
      </c>
      <c r="H561" s="207">
        <v>472973</v>
      </c>
      <c r="I561" s="182" t="s">
        <v>2868</v>
      </c>
      <c r="J561" s="182" t="s">
        <v>2869</v>
      </c>
      <c r="K561" s="182" t="s">
        <v>2870</v>
      </c>
      <c r="L561" s="182" t="s">
        <v>15</v>
      </c>
    </row>
    <row r="562" spans="1:12">
      <c r="A562" s="170" t="s">
        <v>2871</v>
      </c>
      <c r="B562" s="170" t="s">
        <v>2872</v>
      </c>
      <c r="C562" s="170"/>
      <c r="D562" s="170" t="s">
        <v>11</v>
      </c>
      <c r="E562" s="170" t="s">
        <v>12</v>
      </c>
      <c r="H562" s="207">
        <v>513210</v>
      </c>
      <c r="I562" s="182" t="s">
        <v>2873</v>
      </c>
      <c r="J562" s="182" t="s">
        <v>2874</v>
      </c>
      <c r="K562" s="182" t="s">
        <v>2875</v>
      </c>
      <c r="L562" s="182" t="s">
        <v>15</v>
      </c>
    </row>
    <row r="563" spans="1:12">
      <c r="A563" s="170" t="s">
        <v>2876</v>
      </c>
      <c r="B563" s="170" t="s">
        <v>2877</v>
      </c>
      <c r="C563" s="170"/>
      <c r="D563" s="170" t="s">
        <v>11</v>
      </c>
      <c r="E563" s="170" t="s">
        <v>12</v>
      </c>
      <c r="H563" s="207">
        <v>444463</v>
      </c>
      <c r="I563" s="182" t="s">
        <v>2878</v>
      </c>
      <c r="J563" s="182" t="s">
        <v>2879</v>
      </c>
      <c r="K563" s="182" t="s">
        <v>2880</v>
      </c>
      <c r="L563" s="182" t="s">
        <v>15</v>
      </c>
    </row>
    <row r="564" spans="1:12">
      <c r="A564" s="170" t="s">
        <v>2881</v>
      </c>
      <c r="B564" s="170" t="s">
        <v>2882</v>
      </c>
      <c r="C564" s="170"/>
      <c r="D564" s="170" t="s">
        <v>11</v>
      </c>
      <c r="E564" s="170" t="s">
        <v>12</v>
      </c>
      <c r="H564" s="207">
        <v>505406</v>
      </c>
      <c r="I564" s="182" t="s">
        <v>2883</v>
      </c>
      <c r="J564" s="182" t="s">
        <v>2884</v>
      </c>
      <c r="K564" s="182" t="s">
        <v>2885</v>
      </c>
      <c r="L564" s="182" t="s">
        <v>15</v>
      </c>
    </row>
    <row r="565" spans="1:12">
      <c r="A565" s="170" t="s">
        <v>2886</v>
      </c>
      <c r="B565" s="170" t="s">
        <v>2887</v>
      </c>
      <c r="C565" s="170"/>
      <c r="D565" s="170" t="s">
        <v>11</v>
      </c>
      <c r="E565" s="170" t="s">
        <v>12</v>
      </c>
      <c r="H565" s="207">
        <v>497845</v>
      </c>
      <c r="I565" s="182" t="s">
        <v>2888</v>
      </c>
      <c r="J565" s="182" t="s">
        <v>2889</v>
      </c>
      <c r="K565" s="182" t="s">
        <v>2890</v>
      </c>
      <c r="L565" s="182" t="s">
        <v>15</v>
      </c>
    </row>
    <row r="566" spans="1:12">
      <c r="A566" s="170" t="s">
        <v>2891</v>
      </c>
      <c r="B566" s="170" t="s">
        <v>2892</v>
      </c>
      <c r="C566" s="170"/>
      <c r="D566" s="170" t="s">
        <v>11</v>
      </c>
      <c r="E566" s="170" t="s">
        <v>12</v>
      </c>
      <c r="H566" s="207">
        <v>461712</v>
      </c>
      <c r="I566" s="182" t="s">
        <v>2893</v>
      </c>
      <c r="J566" s="182" t="s">
        <v>2894</v>
      </c>
      <c r="K566" s="182" t="s">
        <v>2895</v>
      </c>
      <c r="L566" s="182" t="s">
        <v>15</v>
      </c>
    </row>
    <row r="567" spans="1:12">
      <c r="A567" s="170" t="s">
        <v>2896</v>
      </c>
      <c r="B567" s="170" t="s">
        <v>2897</v>
      </c>
      <c r="C567" s="170"/>
      <c r="D567" s="170" t="s">
        <v>11</v>
      </c>
      <c r="E567" s="170" t="s">
        <v>12</v>
      </c>
      <c r="H567" s="207">
        <v>459217</v>
      </c>
      <c r="I567" s="182" t="s">
        <v>2898</v>
      </c>
      <c r="J567" s="182" t="s">
        <v>2899</v>
      </c>
      <c r="K567" s="182" t="s">
        <v>2900</v>
      </c>
      <c r="L567" s="182" t="s">
        <v>15</v>
      </c>
    </row>
    <row r="568" spans="1:12">
      <c r="A568" s="170" t="s">
        <v>2901</v>
      </c>
      <c r="B568" s="170" t="s">
        <v>2902</v>
      </c>
      <c r="C568" s="170"/>
      <c r="D568" s="170" t="s">
        <v>11</v>
      </c>
      <c r="E568" s="170" t="s">
        <v>12</v>
      </c>
      <c r="H568" s="207">
        <v>801886</v>
      </c>
      <c r="I568" s="182" t="s">
        <v>2903</v>
      </c>
      <c r="J568" s="182" t="s">
        <v>2904</v>
      </c>
      <c r="K568" s="182" t="s">
        <v>2905</v>
      </c>
      <c r="L568" s="182" t="s">
        <v>15</v>
      </c>
    </row>
    <row r="569" spans="1:12">
      <c r="A569" s="170" t="s">
        <v>2906</v>
      </c>
      <c r="B569" s="170" t="s">
        <v>2907</v>
      </c>
      <c r="C569" s="170"/>
      <c r="D569" s="170" t="s">
        <v>11</v>
      </c>
      <c r="E569" s="170" t="s">
        <v>12</v>
      </c>
      <c r="H569" s="207">
        <v>406913</v>
      </c>
      <c r="I569" s="182" t="s">
        <v>2908</v>
      </c>
      <c r="J569" s="182" t="s">
        <v>2909</v>
      </c>
      <c r="K569" s="182" t="s">
        <v>2910</v>
      </c>
      <c r="L569" s="182" t="s">
        <v>15</v>
      </c>
    </row>
    <row r="570" spans="1:12">
      <c r="A570" s="170" t="s">
        <v>2911</v>
      </c>
      <c r="B570" s="170" t="s">
        <v>2912</v>
      </c>
      <c r="C570" s="170"/>
      <c r="D570" s="170" t="s">
        <v>11</v>
      </c>
      <c r="E570" s="170" t="s">
        <v>12</v>
      </c>
      <c r="H570" s="207">
        <v>519819</v>
      </c>
      <c r="I570" s="182" t="s">
        <v>2913</v>
      </c>
      <c r="J570" s="182" t="s">
        <v>2914</v>
      </c>
      <c r="K570" s="182" t="s">
        <v>2915</v>
      </c>
      <c r="L570" s="182" t="s">
        <v>15</v>
      </c>
    </row>
    <row r="571" spans="1:12">
      <c r="A571" s="170" t="s">
        <v>2916</v>
      </c>
      <c r="B571" s="170" t="s">
        <v>2917</v>
      </c>
      <c r="C571" s="170"/>
      <c r="D571" s="170" t="s">
        <v>11</v>
      </c>
      <c r="E571" s="170" t="s">
        <v>12</v>
      </c>
      <c r="H571" s="207">
        <v>485486</v>
      </c>
      <c r="I571" s="182" t="s">
        <v>2918</v>
      </c>
      <c r="J571" s="182" t="s">
        <v>2919</v>
      </c>
      <c r="K571" s="182" t="s">
        <v>2920</v>
      </c>
      <c r="L571" s="182" t="s">
        <v>15</v>
      </c>
    </row>
    <row r="572" spans="1:12">
      <c r="A572" s="170" t="s">
        <v>2921</v>
      </c>
      <c r="B572" s="170" t="s">
        <v>2922</v>
      </c>
      <c r="C572" s="170"/>
      <c r="D572" s="170" t="s">
        <v>11</v>
      </c>
      <c r="E572" s="170" t="s">
        <v>12</v>
      </c>
      <c r="H572" s="207">
        <v>507795</v>
      </c>
      <c r="I572" s="182" t="s">
        <v>2923</v>
      </c>
      <c r="J572" s="182" t="s">
        <v>2924</v>
      </c>
      <c r="K572" s="182" t="s">
        <v>2925</v>
      </c>
      <c r="L572" s="182" t="s">
        <v>15</v>
      </c>
    </row>
    <row r="573" spans="1:12">
      <c r="A573" s="170" t="s">
        <v>2926</v>
      </c>
      <c r="B573" s="170" t="s">
        <v>2927</v>
      </c>
      <c r="C573" s="170"/>
      <c r="D573" s="170" t="s">
        <v>11</v>
      </c>
      <c r="E573" s="170" t="s">
        <v>12</v>
      </c>
      <c r="H573" s="207">
        <v>332779</v>
      </c>
      <c r="I573" s="182" t="s">
        <v>2928</v>
      </c>
      <c r="J573" s="182" t="s">
        <v>2929</v>
      </c>
      <c r="K573" s="182" t="s">
        <v>2930</v>
      </c>
      <c r="L573" s="182" t="s">
        <v>15</v>
      </c>
    </row>
    <row r="574" spans="1:12">
      <c r="A574" s="170" t="s">
        <v>2931</v>
      </c>
      <c r="B574" s="170" t="s">
        <v>2932</v>
      </c>
      <c r="C574" s="170"/>
      <c r="D574" s="170" t="s">
        <v>11</v>
      </c>
      <c r="E574" s="170" t="s">
        <v>12</v>
      </c>
      <c r="H574" s="207">
        <v>481193</v>
      </c>
      <c r="I574" s="182" t="s">
        <v>2933</v>
      </c>
      <c r="J574" s="182" t="s">
        <v>2934</v>
      </c>
      <c r="K574" s="182" t="s">
        <v>2935</v>
      </c>
      <c r="L574" s="182" t="s">
        <v>15</v>
      </c>
    </row>
    <row r="575" spans="1:12">
      <c r="A575" s="170" t="s">
        <v>2936</v>
      </c>
      <c r="B575" s="170" t="s">
        <v>2937</v>
      </c>
      <c r="C575" s="170"/>
      <c r="D575" s="170" t="s">
        <v>11</v>
      </c>
      <c r="E575" s="170" t="s">
        <v>12</v>
      </c>
      <c r="H575" s="207" t="s">
        <v>2938</v>
      </c>
      <c r="I575" s="182" t="s">
        <v>10</v>
      </c>
      <c r="J575" s="182" t="s">
        <v>2938</v>
      </c>
      <c r="K575" s="182" t="s">
        <v>2939</v>
      </c>
      <c r="L575" s="182" t="s">
        <v>19</v>
      </c>
    </row>
    <row r="576" spans="1:12">
      <c r="A576" s="170" t="s">
        <v>2940</v>
      </c>
      <c r="B576" s="170" t="s">
        <v>2941</v>
      </c>
      <c r="C576" s="170"/>
      <c r="D576" s="170" t="s">
        <v>11</v>
      </c>
      <c r="E576" s="170" t="s">
        <v>12</v>
      </c>
      <c r="H576" s="207">
        <v>205026</v>
      </c>
      <c r="I576" s="182" t="s">
        <v>2942</v>
      </c>
      <c r="J576" s="182" t="s">
        <v>2943</v>
      </c>
      <c r="K576" s="182" t="s">
        <v>2944</v>
      </c>
      <c r="L576" s="182" t="s">
        <v>15</v>
      </c>
    </row>
    <row r="577" spans="1:12">
      <c r="A577" s="170" t="s">
        <v>2945</v>
      </c>
      <c r="B577" s="170" t="s">
        <v>2946</v>
      </c>
      <c r="C577" s="170"/>
      <c r="D577" s="170" t="s">
        <v>11</v>
      </c>
      <c r="E577" s="170" t="s">
        <v>12</v>
      </c>
      <c r="H577" s="207">
        <v>451389</v>
      </c>
      <c r="I577" s="182" t="s">
        <v>2947</v>
      </c>
      <c r="J577" s="182" t="s">
        <v>2948</v>
      </c>
      <c r="K577" s="182" t="s">
        <v>2949</v>
      </c>
      <c r="L577" s="182" t="s">
        <v>15</v>
      </c>
    </row>
    <row r="578" spans="1:12">
      <c r="A578" s="170" t="s">
        <v>2950</v>
      </c>
      <c r="B578" s="170" t="s">
        <v>2951</v>
      </c>
      <c r="C578" s="170"/>
      <c r="D578" s="170" t="s">
        <v>11</v>
      </c>
      <c r="E578" s="170" t="s">
        <v>12</v>
      </c>
      <c r="H578" s="207">
        <v>486177</v>
      </c>
      <c r="I578" s="182" t="s">
        <v>2952</v>
      </c>
      <c r="J578" s="182" t="s">
        <v>2953</v>
      </c>
      <c r="K578" s="182" t="s">
        <v>2954</v>
      </c>
      <c r="L578" s="182" t="s">
        <v>15</v>
      </c>
    </row>
    <row r="579" spans="1:12">
      <c r="A579" s="170" t="s">
        <v>2955</v>
      </c>
      <c r="B579" s="170" t="s">
        <v>2956</v>
      </c>
      <c r="C579" s="170"/>
      <c r="D579" s="170" t="s">
        <v>11</v>
      </c>
      <c r="E579" s="170" t="s">
        <v>12</v>
      </c>
      <c r="H579" s="207">
        <v>151808</v>
      </c>
      <c r="I579" s="182" t="s">
        <v>2957</v>
      </c>
      <c r="J579" s="182" t="s">
        <v>2958</v>
      </c>
      <c r="K579" s="182"/>
      <c r="L579" s="182" t="s">
        <v>15</v>
      </c>
    </row>
    <row r="580" spans="1:12">
      <c r="A580" s="170" t="s">
        <v>2959</v>
      </c>
      <c r="B580" s="170" t="s">
        <v>2960</v>
      </c>
      <c r="C580" s="170"/>
      <c r="D580" s="170" t="s">
        <v>11</v>
      </c>
      <c r="E580" s="170" t="s">
        <v>12</v>
      </c>
      <c r="H580" s="207">
        <v>496740</v>
      </c>
      <c r="I580" s="182" t="s">
        <v>2961</v>
      </c>
      <c r="J580" s="182" t="s">
        <v>2962</v>
      </c>
      <c r="K580" s="182"/>
      <c r="L580" s="182" t="s">
        <v>15</v>
      </c>
    </row>
    <row r="581" spans="1:12">
      <c r="A581" s="170" t="s">
        <v>2963</v>
      </c>
      <c r="B581" s="170" t="s">
        <v>2964</v>
      </c>
      <c r="C581" s="170"/>
      <c r="D581" s="170" t="s">
        <v>11</v>
      </c>
      <c r="E581" s="170" t="s">
        <v>12</v>
      </c>
      <c r="H581" s="207" t="s">
        <v>2965</v>
      </c>
      <c r="I581" s="182" t="s">
        <v>10</v>
      </c>
      <c r="J581" s="182" t="s">
        <v>2965</v>
      </c>
      <c r="K581" s="182" t="s">
        <v>2966</v>
      </c>
      <c r="L581" s="182" t="s">
        <v>19</v>
      </c>
    </row>
    <row r="582" spans="1:12">
      <c r="A582" s="170" t="s">
        <v>2967</v>
      </c>
      <c r="B582" s="170" t="s">
        <v>2968</v>
      </c>
      <c r="C582" s="170"/>
      <c r="D582" s="170" t="s">
        <v>11</v>
      </c>
      <c r="E582" s="170" t="s">
        <v>12</v>
      </c>
      <c r="H582" s="207">
        <v>496320</v>
      </c>
      <c r="I582" s="182" t="s">
        <v>2969</v>
      </c>
      <c r="J582" s="182" t="s">
        <v>2970</v>
      </c>
      <c r="K582" s="182" t="s">
        <v>2971</v>
      </c>
      <c r="L582" s="182" t="s">
        <v>15</v>
      </c>
    </row>
    <row r="583" spans="1:12">
      <c r="A583" s="170" t="s">
        <v>2972</v>
      </c>
      <c r="B583" s="170" t="s">
        <v>2973</v>
      </c>
      <c r="C583" s="170"/>
      <c r="D583" s="170" t="s">
        <v>11</v>
      </c>
      <c r="E583" s="170" t="s">
        <v>12</v>
      </c>
      <c r="H583" s="207">
        <v>473700</v>
      </c>
      <c r="I583" s="182" t="s">
        <v>2974</v>
      </c>
      <c r="J583" s="182" t="s">
        <v>2975</v>
      </c>
      <c r="K583" s="182" t="s">
        <v>2976</v>
      </c>
      <c r="L583" s="182" t="s">
        <v>15</v>
      </c>
    </row>
    <row r="584" spans="1:12">
      <c r="A584" s="170" t="s">
        <v>2977</v>
      </c>
      <c r="B584" s="170" t="s">
        <v>2978</v>
      </c>
      <c r="C584" s="170"/>
      <c r="D584" s="170" t="s">
        <v>11</v>
      </c>
      <c r="E584" s="170" t="s">
        <v>12</v>
      </c>
      <c r="H584" s="207">
        <v>328845</v>
      </c>
      <c r="I584" s="182" t="s">
        <v>2979</v>
      </c>
      <c r="J584" s="182" t="s">
        <v>2980</v>
      </c>
      <c r="K584" s="182"/>
      <c r="L584" s="182" t="s">
        <v>15</v>
      </c>
    </row>
    <row r="585" spans="1:12">
      <c r="A585" s="170" t="s">
        <v>2981</v>
      </c>
      <c r="B585" s="170" t="s">
        <v>2982</v>
      </c>
      <c r="C585" s="170"/>
      <c r="D585" s="170" t="s">
        <v>11</v>
      </c>
      <c r="E585" s="170" t="s">
        <v>12</v>
      </c>
      <c r="H585" s="207">
        <v>457775</v>
      </c>
      <c r="I585" s="182" t="s">
        <v>2983</v>
      </c>
      <c r="J585" s="182" t="s">
        <v>2984</v>
      </c>
      <c r="K585" s="182" t="s">
        <v>2985</v>
      </c>
      <c r="L585" s="182" t="s">
        <v>15</v>
      </c>
    </row>
    <row r="586" spans="1:12">
      <c r="A586" s="170" t="s">
        <v>2986</v>
      </c>
      <c r="B586" s="170" t="s">
        <v>2987</v>
      </c>
      <c r="C586" s="170"/>
      <c r="D586" s="170" t="s">
        <v>11</v>
      </c>
      <c r="E586" s="170" t="s">
        <v>12</v>
      </c>
      <c r="H586" s="207">
        <v>501851</v>
      </c>
      <c r="I586" s="182" t="s">
        <v>2988</v>
      </c>
      <c r="J586" s="182" t="s">
        <v>2989</v>
      </c>
      <c r="K586" s="182" t="s">
        <v>2990</v>
      </c>
      <c r="L586" s="182" t="s">
        <v>15</v>
      </c>
    </row>
    <row r="587" spans="1:12">
      <c r="A587" s="170" t="s">
        <v>2991</v>
      </c>
      <c r="B587" s="170" t="s">
        <v>2992</v>
      </c>
      <c r="C587" s="170"/>
      <c r="D587" s="170" t="s">
        <v>11</v>
      </c>
      <c r="E587" s="170" t="s">
        <v>12</v>
      </c>
      <c r="H587" s="207">
        <v>223980</v>
      </c>
      <c r="I587" s="182" t="s">
        <v>2993</v>
      </c>
      <c r="J587" s="182" t="s">
        <v>2994</v>
      </c>
      <c r="K587" s="182" t="s">
        <v>2995</v>
      </c>
      <c r="L587" s="182" t="s">
        <v>15</v>
      </c>
    </row>
    <row r="588" spans="1:12">
      <c r="A588" s="170" t="s">
        <v>2996</v>
      </c>
      <c r="B588" s="170" t="s">
        <v>2997</v>
      </c>
      <c r="C588" s="170"/>
      <c r="D588" s="170" t="s">
        <v>11</v>
      </c>
      <c r="E588" s="170" t="s">
        <v>12</v>
      </c>
      <c r="H588" s="207">
        <v>361616</v>
      </c>
      <c r="I588" s="182" t="s">
        <v>2998</v>
      </c>
      <c r="J588" s="182" t="s">
        <v>2999</v>
      </c>
      <c r="K588" s="182" t="s">
        <v>3000</v>
      </c>
      <c r="L588" s="182" t="s">
        <v>15</v>
      </c>
    </row>
    <row r="589" spans="1:12">
      <c r="A589" s="170" t="s">
        <v>3001</v>
      </c>
      <c r="B589" s="170" t="s">
        <v>3002</v>
      </c>
      <c r="C589" s="170"/>
      <c r="D589" s="170" t="s">
        <v>11</v>
      </c>
      <c r="E589" s="170" t="s">
        <v>12</v>
      </c>
      <c r="H589" s="207">
        <v>467527</v>
      </c>
      <c r="I589" s="182" t="s">
        <v>3003</v>
      </c>
      <c r="J589" s="182" t="s">
        <v>3004</v>
      </c>
      <c r="K589" s="182" t="s">
        <v>3005</v>
      </c>
      <c r="L589" s="182" t="s">
        <v>15</v>
      </c>
    </row>
    <row r="590" spans="1:12">
      <c r="A590" s="170" t="s">
        <v>3006</v>
      </c>
      <c r="B590" s="170" t="s">
        <v>3007</v>
      </c>
      <c r="C590" s="170"/>
      <c r="D590" s="170" t="s">
        <v>11</v>
      </c>
      <c r="E590" s="170" t="s">
        <v>12</v>
      </c>
      <c r="H590" s="207">
        <v>750850</v>
      </c>
      <c r="I590" s="182" t="s">
        <v>3008</v>
      </c>
      <c r="J590" s="182" t="s">
        <v>3009</v>
      </c>
      <c r="K590" s="182" t="s">
        <v>3010</v>
      </c>
      <c r="L590" s="182" t="s">
        <v>15</v>
      </c>
    </row>
    <row r="591" spans="1:12">
      <c r="A591" s="170" t="s">
        <v>3011</v>
      </c>
      <c r="B591" s="170" t="s">
        <v>3012</v>
      </c>
      <c r="C591" s="170"/>
      <c r="D591" s="170" t="s">
        <v>11</v>
      </c>
      <c r="E591" s="170" t="s">
        <v>12</v>
      </c>
      <c r="H591" s="207">
        <v>478686</v>
      </c>
      <c r="I591" s="182" t="s">
        <v>3013</v>
      </c>
      <c r="J591" s="182" t="s">
        <v>3014</v>
      </c>
      <c r="K591" s="182" t="s">
        <v>3015</v>
      </c>
      <c r="L591" s="182" t="s">
        <v>15</v>
      </c>
    </row>
    <row r="592" spans="1:12">
      <c r="A592" s="170" t="s">
        <v>3016</v>
      </c>
      <c r="B592" s="170" t="s">
        <v>3017</v>
      </c>
      <c r="C592" s="170"/>
      <c r="D592" s="170" t="s">
        <v>11</v>
      </c>
      <c r="E592" s="170" t="s">
        <v>12</v>
      </c>
      <c r="H592" s="207">
        <v>88487</v>
      </c>
      <c r="I592" s="182" t="s">
        <v>3018</v>
      </c>
      <c r="J592" s="182" t="s">
        <v>3019</v>
      </c>
      <c r="K592" s="182" t="s">
        <v>3020</v>
      </c>
      <c r="L592" s="182" t="s">
        <v>415</v>
      </c>
    </row>
    <row r="593" spans="1:12">
      <c r="A593" s="170" t="s">
        <v>3021</v>
      </c>
      <c r="B593" s="170" t="s">
        <v>3022</v>
      </c>
      <c r="C593" s="170"/>
      <c r="D593" s="170" t="s">
        <v>11</v>
      </c>
      <c r="E593" s="170" t="s">
        <v>12</v>
      </c>
      <c r="H593" s="207">
        <v>492799</v>
      </c>
      <c r="I593" s="182" t="s">
        <v>3023</v>
      </c>
      <c r="J593" s="182" t="s">
        <v>3024</v>
      </c>
      <c r="K593" s="182" t="s">
        <v>3025</v>
      </c>
      <c r="L593" s="182" t="s">
        <v>15</v>
      </c>
    </row>
    <row r="594" spans="1:12">
      <c r="A594" s="170" t="s">
        <v>3026</v>
      </c>
      <c r="B594" s="170" t="s">
        <v>3027</v>
      </c>
      <c r="C594" s="170"/>
      <c r="D594" s="170" t="s">
        <v>11</v>
      </c>
      <c r="E594" s="170" t="s">
        <v>12</v>
      </c>
      <c r="H594" s="207">
        <v>290105</v>
      </c>
      <c r="I594" s="182" t="s">
        <v>3028</v>
      </c>
      <c r="J594" s="182" t="s">
        <v>3029</v>
      </c>
      <c r="K594" s="182" t="s">
        <v>3030</v>
      </c>
      <c r="L594" s="182" t="s">
        <v>415</v>
      </c>
    </row>
    <row r="595" spans="1:12">
      <c r="A595" s="170" t="s">
        <v>3031</v>
      </c>
      <c r="B595" s="170" t="s">
        <v>3032</v>
      </c>
      <c r="C595" s="170"/>
      <c r="D595" s="170" t="s">
        <v>11</v>
      </c>
      <c r="E595" s="170" t="s">
        <v>12</v>
      </c>
      <c r="H595" s="207">
        <v>485253</v>
      </c>
      <c r="I595" s="182" t="s">
        <v>3033</v>
      </c>
      <c r="J595" s="182" t="s">
        <v>3034</v>
      </c>
      <c r="K595" s="182"/>
      <c r="L595" s="182" t="s">
        <v>15</v>
      </c>
    </row>
    <row r="596" spans="1:12">
      <c r="A596" s="170" t="s">
        <v>3035</v>
      </c>
      <c r="B596" s="170" t="s">
        <v>3036</v>
      </c>
      <c r="C596" s="170"/>
      <c r="D596" s="170" t="s">
        <v>11</v>
      </c>
      <c r="E596" s="170" t="s">
        <v>12</v>
      </c>
      <c r="H596" s="207">
        <v>519208</v>
      </c>
      <c r="I596" s="182" t="s">
        <v>3037</v>
      </c>
      <c r="J596" s="182" t="s">
        <v>3038</v>
      </c>
      <c r="K596" s="182"/>
      <c r="L596" s="182" t="s">
        <v>15</v>
      </c>
    </row>
    <row r="597" spans="1:12">
      <c r="A597" s="170" t="s">
        <v>3039</v>
      </c>
      <c r="B597" s="170" t="s">
        <v>3040</v>
      </c>
      <c r="C597" s="170"/>
      <c r="D597" s="170" t="s">
        <v>11</v>
      </c>
      <c r="E597" s="170" t="s">
        <v>12</v>
      </c>
      <c r="H597" s="207">
        <v>509505</v>
      </c>
      <c r="I597" s="182" t="s">
        <v>3041</v>
      </c>
      <c r="J597" s="182" t="s">
        <v>3042</v>
      </c>
      <c r="K597" s="182"/>
      <c r="L597" s="182" t="s">
        <v>15</v>
      </c>
    </row>
    <row r="598" spans="1:12">
      <c r="A598" s="170" t="s">
        <v>3043</v>
      </c>
      <c r="B598" s="170" t="s">
        <v>3044</v>
      </c>
      <c r="C598" s="170"/>
      <c r="D598" s="170" t="s">
        <v>11</v>
      </c>
      <c r="E598" s="170" t="s">
        <v>12</v>
      </c>
      <c r="H598" s="207">
        <v>389199</v>
      </c>
      <c r="I598" s="182" t="s">
        <v>3045</v>
      </c>
      <c r="J598" s="182" t="s">
        <v>3046</v>
      </c>
      <c r="K598" s="182" t="s">
        <v>3047</v>
      </c>
      <c r="L598" s="182" t="s">
        <v>15</v>
      </c>
    </row>
    <row r="599" spans="1:12">
      <c r="A599" s="170" t="s">
        <v>3048</v>
      </c>
      <c r="B599" s="170" t="s">
        <v>3049</v>
      </c>
      <c r="C599" s="170"/>
      <c r="D599" s="170" t="s">
        <v>11</v>
      </c>
      <c r="E599" s="170" t="s">
        <v>12</v>
      </c>
      <c r="H599" s="207" t="s">
        <v>3050</v>
      </c>
      <c r="I599" s="182" t="s">
        <v>10</v>
      </c>
      <c r="J599" s="182" t="s">
        <v>3050</v>
      </c>
      <c r="K599" s="182" t="s">
        <v>3051</v>
      </c>
      <c r="L599" s="182" t="s">
        <v>53</v>
      </c>
    </row>
    <row r="600" spans="1:12">
      <c r="A600" s="170" t="s">
        <v>3052</v>
      </c>
      <c r="B600" s="170" t="s">
        <v>3053</v>
      </c>
      <c r="C600" s="170"/>
      <c r="D600" s="170" t="s">
        <v>11</v>
      </c>
      <c r="E600" s="170" t="s">
        <v>12</v>
      </c>
      <c r="H600" s="207">
        <v>458925</v>
      </c>
      <c r="I600" s="182" t="s">
        <v>3054</v>
      </c>
      <c r="J600" s="182" t="s">
        <v>3055</v>
      </c>
      <c r="K600" s="182" t="s">
        <v>3056</v>
      </c>
      <c r="L600" s="182" t="s">
        <v>15</v>
      </c>
    </row>
    <row r="601" spans="1:12">
      <c r="A601" s="170" t="s">
        <v>3057</v>
      </c>
      <c r="B601" s="170" t="s">
        <v>3058</v>
      </c>
      <c r="C601" s="170"/>
      <c r="D601" s="170" t="s">
        <v>11</v>
      </c>
      <c r="E601" s="170" t="s">
        <v>12</v>
      </c>
      <c r="H601" s="207">
        <v>446034</v>
      </c>
      <c r="I601" s="182" t="s">
        <v>3059</v>
      </c>
      <c r="J601" s="182" t="s">
        <v>3060</v>
      </c>
      <c r="K601" s="182" t="s">
        <v>3061</v>
      </c>
      <c r="L601" s="182" t="s">
        <v>15</v>
      </c>
    </row>
    <row r="602" spans="1:12">
      <c r="A602" s="170" t="s">
        <v>3062</v>
      </c>
      <c r="B602" s="170" t="s">
        <v>3063</v>
      </c>
      <c r="C602" s="170"/>
      <c r="D602" s="170" t="s">
        <v>11</v>
      </c>
      <c r="E602" s="170" t="s">
        <v>12</v>
      </c>
      <c r="H602" s="207">
        <v>432816</v>
      </c>
      <c r="I602" s="182" t="s">
        <v>3064</v>
      </c>
      <c r="J602" s="182" t="s">
        <v>3065</v>
      </c>
      <c r="K602" s="182"/>
      <c r="L602" s="182" t="s">
        <v>15</v>
      </c>
    </row>
    <row r="603" spans="1:12">
      <c r="A603" s="170" t="s">
        <v>3066</v>
      </c>
      <c r="B603" s="170" t="s">
        <v>3067</v>
      </c>
      <c r="C603" s="170"/>
      <c r="D603" s="170" t="s">
        <v>11</v>
      </c>
      <c r="E603" s="170" t="s">
        <v>12</v>
      </c>
      <c r="H603" s="207">
        <v>466513</v>
      </c>
      <c r="I603" s="182" t="s">
        <v>3068</v>
      </c>
      <c r="J603" s="182" t="s">
        <v>3069</v>
      </c>
      <c r="K603" s="182" t="s">
        <v>3070</v>
      </c>
      <c r="L603" s="182" t="s">
        <v>15</v>
      </c>
    </row>
    <row r="604" spans="1:12">
      <c r="A604" s="170" t="s">
        <v>3071</v>
      </c>
      <c r="B604" s="170" t="s">
        <v>3072</v>
      </c>
      <c r="C604" s="170"/>
      <c r="D604" s="170" t="s">
        <v>11</v>
      </c>
      <c r="E604" s="170" t="s">
        <v>12</v>
      </c>
      <c r="H604" s="207">
        <v>433780</v>
      </c>
      <c r="I604" s="182" t="s">
        <v>3073</v>
      </c>
      <c r="J604" s="182" t="s">
        <v>3074</v>
      </c>
      <c r="K604" s="182" t="s">
        <v>3075</v>
      </c>
      <c r="L604" s="182" t="s">
        <v>15</v>
      </c>
    </row>
    <row r="605" spans="1:12">
      <c r="A605" s="170" t="s">
        <v>3076</v>
      </c>
      <c r="B605" s="170" t="s">
        <v>3077</v>
      </c>
      <c r="C605" s="170"/>
      <c r="D605" s="170" t="s">
        <v>11</v>
      </c>
      <c r="E605" s="170" t="s">
        <v>12</v>
      </c>
      <c r="H605" s="207">
        <v>481191</v>
      </c>
      <c r="I605" s="182" t="s">
        <v>3078</v>
      </c>
      <c r="J605" s="182" t="s">
        <v>3079</v>
      </c>
      <c r="K605" s="182" t="s">
        <v>3080</v>
      </c>
      <c r="L605" s="182" t="s">
        <v>15</v>
      </c>
    </row>
    <row r="606" spans="1:12">
      <c r="A606" s="170" t="s">
        <v>3081</v>
      </c>
      <c r="B606" s="170" t="s">
        <v>3082</v>
      </c>
      <c r="C606" s="170"/>
      <c r="D606" s="170" t="s">
        <v>11</v>
      </c>
      <c r="E606" s="170" t="s">
        <v>12</v>
      </c>
      <c r="H606" s="207">
        <v>444875</v>
      </c>
      <c r="I606" s="182" t="s">
        <v>3083</v>
      </c>
      <c r="J606" s="182" t="s">
        <v>3084</v>
      </c>
      <c r="K606" s="182" t="s">
        <v>3085</v>
      </c>
      <c r="L606" s="182" t="s">
        <v>15</v>
      </c>
    </row>
    <row r="607" spans="1:12">
      <c r="A607" s="170" t="s">
        <v>3086</v>
      </c>
      <c r="B607" s="170" t="s">
        <v>3087</v>
      </c>
      <c r="C607" s="170"/>
      <c r="D607" s="170" t="s">
        <v>11</v>
      </c>
      <c r="E607" s="170" t="s">
        <v>12</v>
      </c>
      <c r="H607" s="207">
        <v>498728</v>
      </c>
      <c r="I607" s="182" t="s">
        <v>3088</v>
      </c>
      <c r="J607" s="182" t="s">
        <v>3089</v>
      </c>
      <c r="K607" s="182"/>
      <c r="L607" s="182" t="s">
        <v>15</v>
      </c>
    </row>
    <row r="608" spans="1:12">
      <c r="A608" s="170" t="s">
        <v>3090</v>
      </c>
      <c r="B608" s="170" t="s">
        <v>3091</v>
      </c>
      <c r="C608" s="170"/>
      <c r="D608" s="170" t="s">
        <v>11</v>
      </c>
      <c r="E608" s="170" t="s">
        <v>12</v>
      </c>
      <c r="H608" s="207">
        <v>496575</v>
      </c>
      <c r="I608" s="182" t="s">
        <v>3092</v>
      </c>
      <c r="J608" s="182" t="s">
        <v>3093</v>
      </c>
      <c r="K608" s="182" t="s">
        <v>3094</v>
      </c>
      <c r="L608" s="182" t="s">
        <v>15</v>
      </c>
    </row>
    <row r="609" spans="1:12">
      <c r="A609" s="170" t="s">
        <v>3095</v>
      </c>
      <c r="B609" s="170" t="s">
        <v>3096</v>
      </c>
      <c r="C609" s="170"/>
      <c r="D609" s="170" t="s">
        <v>11</v>
      </c>
      <c r="E609" s="170" t="s">
        <v>12</v>
      </c>
      <c r="H609" s="207">
        <v>464256</v>
      </c>
      <c r="I609" s="182" t="s">
        <v>3097</v>
      </c>
      <c r="J609" s="182" t="s">
        <v>3098</v>
      </c>
      <c r="K609" s="182" t="s">
        <v>3099</v>
      </c>
      <c r="L609" s="182" t="s">
        <v>15</v>
      </c>
    </row>
    <row r="610" spans="1:12">
      <c r="A610" s="170" t="s">
        <v>3100</v>
      </c>
      <c r="B610" s="170" t="s">
        <v>3101</v>
      </c>
      <c r="C610" s="170"/>
      <c r="D610" s="170" t="s">
        <v>11</v>
      </c>
      <c r="E610" s="170" t="s">
        <v>12</v>
      </c>
      <c r="H610" s="207">
        <v>451179</v>
      </c>
      <c r="I610" s="182" t="s">
        <v>3102</v>
      </c>
      <c r="J610" s="182" t="s">
        <v>3103</v>
      </c>
      <c r="K610" s="182" t="s">
        <v>3104</v>
      </c>
      <c r="L610" s="182" t="s">
        <v>15</v>
      </c>
    </row>
    <row r="611" spans="1:12">
      <c r="A611" s="170" t="s">
        <v>3105</v>
      </c>
      <c r="B611" s="170" t="s">
        <v>3106</v>
      </c>
      <c r="C611" s="170"/>
      <c r="D611" s="170" t="s">
        <v>11</v>
      </c>
      <c r="E611" s="170" t="s">
        <v>12</v>
      </c>
      <c r="H611" s="207">
        <v>492252</v>
      </c>
      <c r="I611" s="182" t="s">
        <v>3107</v>
      </c>
      <c r="J611" s="182" t="s">
        <v>3108</v>
      </c>
      <c r="K611" s="182" t="s">
        <v>3109</v>
      </c>
      <c r="L611" s="182" t="s">
        <v>15</v>
      </c>
    </row>
    <row r="612" spans="1:12">
      <c r="A612" s="170" t="s">
        <v>3110</v>
      </c>
      <c r="B612" s="170" t="s">
        <v>3111</v>
      </c>
      <c r="C612" s="170"/>
      <c r="D612" s="170" t="s">
        <v>11</v>
      </c>
      <c r="E612" s="170" t="s">
        <v>12</v>
      </c>
      <c r="H612" s="207" t="s">
        <v>3112</v>
      </c>
      <c r="I612" s="182" t="s">
        <v>10</v>
      </c>
      <c r="J612" s="182" t="s">
        <v>3112</v>
      </c>
      <c r="K612" s="182" t="s">
        <v>3113</v>
      </c>
      <c r="L612" s="182" t="s">
        <v>19</v>
      </c>
    </row>
    <row r="613" spans="1:12">
      <c r="A613" s="170" t="s">
        <v>3114</v>
      </c>
      <c r="B613" s="170" t="s">
        <v>3115</v>
      </c>
      <c r="C613" s="170"/>
      <c r="D613" s="170" t="s">
        <v>11</v>
      </c>
      <c r="E613" s="170" t="s">
        <v>12</v>
      </c>
      <c r="H613" s="207">
        <v>474116</v>
      </c>
      <c r="I613" s="182" t="s">
        <v>3116</v>
      </c>
      <c r="J613" s="182" t="s">
        <v>3117</v>
      </c>
      <c r="K613" s="182" t="s">
        <v>3118</v>
      </c>
      <c r="L613" s="182" t="s">
        <v>15</v>
      </c>
    </row>
    <row r="614" spans="1:12">
      <c r="A614" s="170" t="s">
        <v>3119</v>
      </c>
      <c r="B614" s="170" t="s">
        <v>3120</v>
      </c>
      <c r="C614" s="170"/>
      <c r="D614" s="170" t="s">
        <v>11</v>
      </c>
      <c r="E614" s="170" t="s">
        <v>12</v>
      </c>
      <c r="H614" s="207">
        <v>334644</v>
      </c>
      <c r="I614" s="182" t="s">
        <v>3121</v>
      </c>
      <c r="J614" s="182" t="s">
        <v>3122</v>
      </c>
      <c r="K614" s="182" t="s">
        <v>3123</v>
      </c>
      <c r="L614" s="182" t="s">
        <v>15</v>
      </c>
    </row>
    <row r="615" spans="1:12">
      <c r="A615" s="170" t="s">
        <v>3124</v>
      </c>
      <c r="B615" s="170" t="s">
        <v>3125</v>
      </c>
      <c r="C615" s="170"/>
      <c r="D615" s="170" t="s">
        <v>11</v>
      </c>
      <c r="E615" s="170" t="s">
        <v>12</v>
      </c>
      <c r="H615" s="207">
        <v>497545</v>
      </c>
      <c r="I615" s="182" t="s">
        <v>3126</v>
      </c>
      <c r="J615" s="182" t="s">
        <v>3127</v>
      </c>
      <c r="K615" s="182" t="s">
        <v>3128</v>
      </c>
      <c r="L615" s="182" t="s">
        <v>15</v>
      </c>
    </row>
    <row r="616" spans="1:12">
      <c r="A616" s="170" t="s">
        <v>3129</v>
      </c>
      <c r="B616" s="170" t="s">
        <v>3130</v>
      </c>
      <c r="C616" s="170"/>
      <c r="D616" s="170" t="s">
        <v>11</v>
      </c>
      <c r="E616" s="170" t="s">
        <v>12</v>
      </c>
      <c r="H616" s="207" t="s">
        <v>3131</v>
      </c>
      <c r="I616" s="182" t="s">
        <v>10</v>
      </c>
      <c r="J616" s="182" t="s">
        <v>3131</v>
      </c>
      <c r="K616" s="182" t="s">
        <v>3132</v>
      </c>
      <c r="L616" s="182" t="s">
        <v>53</v>
      </c>
    </row>
    <row r="617" spans="1:12">
      <c r="A617" s="170" t="s">
        <v>3133</v>
      </c>
      <c r="B617" s="170" t="s">
        <v>3134</v>
      </c>
      <c r="C617" s="170"/>
      <c r="D617" s="170" t="s">
        <v>11</v>
      </c>
      <c r="E617" s="170" t="s">
        <v>12</v>
      </c>
      <c r="H617" s="207">
        <v>571758</v>
      </c>
      <c r="I617" s="182" t="s">
        <v>3135</v>
      </c>
      <c r="J617" s="182" t="s">
        <v>3136</v>
      </c>
      <c r="K617" s="182" t="s">
        <v>3137</v>
      </c>
      <c r="L617" s="182" t="s">
        <v>415</v>
      </c>
    </row>
    <row r="618" spans="1:12">
      <c r="A618" s="170" t="s">
        <v>3138</v>
      </c>
      <c r="B618" s="170" t="s">
        <v>3139</v>
      </c>
      <c r="C618" s="170"/>
      <c r="D618" s="170" t="s">
        <v>11</v>
      </c>
      <c r="E618" s="170" t="s">
        <v>12</v>
      </c>
      <c r="H618" s="207" t="s">
        <v>3140</v>
      </c>
      <c r="I618" s="182" t="s">
        <v>10</v>
      </c>
      <c r="J618" s="182" t="s">
        <v>3140</v>
      </c>
      <c r="K618" s="182" t="s">
        <v>3141</v>
      </c>
      <c r="L618" s="182" t="s">
        <v>447</v>
      </c>
    </row>
    <row r="619" spans="1:12">
      <c r="A619" s="170" t="s">
        <v>3142</v>
      </c>
      <c r="B619" s="170" t="s">
        <v>3143</v>
      </c>
      <c r="C619" s="178" t="s">
        <v>10</v>
      </c>
      <c r="D619" s="170" t="s">
        <v>11</v>
      </c>
      <c r="E619" s="170" t="s">
        <v>12</v>
      </c>
      <c r="H619" s="207">
        <v>468749</v>
      </c>
      <c r="I619" s="182" t="s">
        <v>3144</v>
      </c>
      <c r="J619" s="182" t="s">
        <v>3145</v>
      </c>
      <c r="K619" s="182" t="s">
        <v>3146</v>
      </c>
      <c r="L619" s="182" t="s">
        <v>15</v>
      </c>
    </row>
    <row r="620" spans="1:12">
      <c r="A620" s="170" t="s">
        <v>3147</v>
      </c>
      <c r="B620" s="170" t="s">
        <v>3148</v>
      </c>
      <c r="C620" s="178" t="s">
        <v>10</v>
      </c>
      <c r="D620" s="170" t="s">
        <v>11</v>
      </c>
      <c r="E620" s="170" t="s">
        <v>12</v>
      </c>
      <c r="H620" s="207">
        <v>502284</v>
      </c>
      <c r="I620" s="182" t="s">
        <v>3149</v>
      </c>
      <c r="J620" s="182" t="s">
        <v>3150</v>
      </c>
      <c r="K620" s="182" t="s">
        <v>3151</v>
      </c>
      <c r="L620" s="182" t="s">
        <v>15</v>
      </c>
    </row>
    <row r="621" spans="1:12">
      <c r="A621" s="170" t="s">
        <v>3152</v>
      </c>
      <c r="B621" s="170" t="s">
        <v>3153</v>
      </c>
      <c r="C621" s="178" t="s">
        <v>10</v>
      </c>
      <c r="D621" s="170" t="s">
        <v>11</v>
      </c>
      <c r="E621" s="170" t="s">
        <v>12</v>
      </c>
      <c r="H621" s="207">
        <v>437359</v>
      </c>
      <c r="I621" s="182" t="s">
        <v>3154</v>
      </c>
      <c r="J621" s="182" t="s">
        <v>3155</v>
      </c>
      <c r="K621" s="182" t="s">
        <v>3156</v>
      </c>
      <c r="L621" s="182" t="s">
        <v>15</v>
      </c>
    </row>
    <row r="622" spans="1:12">
      <c r="A622" s="170" t="s">
        <v>3157</v>
      </c>
      <c r="B622" s="170" t="s">
        <v>3158</v>
      </c>
      <c r="C622" s="178" t="s">
        <v>10</v>
      </c>
      <c r="D622" s="170" t="s">
        <v>11</v>
      </c>
      <c r="E622" s="170" t="s">
        <v>12</v>
      </c>
      <c r="H622" s="207">
        <v>463932</v>
      </c>
      <c r="I622" s="182" t="s">
        <v>3159</v>
      </c>
      <c r="J622" s="182" t="s">
        <v>3160</v>
      </c>
      <c r="K622" s="182" t="s">
        <v>3161</v>
      </c>
      <c r="L622" s="182" t="s">
        <v>15</v>
      </c>
    </row>
    <row r="623" spans="1:12">
      <c r="A623" s="170" t="s">
        <v>3162</v>
      </c>
      <c r="B623" s="170" t="s">
        <v>3163</v>
      </c>
      <c r="C623" s="178" t="s">
        <v>10</v>
      </c>
      <c r="D623" s="170" t="s">
        <v>11</v>
      </c>
      <c r="E623" s="170" t="s">
        <v>12</v>
      </c>
      <c r="H623" s="207">
        <v>269293</v>
      </c>
      <c r="I623" s="182" t="s">
        <v>3164</v>
      </c>
      <c r="J623" s="182" t="s">
        <v>3165</v>
      </c>
      <c r="K623" s="182" t="s">
        <v>3166</v>
      </c>
      <c r="L623" s="182" t="s">
        <v>15</v>
      </c>
    </row>
    <row r="624" spans="1:12">
      <c r="A624" s="170" t="s">
        <v>3167</v>
      </c>
      <c r="B624" s="170" t="s">
        <v>3168</v>
      </c>
      <c r="C624" s="178" t="s">
        <v>10</v>
      </c>
      <c r="D624" s="170" t="s">
        <v>11</v>
      </c>
      <c r="E624" s="170" t="s">
        <v>12</v>
      </c>
      <c r="H624" s="207">
        <v>451645</v>
      </c>
      <c r="I624" s="182" t="s">
        <v>3169</v>
      </c>
      <c r="J624" s="182" t="s">
        <v>3170</v>
      </c>
      <c r="K624" s="182" t="s">
        <v>3171</v>
      </c>
      <c r="L624" s="182" t="s">
        <v>15</v>
      </c>
    </row>
    <row r="625" spans="1:12">
      <c r="A625" s="170" t="s">
        <v>3172</v>
      </c>
      <c r="B625" s="170" t="s">
        <v>3173</v>
      </c>
      <c r="C625" s="170"/>
      <c r="D625" s="170" t="s">
        <v>11</v>
      </c>
      <c r="E625" s="170" t="s">
        <v>12</v>
      </c>
      <c r="H625" s="207">
        <v>491925</v>
      </c>
      <c r="I625" s="182" t="s">
        <v>3174</v>
      </c>
      <c r="J625" s="182" t="s">
        <v>3175</v>
      </c>
      <c r="K625" s="182" t="s">
        <v>3176</v>
      </c>
      <c r="L625" s="182" t="s">
        <v>15</v>
      </c>
    </row>
    <row r="626" spans="1:12">
      <c r="A626" s="170" t="s">
        <v>3177</v>
      </c>
      <c r="B626" s="170" t="s">
        <v>3178</v>
      </c>
      <c r="C626" s="170"/>
      <c r="D626" s="170" t="s">
        <v>11</v>
      </c>
      <c r="E626" s="170" t="s">
        <v>12</v>
      </c>
      <c r="H626" s="207">
        <v>507278</v>
      </c>
      <c r="I626" s="182" t="s">
        <v>3179</v>
      </c>
      <c r="J626" s="182" t="s">
        <v>3180</v>
      </c>
      <c r="K626" s="182" t="s">
        <v>3181</v>
      </c>
      <c r="L626" s="182" t="s">
        <v>15</v>
      </c>
    </row>
    <row r="627" spans="1:12">
      <c r="A627" s="170" t="s">
        <v>3182</v>
      </c>
      <c r="B627" s="170" t="s">
        <v>3183</v>
      </c>
      <c r="C627" s="170"/>
      <c r="D627" s="170" t="s">
        <v>11</v>
      </c>
      <c r="E627" s="170" t="s">
        <v>12</v>
      </c>
      <c r="H627" s="207">
        <v>507566</v>
      </c>
      <c r="I627" s="182" t="s">
        <v>3184</v>
      </c>
      <c r="J627" s="182" t="s">
        <v>3185</v>
      </c>
      <c r="K627" s="182"/>
      <c r="L627" s="182" t="s">
        <v>15</v>
      </c>
    </row>
    <row r="628" spans="1:12">
      <c r="A628" s="170" t="s">
        <v>3186</v>
      </c>
      <c r="B628" s="170" t="s">
        <v>3187</v>
      </c>
      <c r="C628" s="170"/>
      <c r="D628" s="170" t="s">
        <v>11</v>
      </c>
      <c r="E628" s="170" t="s">
        <v>12</v>
      </c>
      <c r="H628" s="207">
        <v>513114</v>
      </c>
      <c r="I628" s="182" t="s">
        <v>3188</v>
      </c>
      <c r="J628" s="182" t="s">
        <v>3189</v>
      </c>
      <c r="K628" s="182" t="s">
        <v>3190</v>
      </c>
      <c r="L628" s="182" t="s">
        <v>15</v>
      </c>
    </row>
    <row r="629" spans="1:12">
      <c r="A629" s="170" t="s">
        <v>3191</v>
      </c>
      <c r="B629" s="170" t="s">
        <v>3192</v>
      </c>
      <c r="C629" s="170"/>
      <c r="D629" s="170" t="s">
        <v>11</v>
      </c>
      <c r="E629" s="170" t="s">
        <v>12</v>
      </c>
      <c r="H629" s="207" t="s">
        <v>3193</v>
      </c>
      <c r="I629" s="182" t="s">
        <v>3194</v>
      </c>
      <c r="J629" s="182" t="s">
        <v>3195</v>
      </c>
      <c r="K629" s="182" t="s">
        <v>3196</v>
      </c>
      <c r="L629" s="182" t="s">
        <v>415</v>
      </c>
    </row>
    <row r="630" spans="1:12">
      <c r="A630" s="170" t="s">
        <v>3197</v>
      </c>
      <c r="B630" s="170" t="s">
        <v>3198</v>
      </c>
      <c r="C630" s="170"/>
      <c r="D630" s="170" t="s">
        <v>11</v>
      </c>
      <c r="E630" s="170" t="s">
        <v>12</v>
      </c>
      <c r="H630" s="207">
        <v>488264</v>
      </c>
      <c r="I630" s="182" t="s">
        <v>3199</v>
      </c>
      <c r="J630" s="182" t="s">
        <v>3200</v>
      </c>
      <c r="K630" s="182" t="s">
        <v>3201</v>
      </c>
      <c r="L630" s="182" t="s">
        <v>15</v>
      </c>
    </row>
    <row r="631" spans="1:12">
      <c r="A631" s="170" t="s">
        <v>3202</v>
      </c>
      <c r="B631" s="170" t="s">
        <v>3203</v>
      </c>
      <c r="C631" s="170"/>
      <c r="D631" s="170" t="s">
        <v>11</v>
      </c>
      <c r="E631" s="170" t="s">
        <v>12</v>
      </c>
      <c r="H631" s="207">
        <v>497115</v>
      </c>
      <c r="I631" s="182" t="s">
        <v>3204</v>
      </c>
      <c r="J631" s="182" t="s">
        <v>3205</v>
      </c>
      <c r="K631" s="182" t="s">
        <v>3206</v>
      </c>
      <c r="L631" s="182" t="s">
        <v>15</v>
      </c>
    </row>
    <row r="632" spans="1:12">
      <c r="A632" s="170" t="s">
        <v>3207</v>
      </c>
      <c r="B632" s="170" t="s">
        <v>3208</v>
      </c>
      <c r="C632" s="170"/>
      <c r="D632" s="170" t="s">
        <v>11</v>
      </c>
      <c r="E632" s="170" t="s">
        <v>12</v>
      </c>
      <c r="H632" s="207">
        <v>370800</v>
      </c>
      <c r="I632" s="182" t="s">
        <v>3209</v>
      </c>
      <c r="J632" s="182" t="s">
        <v>3210</v>
      </c>
      <c r="K632" s="182"/>
      <c r="L632" s="182" t="s">
        <v>15</v>
      </c>
    </row>
    <row r="633" spans="1:12">
      <c r="A633" s="170" t="s">
        <v>3211</v>
      </c>
      <c r="B633" s="170" t="s">
        <v>3212</v>
      </c>
      <c r="C633" s="170"/>
      <c r="D633" s="170" t="s">
        <v>11</v>
      </c>
      <c r="E633" s="170" t="s">
        <v>12</v>
      </c>
      <c r="H633" s="207">
        <v>318002</v>
      </c>
      <c r="I633" s="182" t="s">
        <v>3213</v>
      </c>
      <c r="J633" s="182" t="s">
        <v>3214</v>
      </c>
      <c r="K633" s="182" t="s">
        <v>3215</v>
      </c>
      <c r="L633" s="182" t="s">
        <v>15</v>
      </c>
    </row>
    <row r="634" spans="1:12">
      <c r="A634" s="170" t="s">
        <v>3216</v>
      </c>
      <c r="B634" s="170" t="s">
        <v>3217</v>
      </c>
      <c r="C634" s="170"/>
      <c r="D634" s="170" t="s">
        <v>11</v>
      </c>
      <c r="E634" s="170" t="s">
        <v>12</v>
      </c>
      <c r="H634" s="207">
        <v>968428</v>
      </c>
      <c r="I634" s="182" t="s">
        <v>3218</v>
      </c>
      <c r="J634" s="182" t="s">
        <v>3219</v>
      </c>
      <c r="K634" s="182" t="s">
        <v>3220</v>
      </c>
      <c r="L634" s="182" t="s">
        <v>15</v>
      </c>
    </row>
    <row r="635" spans="1:12">
      <c r="A635" s="170" t="s">
        <v>3221</v>
      </c>
      <c r="B635" s="170" t="s">
        <v>3222</v>
      </c>
      <c r="C635" s="170"/>
      <c r="D635" s="170" t="s">
        <v>11</v>
      </c>
      <c r="E635" s="170" t="s">
        <v>12</v>
      </c>
      <c r="H635" s="207">
        <v>453359</v>
      </c>
      <c r="I635" s="182" t="s">
        <v>3223</v>
      </c>
      <c r="J635" s="182" t="s">
        <v>3224</v>
      </c>
      <c r="K635" s="182"/>
      <c r="L635" s="182" t="s">
        <v>15</v>
      </c>
    </row>
    <row r="636" spans="1:12">
      <c r="A636" s="170" t="s">
        <v>3225</v>
      </c>
      <c r="B636" s="170" t="s">
        <v>3226</v>
      </c>
      <c r="C636" s="170"/>
      <c r="D636" s="170" t="s">
        <v>11</v>
      </c>
      <c r="E636" s="170" t="s">
        <v>12</v>
      </c>
      <c r="H636" s="207">
        <v>481986</v>
      </c>
      <c r="I636" s="182" t="s">
        <v>3227</v>
      </c>
      <c r="J636" s="182" t="s">
        <v>3228</v>
      </c>
      <c r="K636" s="182" t="s">
        <v>3229</v>
      </c>
      <c r="L636" s="182" t="s">
        <v>15</v>
      </c>
    </row>
    <row r="637" spans="1:12">
      <c r="A637" s="170" t="s">
        <v>3230</v>
      </c>
      <c r="B637" s="170" t="s">
        <v>3231</v>
      </c>
      <c r="C637" s="170"/>
      <c r="D637" s="170" t="s">
        <v>11</v>
      </c>
      <c r="E637" s="170" t="s">
        <v>12</v>
      </c>
      <c r="H637" s="207" t="s">
        <v>3232</v>
      </c>
      <c r="I637" s="182" t="s">
        <v>10</v>
      </c>
      <c r="J637" s="182" t="s">
        <v>3232</v>
      </c>
      <c r="K637" s="182" t="s">
        <v>3233</v>
      </c>
      <c r="L637" s="182" t="s">
        <v>53</v>
      </c>
    </row>
    <row r="638" spans="1:12">
      <c r="A638" s="170" t="s">
        <v>3234</v>
      </c>
      <c r="B638" s="170" t="s">
        <v>3235</v>
      </c>
      <c r="C638" s="170"/>
      <c r="D638" s="170" t="s">
        <v>11</v>
      </c>
      <c r="E638" s="170" t="s">
        <v>12</v>
      </c>
      <c r="H638" s="207">
        <v>482529</v>
      </c>
      <c r="I638" s="182" t="s">
        <v>3236</v>
      </c>
      <c r="J638" s="182" t="s">
        <v>3237</v>
      </c>
      <c r="K638" s="182" t="s">
        <v>3238</v>
      </c>
      <c r="L638" s="182" t="s">
        <v>15</v>
      </c>
    </row>
    <row r="639" spans="1:12">
      <c r="A639" s="170" t="s">
        <v>3239</v>
      </c>
      <c r="B639" s="170" t="s">
        <v>3240</v>
      </c>
      <c r="C639" s="170"/>
      <c r="D639" s="170" t="s">
        <v>11</v>
      </c>
      <c r="E639" s="170" t="s">
        <v>12</v>
      </c>
      <c r="H639" s="207">
        <v>497314</v>
      </c>
      <c r="I639" s="182" t="s">
        <v>3241</v>
      </c>
      <c r="J639" s="182" t="s">
        <v>3242</v>
      </c>
      <c r="K639" s="182" t="s">
        <v>3243</v>
      </c>
      <c r="L639" s="182" t="s">
        <v>15</v>
      </c>
    </row>
    <row r="640" spans="1:12">
      <c r="A640" s="170" t="s">
        <v>3244</v>
      </c>
      <c r="B640" s="170" t="s">
        <v>3245</v>
      </c>
      <c r="C640" s="170"/>
      <c r="D640" s="170" t="s">
        <v>11</v>
      </c>
      <c r="E640" s="170" t="s">
        <v>12</v>
      </c>
      <c r="H640" s="207">
        <v>469557</v>
      </c>
      <c r="I640" s="182" t="s">
        <v>3246</v>
      </c>
      <c r="J640" s="182" t="s">
        <v>3247</v>
      </c>
      <c r="K640" s="182"/>
      <c r="L640" s="182" t="s">
        <v>15</v>
      </c>
    </row>
    <row r="641" spans="1:12">
      <c r="A641" s="170" t="s">
        <v>3248</v>
      </c>
      <c r="B641" s="170" t="s">
        <v>3249</v>
      </c>
      <c r="C641" s="170"/>
      <c r="D641" s="170" t="s">
        <v>11</v>
      </c>
      <c r="E641" s="170" t="s">
        <v>12</v>
      </c>
      <c r="H641" s="207">
        <v>185768</v>
      </c>
      <c r="I641" s="182" t="s">
        <v>3250</v>
      </c>
      <c r="J641" s="182" t="s">
        <v>3251</v>
      </c>
      <c r="K641" s="182"/>
      <c r="L641" s="182" t="s">
        <v>15</v>
      </c>
    </row>
    <row r="642" spans="1:12">
      <c r="A642" s="170" t="s">
        <v>3252</v>
      </c>
      <c r="B642" s="170" t="s">
        <v>3253</v>
      </c>
      <c r="C642" s="170"/>
      <c r="D642" s="170" t="s">
        <v>11</v>
      </c>
      <c r="E642" s="170" t="s">
        <v>12</v>
      </c>
      <c r="H642" s="207">
        <v>36585</v>
      </c>
      <c r="I642" s="182" t="s">
        <v>3254</v>
      </c>
      <c r="J642" s="182" t="s">
        <v>3255</v>
      </c>
      <c r="K642" s="182" t="s">
        <v>3256</v>
      </c>
      <c r="L642" s="182" t="s">
        <v>15</v>
      </c>
    </row>
    <row r="643" spans="1:12">
      <c r="A643" s="170" t="s">
        <v>3257</v>
      </c>
      <c r="B643" s="170" t="s">
        <v>3258</v>
      </c>
      <c r="C643" s="170"/>
      <c r="D643" s="170" t="s">
        <v>11</v>
      </c>
      <c r="E643" s="170" t="s">
        <v>12</v>
      </c>
      <c r="H643" s="207">
        <v>514265</v>
      </c>
      <c r="I643" s="182" t="s">
        <v>3259</v>
      </c>
      <c r="J643" s="182" t="s">
        <v>3260</v>
      </c>
      <c r="K643" s="182" t="s">
        <v>3261</v>
      </c>
      <c r="L643" s="182" t="s">
        <v>15</v>
      </c>
    </row>
    <row r="644" spans="1:12">
      <c r="A644" s="170" t="s">
        <v>3262</v>
      </c>
      <c r="B644" s="170" t="s">
        <v>3263</v>
      </c>
      <c r="C644" s="170"/>
      <c r="D644" s="170" t="s">
        <v>11</v>
      </c>
      <c r="E644" s="170" t="s">
        <v>12</v>
      </c>
      <c r="H644" s="207">
        <v>464329</v>
      </c>
      <c r="I644" s="182" t="s">
        <v>3264</v>
      </c>
      <c r="J644" s="182" t="s">
        <v>3265</v>
      </c>
      <c r="K644" s="182"/>
      <c r="L644" s="182" t="s">
        <v>15</v>
      </c>
    </row>
    <row r="645" spans="1:12">
      <c r="A645" s="170" t="s">
        <v>3266</v>
      </c>
      <c r="B645" s="170" t="s">
        <v>3267</v>
      </c>
      <c r="C645" s="170"/>
      <c r="D645" s="170" t="s">
        <v>11</v>
      </c>
      <c r="E645" s="170" t="s">
        <v>12</v>
      </c>
      <c r="H645" s="207">
        <v>211793</v>
      </c>
      <c r="I645" s="182" t="s">
        <v>3268</v>
      </c>
      <c r="J645" s="182" t="s">
        <v>3269</v>
      </c>
      <c r="K645" s="182"/>
      <c r="L645" s="182" t="s">
        <v>15</v>
      </c>
    </row>
    <row r="646" spans="1:12">
      <c r="A646" s="170" t="s">
        <v>3270</v>
      </c>
      <c r="B646" s="170" t="s">
        <v>3271</v>
      </c>
      <c r="C646" s="170"/>
      <c r="D646" s="170" t="s">
        <v>11</v>
      </c>
      <c r="E646" s="170" t="s">
        <v>12</v>
      </c>
      <c r="H646" s="207">
        <v>316326</v>
      </c>
      <c r="I646" s="182" t="s">
        <v>3272</v>
      </c>
      <c r="J646" s="182" t="s">
        <v>3273</v>
      </c>
      <c r="K646" s="182" t="s">
        <v>3274</v>
      </c>
      <c r="L646" s="182" t="s">
        <v>15</v>
      </c>
    </row>
    <row r="647" spans="1:12">
      <c r="A647" s="170" t="s">
        <v>3275</v>
      </c>
      <c r="B647" s="170" t="s">
        <v>3276</v>
      </c>
      <c r="C647" s="170"/>
      <c r="D647" s="170" t="s">
        <v>11</v>
      </c>
      <c r="E647" s="170" t="s">
        <v>12</v>
      </c>
      <c r="H647" s="207">
        <v>443672</v>
      </c>
      <c r="I647" s="182" t="s">
        <v>3277</v>
      </c>
      <c r="J647" s="182" t="s">
        <v>3278</v>
      </c>
      <c r="K647" s="182"/>
      <c r="L647" s="182" t="s">
        <v>15</v>
      </c>
    </row>
    <row r="648" spans="1:12">
      <c r="A648" s="170" t="s">
        <v>3279</v>
      </c>
      <c r="B648" s="170" t="s">
        <v>3280</v>
      </c>
      <c r="C648" s="170"/>
      <c r="D648" s="170" t="s">
        <v>11</v>
      </c>
      <c r="E648" s="170" t="s">
        <v>12</v>
      </c>
      <c r="H648" s="207">
        <v>633689</v>
      </c>
      <c r="I648" s="182" t="s">
        <v>3281</v>
      </c>
      <c r="J648" s="182" t="s">
        <v>3282</v>
      </c>
      <c r="K648" s="182" t="s">
        <v>3283</v>
      </c>
      <c r="L648" s="182" t="s">
        <v>15</v>
      </c>
    </row>
    <row r="649" spans="1:12">
      <c r="A649" s="170" t="s">
        <v>3284</v>
      </c>
      <c r="B649" s="170" t="s">
        <v>3285</v>
      </c>
      <c r="C649" s="170" t="s">
        <v>3500</v>
      </c>
      <c r="D649" s="170" t="s">
        <v>11</v>
      </c>
      <c r="E649" s="170" t="s">
        <v>12</v>
      </c>
      <c r="H649" s="207">
        <v>497834</v>
      </c>
      <c r="I649" s="182" t="s">
        <v>3286</v>
      </c>
      <c r="J649" s="182" t="s">
        <v>3287</v>
      </c>
      <c r="K649" s="182"/>
      <c r="L649" s="182" t="s">
        <v>15</v>
      </c>
    </row>
    <row r="650" spans="1:12">
      <c r="A650" s="170" t="s">
        <v>3288</v>
      </c>
      <c r="B650" s="170" t="s">
        <v>3289</v>
      </c>
      <c r="C650" s="170" t="s">
        <v>3501</v>
      </c>
      <c r="D650" s="170" t="s">
        <v>11</v>
      </c>
      <c r="E650" s="170" t="s">
        <v>12</v>
      </c>
      <c r="H650" s="207">
        <v>482154</v>
      </c>
      <c r="I650" s="182" t="s">
        <v>3290</v>
      </c>
      <c r="J650" s="182" t="s">
        <v>3291</v>
      </c>
      <c r="K650" s="182" t="s">
        <v>3292</v>
      </c>
      <c r="L650" s="182" t="s">
        <v>15</v>
      </c>
    </row>
    <row r="651" spans="1:12">
      <c r="A651" s="170" t="s">
        <v>3293</v>
      </c>
      <c r="B651" s="170" t="s">
        <v>3294</v>
      </c>
      <c r="C651" s="170"/>
      <c r="D651" s="170" t="s">
        <v>11</v>
      </c>
      <c r="E651" s="170" t="s">
        <v>12</v>
      </c>
      <c r="H651" s="207">
        <v>464152</v>
      </c>
      <c r="I651" s="182" t="s">
        <v>3295</v>
      </c>
      <c r="J651" s="182" t="s">
        <v>3296</v>
      </c>
      <c r="K651" s="182"/>
      <c r="L651" s="182" t="s">
        <v>15</v>
      </c>
    </row>
    <row r="652" spans="1:12">
      <c r="A652" s="170" t="s">
        <v>3297</v>
      </c>
      <c r="B652" s="170" t="s">
        <v>3298</v>
      </c>
      <c r="C652" s="170" t="s">
        <v>3502</v>
      </c>
      <c r="D652" s="170" t="s">
        <v>11</v>
      </c>
      <c r="E652" s="170" t="s">
        <v>12</v>
      </c>
      <c r="H652" s="207">
        <v>513057</v>
      </c>
      <c r="I652" s="182" t="s">
        <v>3299</v>
      </c>
      <c r="J652" s="182" t="s">
        <v>3300</v>
      </c>
      <c r="K652" s="182" t="s">
        <v>3301</v>
      </c>
      <c r="L652" s="182" t="s">
        <v>15</v>
      </c>
    </row>
    <row r="653" spans="1:12">
      <c r="A653" s="170" t="s">
        <v>3302</v>
      </c>
      <c r="B653" s="170" t="s">
        <v>3303</v>
      </c>
      <c r="C653" s="170" t="s">
        <v>3503</v>
      </c>
      <c r="D653" s="170" t="s">
        <v>11</v>
      </c>
      <c r="E653" s="170" t="s">
        <v>12</v>
      </c>
      <c r="H653" s="207">
        <v>483792</v>
      </c>
      <c r="I653" s="182" t="s">
        <v>3304</v>
      </c>
      <c r="J653" s="182" t="s">
        <v>3305</v>
      </c>
      <c r="K653" s="182"/>
      <c r="L653" s="182" t="s">
        <v>15</v>
      </c>
    </row>
    <row r="654" spans="1:12">
      <c r="A654" s="170" t="s">
        <v>3306</v>
      </c>
      <c r="B654" s="170" t="s">
        <v>3307</v>
      </c>
      <c r="C654" s="170"/>
      <c r="D654" s="170" t="s">
        <v>11</v>
      </c>
      <c r="E654" s="170" t="s">
        <v>12</v>
      </c>
      <c r="H654" s="207">
        <v>176046</v>
      </c>
      <c r="I654" s="182" t="s">
        <v>3308</v>
      </c>
      <c r="J654" s="182" t="s">
        <v>3309</v>
      </c>
      <c r="K654" s="182" t="s">
        <v>3310</v>
      </c>
      <c r="L654" s="182" t="s">
        <v>15</v>
      </c>
    </row>
    <row r="655" spans="1:12">
      <c r="A655" s="170" t="s">
        <v>3311</v>
      </c>
      <c r="B655" s="170" t="s">
        <v>3312</v>
      </c>
      <c r="C655" s="170" t="s">
        <v>3504</v>
      </c>
      <c r="D655" s="170" t="s">
        <v>11</v>
      </c>
      <c r="E655" s="170" t="s">
        <v>12</v>
      </c>
      <c r="H655" s="207">
        <v>476174</v>
      </c>
      <c r="I655" s="182" t="s">
        <v>3313</v>
      </c>
      <c r="J655" s="182" t="s">
        <v>3314</v>
      </c>
      <c r="K655" s="182" t="s">
        <v>3315</v>
      </c>
      <c r="L655" s="182" t="s">
        <v>15</v>
      </c>
    </row>
    <row r="656" spans="1:12">
      <c r="A656" s="170" t="s">
        <v>3316</v>
      </c>
      <c r="B656" s="170" t="s">
        <v>3317</v>
      </c>
      <c r="C656" s="170" t="s">
        <v>3505</v>
      </c>
      <c r="D656" s="170" t="s">
        <v>11</v>
      </c>
      <c r="E656" s="170" t="s">
        <v>12</v>
      </c>
      <c r="H656" s="207">
        <v>494223</v>
      </c>
      <c r="I656" s="182" t="s">
        <v>3318</v>
      </c>
      <c r="J656" s="182" t="s">
        <v>3319</v>
      </c>
      <c r="K656" s="182" t="s">
        <v>3320</v>
      </c>
      <c r="L656" s="182" t="s">
        <v>15</v>
      </c>
    </row>
    <row r="657" spans="1:12">
      <c r="A657" s="170" t="s">
        <v>3321</v>
      </c>
      <c r="B657" s="170" t="s">
        <v>3322</v>
      </c>
      <c r="C657" s="170"/>
      <c r="D657" s="170" t="s">
        <v>11</v>
      </c>
      <c r="E657" s="170" t="s">
        <v>12</v>
      </c>
      <c r="H657" s="207">
        <v>496247</v>
      </c>
      <c r="I657" s="182" t="s">
        <v>3323</v>
      </c>
      <c r="J657" s="182" t="s">
        <v>3324</v>
      </c>
      <c r="K657" s="182"/>
      <c r="L657" s="182" t="s">
        <v>15</v>
      </c>
    </row>
    <row r="658" spans="1:12">
      <c r="A658" s="170" t="s">
        <v>3325</v>
      </c>
      <c r="B658" s="170" t="s">
        <v>3326</v>
      </c>
      <c r="C658" s="170" t="s">
        <v>3506</v>
      </c>
      <c r="D658" s="170" t="s">
        <v>11</v>
      </c>
      <c r="E658" s="170" t="s">
        <v>12</v>
      </c>
      <c r="H658" s="207" t="s">
        <v>3327</v>
      </c>
      <c r="I658" s="182" t="s">
        <v>10</v>
      </c>
      <c r="J658" s="182" t="s">
        <v>3327</v>
      </c>
      <c r="K658" s="182" t="s">
        <v>3328</v>
      </c>
      <c r="L658" s="182" t="s">
        <v>53</v>
      </c>
    </row>
    <row r="659" spans="1:12">
      <c r="A659" s="170" t="s">
        <v>3329</v>
      </c>
      <c r="B659" s="170" t="s">
        <v>3330</v>
      </c>
      <c r="C659" s="170" t="s">
        <v>3507</v>
      </c>
      <c r="D659" s="170" t="s">
        <v>11</v>
      </c>
      <c r="E659" s="170" t="s">
        <v>12</v>
      </c>
      <c r="H659" s="207">
        <v>444757</v>
      </c>
      <c r="I659" s="182" t="s">
        <v>3331</v>
      </c>
      <c r="J659" s="182" t="s">
        <v>3332</v>
      </c>
      <c r="K659" s="182" t="s">
        <v>3333</v>
      </c>
      <c r="L659" s="182" t="s">
        <v>15</v>
      </c>
    </row>
    <row r="660" spans="1:12">
      <c r="A660" s="170" t="s">
        <v>3334</v>
      </c>
      <c r="B660" s="170" t="s">
        <v>3335</v>
      </c>
      <c r="C660" s="170"/>
      <c r="D660" s="170" t="s">
        <v>11</v>
      </c>
      <c r="E660" s="170" t="s">
        <v>12</v>
      </c>
      <c r="H660" s="207">
        <v>450362</v>
      </c>
      <c r="I660" s="182" t="s">
        <v>3336</v>
      </c>
      <c r="J660" s="182" t="s">
        <v>3337</v>
      </c>
      <c r="K660" s="182"/>
      <c r="L660" s="182" t="s">
        <v>15</v>
      </c>
    </row>
    <row r="661" spans="1:12">
      <c r="A661" s="170" t="s">
        <v>3338</v>
      </c>
      <c r="B661" s="170" t="s">
        <v>3339</v>
      </c>
      <c r="C661" s="170" t="s">
        <v>3508</v>
      </c>
      <c r="D661" s="170" t="s">
        <v>11</v>
      </c>
      <c r="E661" s="170" t="s">
        <v>12</v>
      </c>
      <c r="H661" s="207" t="s">
        <v>3340</v>
      </c>
      <c r="I661" s="182" t="s">
        <v>10</v>
      </c>
      <c r="J661" s="182" t="s">
        <v>3340</v>
      </c>
      <c r="K661" s="182" t="s">
        <v>3341</v>
      </c>
      <c r="L661" s="182" t="s">
        <v>19</v>
      </c>
    </row>
    <row r="662" spans="1:12">
      <c r="A662" s="170" t="s">
        <v>3342</v>
      </c>
      <c r="B662" s="170" t="s">
        <v>3343</v>
      </c>
      <c r="C662" s="170" t="s">
        <v>3512</v>
      </c>
      <c r="D662" s="170" t="s">
        <v>11</v>
      </c>
      <c r="E662" s="170" t="s">
        <v>12</v>
      </c>
      <c r="H662" s="207">
        <v>497955</v>
      </c>
      <c r="I662" s="182" t="s">
        <v>3344</v>
      </c>
      <c r="J662" s="182" t="s">
        <v>3345</v>
      </c>
      <c r="K662" s="182" t="s">
        <v>3346</v>
      </c>
      <c r="L662" s="182" t="s">
        <v>15</v>
      </c>
    </row>
    <row r="663" spans="1:12">
      <c r="A663" s="170" t="s">
        <v>3347</v>
      </c>
      <c r="B663" s="170" t="s">
        <v>3348</v>
      </c>
      <c r="C663" s="170"/>
      <c r="D663" s="170" t="s">
        <v>11</v>
      </c>
      <c r="E663" s="170" t="s">
        <v>12</v>
      </c>
      <c r="H663" s="207">
        <v>348441</v>
      </c>
      <c r="I663" s="182" t="s">
        <v>3349</v>
      </c>
      <c r="J663" s="182" t="s">
        <v>3350</v>
      </c>
      <c r="K663" s="182" t="s">
        <v>3351</v>
      </c>
      <c r="L663" s="182" t="s">
        <v>15</v>
      </c>
    </row>
    <row r="664" spans="1:12">
      <c r="A664" s="170" t="s">
        <v>3352</v>
      </c>
      <c r="B664" s="170" t="s">
        <v>3353</v>
      </c>
      <c r="C664" s="170" t="s">
        <v>3514</v>
      </c>
      <c r="D664" s="170" t="s">
        <v>11</v>
      </c>
      <c r="E664" s="170" t="s">
        <v>12</v>
      </c>
      <c r="H664" s="207">
        <v>500608</v>
      </c>
      <c r="I664" s="182" t="s">
        <v>3354</v>
      </c>
      <c r="J664" s="182" t="s">
        <v>3355</v>
      </c>
      <c r="K664" s="182"/>
      <c r="L664" s="182" t="s">
        <v>15</v>
      </c>
    </row>
    <row r="665" spans="1:12">
      <c r="A665" s="170" t="s">
        <v>3356</v>
      </c>
      <c r="B665" s="170" t="s">
        <v>3357</v>
      </c>
      <c r="C665" s="170" t="s">
        <v>3515</v>
      </c>
      <c r="D665" s="170" t="s">
        <v>11</v>
      </c>
      <c r="E665" s="170" t="s">
        <v>12</v>
      </c>
      <c r="H665" s="207">
        <v>478498</v>
      </c>
      <c r="I665" s="182" t="s">
        <v>3358</v>
      </c>
      <c r="J665" s="182" t="s">
        <v>3359</v>
      </c>
      <c r="K665" s="182" t="s">
        <v>3360</v>
      </c>
      <c r="L665" s="182" t="s">
        <v>15</v>
      </c>
    </row>
    <row r="666" spans="1:12">
      <c r="A666" s="170" t="s">
        <v>3361</v>
      </c>
      <c r="B666" s="170" t="s">
        <v>3362</v>
      </c>
      <c r="C666" s="170"/>
      <c r="D666" s="170" t="s">
        <v>11</v>
      </c>
      <c r="E666" s="170" t="s">
        <v>12</v>
      </c>
      <c r="H666" s="207">
        <v>340169</v>
      </c>
      <c r="I666" s="182" t="s">
        <v>3363</v>
      </c>
      <c r="J666" s="182" t="s">
        <v>3364</v>
      </c>
      <c r="K666" s="182" t="s">
        <v>3365</v>
      </c>
      <c r="L666" s="182" t="s">
        <v>15</v>
      </c>
    </row>
    <row r="667" spans="1:12">
      <c r="A667" s="170" t="s">
        <v>3366</v>
      </c>
      <c r="B667" s="170" t="s">
        <v>3367</v>
      </c>
      <c r="C667" s="170"/>
      <c r="D667" s="170" t="s">
        <v>11</v>
      </c>
      <c r="E667" s="170" t="s">
        <v>12</v>
      </c>
      <c r="H667" s="207">
        <v>456510</v>
      </c>
      <c r="I667" s="182" t="s">
        <v>3368</v>
      </c>
      <c r="J667" s="182" t="s">
        <v>3369</v>
      </c>
      <c r="K667" s="182" t="s">
        <v>3370</v>
      </c>
      <c r="L667" s="182" t="s">
        <v>15</v>
      </c>
    </row>
    <row r="668" spans="1:12">
      <c r="A668" s="170" t="s">
        <v>3371</v>
      </c>
      <c r="B668" s="170" t="s">
        <v>3372</v>
      </c>
      <c r="C668" s="170"/>
      <c r="D668" s="170" t="s">
        <v>11</v>
      </c>
      <c r="E668" s="170" t="s">
        <v>12</v>
      </c>
      <c r="H668" s="207">
        <v>496484</v>
      </c>
      <c r="I668" s="182" t="s">
        <v>3373</v>
      </c>
      <c r="J668" s="182" t="s">
        <v>3374</v>
      </c>
      <c r="K668" s="182" t="s">
        <v>3375</v>
      </c>
      <c r="L668" s="182" t="s">
        <v>15</v>
      </c>
    </row>
    <row r="669" spans="1:12">
      <c r="A669" s="170" t="s">
        <v>3376</v>
      </c>
      <c r="B669" s="170" t="s">
        <v>3377</v>
      </c>
      <c r="C669" s="170"/>
      <c r="D669" s="170" t="s">
        <v>11</v>
      </c>
      <c r="E669" s="170" t="s">
        <v>12</v>
      </c>
      <c r="H669" s="207" t="s">
        <v>3378</v>
      </c>
      <c r="I669" s="182" t="s">
        <v>10</v>
      </c>
      <c r="J669" s="182" t="s">
        <v>3378</v>
      </c>
      <c r="K669" s="182"/>
      <c r="L669" s="182" t="s">
        <v>53</v>
      </c>
    </row>
    <row r="670" spans="1:12">
      <c r="A670" s="170" t="s">
        <v>3379</v>
      </c>
      <c r="B670" s="170" t="s">
        <v>3380</v>
      </c>
      <c r="C670" s="170"/>
      <c r="D670" s="170" t="s">
        <v>11</v>
      </c>
      <c r="E670" s="170" t="s">
        <v>12</v>
      </c>
      <c r="H670" s="207">
        <v>486367</v>
      </c>
      <c r="I670" s="182" t="s">
        <v>3381</v>
      </c>
      <c r="J670" s="182" t="s">
        <v>3382</v>
      </c>
      <c r="K670" s="182" t="s">
        <v>3383</v>
      </c>
      <c r="L670" s="182" t="s">
        <v>15</v>
      </c>
    </row>
    <row r="671" spans="1:12">
      <c r="A671" s="170" t="s">
        <v>3384</v>
      </c>
      <c r="B671" s="170" t="s">
        <v>3385</v>
      </c>
      <c r="C671" s="170"/>
      <c r="D671" s="170" t="s">
        <v>11</v>
      </c>
      <c r="E671" s="170" t="s">
        <v>12</v>
      </c>
      <c r="H671" s="207">
        <v>509664</v>
      </c>
      <c r="I671" s="182" t="s">
        <v>3386</v>
      </c>
      <c r="J671" s="182" t="s">
        <v>3387</v>
      </c>
      <c r="K671" s="182"/>
      <c r="L671" s="182" t="s">
        <v>15</v>
      </c>
    </row>
    <row r="672" spans="1:12">
      <c r="A672" s="170" t="s">
        <v>3388</v>
      </c>
      <c r="B672" s="170" t="s">
        <v>3389</v>
      </c>
      <c r="C672" s="170"/>
      <c r="D672" s="170" t="s">
        <v>11</v>
      </c>
      <c r="E672" s="170" t="s">
        <v>12</v>
      </c>
      <c r="H672" s="207">
        <v>500589</v>
      </c>
      <c r="I672" s="182" t="s">
        <v>3390</v>
      </c>
      <c r="J672" s="182" t="s">
        <v>3391</v>
      </c>
      <c r="K672" s="182" t="s">
        <v>3392</v>
      </c>
      <c r="L672" s="182" t="s">
        <v>15</v>
      </c>
    </row>
    <row r="673" spans="1:12">
      <c r="A673" s="170" t="s">
        <v>3393</v>
      </c>
      <c r="B673" s="170" t="s">
        <v>3394</v>
      </c>
      <c r="C673" s="170"/>
      <c r="D673" s="170" t="s">
        <v>11</v>
      </c>
      <c r="E673" s="170" t="s">
        <v>12</v>
      </c>
      <c r="H673" s="207">
        <v>455338</v>
      </c>
      <c r="I673" s="182" t="s">
        <v>3395</v>
      </c>
      <c r="J673" s="182" t="s">
        <v>3396</v>
      </c>
      <c r="K673" s="182" t="s">
        <v>3397</v>
      </c>
      <c r="L673" s="182" t="s">
        <v>15</v>
      </c>
    </row>
    <row r="674" spans="1:12">
      <c r="A674" s="170" t="s">
        <v>3398</v>
      </c>
      <c r="B674" s="170" t="s">
        <v>3399</v>
      </c>
      <c r="C674" s="170"/>
      <c r="D674" s="170" t="s">
        <v>11</v>
      </c>
      <c r="E674" s="170" t="s">
        <v>12</v>
      </c>
      <c r="H674" s="207" t="s">
        <v>3400</v>
      </c>
      <c r="I674" s="182" t="s">
        <v>10</v>
      </c>
      <c r="J674" s="182" t="s">
        <v>3400</v>
      </c>
      <c r="K674" s="182" t="s">
        <v>3401</v>
      </c>
      <c r="L674" s="182" t="s">
        <v>53</v>
      </c>
    </row>
    <row r="675" spans="1:12">
      <c r="A675" s="170" t="s">
        <v>3402</v>
      </c>
      <c r="B675" s="170" t="s">
        <v>3403</v>
      </c>
      <c r="C675" s="170"/>
      <c r="D675" s="170" t="s">
        <v>11</v>
      </c>
      <c r="E675" s="170" t="s">
        <v>12</v>
      </c>
      <c r="H675" s="207">
        <v>450798</v>
      </c>
      <c r="I675" s="182" t="s">
        <v>3404</v>
      </c>
      <c r="J675" s="182" t="s">
        <v>3405</v>
      </c>
      <c r="K675" s="182" t="s">
        <v>3406</v>
      </c>
      <c r="L675" s="182" t="s">
        <v>15</v>
      </c>
    </row>
    <row r="676" spans="1:12">
      <c r="A676" s="170" t="s">
        <v>3407</v>
      </c>
      <c r="B676" s="170" t="s">
        <v>3408</v>
      </c>
      <c r="C676" s="170"/>
      <c r="D676" s="170" t="s">
        <v>11</v>
      </c>
      <c r="E676" s="170" t="s">
        <v>12</v>
      </c>
      <c r="H676" s="207">
        <v>483857</v>
      </c>
      <c r="I676" s="182" t="s">
        <v>3409</v>
      </c>
      <c r="J676" s="182" t="s">
        <v>3410</v>
      </c>
      <c r="K676" s="182" t="s">
        <v>3411</v>
      </c>
      <c r="L676" s="182" t="s">
        <v>15</v>
      </c>
    </row>
    <row r="677" spans="1:12">
      <c r="A677" s="170" t="s">
        <v>3412</v>
      </c>
      <c r="B677" s="170" t="s">
        <v>3413</v>
      </c>
      <c r="C677" s="170"/>
      <c r="D677" s="170" t="s">
        <v>11</v>
      </c>
      <c r="E677" s="170" t="s">
        <v>12</v>
      </c>
      <c r="H677" s="207">
        <v>435720</v>
      </c>
      <c r="I677" s="182" t="s">
        <v>3414</v>
      </c>
      <c r="J677" s="182" t="s">
        <v>3415</v>
      </c>
      <c r="K677" s="182" t="s">
        <v>3416</v>
      </c>
      <c r="L677" s="182" t="s">
        <v>15</v>
      </c>
    </row>
    <row r="678" spans="1:12">
      <c r="A678" s="170" t="s">
        <v>3417</v>
      </c>
      <c r="B678" s="170" t="s">
        <v>3418</v>
      </c>
      <c r="C678" s="170"/>
      <c r="D678" s="170" t="s">
        <v>11</v>
      </c>
      <c r="E678" s="170" t="s">
        <v>12</v>
      </c>
      <c r="H678" s="207">
        <v>469484</v>
      </c>
      <c r="I678" s="182" t="s">
        <v>3419</v>
      </c>
      <c r="J678" s="182" t="s">
        <v>3420</v>
      </c>
      <c r="K678" s="182" t="s">
        <v>3421</v>
      </c>
      <c r="L678" s="182" t="s">
        <v>15</v>
      </c>
    </row>
    <row r="679" spans="1:12">
      <c r="A679" s="170" t="s">
        <v>3422</v>
      </c>
      <c r="B679" s="170" t="s">
        <v>3423</v>
      </c>
      <c r="C679" s="170"/>
      <c r="D679" s="170" t="s">
        <v>11</v>
      </c>
      <c r="E679" s="170" t="s">
        <v>12</v>
      </c>
      <c r="H679" s="207" t="s">
        <v>3424</v>
      </c>
      <c r="I679" s="182" t="s">
        <v>10</v>
      </c>
      <c r="J679" s="182" t="s">
        <v>3424</v>
      </c>
      <c r="K679" s="182" t="s">
        <v>3425</v>
      </c>
      <c r="L679" s="182" t="s">
        <v>53</v>
      </c>
    </row>
    <row r="680" spans="1:12">
      <c r="A680" s="170" t="s">
        <v>3426</v>
      </c>
      <c r="B680" s="170" t="s">
        <v>3427</v>
      </c>
      <c r="C680" s="170"/>
      <c r="D680" s="170" t="s">
        <v>11</v>
      </c>
      <c r="E680" s="170" t="s">
        <v>12</v>
      </c>
      <c r="H680" s="207">
        <v>128987</v>
      </c>
      <c r="I680" s="182" t="s">
        <v>3428</v>
      </c>
      <c r="J680" s="182" t="s">
        <v>3429</v>
      </c>
      <c r="K680" s="182" t="s">
        <v>3430</v>
      </c>
      <c r="L680" s="182" t="s">
        <v>15</v>
      </c>
    </row>
    <row r="681" spans="1:12">
      <c r="A681" s="170" t="s">
        <v>3431</v>
      </c>
      <c r="B681" s="170" t="s">
        <v>3432</v>
      </c>
      <c r="C681" s="170"/>
      <c r="D681" s="170" t="s">
        <v>11</v>
      </c>
      <c r="E681" s="170" t="s">
        <v>12</v>
      </c>
      <c r="H681" s="207">
        <v>323557</v>
      </c>
      <c r="I681" s="182" t="s">
        <v>3433</v>
      </c>
      <c r="J681" s="182" t="s">
        <v>3434</v>
      </c>
      <c r="K681" s="182" t="s">
        <v>3435</v>
      </c>
      <c r="L681" s="182" t="s">
        <v>15</v>
      </c>
    </row>
    <row r="682" spans="1:12">
      <c r="A682" s="170" t="s">
        <v>3436</v>
      </c>
      <c r="B682" s="170" t="s">
        <v>3437</v>
      </c>
      <c r="C682" s="170"/>
      <c r="D682" s="170" t="s">
        <v>11</v>
      </c>
      <c r="E682" s="170" t="s">
        <v>12</v>
      </c>
      <c r="H682" s="207">
        <v>447427</v>
      </c>
      <c r="I682" s="182" t="s">
        <v>3438</v>
      </c>
      <c r="J682" s="182" t="s">
        <v>3439</v>
      </c>
      <c r="K682" s="182" t="s">
        <v>3440</v>
      </c>
      <c r="L682" s="182" t="s">
        <v>15</v>
      </c>
    </row>
    <row r="683" spans="1:12">
      <c r="A683" s="170" t="s">
        <v>3441</v>
      </c>
      <c r="B683" s="170" t="s">
        <v>3442</v>
      </c>
      <c r="C683" s="170"/>
      <c r="D683" s="170" t="s">
        <v>11</v>
      </c>
      <c r="E683" s="170" t="s">
        <v>12</v>
      </c>
      <c r="H683" s="207">
        <v>442768</v>
      </c>
      <c r="I683" s="182" t="s">
        <v>3443</v>
      </c>
      <c r="J683" s="182" t="s">
        <v>3444</v>
      </c>
      <c r="K683" s="182" t="s">
        <v>3445</v>
      </c>
      <c r="L683" s="182" t="s">
        <v>15</v>
      </c>
    </row>
    <row r="684" spans="1:12">
      <c r="A684" s="170" t="s">
        <v>3446</v>
      </c>
      <c r="B684" s="170" t="s">
        <v>3447</v>
      </c>
      <c r="C684" s="170"/>
      <c r="D684" s="170" t="s">
        <v>11</v>
      </c>
      <c r="E684" s="170" t="s">
        <v>12</v>
      </c>
      <c r="H684" s="207" t="s">
        <v>3448</v>
      </c>
      <c r="I684" s="182" t="s">
        <v>10</v>
      </c>
      <c r="J684" s="182" t="s">
        <v>3448</v>
      </c>
      <c r="K684" s="182" t="s">
        <v>3449</v>
      </c>
      <c r="L684" s="182" t="s">
        <v>53</v>
      </c>
    </row>
    <row r="685" spans="1:12">
      <c r="A685" s="170" t="s">
        <v>3450</v>
      </c>
      <c r="B685" s="170" t="s">
        <v>3451</v>
      </c>
      <c r="C685" s="178" t="s">
        <v>10</v>
      </c>
      <c r="D685" s="170" t="s">
        <v>11</v>
      </c>
      <c r="E685" s="170" t="s">
        <v>12</v>
      </c>
      <c r="H685" s="207">
        <v>485963</v>
      </c>
      <c r="I685" s="182" t="s">
        <v>3452</v>
      </c>
      <c r="J685" s="182" t="s">
        <v>3453</v>
      </c>
      <c r="K685" s="182"/>
      <c r="L685" s="182" t="s">
        <v>15</v>
      </c>
    </row>
    <row r="686" spans="1:12">
      <c r="A686" s="170" t="s">
        <v>3454</v>
      </c>
      <c r="B686" s="170" t="s">
        <v>3455</v>
      </c>
      <c r="C686" s="178" t="s">
        <v>10</v>
      </c>
      <c r="D686" s="170" t="s">
        <v>11</v>
      </c>
      <c r="E686" s="170" t="s">
        <v>12</v>
      </c>
      <c r="H686" s="207">
        <v>492238</v>
      </c>
      <c r="I686" s="182" t="s">
        <v>3456</v>
      </c>
      <c r="J686" s="182" t="s">
        <v>3457</v>
      </c>
      <c r="K686" s="182" t="s">
        <v>3458</v>
      </c>
      <c r="L686" s="182" t="s">
        <v>15</v>
      </c>
    </row>
    <row r="687" spans="1:12">
      <c r="A687" s="170" t="s">
        <v>3459</v>
      </c>
      <c r="B687" s="170" t="s">
        <v>3460</v>
      </c>
      <c r="C687" s="178" t="s">
        <v>10</v>
      </c>
      <c r="D687" s="170" t="s">
        <v>11</v>
      </c>
      <c r="E687" s="170" t="s">
        <v>12</v>
      </c>
      <c r="H687" s="207">
        <v>444638</v>
      </c>
      <c r="I687" s="182" t="s">
        <v>3461</v>
      </c>
      <c r="J687" s="182" t="s">
        <v>3462</v>
      </c>
      <c r="K687" s="182" t="s">
        <v>3463</v>
      </c>
      <c r="L687" s="182" t="s">
        <v>15</v>
      </c>
    </row>
    <row r="688" spans="1:12">
      <c r="A688" s="170" t="s">
        <v>3464</v>
      </c>
      <c r="B688" s="170" t="s">
        <v>3465</v>
      </c>
      <c r="C688" s="178" t="s">
        <v>10</v>
      </c>
      <c r="D688" s="170" t="s">
        <v>11</v>
      </c>
      <c r="E688" s="170" t="s">
        <v>12</v>
      </c>
      <c r="H688" s="207">
        <v>476791</v>
      </c>
      <c r="I688" s="182" t="s">
        <v>3466</v>
      </c>
      <c r="J688" s="182" t="s">
        <v>3467</v>
      </c>
      <c r="K688" s="182" t="s">
        <v>3468</v>
      </c>
      <c r="L688" s="182" t="s">
        <v>15</v>
      </c>
    </row>
    <row r="689" spans="1:12">
      <c r="A689" s="170" t="s">
        <v>3469</v>
      </c>
      <c r="B689" s="170" t="s">
        <v>3470</v>
      </c>
      <c r="C689" s="178" t="s">
        <v>10</v>
      </c>
      <c r="D689" s="170" t="s">
        <v>11</v>
      </c>
      <c r="E689" s="170" t="s">
        <v>12</v>
      </c>
      <c r="H689" s="207">
        <v>506675</v>
      </c>
      <c r="I689" s="182" t="s">
        <v>3471</v>
      </c>
      <c r="J689" s="182" t="s">
        <v>3472</v>
      </c>
      <c r="K689" s="182" t="s">
        <v>3473</v>
      </c>
      <c r="L689" s="182" t="s">
        <v>15</v>
      </c>
    </row>
    <row r="690" spans="1:12">
      <c r="A690" s="170" t="s">
        <v>3474</v>
      </c>
      <c r="B690" s="170" t="s">
        <v>3475</v>
      </c>
      <c r="C690" s="178" t="s">
        <v>10</v>
      </c>
      <c r="D690" s="170" t="s">
        <v>11</v>
      </c>
      <c r="E690" s="170" t="s">
        <v>12</v>
      </c>
      <c r="H690" s="207">
        <v>496827</v>
      </c>
      <c r="I690" s="182" t="s">
        <v>3476</v>
      </c>
      <c r="J690" s="182" t="s">
        <v>3477</v>
      </c>
      <c r="K690" s="182" t="s">
        <v>3478</v>
      </c>
      <c r="L690" s="182" t="s">
        <v>15</v>
      </c>
    </row>
    <row r="691" spans="1:12">
      <c r="A691" s="170" t="s">
        <v>3479</v>
      </c>
      <c r="B691" s="170" t="s">
        <v>3480</v>
      </c>
      <c r="C691" s="178" t="s">
        <v>10</v>
      </c>
      <c r="D691" s="170" t="s">
        <v>11</v>
      </c>
      <c r="E691" s="170" t="s">
        <v>12</v>
      </c>
      <c r="H691" s="207">
        <v>149951</v>
      </c>
      <c r="I691" s="182" t="s">
        <v>3481</v>
      </c>
      <c r="J691" s="182" t="s">
        <v>3482</v>
      </c>
      <c r="K691" s="182" t="s">
        <v>3483</v>
      </c>
      <c r="L691" s="182" t="s">
        <v>15</v>
      </c>
    </row>
    <row r="692" spans="1:12">
      <c r="A692" s="170" t="s">
        <v>3484</v>
      </c>
      <c r="B692" s="170" t="s">
        <v>3485</v>
      </c>
      <c r="C692" s="178" t="s">
        <v>10</v>
      </c>
      <c r="D692" s="170" t="s">
        <v>11</v>
      </c>
      <c r="E692" s="170" t="s">
        <v>12</v>
      </c>
      <c r="H692" s="207" t="s">
        <v>3486</v>
      </c>
      <c r="I692" s="182" t="s">
        <v>10</v>
      </c>
      <c r="J692" s="182" t="s">
        <v>3486</v>
      </c>
      <c r="K692" s="182" t="s">
        <v>3487</v>
      </c>
      <c r="L692" s="182" t="s">
        <v>53</v>
      </c>
    </row>
    <row r="693" spans="1:12">
      <c r="A693" s="170" t="s">
        <v>3488</v>
      </c>
      <c r="B693" s="170" t="s">
        <v>3489</v>
      </c>
      <c r="C693" s="178" t="s">
        <v>10</v>
      </c>
      <c r="D693" s="170" t="s">
        <v>11</v>
      </c>
      <c r="E693" s="170" t="s">
        <v>12</v>
      </c>
      <c r="H693" s="207" t="s">
        <v>3490</v>
      </c>
      <c r="I693" s="182" t="s">
        <v>10</v>
      </c>
      <c r="J693" s="182" t="s">
        <v>3490</v>
      </c>
      <c r="K693" s="182" t="s">
        <v>3491</v>
      </c>
      <c r="L693" s="182" t="s">
        <v>53</v>
      </c>
    </row>
    <row r="694" spans="1:12">
      <c r="A694" s="170" t="s">
        <v>3492</v>
      </c>
      <c r="B694" s="170" t="s">
        <v>3493</v>
      </c>
      <c r="C694" s="178" t="s">
        <v>10</v>
      </c>
      <c r="D694" s="170" t="s">
        <v>11</v>
      </c>
      <c r="E694" s="170" t="s">
        <v>12</v>
      </c>
      <c r="H694" s="207" t="s">
        <v>3494</v>
      </c>
      <c r="I694" s="182" t="s">
        <v>10</v>
      </c>
      <c r="J694" s="182" t="s">
        <v>3494</v>
      </c>
      <c r="K694" s="182" t="s">
        <v>3495</v>
      </c>
      <c r="L694" s="182" t="s">
        <v>19</v>
      </c>
    </row>
    <row r="695" spans="1:12">
      <c r="A695" s="170" t="s">
        <v>3496</v>
      </c>
      <c r="B695" s="170" t="s">
        <v>3497</v>
      </c>
      <c r="C695" s="178" t="s">
        <v>10</v>
      </c>
      <c r="D695" s="170" t="s">
        <v>11</v>
      </c>
      <c r="E695" s="170" t="s">
        <v>12</v>
      </c>
      <c r="H695" s="207">
        <v>464753</v>
      </c>
      <c r="I695" s="182" t="s">
        <v>3498</v>
      </c>
      <c r="J695" s="182" t="s">
        <v>3499</v>
      </c>
      <c r="K695" s="182"/>
      <c r="L695" s="182" t="s">
        <v>415</v>
      </c>
    </row>
    <row r="696" spans="1:12">
      <c r="A696" s="170" t="s">
        <v>6616</v>
      </c>
      <c r="B696" s="170" t="s">
        <v>6617</v>
      </c>
      <c r="C696" s="178" t="s">
        <v>10</v>
      </c>
      <c r="D696" s="170" t="s">
        <v>11</v>
      </c>
      <c r="E696" s="170" t="s">
        <v>12</v>
      </c>
      <c r="H696" s="207">
        <v>442964</v>
      </c>
      <c r="I696" s="182" t="s">
        <v>3509</v>
      </c>
      <c r="J696" s="182" t="s">
        <v>3510</v>
      </c>
      <c r="K696" s="182" t="s">
        <v>3511</v>
      </c>
      <c r="L696" s="182" t="s">
        <v>15</v>
      </c>
    </row>
    <row r="697" spans="1:12">
      <c r="A697" s="170" t="s">
        <v>3516</v>
      </c>
      <c r="B697" s="170" t="s">
        <v>3517</v>
      </c>
      <c r="C697" s="192"/>
      <c r="D697" s="170" t="s">
        <v>11</v>
      </c>
      <c r="E697" s="170" t="s">
        <v>12</v>
      </c>
      <c r="H697" s="207">
        <v>499890</v>
      </c>
      <c r="I697" s="182" t="s">
        <v>3518</v>
      </c>
      <c r="J697" s="182" t="s">
        <v>3519</v>
      </c>
      <c r="K697" s="182" t="s">
        <v>3520</v>
      </c>
      <c r="L697" s="182" t="s">
        <v>15</v>
      </c>
    </row>
    <row r="698" spans="1:12">
      <c r="A698" s="170" t="s">
        <v>3522</v>
      </c>
      <c r="B698" s="170" t="s">
        <v>3521</v>
      </c>
      <c r="C698" s="170"/>
      <c r="D698" s="170" t="s">
        <v>11</v>
      </c>
      <c r="E698" s="170" t="s">
        <v>12</v>
      </c>
      <c r="H698" s="207">
        <v>506898</v>
      </c>
      <c r="I698" s="182" t="s">
        <v>3523</v>
      </c>
      <c r="J698" s="182" t="s">
        <v>3524</v>
      </c>
      <c r="K698" s="182" t="s">
        <v>3525</v>
      </c>
      <c r="L698" s="182" t="s">
        <v>15</v>
      </c>
    </row>
    <row r="699" spans="1:12">
      <c r="A699" s="170" t="s">
        <v>3526</v>
      </c>
      <c r="B699" s="170" t="s">
        <v>3527</v>
      </c>
      <c r="C699" s="170"/>
      <c r="D699" s="170" t="s">
        <v>11</v>
      </c>
      <c r="E699" s="170" t="s">
        <v>12</v>
      </c>
      <c r="H699" s="207">
        <v>197317</v>
      </c>
      <c r="I699" s="182" t="s">
        <v>3528</v>
      </c>
      <c r="J699" s="182" t="s">
        <v>3529</v>
      </c>
      <c r="K699" s="182" t="s">
        <v>3530</v>
      </c>
      <c r="L699" s="182" t="s">
        <v>15</v>
      </c>
    </row>
    <row r="700" spans="1:12">
      <c r="A700" s="170" t="s">
        <v>3531</v>
      </c>
      <c r="B700" s="170" t="s">
        <v>3532</v>
      </c>
      <c r="C700" s="170"/>
      <c r="D700" s="170" t="s">
        <v>11</v>
      </c>
      <c r="E700" s="170" t="s">
        <v>12</v>
      </c>
      <c r="H700" s="207">
        <v>482349</v>
      </c>
      <c r="I700" s="182" t="s">
        <v>3533</v>
      </c>
      <c r="J700" s="182" t="s">
        <v>3534</v>
      </c>
      <c r="K700" s="182" t="s">
        <v>3535</v>
      </c>
      <c r="L700" s="182" t="s">
        <v>15</v>
      </c>
    </row>
    <row r="701" spans="1:12">
      <c r="A701" s="170" t="s">
        <v>3536</v>
      </c>
      <c r="B701" s="170" t="s">
        <v>3537</v>
      </c>
      <c r="C701" s="192" t="s">
        <v>3538</v>
      </c>
      <c r="D701" s="170" t="s">
        <v>11</v>
      </c>
      <c r="E701" s="170" t="s">
        <v>12</v>
      </c>
      <c r="H701" s="207" t="s">
        <v>3539</v>
      </c>
      <c r="I701" s="182" t="s">
        <v>10</v>
      </c>
      <c r="J701" s="182" t="s">
        <v>3539</v>
      </c>
      <c r="K701" s="182" t="s">
        <v>3540</v>
      </c>
      <c r="L701" s="182" t="s">
        <v>53</v>
      </c>
    </row>
    <row r="702" spans="1:12">
      <c r="A702" s="170" t="s">
        <v>3541</v>
      </c>
      <c r="B702" s="170" t="s">
        <v>3542</v>
      </c>
      <c r="C702" s="192" t="s">
        <v>3543</v>
      </c>
      <c r="D702" s="170" t="s">
        <v>11</v>
      </c>
      <c r="E702" s="170" t="s">
        <v>12</v>
      </c>
      <c r="H702" s="207" t="s">
        <v>3544</v>
      </c>
      <c r="I702" s="182" t="s">
        <v>10</v>
      </c>
      <c r="J702" s="182" t="s">
        <v>3544</v>
      </c>
      <c r="K702" s="182" t="s">
        <v>3545</v>
      </c>
      <c r="L702" s="182" t="s">
        <v>53</v>
      </c>
    </row>
    <row r="703" spans="1:12">
      <c r="A703" s="170" t="s">
        <v>3546</v>
      </c>
      <c r="B703" s="170" t="s">
        <v>3547</v>
      </c>
      <c r="C703" s="170"/>
      <c r="D703" s="170" t="s">
        <v>11</v>
      </c>
      <c r="E703" s="170" t="s">
        <v>12</v>
      </c>
      <c r="H703" s="207">
        <v>482192</v>
      </c>
      <c r="I703" s="182" t="s">
        <v>3548</v>
      </c>
      <c r="J703" s="182" t="s">
        <v>3549</v>
      </c>
      <c r="K703" s="182" t="s">
        <v>3550</v>
      </c>
      <c r="L703" s="182" t="s">
        <v>15</v>
      </c>
    </row>
    <row r="704" spans="1:12">
      <c r="A704" s="170" t="s">
        <v>3551</v>
      </c>
      <c r="B704" s="170" t="s">
        <v>3552</v>
      </c>
      <c r="C704" s="170"/>
      <c r="D704" s="170" t="s">
        <v>11</v>
      </c>
      <c r="E704" s="170" t="s">
        <v>12</v>
      </c>
      <c r="H704" s="207">
        <v>229653</v>
      </c>
      <c r="I704" s="182" t="s">
        <v>3553</v>
      </c>
      <c r="J704" s="182" t="s">
        <v>3554</v>
      </c>
      <c r="K704" s="182" t="s">
        <v>3555</v>
      </c>
      <c r="L704" s="182" t="s">
        <v>15</v>
      </c>
    </row>
    <row r="705" spans="1:12">
      <c r="A705" s="170" t="s">
        <v>3556</v>
      </c>
      <c r="B705" s="170" t="s">
        <v>3557</v>
      </c>
      <c r="C705" s="192" t="s">
        <v>3558</v>
      </c>
      <c r="D705" s="170" t="s">
        <v>11</v>
      </c>
      <c r="E705" s="170" t="s">
        <v>12</v>
      </c>
      <c r="H705" s="207" t="s">
        <v>3559</v>
      </c>
      <c r="I705" s="182" t="s">
        <v>10</v>
      </c>
      <c r="J705" s="182" t="s">
        <v>3559</v>
      </c>
      <c r="K705" s="182" t="s">
        <v>3560</v>
      </c>
      <c r="L705" s="182" t="s">
        <v>19</v>
      </c>
    </row>
    <row r="706" spans="1:12">
      <c r="A706" s="170" t="s">
        <v>3561</v>
      </c>
      <c r="B706" s="170" t="s">
        <v>3562</v>
      </c>
      <c r="C706" s="192" t="s">
        <v>3563</v>
      </c>
      <c r="D706" s="170" t="s">
        <v>11</v>
      </c>
      <c r="E706" s="170" t="s">
        <v>12</v>
      </c>
      <c r="H706" s="207">
        <v>487503</v>
      </c>
      <c r="I706" s="182" t="s">
        <v>3564</v>
      </c>
      <c r="J706" s="182" t="s">
        <v>3565</v>
      </c>
      <c r="K706" s="182" t="s">
        <v>3566</v>
      </c>
      <c r="L706" s="182" t="s">
        <v>15</v>
      </c>
    </row>
    <row r="707" spans="1:12">
      <c r="A707" s="170" t="s">
        <v>3567</v>
      </c>
      <c r="B707" s="170" t="s">
        <v>3568</v>
      </c>
      <c r="C707" s="170"/>
      <c r="D707" s="170" t="s">
        <v>11</v>
      </c>
      <c r="E707" s="170" t="s">
        <v>12</v>
      </c>
      <c r="H707" s="207">
        <v>519670</v>
      </c>
      <c r="I707" s="182" t="s">
        <v>3569</v>
      </c>
      <c r="J707" s="182" t="s">
        <v>3570</v>
      </c>
      <c r="K707" s="182" t="s">
        <v>3571</v>
      </c>
      <c r="L707" s="182" t="s">
        <v>15</v>
      </c>
    </row>
    <row r="708" spans="1:12">
      <c r="A708" s="170" t="s">
        <v>3572</v>
      </c>
      <c r="B708" s="170" t="s">
        <v>3573</v>
      </c>
      <c r="C708" s="170"/>
      <c r="D708" s="170" t="s">
        <v>11</v>
      </c>
      <c r="E708" s="170" t="s">
        <v>12</v>
      </c>
      <c r="H708" s="207">
        <v>402790</v>
      </c>
      <c r="I708" s="182" t="s">
        <v>3574</v>
      </c>
      <c r="J708" s="182" t="s">
        <v>3575</v>
      </c>
      <c r="K708" s="182" t="s">
        <v>3576</v>
      </c>
      <c r="L708" s="182" t="s">
        <v>15</v>
      </c>
    </row>
    <row r="709" spans="1:12">
      <c r="A709" s="170" t="s">
        <v>3581</v>
      </c>
      <c r="B709" s="170" t="s">
        <v>3582</v>
      </c>
      <c r="C709" s="192" t="s">
        <v>3583</v>
      </c>
      <c r="D709" s="170" t="s">
        <v>11</v>
      </c>
      <c r="E709" s="170" t="s">
        <v>12</v>
      </c>
      <c r="H709" s="207">
        <v>480306</v>
      </c>
      <c r="I709" s="182" t="s">
        <v>3584</v>
      </c>
      <c r="J709" s="182" t="s">
        <v>3585</v>
      </c>
      <c r="K709" s="182" t="s">
        <v>3586</v>
      </c>
      <c r="L709" s="182" t="s">
        <v>15</v>
      </c>
    </row>
    <row r="710" spans="1:12">
      <c r="A710" s="170" t="s">
        <v>3591</v>
      </c>
      <c r="B710" s="170" t="s">
        <v>3592</v>
      </c>
      <c r="C710" s="192" t="s">
        <v>3593</v>
      </c>
      <c r="D710" s="170" t="s">
        <v>11</v>
      </c>
      <c r="E710" s="170" t="s">
        <v>12</v>
      </c>
      <c r="H710" s="207">
        <v>486827</v>
      </c>
      <c r="I710" s="182" t="s">
        <v>3594</v>
      </c>
      <c r="J710" s="182" t="s">
        <v>3595</v>
      </c>
      <c r="K710" s="182" t="s">
        <v>3596</v>
      </c>
      <c r="L710" s="182" t="s">
        <v>15</v>
      </c>
    </row>
    <row r="711" spans="1:12">
      <c r="A711" s="170" t="s">
        <v>3601</v>
      </c>
      <c r="B711" s="170" t="s">
        <v>3602</v>
      </c>
      <c r="C711" s="170"/>
      <c r="D711" s="170" t="s">
        <v>11</v>
      </c>
      <c r="E711" s="170" t="s">
        <v>12</v>
      </c>
      <c r="H711" s="207">
        <v>501883</v>
      </c>
      <c r="I711" s="182" t="s">
        <v>3603</v>
      </c>
      <c r="J711" s="182" t="s">
        <v>3604</v>
      </c>
      <c r="K711" s="182" t="s">
        <v>3605</v>
      </c>
      <c r="L711" s="182" t="s">
        <v>15</v>
      </c>
    </row>
    <row r="712" spans="1:12">
      <c r="A712" s="170" t="s">
        <v>3610</v>
      </c>
      <c r="B712" s="170" t="s">
        <v>3611</v>
      </c>
      <c r="C712" s="170"/>
      <c r="D712" s="170" t="s">
        <v>11</v>
      </c>
      <c r="E712" s="170" t="s">
        <v>12</v>
      </c>
      <c r="H712" s="207">
        <v>444070</v>
      </c>
      <c r="I712" s="182" t="s">
        <v>3612</v>
      </c>
      <c r="J712" s="182" t="s">
        <v>3613</v>
      </c>
      <c r="K712" s="182" t="s">
        <v>3614</v>
      </c>
      <c r="L712" s="182" t="s">
        <v>15</v>
      </c>
    </row>
    <row r="713" spans="1:12">
      <c r="A713" s="170" t="s">
        <v>3619</v>
      </c>
      <c r="B713" s="170" t="s">
        <v>3620</v>
      </c>
      <c r="C713" s="192" t="s">
        <v>3621</v>
      </c>
      <c r="D713" s="170" t="s">
        <v>11</v>
      </c>
      <c r="E713" s="170" t="s">
        <v>12</v>
      </c>
      <c r="H713" s="207" t="s">
        <v>3622</v>
      </c>
      <c r="I713" s="182" t="s">
        <v>10</v>
      </c>
      <c r="J713" s="182" t="s">
        <v>3622</v>
      </c>
      <c r="K713" s="182" t="s">
        <v>3623</v>
      </c>
      <c r="L713" s="182" t="s">
        <v>53</v>
      </c>
    </row>
    <row r="714" spans="1:12">
      <c r="A714" s="170" t="s">
        <v>3624</v>
      </c>
      <c r="B714" s="170" t="s">
        <v>3625</v>
      </c>
      <c r="C714" s="192" t="s">
        <v>3626</v>
      </c>
      <c r="D714" s="170" t="s">
        <v>11</v>
      </c>
      <c r="E714" s="170" t="s">
        <v>12</v>
      </c>
      <c r="H714" s="207">
        <v>464053</v>
      </c>
      <c r="I714" s="182" t="s">
        <v>3627</v>
      </c>
      <c r="J714" s="182" t="s">
        <v>3628</v>
      </c>
      <c r="K714" s="182" t="s">
        <v>3629</v>
      </c>
      <c r="L714" s="182" t="s">
        <v>15</v>
      </c>
    </row>
    <row r="715" spans="1:12">
      <c r="A715" s="170" t="s">
        <v>3630</v>
      </c>
      <c r="B715" s="170" t="s">
        <v>3631</v>
      </c>
      <c r="C715" s="170"/>
      <c r="D715" s="170" t="s">
        <v>11</v>
      </c>
      <c r="E715" s="170" t="s">
        <v>12</v>
      </c>
      <c r="H715" s="207">
        <v>493011</v>
      </c>
      <c r="I715" s="182" t="s">
        <v>3632</v>
      </c>
      <c r="J715" s="182" t="s">
        <v>3633</v>
      </c>
      <c r="K715" s="182" t="s">
        <v>3634</v>
      </c>
      <c r="L715" s="182" t="s">
        <v>15</v>
      </c>
    </row>
    <row r="716" spans="1:12">
      <c r="A716" s="170" t="s">
        <v>3635</v>
      </c>
      <c r="B716" s="170" t="s">
        <v>3636</v>
      </c>
      <c r="C716" s="170"/>
      <c r="D716" s="170" t="s">
        <v>11</v>
      </c>
      <c r="E716" s="170" t="s">
        <v>12</v>
      </c>
      <c r="H716" s="207">
        <v>500558</v>
      </c>
      <c r="I716" s="182" t="s">
        <v>3637</v>
      </c>
      <c r="J716" s="182" t="s">
        <v>3638</v>
      </c>
      <c r="K716" s="182" t="s">
        <v>3639</v>
      </c>
      <c r="L716" s="182" t="s">
        <v>15</v>
      </c>
    </row>
    <row r="717" spans="1:12">
      <c r="A717" s="170" t="s">
        <v>3640</v>
      </c>
      <c r="B717" s="170" t="s">
        <v>6618</v>
      </c>
      <c r="C717" s="192" t="s">
        <v>3642</v>
      </c>
      <c r="D717" s="170" t="s">
        <v>11</v>
      </c>
      <c r="E717" s="170" t="s">
        <v>12</v>
      </c>
      <c r="H717" s="207">
        <v>456567</v>
      </c>
      <c r="I717" s="182" t="s">
        <v>3643</v>
      </c>
      <c r="J717" s="182" t="s">
        <v>3644</v>
      </c>
      <c r="K717" s="182" t="s">
        <v>3645</v>
      </c>
      <c r="L717" s="182" t="s">
        <v>15</v>
      </c>
    </row>
    <row r="718" spans="1:12">
      <c r="A718" s="170" t="s">
        <v>3646</v>
      </c>
      <c r="B718" s="170" t="s">
        <v>3647</v>
      </c>
      <c r="C718" s="192" t="s">
        <v>3648</v>
      </c>
      <c r="D718" s="170" t="s">
        <v>11</v>
      </c>
      <c r="E718" s="170" t="s">
        <v>12</v>
      </c>
      <c r="H718" s="207">
        <v>444558</v>
      </c>
      <c r="I718" s="182" t="s">
        <v>3649</v>
      </c>
      <c r="J718" s="182" t="s">
        <v>3650</v>
      </c>
      <c r="K718" s="182" t="s">
        <v>3651</v>
      </c>
      <c r="L718" s="182" t="s">
        <v>15</v>
      </c>
    </row>
    <row r="719" spans="1:12">
      <c r="A719" s="170" t="s">
        <v>3652</v>
      </c>
      <c r="B719" s="170" t="s">
        <v>3641</v>
      </c>
      <c r="C719" s="170"/>
      <c r="D719" s="170" t="s">
        <v>11</v>
      </c>
      <c r="E719" s="170" t="s">
        <v>12</v>
      </c>
      <c r="H719" s="207">
        <v>916367</v>
      </c>
      <c r="I719" s="182" t="s">
        <v>3653</v>
      </c>
      <c r="J719" s="182" t="s">
        <v>3654</v>
      </c>
      <c r="K719" s="182" t="s">
        <v>3655</v>
      </c>
      <c r="L719" s="182" t="s">
        <v>415</v>
      </c>
    </row>
    <row r="720" spans="1:12">
      <c r="A720" s="170" t="s">
        <v>3656</v>
      </c>
      <c r="B720" s="170" t="s">
        <v>3657</v>
      </c>
      <c r="C720" s="170"/>
      <c r="D720" s="170" t="s">
        <v>11</v>
      </c>
      <c r="E720" s="170" t="s">
        <v>12</v>
      </c>
      <c r="H720" s="207" t="s">
        <v>3658</v>
      </c>
      <c r="I720" s="182" t="s">
        <v>10</v>
      </c>
      <c r="J720" s="182" t="s">
        <v>3658</v>
      </c>
      <c r="K720" s="182" t="s">
        <v>3659</v>
      </c>
      <c r="L720" s="182" t="s">
        <v>19</v>
      </c>
    </row>
    <row r="721" spans="1:12">
      <c r="A721" s="170" t="s">
        <v>3660</v>
      </c>
      <c r="B721" s="170" t="s">
        <v>3661</v>
      </c>
      <c r="C721" s="178" t="s">
        <v>3662</v>
      </c>
      <c r="D721" s="170" t="s">
        <v>11</v>
      </c>
      <c r="E721" s="170" t="s">
        <v>12</v>
      </c>
      <c r="H721" s="207">
        <v>99134</v>
      </c>
      <c r="I721" s="182" t="s">
        <v>3663</v>
      </c>
      <c r="J721" s="182" t="s">
        <v>3664</v>
      </c>
      <c r="K721" s="182" t="s">
        <v>3665</v>
      </c>
      <c r="L721" s="182" t="s">
        <v>15</v>
      </c>
    </row>
    <row r="722" spans="1:12">
      <c r="A722" s="170" t="s">
        <v>3666</v>
      </c>
      <c r="B722" s="170" t="s">
        <v>3667</v>
      </c>
      <c r="C722" s="170"/>
      <c r="D722" s="170" t="s">
        <v>11</v>
      </c>
      <c r="E722" s="170" t="s">
        <v>12</v>
      </c>
      <c r="H722" s="207">
        <v>513193</v>
      </c>
      <c r="I722" s="182" t="s">
        <v>3668</v>
      </c>
      <c r="J722" s="182" t="s">
        <v>3669</v>
      </c>
      <c r="K722" s="182" t="s">
        <v>3670</v>
      </c>
      <c r="L722" s="182" t="s">
        <v>15</v>
      </c>
    </row>
    <row r="723" spans="1:12">
      <c r="A723" s="170" t="s">
        <v>3671</v>
      </c>
      <c r="B723" s="170" t="s">
        <v>3672</v>
      </c>
      <c r="C723" s="170"/>
      <c r="D723" s="170" t="s">
        <v>11</v>
      </c>
      <c r="E723" s="170" t="s">
        <v>12</v>
      </c>
      <c r="H723" s="207">
        <v>518439</v>
      </c>
      <c r="I723" s="182" t="s">
        <v>3673</v>
      </c>
      <c r="J723" s="182" t="s">
        <v>3674</v>
      </c>
      <c r="K723" s="182" t="s">
        <v>3675</v>
      </c>
      <c r="L723" s="182" t="s">
        <v>15</v>
      </c>
    </row>
    <row r="724" spans="1:12">
      <c r="A724" s="170" t="s">
        <v>3676</v>
      </c>
      <c r="B724" s="170" t="s">
        <v>3677</v>
      </c>
      <c r="C724" s="170"/>
      <c r="D724" s="170" t="s">
        <v>11</v>
      </c>
      <c r="E724" s="170" t="s">
        <v>12</v>
      </c>
      <c r="H724" s="207">
        <v>503205</v>
      </c>
      <c r="I724" s="182" t="s">
        <v>3678</v>
      </c>
      <c r="J724" s="182" t="s">
        <v>3679</v>
      </c>
      <c r="K724" s="182" t="s">
        <v>3680</v>
      </c>
      <c r="L724" s="182" t="s">
        <v>15</v>
      </c>
    </row>
    <row r="725" spans="1:12">
      <c r="A725" s="170" t="s">
        <v>3681</v>
      </c>
      <c r="B725" s="170" t="s">
        <v>3682</v>
      </c>
      <c r="C725" s="178" t="s">
        <v>3683</v>
      </c>
      <c r="D725" s="170" t="s">
        <v>11</v>
      </c>
      <c r="E725" s="170" t="s">
        <v>12</v>
      </c>
      <c r="H725" s="207">
        <v>184621</v>
      </c>
      <c r="I725" s="182" t="s">
        <v>3684</v>
      </c>
      <c r="J725" s="182" t="s">
        <v>3685</v>
      </c>
      <c r="K725" s="182"/>
      <c r="L725" s="182" t="s">
        <v>15</v>
      </c>
    </row>
    <row r="726" spans="1:12">
      <c r="A726" s="170" t="s">
        <v>3686</v>
      </c>
      <c r="B726" s="170" t="s">
        <v>3687</v>
      </c>
      <c r="C726" s="170"/>
      <c r="D726" s="170" t="s">
        <v>11</v>
      </c>
      <c r="E726" s="170" t="s">
        <v>12</v>
      </c>
      <c r="H726" s="207">
        <v>331022</v>
      </c>
      <c r="I726" s="182" t="s">
        <v>3688</v>
      </c>
      <c r="J726" s="182" t="s">
        <v>3689</v>
      </c>
      <c r="K726" s="182" t="s">
        <v>3690</v>
      </c>
      <c r="L726" s="182" t="s">
        <v>15</v>
      </c>
    </row>
    <row r="727" spans="1:12">
      <c r="A727" s="170" t="s">
        <v>3691</v>
      </c>
      <c r="B727" s="170" t="s">
        <v>3692</v>
      </c>
      <c r="C727" s="170"/>
      <c r="D727" s="170" t="s">
        <v>11</v>
      </c>
      <c r="E727" s="170" t="s">
        <v>12</v>
      </c>
      <c r="H727" s="207" t="s">
        <v>3693</v>
      </c>
      <c r="I727" s="182" t="s">
        <v>10</v>
      </c>
      <c r="J727" s="182" t="s">
        <v>3693</v>
      </c>
      <c r="K727" s="182" t="s">
        <v>3694</v>
      </c>
      <c r="L727" s="182" t="s">
        <v>53</v>
      </c>
    </row>
    <row r="728" spans="1:12">
      <c r="A728" s="170" t="s">
        <v>3695</v>
      </c>
      <c r="B728" s="170" t="s">
        <v>3696</v>
      </c>
      <c r="C728" s="170"/>
      <c r="D728" s="170" t="s">
        <v>11</v>
      </c>
      <c r="E728" s="170" t="s">
        <v>12</v>
      </c>
      <c r="H728" s="207">
        <v>513088</v>
      </c>
      <c r="I728" s="182" t="s">
        <v>3697</v>
      </c>
      <c r="J728" s="182" t="s">
        <v>3698</v>
      </c>
      <c r="K728" s="182"/>
      <c r="L728" s="182" t="s">
        <v>15</v>
      </c>
    </row>
    <row r="729" spans="1:12">
      <c r="A729" s="170" t="s">
        <v>3699</v>
      </c>
      <c r="B729" s="170" t="s">
        <v>3700</v>
      </c>
      <c r="C729" s="170"/>
      <c r="D729" s="170" t="s">
        <v>11</v>
      </c>
      <c r="E729" s="170" t="s">
        <v>12</v>
      </c>
      <c r="H729" s="207">
        <v>462968</v>
      </c>
      <c r="I729" s="182" t="s">
        <v>3701</v>
      </c>
      <c r="J729" s="182" t="s">
        <v>3702</v>
      </c>
      <c r="K729" s="182" t="s">
        <v>3703</v>
      </c>
      <c r="L729" s="182" t="s">
        <v>15</v>
      </c>
    </row>
    <row r="730" spans="1:12">
      <c r="A730" s="170" t="s">
        <v>3704</v>
      </c>
      <c r="B730" s="170" t="s">
        <v>3705</v>
      </c>
      <c r="C730" s="170"/>
      <c r="D730" s="170" t="s">
        <v>11</v>
      </c>
      <c r="E730" s="170" t="s">
        <v>12</v>
      </c>
      <c r="H730" s="207" t="s">
        <v>3706</v>
      </c>
      <c r="I730" s="182" t="s">
        <v>10</v>
      </c>
      <c r="J730" s="182" t="s">
        <v>3706</v>
      </c>
      <c r="K730" s="182" t="s">
        <v>3707</v>
      </c>
      <c r="L730" s="182" t="s">
        <v>19</v>
      </c>
    </row>
    <row r="731" spans="1:12">
      <c r="A731" s="170" t="s">
        <v>3708</v>
      </c>
      <c r="B731" s="170" t="s">
        <v>3709</v>
      </c>
      <c r="C731" s="170"/>
      <c r="D731" s="170" t="s">
        <v>11</v>
      </c>
      <c r="E731" s="170" t="s">
        <v>12</v>
      </c>
      <c r="H731" s="207">
        <v>511218</v>
      </c>
      <c r="I731" s="182" t="s">
        <v>109</v>
      </c>
      <c r="J731" s="182" t="s">
        <v>3710</v>
      </c>
      <c r="K731" s="182" t="s">
        <v>3711</v>
      </c>
      <c r="L731" s="182" t="s">
        <v>15</v>
      </c>
    </row>
    <row r="732" spans="1:12">
      <c r="A732" s="170" t="s">
        <v>3712</v>
      </c>
      <c r="B732" s="170" t="s">
        <v>3713</v>
      </c>
      <c r="C732" s="170"/>
      <c r="D732" s="170" t="s">
        <v>11</v>
      </c>
      <c r="E732" s="170" t="s">
        <v>12</v>
      </c>
      <c r="H732" s="207">
        <v>504290</v>
      </c>
      <c r="I732" s="182" t="s">
        <v>109</v>
      </c>
      <c r="J732" s="182" t="s">
        <v>3714</v>
      </c>
      <c r="K732" s="182" t="s">
        <v>3715</v>
      </c>
      <c r="L732" s="182" t="s">
        <v>15</v>
      </c>
    </row>
    <row r="733" spans="1:12">
      <c r="A733" s="170" t="s">
        <v>3716</v>
      </c>
      <c r="B733" s="170" t="s">
        <v>3717</v>
      </c>
      <c r="C733" s="170"/>
      <c r="D733" s="170" t="s">
        <v>11</v>
      </c>
      <c r="E733" s="170" t="s">
        <v>12</v>
      </c>
      <c r="H733" s="207">
        <v>472561</v>
      </c>
      <c r="I733" s="182" t="s">
        <v>3718</v>
      </c>
      <c r="J733" s="182" t="s">
        <v>3719</v>
      </c>
      <c r="K733" s="182" t="s">
        <v>3720</v>
      </c>
      <c r="L733" s="182" t="s">
        <v>15</v>
      </c>
    </row>
    <row r="734" spans="1:12">
      <c r="A734" s="170" t="s">
        <v>3721</v>
      </c>
      <c r="B734" s="170" t="s">
        <v>3722</v>
      </c>
      <c r="C734" s="170"/>
      <c r="D734" s="170" t="s">
        <v>11</v>
      </c>
      <c r="E734" s="170" t="s">
        <v>12</v>
      </c>
      <c r="H734" s="207">
        <v>451932</v>
      </c>
      <c r="I734" s="182" t="s">
        <v>3723</v>
      </c>
      <c r="J734" s="182" t="s">
        <v>3724</v>
      </c>
      <c r="K734" s="182" t="s">
        <v>3725</v>
      </c>
      <c r="L734" s="182" t="s">
        <v>15</v>
      </c>
    </row>
    <row r="735" spans="1:12">
      <c r="A735" s="170" t="s">
        <v>3726</v>
      </c>
      <c r="B735" s="170" t="s">
        <v>3727</v>
      </c>
      <c r="C735" s="170"/>
      <c r="D735" s="170" t="s">
        <v>11</v>
      </c>
      <c r="E735" s="170" t="s">
        <v>12</v>
      </c>
      <c r="H735" s="207" t="s">
        <v>3728</v>
      </c>
      <c r="I735" s="182" t="s">
        <v>10</v>
      </c>
      <c r="J735" s="182" t="s">
        <v>3728</v>
      </c>
      <c r="K735" s="182" t="s">
        <v>3729</v>
      </c>
      <c r="L735" s="182" t="s">
        <v>53</v>
      </c>
    </row>
    <row r="736" spans="1:12">
      <c r="A736" s="170" t="s">
        <v>3730</v>
      </c>
      <c r="B736" s="170" t="s">
        <v>3731</v>
      </c>
      <c r="C736" s="170"/>
      <c r="D736" s="170" t="s">
        <v>11</v>
      </c>
      <c r="E736" s="170" t="s">
        <v>12</v>
      </c>
      <c r="H736" s="207">
        <v>455022</v>
      </c>
      <c r="I736" s="182" t="s">
        <v>3732</v>
      </c>
      <c r="J736" s="182" t="s">
        <v>3733</v>
      </c>
      <c r="K736" s="182"/>
      <c r="L736" s="182" t="s">
        <v>15</v>
      </c>
    </row>
    <row r="737" spans="1:12">
      <c r="A737" s="170" t="s">
        <v>3734</v>
      </c>
      <c r="B737" s="170" t="s">
        <v>3735</v>
      </c>
      <c r="C737" s="170"/>
      <c r="D737" s="170" t="s">
        <v>11</v>
      </c>
      <c r="E737" s="170" t="s">
        <v>12</v>
      </c>
      <c r="H737" s="207">
        <v>503470</v>
      </c>
      <c r="I737" s="182" t="s">
        <v>3736</v>
      </c>
      <c r="J737" s="182" t="s">
        <v>3737</v>
      </c>
      <c r="K737" s="182" t="s">
        <v>3738</v>
      </c>
      <c r="L737" s="182" t="s">
        <v>15</v>
      </c>
    </row>
    <row r="738" spans="1:12">
      <c r="A738" s="170" t="s">
        <v>3739</v>
      </c>
      <c r="B738" s="170" t="s">
        <v>3740</v>
      </c>
      <c r="C738" s="170"/>
      <c r="D738" s="170" t="s">
        <v>11</v>
      </c>
      <c r="E738" s="170" t="s">
        <v>12</v>
      </c>
      <c r="H738" s="207">
        <v>231513</v>
      </c>
      <c r="I738" s="182" t="s">
        <v>3741</v>
      </c>
      <c r="J738" s="182" t="s">
        <v>3742</v>
      </c>
      <c r="K738" s="182" t="s">
        <v>3743</v>
      </c>
      <c r="L738" s="182" t="s">
        <v>369</v>
      </c>
    </row>
    <row r="739" spans="1:12">
      <c r="A739" s="170" t="s">
        <v>3744</v>
      </c>
      <c r="B739" s="170" t="s">
        <v>3745</v>
      </c>
      <c r="C739" s="170"/>
      <c r="D739" s="170" t="s">
        <v>11</v>
      </c>
      <c r="E739" s="170" t="s">
        <v>12</v>
      </c>
      <c r="H739" s="207">
        <v>513580</v>
      </c>
      <c r="I739" s="182" t="s">
        <v>3746</v>
      </c>
      <c r="J739" s="182" t="s">
        <v>3747</v>
      </c>
      <c r="K739" s="182" t="s">
        <v>3748</v>
      </c>
      <c r="L739" s="182" t="s">
        <v>15</v>
      </c>
    </row>
    <row r="740" spans="1:12">
      <c r="A740" s="170" t="s">
        <v>3749</v>
      </c>
      <c r="B740" s="170" t="s">
        <v>3750</v>
      </c>
      <c r="C740" s="170"/>
      <c r="D740" s="170" t="s">
        <v>11</v>
      </c>
      <c r="E740" s="170" t="s">
        <v>12</v>
      </c>
      <c r="H740" s="207">
        <v>771679</v>
      </c>
      <c r="I740" s="182" t="s">
        <v>3751</v>
      </c>
      <c r="J740" s="182" t="s">
        <v>3752</v>
      </c>
      <c r="K740" s="182" t="s">
        <v>3753</v>
      </c>
      <c r="L740" s="182" t="s">
        <v>369</v>
      </c>
    </row>
    <row r="741" spans="1:12">
      <c r="A741" s="170" t="s">
        <v>3754</v>
      </c>
      <c r="B741" s="170" t="s">
        <v>3755</v>
      </c>
      <c r="C741" s="170"/>
      <c r="D741" s="170" t="s">
        <v>11</v>
      </c>
      <c r="E741" s="170" t="s">
        <v>12</v>
      </c>
      <c r="H741" s="207">
        <v>437354</v>
      </c>
      <c r="I741" s="182" t="s">
        <v>3756</v>
      </c>
      <c r="J741" s="182" t="s">
        <v>3757</v>
      </c>
      <c r="K741" s="182"/>
      <c r="L741" s="182" t="s">
        <v>15</v>
      </c>
    </row>
    <row r="742" spans="1:12">
      <c r="A742" s="170" t="s">
        <v>3758</v>
      </c>
      <c r="B742" s="170" t="s">
        <v>3759</v>
      </c>
      <c r="C742" s="170"/>
      <c r="D742" s="170" t="s">
        <v>11</v>
      </c>
      <c r="E742" s="170" t="s">
        <v>12</v>
      </c>
      <c r="H742" s="207">
        <v>500524</v>
      </c>
      <c r="I742" s="182" t="s">
        <v>3760</v>
      </c>
      <c r="J742" s="182" t="s">
        <v>3761</v>
      </c>
      <c r="K742" s="182" t="s">
        <v>3762</v>
      </c>
      <c r="L742" s="182" t="s">
        <v>15</v>
      </c>
    </row>
    <row r="743" spans="1:12">
      <c r="A743" s="170" t="s">
        <v>3763</v>
      </c>
      <c r="B743" s="170" t="s">
        <v>3764</v>
      </c>
      <c r="C743" s="170"/>
      <c r="D743" s="170" t="s">
        <v>11</v>
      </c>
      <c r="E743" s="170" t="s">
        <v>12</v>
      </c>
      <c r="H743" s="207">
        <v>476610</v>
      </c>
      <c r="I743" s="182" t="s">
        <v>3765</v>
      </c>
      <c r="J743" s="182" t="s">
        <v>3766</v>
      </c>
      <c r="K743" s="182" t="s">
        <v>3767</v>
      </c>
      <c r="L743" s="182" t="s">
        <v>15</v>
      </c>
    </row>
    <row r="744" spans="1:12">
      <c r="A744" s="170" t="s">
        <v>3768</v>
      </c>
      <c r="B744" s="170" t="s">
        <v>3769</v>
      </c>
      <c r="C744" s="170"/>
      <c r="D744" s="170" t="s">
        <v>11</v>
      </c>
      <c r="E744" s="170" t="s">
        <v>12</v>
      </c>
      <c r="H744" s="207">
        <v>464029</v>
      </c>
      <c r="I744" s="182" t="s">
        <v>3770</v>
      </c>
      <c r="J744" s="182" t="s">
        <v>3771</v>
      </c>
      <c r="K744" s="182" t="s">
        <v>3772</v>
      </c>
      <c r="L744" s="182" t="s">
        <v>15</v>
      </c>
    </row>
    <row r="745" spans="1:12">
      <c r="A745" s="170" t="s">
        <v>3773</v>
      </c>
      <c r="B745" s="170" t="s">
        <v>3774</v>
      </c>
      <c r="C745" s="170"/>
      <c r="D745" s="170" t="s">
        <v>11</v>
      </c>
      <c r="E745" s="170" t="s">
        <v>12</v>
      </c>
      <c r="H745" s="207" t="s">
        <v>3775</v>
      </c>
      <c r="I745" s="182" t="s">
        <v>10</v>
      </c>
      <c r="J745" s="182" t="s">
        <v>3775</v>
      </c>
      <c r="K745" s="182" t="s">
        <v>3776</v>
      </c>
      <c r="L745" s="182" t="s">
        <v>19</v>
      </c>
    </row>
    <row r="746" spans="1:12">
      <c r="A746" s="170" t="s">
        <v>3777</v>
      </c>
      <c r="B746" s="170" t="s">
        <v>3778</v>
      </c>
      <c r="C746" s="170"/>
      <c r="D746" s="170" t="s">
        <v>11</v>
      </c>
      <c r="E746" s="170" t="s">
        <v>12</v>
      </c>
      <c r="H746" s="207" t="s">
        <v>3779</v>
      </c>
      <c r="I746" s="182" t="s">
        <v>10</v>
      </c>
      <c r="J746" s="182" t="s">
        <v>3779</v>
      </c>
      <c r="K746" s="182" t="s">
        <v>3780</v>
      </c>
      <c r="L746" s="182" t="s">
        <v>19</v>
      </c>
    </row>
    <row r="747" spans="1:12">
      <c r="A747" s="170" t="s">
        <v>3781</v>
      </c>
      <c r="B747" s="170" t="s">
        <v>3782</v>
      </c>
      <c r="C747" s="170"/>
      <c r="D747" s="170" t="s">
        <v>11</v>
      </c>
      <c r="E747" s="170" t="s">
        <v>12</v>
      </c>
      <c r="H747" s="207" t="s">
        <v>3783</v>
      </c>
      <c r="I747" s="182" t="s">
        <v>10</v>
      </c>
      <c r="J747" s="182" t="s">
        <v>3783</v>
      </c>
      <c r="K747" s="182" t="s">
        <v>3784</v>
      </c>
      <c r="L747" s="182" t="s">
        <v>19</v>
      </c>
    </row>
    <row r="748" spans="1:12">
      <c r="A748" s="170" t="s">
        <v>3785</v>
      </c>
      <c r="B748" s="170" t="s">
        <v>3786</v>
      </c>
      <c r="C748" s="170"/>
      <c r="D748" s="170" t="s">
        <v>11</v>
      </c>
      <c r="E748" s="170" t="s">
        <v>12</v>
      </c>
      <c r="H748" s="207">
        <v>492041</v>
      </c>
      <c r="I748" s="182" t="s">
        <v>3787</v>
      </c>
      <c r="J748" s="182" t="s">
        <v>3788</v>
      </c>
      <c r="K748" s="182"/>
      <c r="L748" s="182" t="s">
        <v>15</v>
      </c>
    </row>
    <row r="749" spans="1:12">
      <c r="A749" s="170" t="s">
        <v>3789</v>
      </c>
      <c r="B749" s="170" t="s">
        <v>3790</v>
      </c>
      <c r="C749" s="170"/>
      <c r="D749" s="170" t="s">
        <v>11</v>
      </c>
      <c r="E749" s="170" t="s">
        <v>12</v>
      </c>
      <c r="H749" s="207" t="s">
        <v>3791</v>
      </c>
      <c r="I749" s="182" t="s">
        <v>10</v>
      </c>
      <c r="J749" s="182" t="s">
        <v>3791</v>
      </c>
      <c r="K749" s="182" t="s">
        <v>3792</v>
      </c>
      <c r="L749" s="182" t="s">
        <v>53</v>
      </c>
    </row>
    <row r="750" spans="1:12">
      <c r="A750" s="170" t="s">
        <v>3793</v>
      </c>
      <c r="B750" s="170" t="s">
        <v>3794</v>
      </c>
      <c r="C750" s="170"/>
      <c r="D750" s="170" t="s">
        <v>11</v>
      </c>
      <c r="E750" s="170" t="s">
        <v>12</v>
      </c>
      <c r="H750" s="207" t="s">
        <v>3795</v>
      </c>
      <c r="I750" s="182" t="s">
        <v>10</v>
      </c>
      <c r="J750" s="182" t="s">
        <v>3795</v>
      </c>
      <c r="K750" s="182" t="s">
        <v>3796</v>
      </c>
      <c r="L750" s="182" t="s">
        <v>53</v>
      </c>
    </row>
    <row r="751" spans="1:12">
      <c r="A751" s="170" t="s">
        <v>3797</v>
      </c>
      <c r="B751" s="170" t="s">
        <v>3798</v>
      </c>
      <c r="C751" s="170"/>
      <c r="D751" s="170" t="s">
        <v>11</v>
      </c>
      <c r="E751" s="170" t="s">
        <v>12</v>
      </c>
      <c r="H751" s="207">
        <v>199791</v>
      </c>
      <c r="I751" s="182" t="s">
        <v>3799</v>
      </c>
      <c r="J751" s="182" t="s">
        <v>3800</v>
      </c>
      <c r="K751" s="182" t="s">
        <v>3801</v>
      </c>
      <c r="L751" s="182" t="s">
        <v>15</v>
      </c>
    </row>
    <row r="752" spans="1:12">
      <c r="A752" s="170" t="s">
        <v>3802</v>
      </c>
      <c r="B752" s="170" t="s">
        <v>3803</v>
      </c>
      <c r="C752" s="170"/>
      <c r="D752" s="170" t="s">
        <v>11</v>
      </c>
      <c r="E752" s="170" t="s">
        <v>12</v>
      </c>
      <c r="H752" s="207" t="s">
        <v>3804</v>
      </c>
      <c r="I752" s="182" t="s">
        <v>10</v>
      </c>
      <c r="J752" s="182" t="s">
        <v>3804</v>
      </c>
      <c r="K752" s="182" t="s">
        <v>3805</v>
      </c>
      <c r="L752" s="182" t="s">
        <v>53</v>
      </c>
    </row>
    <row r="753" spans="1:12">
      <c r="A753" s="170" t="s">
        <v>3806</v>
      </c>
      <c r="B753" s="170" t="s">
        <v>3807</v>
      </c>
      <c r="C753" s="192" t="s">
        <v>3808</v>
      </c>
      <c r="D753" s="170" t="s">
        <v>11</v>
      </c>
      <c r="E753" s="170" t="s">
        <v>12</v>
      </c>
      <c r="H753" s="207">
        <v>496669</v>
      </c>
      <c r="I753" s="182" t="s">
        <v>3809</v>
      </c>
      <c r="J753" s="182" t="s">
        <v>3810</v>
      </c>
      <c r="K753" s="182"/>
      <c r="L753" s="182" t="s">
        <v>15</v>
      </c>
    </row>
    <row r="754" spans="1:12">
      <c r="A754" s="170" t="s">
        <v>3811</v>
      </c>
      <c r="B754" s="170" t="s">
        <v>3812</v>
      </c>
      <c r="C754" s="170"/>
      <c r="D754" s="170" t="s">
        <v>11</v>
      </c>
      <c r="E754" s="170" t="s">
        <v>12</v>
      </c>
      <c r="H754" s="207">
        <v>492513</v>
      </c>
      <c r="I754" s="182" t="s">
        <v>3813</v>
      </c>
      <c r="J754" s="182" t="s">
        <v>3814</v>
      </c>
      <c r="K754" s="182" t="s">
        <v>3815</v>
      </c>
      <c r="L754" s="182" t="s">
        <v>15</v>
      </c>
    </row>
    <row r="755" spans="1:12">
      <c r="A755" s="170" t="s">
        <v>3816</v>
      </c>
      <c r="B755" s="170" t="s">
        <v>3817</v>
      </c>
      <c r="C755" s="170"/>
      <c r="D755" s="170" t="s">
        <v>11</v>
      </c>
      <c r="E755" s="170" t="s">
        <v>12</v>
      </c>
      <c r="H755" s="207">
        <v>472052</v>
      </c>
      <c r="I755" s="182" t="s">
        <v>3818</v>
      </c>
      <c r="J755" s="182" t="s">
        <v>3819</v>
      </c>
      <c r="K755" s="182" t="s">
        <v>3820</v>
      </c>
      <c r="L755" s="182" t="s">
        <v>15</v>
      </c>
    </row>
    <row r="756" spans="1:12">
      <c r="A756" s="170" t="s">
        <v>3821</v>
      </c>
      <c r="B756" s="170" t="s">
        <v>3822</v>
      </c>
      <c r="C756" s="170"/>
      <c r="D756" s="170" t="s">
        <v>11</v>
      </c>
      <c r="E756" s="170" t="s">
        <v>12</v>
      </c>
      <c r="H756" s="207">
        <v>469831</v>
      </c>
      <c r="I756" s="182" t="s">
        <v>3823</v>
      </c>
      <c r="J756" s="182" t="s">
        <v>3824</v>
      </c>
      <c r="K756" s="182" t="s">
        <v>3825</v>
      </c>
      <c r="L756" s="182" t="s">
        <v>15</v>
      </c>
    </row>
    <row r="757" spans="1:12">
      <c r="A757" s="170" t="s">
        <v>3826</v>
      </c>
      <c r="B757" s="170" t="s">
        <v>3827</v>
      </c>
      <c r="C757" s="192" t="s">
        <v>3828</v>
      </c>
      <c r="D757" s="170" t="s">
        <v>11</v>
      </c>
      <c r="E757" s="170" t="s">
        <v>12</v>
      </c>
      <c r="H757" s="207">
        <v>486332</v>
      </c>
      <c r="I757" s="182" t="s">
        <v>3829</v>
      </c>
      <c r="J757" s="182" t="s">
        <v>3830</v>
      </c>
      <c r="K757" s="182" t="s">
        <v>3831</v>
      </c>
      <c r="L757" s="182" t="s">
        <v>15</v>
      </c>
    </row>
    <row r="758" spans="1:12">
      <c r="A758" s="170" t="s">
        <v>3832</v>
      </c>
      <c r="B758" s="170" t="s">
        <v>3833</v>
      </c>
      <c r="C758" s="192" t="s">
        <v>3834</v>
      </c>
      <c r="D758" s="170" t="s">
        <v>11</v>
      </c>
      <c r="E758" s="170" t="s">
        <v>12</v>
      </c>
      <c r="H758" s="207">
        <v>492323</v>
      </c>
      <c r="I758" s="182" t="s">
        <v>3835</v>
      </c>
      <c r="J758" s="182" t="s">
        <v>3836</v>
      </c>
      <c r="K758" s="182" t="s">
        <v>3837</v>
      </c>
      <c r="L758" s="182" t="s">
        <v>15</v>
      </c>
    </row>
    <row r="759" spans="1:12">
      <c r="A759" s="170" t="s">
        <v>3838</v>
      </c>
      <c r="B759" s="170" t="s">
        <v>3839</v>
      </c>
      <c r="C759" s="170"/>
      <c r="D759" s="170" t="s">
        <v>11</v>
      </c>
      <c r="E759" s="170" t="s">
        <v>12</v>
      </c>
      <c r="H759" s="207" t="s">
        <v>3840</v>
      </c>
      <c r="I759" s="182" t="s">
        <v>10</v>
      </c>
      <c r="J759" s="182" t="s">
        <v>3840</v>
      </c>
      <c r="K759" s="182" t="s">
        <v>3841</v>
      </c>
      <c r="L759" s="182" t="s">
        <v>53</v>
      </c>
    </row>
    <row r="760" spans="1:12">
      <c r="A760" s="170" t="s">
        <v>3842</v>
      </c>
      <c r="B760" s="170" t="s">
        <v>3843</v>
      </c>
      <c r="C760" s="170"/>
      <c r="D760" s="170" t="s">
        <v>11</v>
      </c>
      <c r="E760" s="170" t="s">
        <v>12</v>
      </c>
      <c r="H760" s="207">
        <v>311577</v>
      </c>
      <c r="I760" s="182" t="s">
        <v>3844</v>
      </c>
      <c r="J760" s="182" t="s">
        <v>3845</v>
      </c>
      <c r="K760" s="182" t="s">
        <v>3846</v>
      </c>
      <c r="L760" s="182" t="s">
        <v>15</v>
      </c>
    </row>
    <row r="761" spans="1:12">
      <c r="A761" s="170" t="s">
        <v>3847</v>
      </c>
      <c r="B761" s="170" t="s">
        <v>3848</v>
      </c>
      <c r="C761" s="192" t="s">
        <v>3849</v>
      </c>
      <c r="D761" s="170" t="s">
        <v>11</v>
      </c>
      <c r="E761" s="170" t="s">
        <v>12</v>
      </c>
      <c r="H761" s="207">
        <v>477465</v>
      </c>
      <c r="I761" s="182" t="s">
        <v>3850</v>
      </c>
      <c r="J761" s="182" t="s">
        <v>3851</v>
      </c>
      <c r="K761" s="182" t="s">
        <v>3852</v>
      </c>
      <c r="L761" s="182" t="s">
        <v>15</v>
      </c>
    </row>
    <row r="762" spans="1:12">
      <c r="A762" s="170" t="s">
        <v>3853</v>
      </c>
      <c r="B762" s="170" t="s">
        <v>3854</v>
      </c>
      <c r="C762" s="192" t="s">
        <v>3855</v>
      </c>
      <c r="D762" s="170" t="s">
        <v>11</v>
      </c>
      <c r="E762" s="170" t="s">
        <v>12</v>
      </c>
      <c r="H762" s="207" t="s">
        <v>3856</v>
      </c>
      <c r="I762" s="182" t="s">
        <v>10</v>
      </c>
      <c r="J762" s="182" t="s">
        <v>3856</v>
      </c>
      <c r="K762" s="182" t="s">
        <v>3857</v>
      </c>
      <c r="L762" s="182" t="s">
        <v>19</v>
      </c>
    </row>
    <row r="763" spans="1:12">
      <c r="A763" s="170" t="s">
        <v>3858</v>
      </c>
      <c r="B763" s="170" t="s">
        <v>3859</v>
      </c>
      <c r="C763" s="170"/>
      <c r="D763" s="170" t="s">
        <v>11</v>
      </c>
      <c r="E763" s="170" t="s">
        <v>12</v>
      </c>
      <c r="H763" s="207" t="s">
        <v>3860</v>
      </c>
      <c r="I763" s="182" t="s">
        <v>10</v>
      </c>
      <c r="J763" s="182" t="s">
        <v>3860</v>
      </c>
      <c r="K763" s="182" t="s">
        <v>3861</v>
      </c>
      <c r="L763" s="182" t="s">
        <v>19</v>
      </c>
    </row>
    <row r="764" spans="1:12">
      <c r="A764" s="170" t="s">
        <v>3862</v>
      </c>
      <c r="B764" s="170" t="s">
        <v>3863</v>
      </c>
      <c r="C764" s="170"/>
      <c r="D764" s="170" t="s">
        <v>11</v>
      </c>
      <c r="E764" s="170" t="s">
        <v>12</v>
      </c>
      <c r="H764" s="207">
        <v>427758</v>
      </c>
      <c r="I764" s="182" t="s">
        <v>3864</v>
      </c>
      <c r="J764" s="182" t="s">
        <v>3865</v>
      </c>
      <c r="K764" s="182" t="s">
        <v>3866</v>
      </c>
      <c r="L764" s="182" t="s">
        <v>15</v>
      </c>
    </row>
    <row r="765" spans="1:12">
      <c r="A765" s="170" t="s">
        <v>3867</v>
      </c>
      <c r="B765" s="170" t="s">
        <v>3868</v>
      </c>
      <c r="C765" s="192" t="s">
        <v>3869</v>
      </c>
      <c r="D765" s="170" t="s">
        <v>11</v>
      </c>
      <c r="E765" s="170" t="s">
        <v>12</v>
      </c>
      <c r="H765" s="207">
        <v>478585</v>
      </c>
      <c r="I765" s="182" t="s">
        <v>3870</v>
      </c>
      <c r="J765" s="182" t="s">
        <v>3871</v>
      </c>
      <c r="K765" s="182"/>
      <c r="L765" s="182" t="s">
        <v>15</v>
      </c>
    </row>
    <row r="766" spans="1:12">
      <c r="A766" s="170" t="s">
        <v>3872</v>
      </c>
      <c r="B766" s="170" t="s">
        <v>3873</v>
      </c>
      <c r="C766" s="192" t="s">
        <v>3874</v>
      </c>
      <c r="D766" s="170" t="s">
        <v>11</v>
      </c>
      <c r="E766" s="170" t="s">
        <v>12</v>
      </c>
      <c r="H766" s="207">
        <v>918691</v>
      </c>
      <c r="I766" s="182" t="s">
        <v>3875</v>
      </c>
      <c r="J766" s="182" t="s">
        <v>3876</v>
      </c>
      <c r="K766" s="182" t="s">
        <v>3877</v>
      </c>
      <c r="L766" s="182" t="s">
        <v>15</v>
      </c>
    </row>
    <row r="767" spans="1:12">
      <c r="A767" s="170" t="s">
        <v>3878</v>
      </c>
      <c r="B767" s="170" t="s">
        <v>3879</v>
      </c>
      <c r="C767" s="170"/>
      <c r="D767" s="170" t="s">
        <v>11</v>
      </c>
      <c r="E767" s="170" t="s">
        <v>12</v>
      </c>
      <c r="H767" s="207" t="s">
        <v>3880</v>
      </c>
      <c r="I767" s="182" t="s">
        <v>10</v>
      </c>
      <c r="J767" s="182" t="s">
        <v>3880</v>
      </c>
      <c r="K767" s="182" t="s">
        <v>3881</v>
      </c>
      <c r="L767" s="182" t="s">
        <v>53</v>
      </c>
    </row>
    <row r="768" spans="1:12">
      <c r="A768" s="170" t="s">
        <v>3882</v>
      </c>
      <c r="B768" s="170" t="s">
        <v>3883</v>
      </c>
      <c r="C768" s="170"/>
      <c r="D768" s="170" t="s">
        <v>11</v>
      </c>
      <c r="E768" s="170" t="s">
        <v>12</v>
      </c>
      <c r="H768" s="207">
        <v>373728</v>
      </c>
      <c r="I768" s="182" t="s">
        <v>3884</v>
      </c>
      <c r="J768" s="182" t="s">
        <v>3885</v>
      </c>
      <c r="K768" s="182" t="s">
        <v>3886</v>
      </c>
      <c r="L768" s="182" t="s">
        <v>369</v>
      </c>
    </row>
    <row r="769" spans="1:12">
      <c r="A769" s="170" t="s">
        <v>3887</v>
      </c>
      <c r="B769" s="170" t="s">
        <v>3888</v>
      </c>
      <c r="C769" s="192" t="s">
        <v>3889</v>
      </c>
      <c r="D769" s="170" t="s">
        <v>11</v>
      </c>
      <c r="E769" s="170" t="s">
        <v>12</v>
      </c>
      <c r="H769" s="207">
        <v>478576</v>
      </c>
      <c r="I769" s="182" t="s">
        <v>3890</v>
      </c>
      <c r="J769" s="182" t="s">
        <v>3891</v>
      </c>
      <c r="K769" s="182"/>
      <c r="L769" s="182" t="s">
        <v>15</v>
      </c>
    </row>
    <row r="770" spans="1:12">
      <c r="A770" s="170" t="s">
        <v>3892</v>
      </c>
      <c r="B770" s="170" t="s">
        <v>3893</v>
      </c>
      <c r="C770" s="192" t="s">
        <v>3894</v>
      </c>
      <c r="D770" s="170" t="s">
        <v>11</v>
      </c>
      <c r="E770" s="170" t="s">
        <v>12</v>
      </c>
      <c r="H770" s="207">
        <v>509928</v>
      </c>
      <c r="I770" s="182" t="s">
        <v>3895</v>
      </c>
      <c r="J770" s="182" t="s">
        <v>3896</v>
      </c>
      <c r="K770" s="182" t="s">
        <v>3897</v>
      </c>
      <c r="L770" s="182" t="s">
        <v>15</v>
      </c>
    </row>
    <row r="771" spans="1:12">
      <c r="A771" s="170" t="s">
        <v>3898</v>
      </c>
      <c r="B771" s="170" t="s">
        <v>3899</v>
      </c>
      <c r="C771" s="170"/>
      <c r="D771" s="170" t="s">
        <v>11</v>
      </c>
      <c r="E771" s="170" t="s">
        <v>12</v>
      </c>
      <c r="H771" s="207" t="s">
        <v>3900</v>
      </c>
      <c r="I771" s="182" t="s">
        <v>10</v>
      </c>
      <c r="J771" s="182" t="s">
        <v>3900</v>
      </c>
      <c r="K771" s="182" t="s">
        <v>3901</v>
      </c>
      <c r="L771" s="182" t="s">
        <v>19</v>
      </c>
    </row>
    <row r="772" spans="1:12">
      <c r="A772" s="170" t="s">
        <v>3902</v>
      </c>
      <c r="B772" s="170" t="s">
        <v>3903</v>
      </c>
      <c r="C772" s="170"/>
      <c r="D772" s="170" t="s">
        <v>11</v>
      </c>
      <c r="E772" s="170" t="s">
        <v>12</v>
      </c>
      <c r="H772" s="207">
        <v>481063</v>
      </c>
      <c r="I772" s="182" t="s">
        <v>3904</v>
      </c>
      <c r="J772" s="182" t="s">
        <v>3905</v>
      </c>
      <c r="K772" s="182" t="s">
        <v>3906</v>
      </c>
      <c r="L772" s="182" t="s">
        <v>15</v>
      </c>
    </row>
    <row r="773" spans="1:12">
      <c r="A773" s="170" t="s">
        <v>3907</v>
      </c>
      <c r="B773" s="170" t="s">
        <v>3908</v>
      </c>
      <c r="C773" s="192"/>
      <c r="D773" s="170" t="s">
        <v>11</v>
      </c>
      <c r="E773" s="170" t="s">
        <v>12</v>
      </c>
      <c r="H773" s="207">
        <v>447137</v>
      </c>
      <c r="I773" s="182" t="s">
        <v>3909</v>
      </c>
      <c r="J773" s="182" t="s">
        <v>3910</v>
      </c>
      <c r="K773" s="182" t="s">
        <v>3911</v>
      </c>
      <c r="L773" s="182" t="s">
        <v>15</v>
      </c>
    </row>
    <row r="774" spans="1:12">
      <c r="A774" s="170" t="s">
        <v>3912</v>
      </c>
      <c r="B774" s="170" t="s">
        <v>3913</v>
      </c>
      <c r="C774" s="170"/>
      <c r="D774" s="170" t="s">
        <v>11</v>
      </c>
      <c r="E774" s="170" t="s">
        <v>12</v>
      </c>
      <c r="H774" s="207">
        <v>434562</v>
      </c>
      <c r="I774" s="182" t="s">
        <v>3914</v>
      </c>
      <c r="J774" s="182" t="s">
        <v>3915</v>
      </c>
      <c r="K774" s="182" t="s">
        <v>3916</v>
      </c>
      <c r="L774" s="182" t="s">
        <v>15</v>
      </c>
    </row>
    <row r="775" spans="1:12">
      <c r="A775" s="170" t="s">
        <v>3917</v>
      </c>
      <c r="B775" s="170" t="s">
        <v>3918</v>
      </c>
      <c r="C775" s="170"/>
      <c r="D775" s="170" t="s">
        <v>11</v>
      </c>
      <c r="E775" s="170" t="s">
        <v>12</v>
      </c>
      <c r="H775" s="207">
        <v>476484</v>
      </c>
      <c r="I775" s="182" t="s">
        <v>3919</v>
      </c>
      <c r="J775" s="182" t="s">
        <v>3920</v>
      </c>
      <c r="K775" s="182" t="s">
        <v>3921</v>
      </c>
      <c r="L775" s="182" t="s">
        <v>15</v>
      </c>
    </row>
    <row r="776" spans="1:12">
      <c r="A776" s="170" t="s">
        <v>3922</v>
      </c>
      <c r="B776" s="170" t="s">
        <v>3923</v>
      </c>
      <c r="C776" s="170"/>
      <c r="D776" s="170" t="s">
        <v>11</v>
      </c>
      <c r="E776" s="170" t="s">
        <v>12</v>
      </c>
      <c r="H776" s="207">
        <v>519045</v>
      </c>
      <c r="I776" s="182" t="s">
        <v>3924</v>
      </c>
      <c r="J776" s="182" t="s">
        <v>3925</v>
      </c>
      <c r="K776" s="182"/>
      <c r="L776" s="182" t="s">
        <v>15</v>
      </c>
    </row>
    <row r="777" spans="1:12">
      <c r="A777" s="170" t="s">
        <v>3926</v>
      </c>
      <c r="B777" s="170" t="s">
        <v>3927</v>
      </c>
      <c r="C777" s="170"/>
      <c r="D777" s="170" t="s">
        <v>11</v>
      </c>
      <c r="E777" s="170" t="s">
        <v>12</v>
      </c>
      <c r="H777" s="207" t="s">
        <v>3928</v>
      </c>
      <c r="I777" s="182" t="s">
        <v>10</v>
      </c>
      <c r="J777" s="182" t="s">
        <v>3928</v>
      </c>
      <c r="K777" s="182" t="s">
        <v>3929</v>
      </c>
      <c r="L777" s="182" t="s">
        <v>53</v>
      </c>
    </row>
    <row r="778" spans="1:12">
      <c r="A778" s="170" t="s">
        <v>3930</v>
      </c>
      <c r="B778" s="170" t="s">
        <v>3931</v>
      </c>
      <c r="C778" s="170"/>
      <c r="D778" s="170" t="s">
        <v>11</v>
      </c>
      <c r="E778" s="170" t="s">
        <v>12</v>
      </c>
      <c r="H778" s="207">
        <v>342550</v>
      </c>
      <c r="I778" s="182" t="s">
        <v>3932</v>
      </c>
      <c r="J778" s="182" t="s">
        <v>3933</v>
      </c>
      <c r="K778" s="182"/>
      <c r="L778" s="182" t="s">
        <v>15</v>
      </c>
    </row>
    <row r="779" spans="1:12">
      <c r="A779" s="170" t="s">
        <v>3934</v>
      </c>
      <c r="B779" s="170" t="s">
        <v>3935</v>
      </c>
      <c r="C779" s="170"/>
      <c r="D779" s="170" t="s">
        <v>11</v>
      </c>
      <c r="E779" s="170" t="s">
        <v>12</v>
      </c>
      <c r="H779" s="207">
        <v>450600</v>
      </c>
      <c r="I779" s="182" t="s">
        <v>3936</v>
      </c>
      <c r="J779" s="182" t="s">
        <v>3937</v>
      </c>
      <c r="K779" s="182" t="s">
        <v>3938</v>
      </c>
      <c r="L779" s="182" t="s">
        <v>15</v>
      </c>
    </row>
    <row r="780" spans="1:12">
      <c r="A780" s="170" t="s">
        <v>3939</v>
      </c>
      <c r="B780" s="170" t="s">
        <v>3940</v>
      </c>
      <c r="C780" s="170"/>
      <c r="D780" s="170" t="s">
        <v>11</v>
      </c>
      <c r="E780" s="170" t="s">
        <v>12</v>
      </c>
      <c r="H780" s="207">
        <v>467551</v>
      </c>
      <c r="I780" s="182" t="s">
        <v>3941</v>
      </c>
      <c r="J780" s="182" t="s">
        <v>3942</v>
      </c>
      <c r="K780" s="182"/>
      <c r="L780" s="182" t="s">
        <v>15</v>
      </c>
    </row>
    <row r="781" spans="1:12">
      <c r="A781" s="170" t="s">
        <v>3943</v>
      </c>
      <c r="B781" s="170" t="s">
        <v>3944</v>
      </c>
      <c r="C781" s="170"/>
      <c r="D781" s="170" t="s">
        <v>11</v>
      </c>
      <c r="E781" s="170" t="s">
        <v>12</v>
      </c>
      <c r="H781" s="207">
        <v>509191</v>
      </c>
      <c r="I781" s="182" t="s">
        <v>3945</v>
      </c>
      <c r="J781" s="182" t="s">
        <v>3946</v>
      </c>
      <c r="K781" s="182" t="s">
        <v>3947</v>
      </c>
      <c r="L781" s="182" t="s">
        <v>15</v>
      </c>
    </row>
    <row r="782" spans="1:12">
      <c r="A782" s="170" t="s">
        <v>3948</v>
      </c>
      <c r="B782" s="170" t="s">
        <v>3949</v>
      </c>
      <c r="C782" s="170"/>
      <c r="D782" s="170" t="s">
        <v>11</v>
      </c>
      <c r="E782" s="170" t="s">
        <v>12</v>
      </c>
      <c r="H782" s="207">
        <v>411727</v>
      </c>
      <c r="I782" s="182" t="s">
        <v>3950</v>
      </c>
      <c r="J782" s="182" t="s">
        <v>3951</v>
      </c>
      <c r="K782" s="182" t="s">
        <v>3952</v>
      </c>
      <c r="L782" s="182" t="s">
        <v>15</v>
      </c>
    </row>
    <row r="783" spans="1:12">
      <c r="A783" s="170" t="s">
        <v>3953</v>
      </c>
      <c r="B783" s="170" t="s">
        <v>3954</v>
      </c>
      <c r="C783" s="170"/>
      <c r="D783" s="170" t="s">
        <v>11</v>
      </c>
      <c r="E783" s="170" t="s">
        <v>12</v>
      </c>
      <c r="H783" s="207">
        <v>501105</v>
      </c>
      <c r="I783" s="182" t="s">
        <v>3955</v>
      </c>
      <c r="J783" s="182" t="s">
        <v>3956</v>
      </c>
      <c r="K783" s="182" t="s">
        <v>3957</v>
      </c>
      <c r="L783" s="182" t="s">
        <v>15</v>
      </c>
    </row>
    <row r="784" spans="1:12">
      <c r="A784" s="170" t="s">
        <v>3958</v>
      </c>
      <c r="B784" s="170" t="s">
        <v>3959</v>
      </c>
      <c r="C784" s="170"/>
      <c r="D784" s="170" t="s">
        <v>11</v>
      </c>
      <c r="E784" s="170" t="s">
        <v>12</v>
      </c>
      <c r="H784" s="207">
        <v>497138</v>
      </c>
      <c r="I784" s="182" t="s">
        <v>3960</v>
      </c>
      <c r="J784" s="182" t="s">
        <v>3961</v>
      </c>
      <c r="K784" s="182" t="s">
        <v>3962</v>
      </c>
      <c r="L784" s="182" t="s">
        <v>15</v>
      </c>
    </row>
    <row r="785" spans="1:12">
      <c r="A785" s="170" t="s">
        <v>3963</v>
      </c>
      <c r="B785" s="170" t="s">
        <v>3964</v>
      </c>
      <c r="C785" s="170"/>
      <c r="D785" s="170" t="s">
        <v>11</v>
      </c>
      <c r="E785" s="170" t="s">
        <v>12</v>
      </c>
      <c r="H785" s="207" t="s">
        <v>3965</v>
      </c>
      <c r="I785" s="182" t="s">
        <v>10</v>
      </c>
      <c r="J785" s="182" t="s">
        <v>3965</v>
      </c>
      <c r="K785" s="182" t="s">
        <v>3966</v>
      </c>
      <c r="L785" s="182" t="s">
        <v>53</v>
      </c>
    </row>
    <row r="786" spans="1:12">
      <c r="A786" s="170" t="s">
        <v>3967</v>
      </c>
      <c r="B786" s="170" t="s">
        <v>3968</v>
      </c>
      <c r="C786" s="170"/>
      <c r="D786" s="170" t="s">
        <v>11</v>
      </c>
      <c r="E786" s="170" t="s">
        <v>12</v>
      </c>
      <c r="H786" s="207">
        <v>464693</v>
      </c>
      <c r="I786" s="182" t="s">
        <v>3969</v>
      </c>
      <c r="J786" s="182" t="s">
        <v>3970</v>
      </c>
      <c r="K786" s="182" t="s">
        <v>3971</v>
      </c>
      <c r="L786" s="182" t="s">
        <v>15</v>
      </c>
    </row>
    <row r="787" spans="1:12">
      <c r="A787" s="170" t="s">
        <v>3972</v>
      </c>
      <c r="B787" s="170" t="s">
        <v>3973</v>
      </c>
      <c r="C787" s="170"/>
      <c r="D787" s="170" t="s">
        <v>11</v>
      </c>
      <c r="E787" s="170" t="s">
        <v>12</v>
      </c>
      <c r="H787" s="207">
        <v>493142</v>
      </c>
      <c r="I787" s="182" t="s">
        <v>3974</v>
      </c>
      <c r="J787" s="182" t="s">
        <v>3975</v>
      </c>
      <c r="K787" s="182" t="s">
        <v>3976</v>
      </c>
      <c r="L787" s="182" t="s">
        <v>15</v>
      </c>
    </row>
    <row r="788" spans="1:12">
      <c r="A788" s="170" t="s">
        <v>3977</v>
      </c>
      <c r="B788" s="170" t="s">
        <v>3978</v>
      </c>
      <c r="C788" s="170"/>
      <c r="D788" s="170" t="s">
        <v>11</v>
      </c>
      <c r="E788" s="170" t="s">
        <v>12</v>
      </c>
      <c r="H788" s="207" t="s">
        <v>3979</v>
      </c>
      <c r="I788" s="182" t="s">
        <v>10</v>
      </c>
      <c r="J788" s="182" t="s">
        <v>3979</v>
      </c>
      <c r="K788" s="182" t="s">
        <v>3980</v>
      </c>
      <c r="L788" s="182" t="s">
        <v>19</v>
      </c>
    </row>
    <row r="789" spans="1:12">
      <c r="A789" s="170" t="s">
        <v>3577</v>
      </c>
      <c r="B789" s="170" t="s">
        <v>3578</v>
      </c>
      <c r="C789" s="188" t="s">
        <v>3579</v>
      </c>
      <c r="D789" s="170" t="s">
        <v>11</v>
      </c>
      <c r="E789" s="170" t="s">
        <v>12</v>
      </c>
      <c r="H789" s="207">
        <v>509390</v>
      </c>
      <c r="I789" s="182" t="s">
        <v>3981</v>
      </c>
      <c r="J789" s="182" t="s">
        <v>3982</v>
      </c>
      <c r="K789" s="182" t="s">
        <v>3983</v>
      </c>
      <c r="L789" s="182" t="s">
        <v>15</v>
      </c>
    </row>
    <row r="790" spans="1:12">
      <c r="A790" s="170" t="s">
        <v>3984</v>
      </c>
      <c r="B790" s="170" t="s">
        <v>3985</v>
      </c>
      <c r="C790" s="170"/>
      <c r="D790" s="170" t="s">
        <v>11</v>
      </c>
      <c r="E790" s="170" t="s">
        <v>12</v>
      </c>
      <c r="H790" s="207">
        <v>443646</v>
      </c>
      <c r="I790" s="182" t="s">
        <v>3986</v>
      </c>
      <c r="J790" s="182" t="s">
        <v>3987</v>
      </c>
      <c r="K790" s="182"/>
      <c r="L790" s="182" t="s">
        <v>15</v>
      </c>
    </row>
    <row r="791" spans="1:12">
      <c r="A791" s="170" t="s">
        <v>3988</v>
      </c>
      <c r="B791" s="170" t="s">
        <v>3989</v>
      </c>
      <c r="C791" s="170"/>
      <c r="D791" s="170" t="s">
        <v>11</v>
      </c>
      <c r="E791" s="170" t="s">
        <v>12</v>
      </c>
      <c r="H791" s="207" t="s">
        <v>3990</v>
      </c>
      <c r="I791" s="182" t="s">
        <v>10</v>
      </c>
      <c r="J791" s="182" t="s">
        <v>3990</v>
      </c>
      <c r="K791" s="182" t="s">
        <v>3991</v>
      </c>
      <c r="L791" s="182" t="s">
        <v>19</v>
      </c>
    </row>
    <row r="792" spans="1:12">
      <c r="A792" s="170" t="s">
        <v>3992</v>
      </c>
      <c r="B792" s="170" t="s">
        <v>3993</v>
      </c>
      <c r="C792" s="170"/>
      <c r="D792" s="170" t="s">
        <v>11</v>
      </c>
      <c r="E792" s="170" t="s">
        <v>12</v>
      </c>
      <c r="H792" s="207" t="s">
        <v>3994</v>
      </c>
      <c r="I792" s="182" t="s">
        <v>10</v>
      </c>
      <c r="J792" s="182" t="s">
        <v>3994</v>
      </c>
      <c r="K792" s="182" t="s">
        <v>3995</v>
      </c>
      <c r="L792" s="182" t="s">
        <v>19</v>
      </c>
    </row>
    <row r="793" spans="1:12">
      <c r="A793" s="170" t="s">
        <v>3587</v>
      </c>
      <c r="B793" s="170" t="s">
        <v>3996</v>
      </c>
      <c r="C793" s="188" t="s">
        <v>3997</v>
      </c>
      <c r="D793" s="170" t="s">
        <v>11</v>
      </c>
      <c r="E793" s="170" t="s">
        <v>12</v>
      </c>
      <c r="H793" s="207">
        <v>485740</v>
      </c>
      <c r="I793" s="182" t="s">
        <v>3998</v>
      </c>
      <c r="J793" s="182" t="s">
        <v>3999</v>
      </c>
      <c r="K793" s="182" t="s">
        <v>4000</v>
      </c>
      <c r="L793" s="182" t="s">
        <v>15</v>
      </c>
    </row>
    <row r="794" spans="1:12">
      <c r="A794" s="170" t="s">
        <v>4001</v>
      </c>
      <c r="B794" s="170" t="s">
        <v>4002</v>
      </c>
      <c r="C794" s="170"/>
      <c r="D794" s="170" t="s">
        <v>11</v>
      </c>
      <c r="E794" s="170" t="s">
        <v>12</v>
      </c>
      <c r="H794" s="207">
        <v>505372</v>
      </c>
      <c r="I794" s="182" t="s">
        <v>4003</v>
      </c>
      <c r="J794" s="182" t="s">
        <v>4004</v>
      </c>
      <c r="K794" s="182" t="s">
        <v>4005</v>
      </c>
      <c r="L794" s="182" t="s">
        <v>15</v>
      </c>
    </row>
    <row r="795" spans="1:12">
      <c r="A795" s="170" t="s">
        <v>4006</v>
      </c>
      <c r="B795" s="170" t="s">
        <v>4007</v>
      </c>
      <c r="C795" s="170"/>
      <c r="D795" s="170" t="s">
        <v>11</v>
      </c>
      <c r="E795" s="170" t="s">
        <v>12</v>
      </c>
      <c r="H795" s="207">
        <v>469819</v>
      </c>
      <c r="I795" s="182" t="s">
        <v>4008</v>
      </c>
      <c r="J795" s="182" t="s">
        <v>4009</v>
      </c>
      <c r="K795" s="182" t="s">
        <v>4010</v>
      </c>
      <c r="L795" s="182" t="s">
        <v>15</v>
      </c>
    </row>
    <row r="796" spans="1:12">
      <c r="A796" s="170" t="s">
        <v>4011</v>
      </c>
      <c r="B796" s="170" t="s">
        <v>4012</v>
      </c>
      <c r="C796" s="170"/>
      <c r="D796" s="170" t="s">
        <v>11</v>
      </c>
      <c r="E796" s="170" t="s">
        <v>12</v>
      </c>
      <c r="H796" s="207">
        <v>494372</v>
      </c>
      <c r="I796" s="182" t="s">
        <v>4013</v>
      </c>
      <c r="J796" s="182" t="s">
        <v>4014</v>
      </c>
      <c r="K796" s="182" t="s">
        <v>4015</v>
      </c>
      <c r="L796" s="182" t="s">
        <v>15</v>
      </c>
    </row>
    <row r="797" spans="1:12">
      <c r="A797" s="170" t="s">
        <v>41</v>
      </c>
      <c r="B797" s="170" t="s">
        <v>42</v>
      </c>
      <c r="C797" s="186" t="s">
        <v>43</v>
      </c>
      <c r="D797" s="170" t="s">
        <v>11</v>
      </c>
      <c r="E797" s="170" t="s">
        <v>12</v>
      </c>
      <c r="H797" s="207">
        <v>507699</v>
      </c>
      <c r="I797" s="182" t="s">
        <v>4016</v>
      </c>
      <c r="J797" s="182" t="s">
        <v>4017</v>
      </c>
      <c r="K797" s="182"/>
      <c r="L797" s="182" t="s">
        <v>15</v>
      </c>
    </row>
    <row r="798" spans="1:12">
      <c r="A798" s="170" t="s">
        <v>4018</v>
      </c>
      <c r="B798" s="170" t="s">
        <v>4019</v>
      </c>
      <c r="C798" s="170"/>
      <c r="D798" s="170" t="s">
        <v>11</v>
      </c>
      <c r="E798" s="170" t="s">
        <v>12</v>
      </c>
      <c r="H798" s="207">
        <v>458054</v>
      </c>
      <c r="I798" s="182" t="s">
        <v>4020</v>
      </c>
      <c r="J798" s="182" t="s">
        <v>4021</v>
      </c>
      <c r="K798" s="182"/>
      <c r="L798" s="182" t="s">
        <v>15</v>
      </c>
    </row>
    <row r="799" spans="1:12">
      <c r="A799" s="170" t="s">
        <v>4022</v>
      </c>
      <c r="B799" s="170" t="s">
        <v>4023</v>
      </c>
      <c r="C799" s="170"/>
      <c r="D799" s="170" t="s">
        <v>11</v>
      </c>
      <c r="E799" s="170" t="s">
        <v>12</v>
      </c>
      <c r="H799" s="207">
        <v>198041</v>
      </c>
      <c r="I799" s="182" t="s">
        <v>4024</v>
      </c>
      <c r="J799" s="182" t="s">
        <v>4025</v>
      </c>
      <c r="K799" s="182" t="s">
        <v>4026</v>
      </c>
      <c r="L799" s="182" t="s">
        <v>15</v>
      </c>
    </row>
    <row r="800" spans="1:12">
      <c r="A800" s="170" t="s">
        <v>4027</v>
      </c>
      <c r="B800" s="170" t="s">
        <v>4028</v>
      </c>
      <c r="C800" s="170"/>
      <c r="D800" s="170" t="s">
        <v>11</v>
      </c>
      <c r="E800" s="170" t="s">
        <v>12</v>
      </c>
      <c r="H800" s="207">
        <v>469111</v>
      </c>
      <c r="I800" s="182" t="s">
        <v>4029</v>
      </c>
      <c r="J800" s="182" t="s">
        <v>4030</v>
      </c>
      <c r="K800" s="182" t="s">
        <v>4031</v>
      </c>
      <c r="L800" s="182" t="s">
        <v>15</v>
      </c>
    </row>
    <row r="801" spans="1:12">
      <c r="A801" s="170" t="s">
        <v>60</v>
      </c>
      <c r="B801" s="170" t="s">
        <v>61</v>
      </c>
      <c r="C801" s="186" t="s">
        <v>49</v>
      </c>
      <c r="D801" s="170" t="s">
        <v>11</v>
      </c>
      <c r="E801" s="170" t="s">
        <v>12</v>
      </c>
      <c r="H801" s="207">
        <v>501897</v>
      </c>
      <c r="I801" s="182" t="s">
        <v>4032</v>
      </c>
      <c r="J801" s="182" t="s">
        <v>4033</v>
      </c>
      <c r="K801" s="182" t="s">
        <v>4034</v>
      </c>
      <c r="L801" s="182" t="s">
        <v>15</v>
      </c>
    </row>
    <row r="802" spans="1:12">
      <c r="A802" s="170" t="s">
        <v>4035</v>
      </c>
      <c r="B802" s="170" t="s">
        <v>4036</v>
      </c>
      <c r="C802" s="170"/>
      <c r="D802" s="170" t="s">
        <v>11</v>
      </c>
      <c r="E802" s="170" t="s">
        <v>12</v>
      </c>
      <c r="H802" s="207">
        <v>724439</v>
      </c>
      <c r="I802" s="182" t="s">
        <v>4037</v>
      </c>
      <c r="J802" s="182" t="s">
        <v>4038</v>
      </c>
      <c r="K802" s="182" t="s">
        <v>4039</v>
      </c>
      <c r="L802" s="182" t="s">
        <v>15</v>
      </c>
    </row>
    <row r="803" spans="1:12">
      <c r="A803" s="170" t="s">
        <v>4040</v>
      </c>
      <c r="B803" s="170" t="s">
        <v>4041</v>
      </c>
      <c r="C803" s="170"/>
      <c r="D803" s="170" t="s">
        <v>11</v>
      </c>
      <c r="E803" s="170" t="s">
        <v>12</v>
      </c>
      <c r="H803" s="207">
        <v>493242</v>
      </c>
      <c r="I803" s="182" t="s">
        <v>4042</v>
      </c>
      <c r="J803" s="182" t="s">
        <v>4043</v>
      </c>
      <c r="K803" s="182"/>
      <c r="L803" s="182" t="s">
        <v>15</v>
      </c>
    </row>
    <row r="804" spans="1:12">
      <c r="A804" s="170" t="s">
        <v>4044</v>
      </c>
      <c r="B804" s="170" t="s">
        <v>4045</v>
      </c>
      <c r="C804" s="170"/>
      <c r="D804" s="170" t="s">
        <v>11</v>
      </c>
      <c r="E804" s="170" t="s">
        <v>12</v>
      </c>
      <c r="H804" s="207">
        <v>976538</v>
      </c>
      <c r="I804" s="182" t="s">
        <v>4046</v>
      </c>
      <c r="J804" s="182" t="s">
        <v>4047</v>
      </c>
      <c r="K804" s="182" t="s">
        <v>4048</v>
      </c>
      <c r="L804" s="182" t="s">
        <v>415</v>
      </c>
    </row>
    <row r="805" spans="1:12">
      <c r="A805" s="170" t="s">
        <v>73</v>
      </c>
      <c r="B805" s="170" t="s">
        <v>74</v>
      </c>
      <c r="C805" s="186" t="s">
        <v>54</v>
      </c>
      <c r="D805" s="170" t="s">
        <v>11</v>
      </c>
      <c r="E805" s="170" t="s">
        <v>12</v>
      </c>
      <c r="H805" s="207">
        <v>189252</v>
      </c>
      <c r="I805" s="182" t="s">
        <v>4049</v>
      </c>
      <c r="J805" s="182" t="s">
        <v>4050</v>
      </c>
      <c r="K805" s="182" t="s">
        <v>4051</v>
      </c>
      <c r="L805" s="182" t="s">
        <v>415</v>
      </c>
    </row>
    <row r="806" spans="1:12">
      <c r="A806" s="170" t="s">
        <v>4052</v>
      </c>
      <c r="B806" s="170" t="s">
        <v>4053</v>
      </c>
      <c r="C806" s="170"/>
      <c r="D806" s="170" t="s">
        <v>11</v>
      </c>
      <c r="E806" s="170" t="s">
        <v>12</v>
      </c>
      <c r="H806" s="207">
        <v>447085</v>
      </c>
      <c r="I806" s="182" t="s">
        <v>4054</v>
      </c>
      <c r="J806" s="182" t="s">
        <v>4055</v>
      </c>
      <c r="K806" s="182" t="s">
        <v>4056</v>
      </c>
      <c r="L806" s="182" t="s">
        <v>15</v>
      </c>
    </row>
    <row r="807" spans="1:12">
      <c r="A807" s="170" t="s">
        <v>4057</v>
      </c>
      <c r="B807" s="170" t="s">
        <v>4058</v>
      </c>
      <c r="C807" s="170"/>
      <c r="D807" s="170" t="s">
        <v>11</v>
      </c>
      <c r="E807" s="170" t="s">
        <v>12</v>
      </c>
      <c r="H807" s="207">
        <v>364989</v>
      </c>
      <c r="I807" s="182" t="s">
        <v>4059</v>
      </c>
      <c r="J807" s="182" t="s">
        <v>4060</v>
      </c>
      <c r="K807" s="182" t="s">
        <v>4061</v>
      </c>
      <c r="L807" s="182" t="s">
        <v>15</v>
      </c>
    </row>
    <row r="808" spans="1:12">
      <c r="A808" s="170" t="s">
        <v>4062</v>
      </c>
      <c r="B808" s="170" t="s">
        <v>4063</v>
      </c>
      <c r="C808" s="170"/>
      <c r="D808" s="170" t="s">
        <v>11</v>
      </c>
      <c r="E808" s="170" t="s">
        <v>12</v>
      </c>
      <c r="H808" s="207" t="s">
        <v>4064</v>
      </c>
      <c r="I808" s="182" t="s">
        <v>10</v>
      </c>
      <c r="J808" s="182" t="s">
        <v>4064</v>
      </c>
      <c r="K808" s="182" t="s">
        <v>4065</v>
      </c>
      <c r="L808" s="182" t="s">
        <v>53</v>
      </c>
    </row>
    <row r="809" spans="1:12">
      <c r="A809" s="170" t="s">
        <v>102</v>
      </c>
      <c r="B809" s="170" t="s">
        <v>103</v>
      </c>
      <c r="C809" s="186" t="s">
        <v>104</v>
      </c>
      <c r="D809" s="170" t="s">
        <v>11</v>
      </c>
      <c r="E809" s="170" t="s">
        <v>12</v>
      </c>
      <c r="H809" s="207">
        <v>83806</v>
      </c>
      <c r="I809" s="182" t="s">
        <v>4066</v>
      </c>
      <c r="J809" s="182" t="s">
        <v>4067</v>
      </c>
      <c r="K809" s="182" t="s">
        <v>4068</v>
      </c>
      <c r="L809" s="182" t="s">
        <v>15</v>
      </c>
    </row>
    <row r="810" spans="1:12">
      <c r="A810" s="170" t="s">
        <v>4069</v>
      </c>
      <c r="B810" s="170" t="s">
        <v>4070</v>
      </c>
      <c r="C810" s="170"/>
      <c r="D810" s="170" t="s">
        <v>11</v>
      </c>
      <c r="E810" s="170" t="s">
        <v>12</v>
      </c>
      <c r="H810" s="207">
        <v>513279</v>
      </c>
      <c r="I810" s="182" t="s">
        <v>4071</v>
      </c>
      <c r="J810" s="182" t="s">
        <v>4072</v>
      </c>
      <c r="K810" s="182"/>
      <c r="L810" s="182" t="s">
        <v>15</v>
      </c>
    </row>
    <row r="811" spans="1:12">
      <c r="A811" s="170" t="s">
        <v>4073</v>
      </c>
      <c r="B811" s="170" t="s">
        <v>4074</v>
      </c>
      <c r="C811" s="170"/>
      <c r="D811" s="170" t="s">
        <v>11</v>
      </c>
      <c r="E811" s="170" t="s">
        <v>12</v>
      </c>
      <c r="H811" s="207">
        <v>436503</v>
      </c>
      <c r="I811" s="182" t="s">
        <v>4075</v>
      </c>
      <c r="J811" s="182" t="s">
        <v>4076</v>
      </c>
      <c r="K811" s="182" t="s">
        <v>4077</v>
      </c>
      <c r="L811" s="182" t="s">
        <v>15</v>
      </c>
    </row>
    <row r="812" spans="1:12">
      <c r="A812" s="170" t="s">
        <v>4078</v>
      </c>
      <c r="B812" s="170" t="s">
        <v>4079</v>
      </c>
      <c r="C812" s="170"/>
      <c r="D812" s="170" t="s">
        <v>11</v>
      </c>
      <c r="E812" s="170" t="s">
        <v>12</v>
      </c>
      <c r="H812" s="207">
        <v>506456</v>
      </c>
      <c r="I812" s="182" t="s">
        <v>4080</v>
      </c>
      <c r="J812" s="182" t="s">
        <v>4081</v>
      </c>
      <c r="K812" s="182" t="s">
        <v>4082</v>
      </c>
      <c r="L812" s="182" t="s">
        <v>15</v>
      </c>
    </row>
    <row r="813" spans="1:12">
      <c r="A813" s="170" t="s">
        <v>4083</v>
      </c>
      <c r="B813" s="170" t="s">
        <v>4084</v>
      </c>
      <c r="C813" s="170"/>
      <c r="D813" s="170" t="s">
        <v>11</v>
      </c>
      <c r="E813" s="170" t="s">
        <v>12</v>
      </c>
      <c r="H813" s="207" t="s">
        <v>4085</v>
      </c>
      <c r="I813" s="182" t="s">
        <v>10</v>
      </c>
      <c r="J813" s="182" t="s">
        <v>4085</v>
      </c>
      <c r="K813" s="182" t="s">
        <v>4086</v>
      </c>
      <c r="L813" s="182" t="s">
        <v>53</v>
      </c>
    </row>
    <row r="814" spans="1:12">
      <c r="A814" s="170" t="s">
        <v>4087</v>
      </c>
      <c r="B814" s="170" t="s">
        <v>4088</v>
      </c>
      <c r="C814" s="170"/>
      <c r="D814" s="170" t="s">
        <v>11</v>
      </c>
      <c r="E814" s="170" t="s">
        <v>12</v>
      </c>
      <c r="H814" s="207">
        <v>211169</v>
      </c>
      <c r="I814" s="182" t="s">
        <v>4089</v>
      </c>
      <c r="J814" s="182" t="s">
        <v>4090</v>
      </c>
      <c r="K814" s="182" t="s">
        <v>4091</v>
      </c>
      <c r="L814" s="182" t="s">
        <v>369</v>
      </c>
    </row>
    <row r="815" spans="1:12">
      <c r="A815" s="170" t="s">
        <v>4092</v>
      </c>
      <c r="B815" s="170" t="s">
        <v>4093</v>
      </c>
      <c r="C815" s="170"/>
      <c r="D815" s="170" t="s">
        <v>11</v>
      </c>
      <c r="E815" s="170" t="s">
        <v>12</v>
      </c>
      <c r="H815" s="207">
        <v>454374</v>
      </c>
      <c r="I815" s="182" t="s">
        <v>4094</v>
      </c>
      <c r="J815" s="182" t="s">
        <v>4095</v>
      </c>
      <c r="K815" s="182" t="s">
        <v>4096</v>
      </c>
      <c r="L815" s="182" t="s">
        <v>15</v>
      </c>
    </row>
    <row r="816" spans="1:12">
      <c r="A816" s="170" t="s">
        <v>4097</v>
      </c>
      <c r="B816" s="170" t="s">
        <v>4098</v>
      </c>
      <c r="C816" s="170"/>
      <c r="D816" s="170" t="s">
        <v>11</v>
      </c>
      <c r="E816" s="170" t="s">
        <v>12</v>
      </c>
      <c r="H816" s="207">
        <v>68218</v>
      </c>
      <c r="I816" s="182" t="s">
        <v>4099</v>
      </c>
      <c r="J816" s="182" t="s">
        <v>4100</v>
      </c>
      <c r="K816" s="182" t="s">
        <v>4101</v>
      </c>
      <c r="L816" s="182" t="s">
        <v>369</v>
      </c>
    </row>
    <row r="817" spans="1:12">
      <c r="A817" s="170" t="s">
        <v>4102</v>
      </c>
      <c r="B817" s="170" t="s">
        <v>4103</v>
      </c>
      <c r="C817" s="170"/>
      <c r="D817" s="170" t="s">
        <v>11</v>
      </c>
      <c r="E817" s="170" t="s">
        <v>12</v>
      </c>
      <c r="H817" s="207" t="s">
        <v>4104</v>
      </c>
      <c r="I817" s="182" t="s">
        <v>10</v>
      </c>
      <c r="J817" s="182" t="s">
        <v>4104</v>
      </c>
      <c r="K817" s="182" t="s">
        <v>4105</v>
      </c>
      <c r="L817" s="182" t="s">
        <v>53</v>
      </c>
    </row>
    <row r="818" spans="1:12">
      <c r="A818" s="170" t="s">
        <v>4106</v>
      </c>
      <c r="B818" s="170" t="s">
        <v>4107</v>
      </c>
      <c r="C818" s="170"/>
      <c r="D818" s="170" t="s">
        <v>11</v>
      </c>
      <c r="E818" s="170" t="s">
        <v>12</v>
      </c>
      <c r="H818" s="207">
        <v>490483</v>
      </c>
      <c r="I818" s="182" t="s">
        <v>4108</v>
      </c>
      <c r="J818" s="182" t="s">
        <v>4109</v>
      </c>
      <c r="K818" s="182" t="s">
        <v>4110</v>
      </c>
      <c r="L818" s="182" t="s">
        <v>15</v>
      </c>
    </row>
    <row r="819" spans="1:12">
      <c r="A819" s="170" t="s">
        <v>4111</v>
      </c>
      <c r="B819" s="170" t="s">
        <v>4112</v>
      </c>
      <c r="C819" s="170"/>
      <c r="D819" s="170" t="s">
        <v>11</v>
      </c>
      <c r="E819" s="170" t="s">
        <v>12</v>
      </c>
      <c r="H819" s="207">
        <v>443815</v>
      </c>
      <c r="I819" s="182" t="s">
        <v>4113</v>
      </c>
      <c r="J819" s="182" t="s">
        <v>4114</v>
      </c>
      <c r="K819" s="182" t="s">
        <v>4115</v>
      </c>
      <c r="L819" s="182" t="s">
        <v>15</v>
      </c>
    </row>
    <row r="820" spans="1:12">
      <c r="A820" s="170" t="s">
        <v>4116</v>
      </c>
      <c r="B820" s="170" t="s">
        <v>4117</v>
      </c>
      <c r="C820" s="178"/>
      <c r="D820" s="170" t="s">
        <v>11</v>
      </c>
      <c r="E820" s="170" t="s">
        <v>12</v>
      </c>
      <c r="H820" s="207">
        <v>336185</v>
      </c>
      <c r="I820" s="182" t="s">
        <v>4118</v>
      </c>
      <c r="J820" s="182" t="s">
        <v>4119</v>
      </c>
      <c r="K820" s="182" t="s">
        <v>4120</v>
      </c>
      <c r="L820" s="182" t="s">
        <v>15</v>
      </c>
    </row>
    <row r="821" spans="1:12">
      <c r="A821" s="170" t="s">
        <v>4121</v>
      </c>
      <c r="B821" s="170" t="s">
        <v>4122</v>
      </c>
      <c r="C821" s="170"/>
      <c r="D821" s="170" t="s">
        <v>11</v>
      </c>
      <c r="E821" s="170" t="s">
        <v>12</v>
      </c>
      <c r="H821" s="207" t="s">
        <v>4123</v>
      </c>
      <c r="I821" s="182" t="s">
        <v>10</v>
      </c>
      <c r="J821" s="182" t="s">
        <v>4123</v>
      </c>
      <c r="K821" s="182" t="s">
        <v>4124</v>
      </c>
      <c r="L821" s="182" t="s">
        <v>53</v>
      </c>
    </row>
    <row r="822" spans="1:12">
      <c r="A822" s="170" t="s">
        <v>4125</v>
      </c>
      <c r="B822" s="170" t="s">
        <v>4126</v>
      </c>
      <c r="C822" s="170"/>
      <c r="D822" s="170" t="s">
        <v>11</v>
      </c>
      <c r="E822" s="170" t="s">
        <v>12</v>
      </c>
      <c r="H822" s="207">
        <v>433879</v>
      </c>
      <c r="I822" s="182" t="s">
        <v>4127</v>
      </c>
      <c r="J822" s="182" t="s">
        <v>4128</v>
      </c>
      <c r="K822" s="182" t="s">
        <v>4129</v>
      </c>
      <c r="L822" s="182" t="s">
        <v>15</v>
      </c>
    </row>
    <row r="823" spans="1:12">
      <c r="A823" s="170" t="s">
        <v>4130</v>
      </c>
      <c r="B823" s="170" t="s">
        <v>4131</v>
      </c>
      <c r="C823" s="170"/>
      <c r="D823" s="170" t="s">
        <v>11</v>
      </c>
      <c r="E823" s="170" t="s">
        <v>12</v>
      </c>
      <c r="H823" s="207">
        <v>485275</v>
      </c>
      <c r="I823" s="182" t="s">
        <v>4132</v>
      </c>
      <c r="J823" s="182" t="s">
        <v>4133</v>
      </c>
      <c r="K823" s="182" t="s">
        <v>4134</v>
      </c>
      <c r="L823" s="182" t="s">
        <v>15</v>
      </c>
    </row>
    <row r="824" spans="1:12">
      <c r="A824" s="170" t="s">
        <v>4135</v>
      </c>
      <c r="B824" s="170" t="s">
        <v>4136</v>
      </c>
      <c r="C824" s="170"/>
      <c r="D824" s="170" t="s">
        <v>11</v>
      </c>
      <c r="E824" s="170" t="s">
        <v>12</v>
      </c>
      <c r="H824" s="207" t="s">
        <v>4137</v>
      </c>
      <c r="I824" s="182" t="s">
        <v>10</v>
      </c>
      <c r="J824" s="182" t="s">
        <v>4137</v>
      </c>
      <c r="K824" s="182" t="s">
        <v>4138</v>
      </c>
      <c r="L824" s="182" t="s">
        <v>53</v>
      </c>
    </row>
    <row r="825" spans="1:12">
      <c r="A825" s="170" t="s">
        <v>4139</v>
      </c>
      <c r="B825" s="170" t="s">
        <v>4140</v>
      </c>
      <c r="C825" s="170"/>
      <c r="D825" s="170" t="s">
        <v>11</v>
      </c>
      <c r="E825" s="170" t="s">
        <v>12</v>
      </c>
      <c r="H825" s="207">
        <v>494152</v>
      </c>
      <c r="I825" s="182" t="s">
        <v>4141</v>
      </c>
      <c r="J825" s="182" t="s">
        <v>4142</v>
      </c>
      <c r="K825" s="182" t="s">
        <v>4143</v>
      </c>
      <c r="L825" s="182" t="s">
        <v>15</v>
      </c>
    </row>
    <row r="826" spans="1:12">
      <c r="A826" s="170" t="s">
        <v>4144</v>
      </c>
      <c r="B826" s="170" t="s">
        <v>4145</v>
      </c>
      <c r="C826" s="170"/>
      <c r="D826" s="170" t="s">
        <v>11</v>
      </c>
      <c r="E826" s="170" t="s">
        <v>12</v>
      </c>
      <c r="H826" s="207">
        <v>514523</v>
      </c>
      <c r="I826" s="182" t="s">
        <v>4146</v>
      </c>
      <c r="J826" s="182" t="s">
        <v>4147</v>
      </c>
      <c r="K826" s="182" t="s">
        <v>4148</v>
      </c>
      <c r="L826" s="182" t="s">
        <v>15</v>
      </c>
    </row>
    <row r="827" spans="1:12">
      <c r="A827" s="170" t="s">
        <v>4149</v>
      </c>
      <c r="B827" s="170" t="s">
        <v>4150</v>
      </c>
      <c r="C827" s="170"/>
      <c r="D827" s="170" t="s">
        <v>11</v>
      </c>
      <c r="E827" s="170" t="s">
        <v>12</v>
      </c>
      <c r="H827" s="207">
        <v>412603</v>
      </c>
      <c r="I827" s="182" t="s">
        <v>4151</v>
      </c>
      <c r="J827" s="182" t="s">
        <v>4152</v>
      </c>
      <c r="K827" s="182" t="s">
        <v>4153</v>
      </c>
      <c r="L827" s="182" t="s">
        <v>15</v>
      </c>
    </row>
    <row r="828" spans="1:12">
      <c r="A828" s="170" t="s">
        <v>4154</v>
      </c>
      <c r="B828" s="170" t="s">
        <v>4155</v>
      </c>
      <c r="C828" s="170"/>
      <c r="D828" s="170" t="s">
        <v>11</v>
      </c>
      <c r="E828" s="170" t="s">
        <v>12</v>
      </c>
      <c r="H828" s="207">
        <v>496683</v>
      </c>
      <c r="I828" s="182" t="s">
        <v>4156</v>
      </c>
      <c r="J828" s="182" t="s">
        <v>4157</v>
      </c>
      <c r="K828" s="182"/>
      <c r="L828" s="182" t="s">
        <v>15</v>
      </c>
    </row>
    <row r="829" spans="1:12">
      <c r="A829" s="170" t="s">
        <v>4158</v>
      </c>
      <c r="B829" s="170" t="s">
        <v>4159</v>
      </c>
      <c r="C829" s="170"/>
      <c r="D829" s="170" t="s">
        <v>11</v>
      </c>
      <c r="E829" s="170" t="s">
        <v>12</v>
      </c>
      <c r="H829" s="207" t="s">
        <v>4160</v>
      </c>
      <c r="I829" s="182" t="s">
        <v>10</v>
      </c>
      <c r="J829" s="182" t="s">
        <v>4160</v>
      </c>
      <c r="K829" s="182" t="s">
        <v>4161</v>
      </c>
      <c r="L829" s="182" t="s">
        <v>19</v>
      </c>
    </row>
    <row r="830" spans="1:12">
      <c r="A830" s="170" t="s">
        <v>4162</v>
      </c>
      <c r="B830" s="170" t="s">
        <v>4163</v>
      </c>
      <c r="C830" s="170"/>
      <c r="D830" s="170" t="s">
        <v>11</v>
      </c>
      <c r="E830" s="170" t="s">
        <v>12</v>
      </c>
      <c r="H830" s="207">
        <v>514451</v>
      </c>
      <c r="I830" s="182" t="s">
        <v>4164</v>
      </c>
      <c r="J830" s="182" t="s">
        <v>4165</v>
      </c>
      <c r="K830" s="182" t="s">
        <v>4166</v>
      </c>
      <c r="L830" s="182" t="s">
        <v>15</v>
      </c>
    </row>
    <row r="831" spans="1:12">
      <c r="A831" s="170" t="s">
        <v>4167</v>
      </c>
      <c r="B831" s="170" t="s">
        <v>4168</v>
      </c>
      <c r="C831" s="170"/>
      <c r="D831" s="170" t="s">
        <v>11</v>
      </c>
      <c r="E831" s="170" t="s">
        <v>12</v>
      </c>
      <c r="H831" s="207">
        <v>463716</v>
      </c>
      <c r="I831" s="182" t="s">
        <v>4169</v>
      </c>
      <c r="J831" s="182" t="s">
        <v>4170</v>
      </c>
      <c r="K831" s="182" t="s">
        <v>4171</v>
      </c>
      <c r="L831" s="182" t="s">
        <v>15</v>
      </c>
    </row>
    <row r="832" spans="1:12">
      <c r="A832" s="170" t="s">
        <v>4172</v>
      </c>
      <c r="B832" s="170" t="s">
        <v>4173</v>
      </c>
      <c r="C832" s="170"/>
      <c r="D832" s="170" t="s">
        <v>11</v>
      </c>
      <c r="E832" s="170" t="s">
        <v>12</v>
      </c>
      <c r="H832" s="207" t="s">
        <v>4174</v>
      </c>
      <c r="I832" s="182" t="s">
        <v>10</v>
      </c>
      <c r="J832" s="182" t="s">
        <v>4174</v>
      </c>
      <c r="K832" s="182" t="s">
        <v>4175</v>
      </c>
      <c r="L832" s="182" t="s">
        <v>19</v>
      </c>
    </row>
    <row r="833" spans="1:12">
      <c r="A833" s="170" t="s">
        <v>4176</v>
      </c>
      <c r="B833" s="170" t="s">
        <v>4177</v>
      </c>
      <c r="C833" s="170"/>
      <c r="D833" s="170" t="s">
        <v>11</v>
      </c>
      <c r="E833" s="170" t="s">
        <v>12</v>
      </c>
      <c r="H833" s="207">
        <v>513443</v>
      </c>
      <c r="I833" s="182" t="s">
        <v>4178</v>
      </c>
      <c r="J833" s="182" t="s">
        <v>4179</v>
      </c>
      <c r="K833" s="182" t="s">
        <v>4180</v>
      </c>
      <c r="L833" s="182" t="s">
        <v>15</v>
      </c>
    </row>
    <row r="834" spans="1:12">
      <c r="A834" s="170" t="s">
        <v>4181</v>
      </c>
      <c r="B834" s="170" t="s">
        <v>4182</v>
      </c>
      <c r="C834" s="170"/>
      <c r="D834" s="170" t="s">
        <v>11</v>
      </c>
      <c r="E834" s="170" t="s">
        <v>12</v>
      </c>
      <c r="H834" s="207">
        <v>501532</v>
      </c>
      <c r="I834" s="182" t="s">
        <v>4183</v>
      </c>
      <c r="J834" s="182" t="s">
        <v>4184</v>
      </c>
      <c r="K834" s="182" t="s">
        <v>4185</v>
      </c>
      <c r="L834" s="182" t="s">
        <v>15</v>
      </c>
    </row>
    <row r="835" spans="1:12">
      <c r="A835" s="170" t="s">
        <v>4186</v>
      </c>
      <c r="B835" s="170" t="s">
        <v>4187</v>
      </c>
      <c r="C835" s="170"/>
      <c r="D835" s="170" t="s">
        <v>11</v>
      </c>
      <c r="E835" s="170" t="s">
        <v>12</v>
      </c>
      <c r="H835" s="207">
        <v>772312</v>
      </c>
      <c r="I835" s="182" t="s">
        <v>4188</v>
      </c>
      <c r="J835" s="182" t="s">
        <v>4189</v>
      </c>
      <c r="K835" s="182" t="s">
        <v>4190</v>
      </c>
      <c r="L835" s="182" t="s">
        <v>369</v>
      </c>
    </row>
    <row r="836" spans="1:12">
      <c r="A836" s="170" t="s">
        <v>4191</v>
      </c>
      <c r="B836" s="170" t="s">
        <v>4192</v>
      </c>
      <c r="C836" s="170"/>
      <c r="D836" s="170" t="s">
        <v>11</v>
      </c>
      <c r="E836" s="170" t="s">
        <v>12</v>
      </c>
      <c r="H836" s="207">
        <v>62727</v>
      </c>
      <c r="I836" s="182" t="s">
        <v>4193</v>
      </c>
      <c r="J836" s="182" t="s">
        <v>4194</v>
      </c>
      <c r="K836" s="182" t="s">
        <v>4195</v>
      </c>
      <c r="L836" s="182" t="s">
        <v>369</v>
      </c>
    </row>
    <row r="837" spans="1:12">
      <c r="A837" s="170" t="s">
        <v>87</v>
      </c>
      <c r="B837" s="170" t="s">
        <v>4196</v>
      </c>
      <c r="C837" s="186" t="s">
        <v>89</v>
      </c>
      <c r="D837" s="170" t="s">
        <v>11</v>
      </c>
      <c r="E837" s="170" t="s">
        <v>12</v>
      </c>
      <c r="H837" s="207">
        <v>212716</v>
      </c>
      <c r="I837" s="182" t="s">
        <v>4197</v>
      </c>
      <c r="J837" s="182" t="s">
        <v>4198</v>
      </c>
      <c r="K837" s="182" t="s">
        <v>4199</v>
      </c>
      <c r="L837" s="182" t="s">
        <v>15</v>
      </c>
    </row>
    <row r="838" spans="1:12">
      <c r="A838" s="170" t="s">
        <v>4200</v>
      </c>
      <c r="B838" s="170" t="s">
        <v>4201</v>
      </c>
      <c r="C838" s="170"/>
      <c r="D838" s="170" t="s">
        <v>11</v>
      </c>
      <c r="E838" s="170" t="s">
        <v>12</v>
      </c>
      <c r="H838" s="207">
        <v>469386</v>
      </c>
      <c r="I838" s="182" t="s">
        <v>4202</v>
      </c>
      <c r="J838" s="182" t="s">
        <v>4203</v>
      </c>
      <c r="K838" s="182" t="s">
        <v>4204</v>
      </c>
      <c r="L838" s="182" t="s">
        <v>15</v>
      </c>
    </row>
    <row r="839" spans="1:12">
      <c r="A839" s="170" t="s">
        <v>4205</v>
      </c>
      <c r="B839" s="170" t="s">
        <v>4206</v>
      </c>
      <c r="C839" s="170"/>
      <c r="D839" s="170" t="s">
        <v>11</v>
      </c>
      <c r="E839" s="170" t="s">
        <v>12</v>
      </c>
      <c r="H839" s="207">
        <v>509728</v>
      </c>
      <c r="I839" s="182" t="s">
        <v>4207</v>
      </c>
      <c r="J839" s="182" t="s">
        <v>4208</v>
      </c>
      <c r="K839" s="182" t="s">
        <v>4209</v>
      </c>
      <c r="L839" s="182" t="s">
        <v>15</v>
      </c>
    </row>
    <row r="840" spans="1:12">
      <c r="A840" s="170" t="s">
        <v>4210</v>
      </c>
      <c r="B840" s="170" t="s">
        <v>4211</v>
      </c>
      <c r="C840" s="170"/>
      <c r="D840" s="170" t="s">
        <v>11</v>
      </c>
      <c r="E840" s="170" t="s">
        <v>12</v>
      </c>
      <c r="H840" s="207">
        <v>446010</v>
      </c>
      <c r="I840" s="182" t="s">
        <v>4212</v>
      </c>
      <c r="J840" s="182" t="s">
        <v>4213</v>
      </c>
      <c r="K840" s="182"/>
      <c r="L840" s="182" t="s">
        <v>15</v>
      </c>
    </row>
    <row r="841" spans="1:12">
      <c r="A841" s="170" t="s">
        <v>3597</v>
      </c>
      <c r="B841" s="170" t="s">
        <v>3598</v>
      </c>
      <c r="C841" s="188" t="s">
        <v>3599</v>
      </c>
      <c r="D841" s="170" t="s">
        <v>11</v>
      </c>
      <c r="E841" s="170" t="s">
        <v>12</v>
      </c>
      <c r="H841" s="207">
        <v>497645</v>
      </c>
      <c r="I841" s="182" t="s">
        <v>4214</v>
      </c>
      <c r="J841" s="182" t="s">
        <v>4215</v>
      </c>
      <c r="K841" s="182" t="s">
        <v>4216</v>
      </c>
      <c r="L841" s="182" t="s">
        <v>15</v>
      </c>
    </row>
    <row r="842" spans="1:12">
      <c r="A842" s="170" t="s">
        <v>4217</v>
      </c>
      <c r="B842" s="170" t="s">
        <v>4218</v>
      </c>
      <c r="C842" s="170"/>
      <c r="D842" s="170" t="s">
        <v>11</v>
      </c>
      <c r="E842" s="170" t="s">
        <v>12</v>
      </c>
      <c r="H842" s="207">
        <v>203893</v>
      </c>
      <c r="I842" s="182" t="s">
        <v>4219</v>
      </c>
      <c r="J842" s="182" t="s">
        <v>4220</v>
      </c>
      <c r="K842" s="182" t="s">
        <v>4221</v>
      </c>
      <c r="L842" s="182" t="s">
        <v>15</v>
      </c>
    </row>
    <row r="843" spans="1:12">
      <c r="A843" s="170" t="s">
        <v>4222</v>
      </c>
      <c r="B843" s="170" t="s">
        <v>4223</v>
      </c>
      <c r="C843" s="170"/>
      <c r="D843" s="170" t="s">
        <v>11</v>
      </c>
      <c r="E843" s="170" t="s">
        <v>12</v>
      </c>
      <c r="H843" s="207">
        <v>477658</v>
      </c>
      <c r="I843" s="182" t="s">
        <v>4224</v>
      </c>
      <c r="J843" s="182" t="s">
        <v>4225</v>
      </c>
      <c r="K843" s="182" t="s">
        <v>4226</v>
      </c>
      <c r="L843" s="182" t="s">
        <v>15</v>
      </c>
    </row>
    <row r="844" spans="1:12">
      <c r="A844" s="170" t="s">
        <v>4227</v>
      </c>
      <c r="B844" s="170" t="s">
        <v>4228</v>
      </c>
      <c r="C844" s="170"/>
      <c r="D844" s="170" t="s">
        <v>11</v>
      </c>
      <c r="E844" s="170" t="s">
        <v>12</v>
      </c>
      <c r="H844" s="207">
        <v>458536</v>
      </c>
      <c r="I844" s="182" t="s">
        <v>4229</v>
      </c>
      <c r="J844" s="182" t="s">
        <v>4230</v>
      </c>
      <c r="K844" s="182" t="s">
        <v>4231</v>
      </c>
      <c r="L844" s="182" t="s">
        <v>15</v>
      </c>
    </row>
    <row r="845" spans="1:12">
      <c r="A845" s="170" t="s">
        <v>3606</v>
      </c>
      <c r="B845" s="170" t="s">
        <v>3607</v>
      </c>
      <c r="C845" s="188" t="s">
        <v>3608</v>
      </c>
      <c r="D845" s="170" t="s">
        <v>11</v>
      </c>
      <c r="E845" s="170" t="s">
        <v>12</v>
      </c>
      <c r="H845" s="207">
        <v>446984</v>
      </c>
      <c r="I845" s="182" t="s">
        <v>4232</v>
      </c>
      <c r="J845" s="182" t="s">
        <v>4233</v>
      </c>
      <c r="K845" s="182"/>
      <c r="L845" s="182" t="s">
        <v>15</v>
      </c>
    </row>
    <row r="846" spans="1:12">
      <c r="A846" s="170" t="s">
        <v>4234</v>
      </c>
      <c r="B846" s="170" t="s">
        <v>4235</v>
      </c>
      <c r="C846" s="170"/>
      <c r="D846" s="170" t="s">
        <v>11</v>
      </c>
      <c r="E846" s="170" t="s">
        <v>12</v>
      </c>
      <c r="H846" s="207">
        <v>477013</v>
      </c>
      <c r="I846" s="182" t="s">
        <v>4236</v>
      </c>
      <c r="J846" s="182" t="s">
        <v>4237</v>
      </c>
      <c r="K846" s="182" t="s">
        <v>4238</v>
      </c>
      <c r="L846" s="182" t="s">
        <v>15</v>
      </c>
    </row>
    <row r="847" spans="1:12">
      <c r="A847" s="170" t="s">
        <v>4239</v>
      </c>
      <c r="B847" s="170" t="s">
        <v>4240</v>
      </c>
      <c r="C847" s="170"/>
      <c r="D847" s="170" t="s">
        <v>11</v>
      </c>
      <c r="E847" s="170" t="s">
        <v>12</v>
      </c>
      <c r="H847" s="207" t="s">
        <v>4241</v>
      </c>
      <c r="I847" s="182" t="s">
        <v>10</v>
      </c>
      <c r="J847" s="182" t="s">
        <v>4241</v>
      </c>
      <c r="K847" s="182" t="s">
        <v>4242</v>
      </c>
      <c r="L847" s="182" t="s">
        <v>53</v>
      </c>
    </row>
    <row r="848" spans="1:12">
      <c r="A848" s="170" t="s">
        <v>4243</v>
      </c>
      <c r="B848" s="170" t="s">
        <v>4244</v>
      </c>
      <c r="C848" s="170"/>
      <c r="D848" s="170" t="s">
        <v>11</v>
      </c>
      <c r="E848" s="170" t="s">
        <v>12</v>
      </c>
      <c r="H848" s="207" t="s">
        <v>4245</v>
      </c>
      <c r="I848" s="182" t="s">
        <v>10</v>
      </c>
      <c r="J848" s="182" t="s">
        <v>4245</v>
      </c>
      <c r="K848" s="182" t="s">
        <v>4246</v>
      </c>
      <c r="L848" s="182" t="s">
        <v>19</v>
      </c>
    </row>
    <row r="849" spans="1:12">
      <c r="A849" s="170" t="s">
        <v>3615</v>
      </c>
      <c r="B849" s="170" t="s">
        <v>3616</v>
      </c>
      <c r="C849" s="188" t="s">
        <v>3617</v>
      </c>
      <c r="D849" s="170" t="s">
        <v>11</v>
      </c>
      <c r="E849" s="170" t="s">
        <v>12</v>
      </c>
      <c r="H849" s="207">
        <v>841824</v>
      </c>
      <c r="I849" s="182" t="s">
        <v>4247</v>
      </c>
      <c r="J849" s="182" t="s">
        <v>4248</v>
      </c>
      <c r="K849" s="182" t="s">
        <v>4249</v>
      </c>
      <c r="L849" s="182" t="s">
        <v>415</v>
      </c>
    </row>
    <row r="850" spans="1:12">
      <c r="A850" s="170" t="s">
        <v>4250</v>
      </c>
      <c r="B850" s="170" t="s">
        <v>4251</v>
      </c>
      <c r="C850" s="170"/>
      <c r="D850" s="170" t="s">
        <v>11</v>
      </c>
      <c r="E850" s="170" t="s">
        <v>12</v>
      </c>
      <c r="H850" s="207" t="s">
        <v>4252</v>
      </c>
      <c r="I850" s="182" t="s">
        <v>10</v>
      </c>
      <c r="J850" s="182" t="s">
        <v>4252</v>
      </c>
      <c r="K850" s="182" t="s">
        <v>4253</v>
      </c>
      <c r="L850" s="182" t="s">
        <v>19</v>
      </c>
    </row>
    <row r="851" spans="1:12">
      <c r="A851" s="170" t="s">
        <v>4254</v>
      </c>
      <c r="B851" s="170" t="s">
        <v>4255</v>
      </c>
      <c r="C851" s="170"/>
      <c r="D851" s="170" t="s">
        <v>11</v>
      </c>
      <c r="E851" s="170" t="s">
        <v>12</v>
      </c>
      <c r="H851" s="207">
        <v>434488</v>
      </c>
      <c r="I851" s="182" t="s">
        <v>4256</v>
      </c>
      <c r="J851" s="182" t="s">
        <v>4257</v>
      </c>
      <c r="K851" s="182" t="s">
        <v>4258</v>
      </c>
      <c r="L851" s="182" t="s">
        <v>15</v>
      </c>
    </row>
    <row r="852" spans="1:12">
      <c r="A852" s="170" t="s">
        <v>4259</v>
      </c>
      <c r="B852" s="170" t="s">
        <v>4260</v>
      </c>
      <c r="C852" s="170"/>
      <c r="D852" s="170" t="s">
        <v>11</v>
      </c>
      <c r="E852" s="170" t="s">
        <v>12</v>
      </c>
      <c r="H852" s="207">
        <v>515295</v>
      </c>
      <c r="I852" s="182" t="s">
        <v>4261</v>
      </c>
      <c r="J852" s="182" t="s">
        <v>4262</v>
      </c>
      <c r="K852" s="182" t="s">
        <v>4263</v>
      </c>
      <c r="L852" s="182" t="s">
        <v>15</v>
      </c>
    </row>
    <row r="853" spans="1:12">
      <c r="A853" s="170" t="s">
        <v>4264</v>
      </c>
      <c r="B853" s="170" t="s">
        <v>4265</v>
      </c>
      <c r="C853" s="170"/>
      <c r="D853" s="170" t="s">
        <v>11</v>
      </c>
      <c r="E853" s="170" t="s">
        <v>12</v>
      </c>
      <c r="H853" s="207" t="s">
        <v>4266</v>
      </c>
      <c r="I853" s="182" t="s">
        <v>10</v>
      </c>
      <c r="J853" s="182" t="s">
        <v>4266</v>
      </c>
      <c r="K853" s="182" t="s">
        <v>4267</v>
      </c>
      <c r="L853" s="182" t="s">
        <v>19</v>
      </c>
    </row>
    <row r="854" spans="1:12">
      <c r="A854" s="170" t="s">
        <v>4268</v>
      </c>
      <c r="B854" s="170" t="s">
        <v>4269</v>
      </c>
      <c r="C854" s="170"/>
      <c r="D854" s="170" t="s">
        <v>11</v>
      </c>
      <c r="E854" s="170" t="s">
        <v>12</v>
      </c>
      <c r="H854" s="207">
        <v>272313</v>
      </c>
      <c r="I854" s="182" t="s">
        <v>4270</v>
      </c>
      <c r="J854" s="182" t="s">
        <v>4271</v>
      </c>
      <c r="K854" s="182" t="s">
        <v>4272</v>
      </c>
      <c r="L854" s="182" t="s">
        <v>15</v>
      </c>
    </row>
    <row r="855" spans="1:12">
      <c r="A855" s="170" t="s">
        <v>4273</v>
      </c>
      <c r="B855" s="170" t="s">
        <v>4274</v>
      </c>
      <c r="C855" s="170"/>
      <c r="D855" s="170" t="s">
        <v>11</v>
      </c>
      <c r="E855" s="170" t="s">
        <v>12</v>
      </c>
      <c r="H855" s="207">
        <v>497045</v>
      </c>
      <c r="I855" s="182" t="s">
        <v>4275</v>
      </c>
      <c r="J855" s="182" t="s">
        <v>4276</v>
      </c>
      <c r="K855" s="182" t="s">
        <v>4277</v>
      </c>
      <c r="L855" s="182" t="s">
        <v>15</v>
      </c>
    </row>
    <row r="856" spans="1:12">
      <c r="A856" s="170" t="s">
        <v>4278</v>
      </c>
      <c r="B856" s="170" t="s">
        <v>4279</v>
      </c>
      <c r="C856" s="170"/>
      <c r="D856" s="170" t="s">
        <v>11</v>
      </c>
      <c r="E856" s="170" t="s">
        <v>12</v>
      </c>
      <c r="H856" s="207">
        <v>513635</v>
      </c>
      <c r="I856" s="182" t="s">
        <v>4280</v>
      </c>
      <c r="J856" s="182" t="s">
        <v>4281</v>
      </c>
      <c r="K856" s="182" t="s">
        <v>4282</v>
      </c>
      <c r="L856" s="182" t="s">
        <v>15</v>
      </c>
    </row>
    <row r="857" spans="1:12">
      <c r="A857" s="170" t="s">
        <v>4283</v>
      </c>
      <c r="B857" s="170" t="s">
        <v>4284</v>
      </c>
      <c r="C857" s="170"/>
      <c r="D857" s="170" t="s">
        <v>11</v>
      </c>
      <c r="E857" s="170" t="s">
        <v>12</v>
      </c>
      <c r="H857" s="207">
        <v>618794</v>
      </c>
      <c r="I857" s="182" t="s">
        <v>4285</v>
      </c>
      <c r="J857" s="182" t="s">
        <v>4286</v>
      </c>
      <c r="K857" s="182" t="s">
        <v>4287</v>
      </c>
      <c r="L857" s="182" t="s">
        <v>15</v>
      </c>
    </row>
    <row r="858" spans="1:12">
      <c r="A858" s="170" t="s">
        <v>4288</v>
      </c>
      <c r="B858" s="170" t="s">
        <v>4289</v>
      </c>
      <c r="C858" s="170"/>
      <c r="D858" s="170" t="s">
        <v>11</v>
      </c>
      <c r="E858" s="170" t="s">
        <v>12</v>
      </c>
      <c r="H858" s="207">
        <v>505711</v>
      </c>
      <c r="I858" s="182" t="s">
        <v>4290</v>
      </c>
      <c r="J858" s="182" t="s">
        <v>4291</v>
      </c>
      <c r="K858" s="182" t="s">
        <v>4292</v>
      </c>
      <c r="L858" s="182" t="s">
        <v>15</v>
      </c>
    </row>
    <row r="859" spans="1:12">
      <c r="A859" s="170" t="s">
        <v>4293</v>
      </c>
      <c r="B859" s="170" t="s">
        <v>4294</v>
      </c>
      <c r="C859" s="178" t="s">
        <v>10</v>
      </c>
      <c r="D859" s="170" t="s">
        <v>11</v>
      </c>
      <c r="E859" s="170" t="s">
        <v>12</v>
      </c>
      <c r="H859" s="207">
        <v>161117</v>
      </c>
      <c r="I859" s="182" t="s">
        <v>4295</v>
      </c>
      <c r="J859" s="182" t="s">
        <v>4296</v>
      </c>
      <c r="K859" s="182" t="s">
        <v>4297</v>
      </c>
      <c r="L859" s="182" t="s">
        <v>15</v>
      </c>
    </row>
    <row r="860" spans="1:12">
      <c r="A860" s="170" t="s">
        <v>4298</v>
      </c>
      <c r="B860" s="170" t="s">
        <v>4299</v>
      </c>
      <c r="C860" s="178" t="s">
        <v>10</v>
      </c>
      <c r="D860" s="170" t="s">
        <v>11</v>
      </c>
      <c r="E860" s="170" t="s">
        <v>12</v>
      </c>
      <c r="H860" s="207">
        <v>473595</v>
      </c>
      <c r="I860" s="182" t="s">
        <v>4300</v>
      </c>
      <c r="J860" s="182" t="s">
        <v>4301</v>
      </c>
      <c r="K860" s="182" t="s">
        <v>4302</v>
      </c>
      <c r="L860" s="182" t="s">
        <v>15</v>
      </c>
    </row>
    <row r="861" spans="1:12">
      <c r="A861" s="170" t="s">
        <v>4303</v>
      </c>
      <c r="B861" s="170" t="s">
        <v>4304</v>
      </c>
      <c r="C861" s="178" t="s">
        <v>10</v>
      </c>
      <c r="D861" s="170" t="s">
        <v>11</v>
      </c>
      <c r="E861" s="170" t="s">
        <v>12</v>
      </c>
      <c r="H861" s="207">
        <v>413270</v>
      </c>
      <c r="I861" s="182" t="s">
        <v>4305</v>
      </c>
      <c r="J861" s="182" t="s">
        <v>4306</v>
      </c>
      <c r="K861" s="182" t="s">
        <v>4307</v>
      </c>
      <c r="L861" s="182" t="s">
        <v>369</v>
      </c>
    </row>
    <row r="862" spans="1:12">
      <c r="A862" s="170" t="s">
        <v>4308</v>
      </c>
      <c r="B862" s="170" t="s">
        <v>4309</v>
      </c>
      <c r="C862" s="178" t="s">
        <v>10</v>
      </c>
      <c r="D862" s="170" t="s">
        <v>11</v>
      </c>
      <c r="E862" s="170" t="s">
        <v>12</v>
      </c>
      <c r="H862" s="207">
        <v>514172</v>
      </c>
      <c r="I862" s="182" t="s">
        <v>4310</v>
      </c>
      <c r="J862" s="182" t="s">
        <v>4311</v>
      </c>
      <c r="K862" s="182" t="s">
        <v>4312</v>
      </c>
      <c r="L862" s="182" t="s">
        <v>15</v>
      </c>
    </row>
    <row r="863" spans="1:12">
      <c r="A863" s="170" t="s">
        <v>4313</v>
      </c>
      <c r="B863" s="170" t="s">
        <v>4314</v>
      </c>
      <c r="C863" s="178" t="s">
        <v>10</v>
      </c>
      <c r="D863" s="170" t="s">
        <v>11</v>
      </c>
      <c r="E863" s="170" t="s">
        <v>12</v>
      </c>
      <c r="H863" s="207">
        <v>152015</v>
      </c>
      <c r="I863" s="182" t="s">
        <v>4315</v>
      </c>
      <c r="J863" s="182" t="s">
        <v>4316</v>
      </c>
      <c r="K863" s="182" t="s">
        <v>4317</v>
      </c>
      <c r="L863" s="182" t="s">
        <v>15</v>
      </c>
    </row>
    <row r="864" spans="1:12">
      <c r="A864" s="170" t="s">
        <v>4318</v>
      </c>
      <c r="B864" s="170" t="s">
        <v>4319</v>
      </c>
      <c r="C864" s="178" t="s">
        <v>10</v>
      </c>
      <c r="D864" s="170" t="s">
        <v>11</v>
      </c>
      <c r="E864" s="170" t="s">
        <v>12</v>
      </c>
      <c r="H864" s="207">
        <v>472823</v>
      </c>
      <c r="I864" s="182" t="s">
        <v>4320</v>
      </c>
      <c r="J864" s="182" t="s">
        <v>4321</v>
      </c>
      <c r="K864" s="182" t="s">
        <v>4322</v>
      </c>
      <c r="L864" s="182" t="s">
        <v>15</v>
      </c>
    </row>
    <row r="865" spans="1:12">
      <c r="A865" s="170" t="s">
        <v>4323</v>
      </c>
      <c r="B865" s="170" t="s">
        <v>4324</v>
      </c>
      <c r="C865" s="178" t="s">
        <v>10</v>
      </c>
      <c r="D865" s="170" t="s">
        <v>11</v>
      </c>
      <c r="E865" s="170" t="s">
        <v>12</v>
      </c>
      <c r="H865" s="207">
        <v>472922</v>
      </c>
      <c r="I865" s="182" t="s">
        <v>4325</v>
      </c>
      <c r="J865" s="182" t="s">
        <v>4326</v>
      </c>
      <c r="K865" s="182"/>
      <c r="L865" s="182" t="s">
        <v>15</v>
      </c>
    </row>
    <row r="866" spans="1:12">
      <c r="A866" s="170" t="s">
        <v>4327</v>
      </c>
      <c r="B866" s="170" t="s">
        <v>4328</v>
      </c>
      <c r="C866" s="178" t="s">
        <v>10</v>
      </c>
      <c r="D866" s="170" t="s">
        <v>11</v>
      </c>
      <c r="E866" s="170" t="s">
        <v>12</v>
      </c>
      <c r="H866" s="207">
        <v>738360</v>
      </c>
      <c r="I866" s="182" t="s">
        <v>4329</v>
      </c>
      <c r="J866" s="182" t="s">
        <v>4330</v>
      </c>
      <c r="K866" s="182" t="s">
        <v>4331</v>
      </c>
      <c r="L866" s="182" t="s">
        <v>15</v>
      </c>
    </row>
    <row r="867" spans="1:12">
      <c r="A867" s="170" t="s">
        <v>4332</v>
      </c>
      <c r="B867" s="170" t="s">
        <v>4333</v>
      </c>
      <c r="C867" s="178" t="s">
        <v>10</v>
      </c>
      <c r="D867" s="170" t="s">
        <v>11</v>
      </c>
      <c r="E867" s="170" t="s">
        <v>12</v>
      </c>
      <c r="H867" s="207">
        <v>487759</v>
      </c>
      <c r="I867" s="182" t="s">
        <v>4334</v>
      </c>
      <c r="J867" s="182" t="s">
        <v>4335</v>
      </c>
      <c r="K867" s="182" t="s">
        <v>4336</v>
      </c>
      <c r="L867" s="182" t="s">
        <v>15</v>
      </c>
    </row>
    <row r="868" spans="1:12">
      <c r="A868" s="170" t="s">
        <v>4337</v>
      </c>
      <c r="B868" s="170" t="s">
        <v>4338</v>
      </c>
      <c r="C868" s="178" t="s">
        <v>10</v>
      </c>
      <c r="D868" s="170" t="s">
        <v>11</v>
      </c>
      <c r="E868" s="170" t="s">
        <v>12</v>
      </c>
      <c r="H868" s="207" t="s">
        <v>4339</v>
      </c>
      <c r="I868" s="182" t="s">
        <v>10</v>
      </c>
      <c r="J868" s="182" t="s">
        <v>4339</v>
      </c>
      <c r="K868" s="182" t="s">
        <v>4340</v>
      </c>
      <c r="L868" s="182" t="s">
        <v>19</v>
      </c>
    </row>
    <row r="869" spans="1:12">
      <c r="A869" s="170" t="s">
        <v>4341</v>
      </c>
      <c r="B869" s="170" t="s">
        <v>4342</v>
      </c>
      <c r="C869" s="178" t="s">
        <v>10</v>
      </c>
      <c r="D869" s="170" t="s">
        <v>11</v>
      </c>
      <c r="E869" s="170" t="s">
        <v>12</v>
      </c>
      <c r="H869" s="207">
        <v>501135</v>
      </c>
      <c r="I869" s="182" t="s">
        <v>4343</v>
      </c>
      <c r="J869" s="182" t="s">
        <v>4344</v>
      </c>
      <c r="K869" s="182" t="s">
        <v>4345</v>
      </c>
      <c r="L869" s="182" t="s">
        <v>15</v>
      </c>
    </row>
    <row r="870" spans="1:12">
      <c r="A870" s="170" t="s">
        <v>4346</v>
      </c>
      <c r="B870" s="170" t="s">
        <v>4347</v>
      </c>
      <c r="C870" s="178" t="s">
        <v>10</v>
      </c>
      <c r="D870" s="170" t="s">
        <v>11</v>
      </c>
      <c r="E870" s="170" t="s">
        <v>12</v>
      </c>
      <c r="H870" s="207" t="s">
        <v>4348</v>
      </c>
      <c r="I870" s="182" t="s">
        <v>10</v>
      </c>
      <c r="J870" s="182" t="s">
        <v>4348</v>
      </c>
      <c r="K870" s="182" t="s">
        <v>4349</v>
      </c>
      <c r="L870" s="182" t="s">
        <v>19</v>
      </c>
    </row>
    <row r="871" spans="1:12">
      <c r="A871" s="170" t="s">
        <v>4350</v>
      </c>
      <c r="B871" s="170" t="s">
        <v>4351</v>
      </c>
      <c r="C871" s="225" t="s">
        <v>4352</v>
      </c>
      <c r="D871" s="170" t="s">
        <v>11</v>
      </c>
      <c r="E871" s="170" t="s">
        <v>12</v>
      </c>
      <c r="H871" s="207">
        <v>454104</v>
      </c>
      <c r="I871" s="182" t="s">
        <v>4353</v>
      </c>
      <c r="J871" s="182" t="s">
        <v>4354</v>
      </c>
      <c r="K871" s="182" t="s">
        <v>4355</v>
      </c>
      <c r="L871" s="182" t="s">
        <v>15</v>
      </c>
    </row>
    <row r="872" spans="1:12">
      <c r="A872" s="170" t="s">
        <v>4356</v>
      </c>
      <c r="B872" s="170" t="s">
        <v>4357</v>
      </c>
      <c r="C872" s="170"/>
      <c r="D872" s="170" t="s">
        <v>11</v>
      </c>
      <c r="E872" s="170" t="s">
        <v>12</v>
      </c>
      <c r="H872" s="207">
        <v>485238</v>
      </c>
      <c r="I872" s="182" t="s">
        <v>4358</v>
      </c>
      <c r="J872" s="182" t="s">
        <v>4359</v>
      </c>
      <c r="K872" s="182" t="s">
        <v>4360</v>
      </c>
      <c r="L872" s="182" t="s">
        <v>15</v>
      </c>
    </row>
    <row r="873" spans="1:12">
      <c r="A873" s="170" t="s">
        <v>4361</v>
      </c>
      <c r="B873" s="170" t="s">
        <v>4362</v>
      </c>
      <c r="C873" s="170"/>
      <c r="D873" s="170" t="s">
        <v>11</v>
      </c>
      <c r="E873" s="170" t="s">
        <v>12</v>
      </c>
      <c r="H873" s="207">
        <v>482048</v>
      </c>
      <c r="I873" s="182" t="s">
        <v>4363</v>
      </c>
      <c r="J873" s="182" t="s">
        <v>4364</v>
      </c>
      <c r="K873" s="182" t="s">
        <v>4365</v>
      </c>
      <c r="L873" s="182" t="s">
        <v>15</v>
      </c>
    </row>
    <row r="874" spans="1:12">
      <c r="A874" s="170" t="s">
        <v>4366</v>
      </c>
      <c r="B874" s="170" t="s">
        <v>4367</v>
      </c>
      <c r="C874" s="192" t="s">
        <v>4368</v>
      </c>
      <c r="D874" s="170" t="s">
        <v>11</v>
      </c>
      <c r="E874" s="170" t="s">
        <v>12</v>
      </c>
      <c r="H874" s="207">
        <v>490455</v>
      </c>
      <c r="I874" s="182" t="s">
        <v>4369</v>
      </c>
      <c r="J874" s="182" t="s">
        <v>4370</v>
      </c>
      <c r="K874" s="182" t="s">
        <v>4371</v>
      </c>
      <c r="L874" s="182" t="s">
        <v>15</v>
      </c>
    </row>
    <row r="875" spans="1:12">
      <c r="A875" s="170" t="s">
        <v>4372</v>
      </c>
      <c r="B875" s="170" t="s">
        <v>4373</v>
      </c>
      <c r="C875" s="192" t="s">
        <v>4374</v>
      </c>
      <c r="D875" s="170" t="s">
        <v>11</v>
      </c>
      <c r="E875" s="170" t="s">
        <v>12</v>
      </c>
      <c r="H875" s="207">
        <v>465198</v>
      </c>
      <c r="I875" s="182" t="s">
        <v>4375</v>
      </c>
      <c r="J875" s="182" t="s">
        <v>4376</v>
      </c>
      <c r="K875" s="182"/>
      <c r="L875" s="182" t="s">
        <v>15</v>
      </c>
    </row>
    <row r="876" spans="1:12">
      <c r="A876" s="170" t="s">
        <v>4377</v>
      </c>
      <c r="B876" s="170" t="s">
        <v>4378</v>
      </c>
      <c r="C876" s="170"/>
      <c r="D876" s="170" t="s">
        <v>11</v>
      </c>
      <c r="E876" s="170" t="s">
        <v>12</v>
      </c>
      <c r="H876" s="207">
        <v>142471</v>
      </c>
      <c r="I876" s="182" t="s">
        <v>4379</v>
      </c>
      <c r="J876" s="182" t="s">
        <v>4380</v>
      </c>
      <c r="K876" s="182" t="s">
        <v>4381</v>
      </c>
      <c r="L876" s="182" t="s">
        <v>15</v>
      </c>
    </row>
    <row r="877" spans="1:12">
      <c r="A877" s="170" t="s">
        <v>4382</v>
      </c>
      <c r="B877" s="170" t="s">
        <v>4383</v>
      </c>
      <c r="C877" t="s">
        <v>4384</v>
      </c>
      <c r="D877" s="170" t="s">
        <v>11</v>
      </c>
      <c r="E877" s="170" t="s">
        <v>12</v>
      </c>
      <c r="H877" s="207">
        <v>458151</v>
      </c>
      <c r="I877" s="182" t="s">
        <v>4385</v>
      </c>
      <c r="J877" s="182" t="s">
        <v>4386</v>
      </c>
      <c r="K877" s="182"/>
      <c r="L877" s="182" t="s">
        <v>15</v>
      </c>
    </row>
    <row r="878" spans="1:12">
      <c r="A878" s="170" t="s">
        <v>4388</v>
      </c>
      <c r="B878" s="170" t="s">
        <v>4389</v>
      </c>
      <c r="C878" s="192" t="s">
        <v>4390</v>
      </c>
      <c r="D878" s="170" t="s">
        <v>11</v>
      </c>
      <c r="E878" s="170" t="s">
        <v>12</v>
      </c>
      <c r="H878" s="207">
        <v>509128</v>
      </c>
      <c r="I878" s="182" t="s">
        <v>4391</v>
      </c>
      <c r="J878" s="182" t="s">
        <v>4392</v>
      </c>
      <c r="K878" s="182" t="s">
        <v>4393</v>
      </c>
      <c r="L878" s="182" t="s">
        <v>15</v>
      </c>
    </row>
    <row r="879" spans="1:12">
      <c r="A879" s="170" t="s">
        <v>4395</v>
      </c>
      <c r="B879" s="170" t="s">
        <v>4396</v>
      </c>
      <c r="C879" s="170"/>
      <c r="D879" s="170" t="s">
        <v>11</v>
      </c>
      <c r="E879" s="170" t="s">
        <v>12</v>
      </c>
      <c r="H879" s="207">
        <v>195186</v>
      </c>
      <c r="I879" s="182" t="s">
        <v>4397</v>
      </c>
      <c r="J879" s="182" t="s">
        <v>4398</v>
      </c>
      <c r="K879" s="182"/>
      <c r="L879" s="182" t="s">
        <v>15</v>
      </c>
    </row>
    <row r="880" spans="1:12">
      <c r="A880" s="170" t="s">
        <v>4399</v>
      </c>
      <c r="B880" s="170" t="s">
        <v>4400</v>
      </c>
      <c r="C880" s="192" t="s">
        <v>4401</v>
      </c>
      <c r="D880" s="170" t="s">
        <v>11</v>
      </c>
      <c r="E880" s="170" t="s">
        <v>12</v>
      </c>
      <c r="H880" s="207">
        <v>481846</v>
      </c>
      <c r="I880" s="182" t="s">
        <v>4402</v>
      </c>
      <c r="J880" s="182" t="s">
        <v>4403</v>
      </c>
      <c r="K880" s="182" t="s">
        <v>4404</v>
      </c>
      <c r="L880" s="182" t="s">
        <v>15</v>
      </c>
    </row>
    <row r="881" spans="1:12">
      <c r="A881" s="170" t="s">
        <v>4405</v>
      </c>
      <c r="B881" s="170" t="s">
        <v>4406</v>
      </c>
      <c r="C881" s="192" t="s">
        <v>6619</v>
      </c>
      <c r="D881" s="170" t="s">
        <v>11</v>
      </c>
      <c r="E881" s="170" t="s">
        <v>12</v>
      </c>
      <c r="H881" s="207" t="s">
        <v>4408</v>
      </c>
      <c r="I881" s="182" t="s">
        <v>10</v>
      </c>
      <c r="J881" s="182" t="s">
        <v>4408</v>
      </c>
      <c r="K881" s="182" t="s">
        <v>4409</v>
      </c>
      <c r="L881" s="182" t="s">
        <v>19</v>
      </c>
    </row>
    <row r="882" spans="1:12">
      <c r="A882" s="170" t="s">
        <v>4410</v>
      </c>
      <c r="B882" s="170" t="s">
        <v>4411</v>
      </c>
      <c r="C882" s="170"/>
      <c r="D882" s="170" t="s">
        <v>11</v>
      </c>
      <c r="E882" s="170" t="s">
        <v>12</v>
      </c>
      <c r="H882" s="207">
        <v>478226</v>
      </c>
      <c r="I882" s="182" t="s">
        <v>4412</v>
      </c>
      <c r="J882" s="182" t="s">
        <v>4413</v>
      </c>
      <c r="K882" s="182"/>
      <c r="L882" s="182" t="s">
        <v>15</v>
      </c>
    </row>
    <row r="883" spans="1:12">
      <c r="A883" s="170" t="s">
        <v>4414</v>
      </c>
      <c r="B883" s="170" t="s">
        <v>4415</v>
      </c>
      <c r="C883" s="192" t="s">
        <v>4416</v>
      </c>
      <c r="D883" s="170" t="s">
        <v>11</v>
      </c>
      <c r="E883" s="170" t="s">
        <v>12</v>
      </c>
      <c r="H883" s="207">
        <v>496072</v>
      </c>
      <c r="I883" s="182" t="s">
        <v>4417</v>
      </c>
      <c r="J883" s="182" t="s">
        <v>4418</v>
      </c>
      <c r="K883" s="182"/>
      <c r="L883" s="182" t="s">
        <v>15</v>
      </c>
    </row>
    <row r="884" spans="1:12">
      <c r="A884" s="170" t="s">
        <v>4419</v>
      </c>
      <c r="B884" s="170" t="s">
        <v>4420</v>
      </c>
      <c r="C884" s="192" t="s">
        <v>4421</v>
      </c>
      <c r="D884" s="170" t="s">
        <v>11</v>
      </c>
      <c r="E884" s="170" t="s">
        <v>12</v>
      </c>
      <c r="H884" s="207">
        <v>493291</v>
      </c>
      <c r="I884" s="182" t="s">
        <v>4422</v>
      </c>
      <c r="J884" s="182" t="s">
        <v>4423</v>
      </c>
      <c r="K884" s="182" t="s">
        <v>4424</v>
      </c>
      <c r="L884" s="182" t="s">
        <v>15</v>
      </c>
    </row>
    <row r="885" spans="1:12">
      <c r="A885" s="170" t="s">
        <v>4425</v>
      </c>
      <c r="B885" s="170" t="s">
        <v>4426</v>
      </c>
      <c r="C885" s="178"/>
      <c r="D885" s="170" t="s">
        <v>11</v>
      </c>
      <c r="E885" s="170" t="s">
        <v>12</v>
      </c>
      <c r="H885" s="207">
        <v>501774</v>
      </c>
      <c r="I885" s="182" t="s">
        <v>4427</v>
      </c>
      <c r="J885" s="182" t="s">
        <v>4428</v>
      </c>
      <c r="K885" s="182" t="s">
        <v>4429</v>
      </c>
      <c r="L885" s="182" t="s">
        <v>15</v>
      </c>
    </row>
    <row r="886" spans="1:12">
      <c r="A886" s="170" t="s">
        <v>4430</v>
      </c>
      <c r="B886" s="170" t="s">
        <v>4431</v>
      </c>
      <c r="C886" s="192" t="s">
        <v>4432</v>
      </c>
      <c r="D886" s="170" t="s">
        <v>11</v>
      </c>
      <c r="E886" s="170" t="s">
        <v>12</v>
      </c>
      <c r="H886" s="207">
        <v>497779</v>
      </c>
      <c r="I886" s="182" t="s">
        <v>4433</v>
      </c>
      <c r="J886" s="182" t="s">
        <v>4434</v>
      </c>
      <c r="K886" s="182" t="s">
        <v>4435</v>
      </c>
      <c r="L886" s="182" t="s">
        <v>15</v>
      </c>
    </row>
    <row r="887" spans="1:12">
      <c r="A887" s="170" t="s">
        <v>4436</v>
      </c>
      <c r="B887" s="170" t="s">
        <v>4437</v>
      </c>
      <c r="C887" s="192" t="s">
        <v>4438</v>
      </c>
      <c r="D887" s="170" t="s">
        <v>11</v>
      </c>
      <c r="E887" s="170" t="s">
        <v>12</v>
      </c>
      <c r="H887" s="207">
        <v>421903</v>
      </c>
      <c r="I887" s="182" t="s">
        <v>4439</v>
      </c>
      <c r="J887" s="182" t="s">
        <v>4440</v>
      </c>
      <c r="K887" s="182" t="s">
        <v>4441</v>
      </c>
      <c r="L887" s="182" t="s">
        <v>15</v>
      </c>
    </row>
    <row r="888" spans="1:12">
      <c r="A888" s="170" t="s">
        <v>4442</v>
      </c>
      <c r="B888" s="170" t="s">
        <v>4443</v>
      </c>
      <c r="C888" s="170"/>
      <c r="D888" s="170" t="s">
        <v>11</v>
      </c>
      <c r="E888" s="170" t="s">
        <v>12</v>
      </c>
      <c r="H888" s="207">
        <v>364409</v>
      </c>
      <c r="I888" s="182" t="s">
        <v>4444</v>
      </c>
      <c r="J888" s="182" t="s">
        <v>4445</v>
      </c>
      <c r="K888" s="182" t="s">
        <v>4446</v>
      </c>
      <c r="L888" s="182" t="s">
        <v>15</v>
      </c>
    </row>
    <row r="889" spans="1:12">
      <c r="A889" s="170" t="s">
        <v>4447</v>
      </c>
      <c r="B889" s="170" t="s">
        <v>4448</v>
      </c>
      <c r="C889" s="192" t="s">
        <v>4449</v>
      </c>
      <c r="D889" s="170" t="s">
        <v>11</v>
      </c>
      <c r="E889" s="170" t="s">
        <v>12</v>
      </c>
      <c r="H889" s="207">
        <v>419245</v>
      </c>
      <c r="I889" s="182" t="s">
        <v>4450</v>
      </c>
      <c r="J889" s="182" t="s">
        <v>4451</v>
      </c>
      <c r="K889" s="182" t="s">
        <v>4452</v>
      </c>
      <c r="L889" s="182" t="s">
        <v>15</v>
      </c>
    </row>
    <row r="890" spans="1:12">
      <c r="A890" s="170" t="s">
        <v>4453</v>
      </c>
      <c r="B890" s="170" t="s">
        <v>4454</v>
      </c>
      <c r="C890" s="192" t="s">
        <v>4455</v>
      </c>
      <c r="D890" s="170" t="s">
        <v>11</v>
      </c>
      <c r="E890" s="170" t="s">
        <v>12</v>
      </c>
      <c r="H890" s="207">
        <v>464046</v>
      </c>
      <c r="I890" s="182" t="s">
        <v>4456</v>
      </c>
      <c r="J890" s="182" t="s">
        <v>4457</v>
      </c>
      <c r="K890" s="182" t="s">
        <v>4458</v>
      </c>
      <c r="L890" s="182" t="s">
        <v>15</v>
      </c>
    </row>
    <row r="891" spans="1:12">
      <c r="A891" s="170" t="s">
        <v>4459</v>
      </c>
      <c r="B891" s="170" t="s">
        <v>4460</v>
      </c>
      <c r="C891" s="170"/>
      <c r="D891" s="170" t="s">
        <v>11</v>
      </c>
      <c r="E891" s="170" t="s">
        <v>12</v>
      </c>
      <c r="H891" s="207">
        <v>500865</v>
      </c>
      <c r="I891" s="182" t="s">
        <v>4461</v>
      </c>
      <c r="J891" s="182" t="s">
        <v>4462</v>
      </c>
      <c r="K891" s="182" t="s">
        <v>4463</v>
      </c>
      <c r="L891" s="182" t="s">
        <v>15</v>
      </c>
    </row>
    <row r="892" spans="1:12">
      <c r="A892" s="200" t="s">
        <v>4464</v>
      </c>
      <c r="B892" s="200" t="s">
        <v>4465</v>
      </c>
      <c r="C892" s="210" t="s">
        <v>4466</v>
      </c>
      <c r="D892" s="200" t="s">
        <v>11</v>
      </c>
      <c r="E892" s="200" t="s">
        <v>12</v>
      </c>
      <c r="H892" s="207">
        <v>329515</v>
      </c>
      <c r="I892" s="182" t="s">
        <v>4467</v>
      </c>
      <c r="J892" s="182" t="s">
        <v>4468</v>
      </c>
      <c r="K892" s="182" t="s">
        <v>4469</v>
      </c>
      <c r="L892" s="182" t="s">
        <v>15</v>
      </c>
    </row>
    <row r="893" spans="1:12">
      <c r="A893" s="200" t="s">
        <v>4470</v>
      </c>
      <c r="B893" s="200" t="s">
        <v>4471</v>
      </c>
      <c r="C893" s="210" t="s">
        <v>4472</v>
      </c>
      <c r="D893" s="200" t="s">
        <v>11</v>
      </c>
      <c r="E893" s="200" t="s">
        <v>12</v>
      </c>
      <c r="H893" s="207">
        <v>513450</v>
      </c>
      <c r="I893" s="182" t="s">
        <v>4473</v>
      </c>
      <c r="J893" s="182" t="s">
        <v>4474</v>
      </c>
      <c r="K893" s="182" t="s">
        <v>4475</v>
      </c>
      <c r="L893" s="182" t="s">
        <v>15</v>
      </c>
    </row>
    <row r="894" spans="1:12">
      <c r="A894" s="200" t="s">
        <v>4476</v>
      </c>
      <c r="B894" s="200" t="s">
        <v>4477</v>
      </c>
      <c r="C894" s="200"/>
      <c r="D894" s="200" t="s">
        <v>11</v>
      </c>
      <c r="E894" s="200" t="s">
        <v>12</v>
      </c>
      <c r="H894" s="207">
        <v>436623</v>
      </c>
      <c r="I894" s="182" t="s">
        <v>4478</v>
      </c>
      <c r="J894" s="182" t="s">
        <v>4479</v>
      </c>
      <c r="K894" s="182" t="s">
        <v>4480</v>
      </c>
      <c r="L894" s="182" t="s">
        <v>15</v>
      </c>
    </row>
    <row r="895" spans="1:12">
      <c r="A895" s="200" t="s">
        <v>4481</v>
      </c>
      <c r="B895" s="200" t="s">
        <v>4482</v>
      </c>
      <c r="C895" s="210" t="s">
        <v>6620</v>
      </c>
      <c r="D895" s="200" t="s">
        <v>11</v>
      </c>
      <c r="E895" s="200" t="s">
        <v>12</v>
      </c>
      <c r="H895" s="207">
        <v>417390</v>
      </c>
      <c r="I895" s="182" t="s">
        <v>4483</v>
      </c>
      <c r="J895" s="182" t="s">
        <v>4484</v>
      </c>
      <c r="K895" s="182"/>
      <c r="L895" s="182" t="s">
        <v>15</v>
      </c>
    </row>
    <row r="896" spans="1:12">
      <c r="A896" s="200" t="s">
        <v>4486</v>
      </c>
      <c r="B896" s="200" t="s">
        <v>4487</v>
      </c>
      <c r="C896" s="210" t="s">
        <v>4488</v>
      </c>
      <c r="D896" s="200" t="s">
        <v>11</v>
      </c>
      <c r="E896" s="200" t="s">
        <v>12</v>
      </c>
      <c r="H896" s="207">
        <v>460045</v>
      </c>
      <c r="I896" s="182" t="s">
        <v>4489</v>
      </c>
      <c r="J896" s="182" t="s">
        <v>4490</v>
      </c>
      <c r="K896" s="182" t="s">
        <v>4491</v>
      </c>
      <c r="L896" s="182" t="s">
        <v>15</v>
      </c>
    </row>
    <row r="897" spans="1:12">
      <c r="A897" s="200" t="s">
        <v>4492</v>
      </c>
      <c r="B897" s="200" t="s">
        <v>4485</v>
      </c>
      <c r="C897" s="200"/>
      <c r="D897" s="200" t="s">
        <v>11</v>
      </c>
      <c r="E897" s="200" t="s">
        <v>12</v>
      </c>
      <c r="H897" s="207">
        <v>159347</v>
      </c>
      <c r="I897" s="182" t="s">
        <v>4493</v>
      </c>
      <c r="J897" s="182" t="s">
        <v>4494</v>
      </c>
      <c r="K897" s="182" t="s">
        <v>4495</v>
      </c>
      <c r="L897" s="182" t="s">
        <v>15</v>
      </c>
    </row>
    <row r="898" spans="1:12">
      <c r="A898" s="170" t="s">
        <v>4496</v>
      </c>
      <c r="B898" s="170" t="s">
        <v>4497</v>
      </c>
      <c r="C898" s="192" t="s">
        <v>4498</v>
      </c>
      <c r="D898" s="170" t="s">
        <v>11</v>
      </c>
      <c r="E898" s="170" t="s">
        <v>12</v>
      </c>
      <c r="H898" s="207">
        <v>488623</v>
      </c>
      <c r="I898" s="182" t="s">
        <v>4499</v>
      </c>
      <c r="J898" s="182" t="s">
        <v>4500</v>
      </c>
      <c r="K898" s="182" t="s">
        <v>4501</v>
      </c>
      <c r="L898" s="182" t="s">
        <v>15</v>
      </c>
    </row>
    <row r="899" spans="1:12">
      <c r="A899" s="170" t="s">
        <v>4503</v>
      </c>
      <c r="B899" s="170" t="s">
        <v>4504</v>
      </c>
      <c r="C899" s="192" t="s">
        <v>4505</v>
      </c>
      <c r="D899" s="170" t="s">
        <v>11</v>
      </c>
      <c r="E899" s="170" t="s">
        <v>12</v>
      </c>
      <c r="H899" s="207">
        <v>497871</v>
      </c>
      <c r="I899" s="182" t="s">
        <v>4506</v>
      </c>
      <c r="J899" s="182" t="s">
        <v>4507</v>
      </c>
      <c r="K899" s="182" t="s">
        <v>4508</v>
      </c>
      <c r="L899" s="182" t="s">
        <v>15</v>
      </c>
    </row>
    <row r="900" spans="1:12">
      <c r="A900" s="170" t="s">
        <v>4509</v>
      </c>
      <c r="B900" s="170" t="s">
        <v>4502</v>
      </c>
      <c r="C900" s="170"/>
      <c r="D900" s="170" t="s">
        <v>11</v>
      </c>
      <c r="E900" s="170" t="s">
        <v>12</v>
      </c>
      <c r="H900" s="207">
        <v>472915</v>
      </c>
      <c r="I900" s="182" t="s">
        <v>4510</v>
      </c>
      <c r="J900" s="182" t="s">
        <v>4511</v>
      </c>
      <c r="K900" s="182"/>
      <c r="L900" s="182" t="s">
        <v>15</v>
      </c>
    </row>
    <row r="901" spans="1:12">
      <c r="A901" s="170" t="s">
        <v>4512</v>
      </c>
      <c r="B901" s="170" t="s">
        <v>4513</v>
      </c>
      <c r="C901" s="170"/>
      <c r="D901" s="170" t="s">
        <v>11</v>
      </c>
      <c r="E901" s="170" t="s">
        <v>12</v>
      </c>
      <c r="H901" s="207">
        <v>513252</v>
      </c>
      <c r="I901" s="182" t="s">
        <v>4514</v>
      </c>
      <c r="J901" s="182" t="s">
        <v>4515</v>
      </c>
      <c r="K901" s="182"/>
      <c r="L901" s="182" t="s">
        <v>15</v>
      </c>
    </row>
    <row r="902" spans="1:12">
      <c r="A902" s="170" t="s">
        <v>4516</v>
      </c>
      <c r="B902" s="170" t="s">
        <v>4517</v>
      </c>
      <c r="C902" s="170"/>
      <c r="D902" s="170" t="s">
        <v>11</v>
      </c>
      <c r="E902" s="170" t="s">
        <v>12</v>
      </c>
      <c r="H902" s="207">
        <v>493249</v>
      </c>
      <c r="I902" s="182" t="s">
        <v>4518</v>
      </c>
      <c r="J902" s="182" t="s">
        <v>4519</v>
      </c>
      <c r="K902" s="182" t="s">
        <v>4520</v>
      </c>
      <c r="L902" s="182" t="s">
        <v>15</v>
      </c>
    </row>
    <row r="903" spans="1:12">
      <c r="A903" s="170" t="s">
        <v>4521</v>
      </c>
      <c r="B903" s="170" t="s">
        <v>4522</v>
      </c>
      <c r="C903" s="170"/>
      <c r="D903" s="170" t="s">
        <v>11</v>
      </c>
      <c r="E903" s="170" t="s">
        <v>12</v>
      </c>
      <c r="H903" s="207">
        <v>468285</v>
      </c>
      <c r="I903" s="182" t="s">
        <v>4523</v>
      </c>
      <c r="J903" s="182" t="s">
        <v>4524</v>
      </c>
      <c r="K903" s="182"/>
      <c r="L903" s="182" t="s">
        <v>15</v>
      </c>
    </row>
    <row r="904" spans="1:12">
      <c r="A904" s="170" t="s">
        <v>4525</v>
      </c>
      <c r="B904" s="170" t="s">
        <v>4526</v>
      </c>
      <c r="C904" s="230" t="s">
        <v>4527</v>
      </c>
      <c r="D904" s="170" t="s">
        <v>11</v>
      </c>
      <c r="E904" s="170" t="s">
        <v>12</v>
      </c>
      <c r="H904" s="207" t="s">
        <v>4528</v>
      </c>
      <c r="I904" s="182" t="s">
        <v>10</v>
      </c>
      <c r="J904" s="182" t="s">
        <v>4528</v>
      </c>
      <c r="K904" s="182" t="s">
        <v>4529</v>
      </c>
      <c r="L904" s="182" t="s">
        <v>19</v>
      </c>
    </row>
    <row r="905" spans="1:12">
      <c r="A905" s="170" t="s">
        <v>4531</v>
      </c>
      <c r="B905" s="170" t="s">
        <v>4532</v>
      </c>
      <c r="C905" s="170"/>
      <c r="D905" s="170" t="s">
        <v>11</v>
      </c>
      <c r="E905" s="170" t="s">
        <v>12</v>
      </c>
      <c r="H905" s="207" t="s">
        <v>4533</v>
      </c>
      <c r="I905" s="182" t="s">
        <v>10</v>
      </c>
      <c r="J905" s="182" t="s">
        <v>4533</v>
      </c>
      <c r="K905" s="182" t="s">
        <v>4534</v>
      </c>
      <c r="L905" s="182" t="s">
        <v>53</v>
      </c>
    </row>
    <row r="906" spans="1:12">
      <c r="A906" s="170" t="s">
        <v>4535</v>
      </c>
      <c r="B906" s="170" t="s">
        <v>4530</v>
      </c>
      <c r="C906" s="170"/>
      <c r="D906" s="170" t="s">
        <v>11</v>
      </c>
      <c r="E906" s="170" t="s">
        <v>12</v>
      </c>
      <c r="H906" s="207">
        <v>195268</v>
      </c>
      <c r="I906" s="182" t="s">
        <v>4536</v>
      </c>
      <c r="J906" s="182" t="s">
        <v>4537</v>
      </c>
      <c r="K906" s="182" t="s">
        <v>4538</v>
      </c>
      <c r="L906" s="182" t="s">
        <v>415</v>
      </c>
    </row>
    <row r="907" spans="1:12">
      <c r="A907" s="170" t="s">
        <v>4539</v>
      </c>
      <c r="B907" s="170" t="s">
        <v>4540</v>
      </c>
      <c r="C907" s="230" t="s">
        <v>4541</v>
      </c>
      <c r="D907" s="170" t="s">
        <v>11</v>
      </c>
      <c r="E907" s="170" t="s">
        <v>12</v>
      </c>
      <c r="H907" s="207">
        <v>463802</v>
      </c>
      <c r="I907" s="182" t="s">
        <v>4542</v>
      </c>
      <c r="J907" s="182" t="s">
        <v>4543</v>
      </c>
      <c r="K907" s="182" t="s">
        <v>4544</v>
      </c>
      <c r="L907" s="182" t="s">
        <v>15</v>
      </c>
    </row>
    <row r="908" spans="1:12">
      <c r="A908" s="170" t="s">
        <v>4546</v>
      </c>
      <c r="B908" s="170" t="s">
        <v>4547</v>
      </c>
      <c r="C908" s="170"/>
      <c r="D908" s="170" t="s">
        <v>11</v>
      </c>
      <c r="E908" s="170" t="s">
        <v>12</v>
      </c>
      <c r="H908" s="207" t="s">
        <v>4548</v>
      </c>
      <c r="I908" s="182" t="s">
        <v>10</v>
      </c>
      <c r="J908" s="182" t="s">
        <v>4548</v>
      </c>
      <c r="K908" s="182" t="s">
        <v>4549</v>
      </c>
      <c r="L908" s="182" t="s">
        <v>53</v>
      </c>
    </row>
    <row r="909" spans="1:12">
      <c r="A909" s="170" t="s">
        <v>4550</v>
      </c>
      <c r="B909" s="170" t="s">
        <v>4545</v>
      </c>
      <c r="C909" s="170"/>
      <c r="D909" s="170" t="s">
        <v>11</v>
      </c>
      <c r="E909" s="170" t="s">
        <v>12</v>
      </c>
      <c r="H909" s="207">
        <v>478000</v>
      </c>
      <c r="I909" s="182" t="s">
        <v>4551</v>
      </c>
      <c r="J909" s="182" t="s">
        <v>4552</v>
      </c>
      <c r="K909" s="182" t="s">
        <v>4553</v>
      </c>
      <c r="L909" s="182" t="s">
        <v>15</v>
      </c>
    </row>
    <row r="910" spans="1:12">
      <c r="A910" s="170" t="s">
        <v>4554</v>
      </c>
      <c r="B910" s="170" t="s">
        <v>4555</v>
      </c>
      <c r="C910" s="192" t="s">
        <v>4556</v>
      </c>
      <c r="D910" s="170" t="s">
        <v>11</v>
      </c>
      <c r="E910" s="170" t="s">
        <v>12</v>
      </c>
      <c r="H910" s="207">
        <v>506340</v>
      </c>
      <c r="I910" s="182" t="s">
        <v>4557</v>
      </c>
      <c r="J910" s="182" t="s">
        <v>4558</v>
      </c>
      <c r="K910" s="182"/>
      <c r="L910" s="182" t="s">
        <v>15</v>
      </c>
    </row>
    <row r="911" spans="1:12">
      <c r="A911" s="170" t="s">
        <v>4559</v>
      </c>
      <c r="B911" s="170" t="s">
        <v>4560</v>
      </c>
      <c r="C911" s="192" t="s">
        <v>4561</v>
      </c>
      <c r="D911" s="170" t="s">
        <v>11</v>
      </c>
      <c r="E911" s="170" t="s">
        <v>12</v>
      </c>
      <c r="H911" s="207">
        <v>652812</v>
      </c>
      <c r="I911" s="182" t="s">
        <v>4562</v>
      </c>
      <c r="J911" s="182" t="s">
        <v>4563</v>
      </c>
      <c r="K911" s="182" t="s">
        <v>4564</v>
      </c>
      <c r="L911" s="182" t="s">
        <v>15</v>
      </c>
    </row>
    <row r="912" spans="1:12">
      <c r="A912" s="170" t="s">
        <v>4565</v>
      </c>
      <c r="B912" s="170" t="s">
        <v>4566</v>
      </c>
      <c r="C912" s="170"/>
      <c r="D912" s="170" t="s">
        <v>11</v>
      </c>
      <c r="E912" s="170" t="s">
        <v>12</v>
      </c>
      <c r="H912" s="207">
        <v>493357</v>
      </c>
      <c r="I912" s="182" t="s">
        <v>4567</v>
      </c>
      <c r="J912" s="182" t="s">
        <v>4568</v>
      </c>
      <c r="K912" s="182"/>
      <c r="L912" s="182" t="s">
        <v>15</v>
      </c>
    </row>
    <row r="913" spans="1:12">
      <c r="A913" s="170" t="s">
        <v>4569</v>
      </c>
      <c r="B913" s="170" t="s">
        <v>4570</v>
      </c>
      <c r="C913" s="192" t="s">
        <v>4571</v>
      </c>
      <c r="D913" s="170" t="s">
        <v>11</v>
      </c>
      <c r="E913" s="170" t="s">
        <v>12</v>
      </c>
      <c r="H913" s="207">
        <v>459216</v>
      </c>
      <c r="I913" s="182" t="s">
        <v>4572</v>
      </c>
      <c r="J913" s="182" t="s">
        <v>4573</v>
      </c>
      <c r="K913" s="182" t="s">
        <v>4574</v>
      </c>
      <c r="L913" s="182" t="s">
        <v>15</v>
      </c>
    </row>
    <row r="914" spans="1:12">
      <c r="A914" s="170" t="s">
        <v>4575</v>
      </c>
      <c r="B914" s="170" t="s">
        <v>4576</v>
      </c>
      <c r="C914" s="192" t="s">
        <v>4577</v>
      </c>
      <c r="D914" s="170" t="s">
        <v>11</v>
      </c>
      <c r="E914" s="170" t="s">
        <v>12</v>
      </c>
      <c r="H914" s="207">
        <v>156921</v>
      </c>
      <c r="I914" s="182" t="s">
        <v>4578</v>
      </c>
      <c r="J914" s="182" t="s">
        <v>4579</v>
      </c>
      <c r="K914" s="182" t="s">
        <v>4580</v>
      </c>
      <c r="L914" s="182" t="s">
        <v>15</v>
      </c>
    </row>
    <row r="915" spans="1:12">
      <c r="A915" s="170" t="s">
        <v>4581</v>
      </c>
      <c r="B915" s="170" t="s">
        <v>4582</v>
      </c>
      <c r="C915" s="170"/>
      <c r="D915" s="170" t="s">
        <v>11</v>
      </c>
      <c r="E915" s="170" t="s">
        <v>12</v>
      </c>
      <c r="H915" s="207">
        <v>472500</v>
      </c>
      <c r="I915" s="182" t="s">
        <v>4583</v>
      </c>
      <c r="J915" s="182" t="s">
        <v>4584</v>
      </c>
      <c r="K915" s="182" t="s">
        <v>4585</v>
      </c>
      <c r="L915" s="182" t="s">
        <v>15</v>
      </c>
    </row>
    <row r="916" spans="1:12">
      <c r="A916" s="170" t="s">
        <v>4586</v>
      </c>
      <c r="B916" s="170" t="s">
        <v>4587</v>
      </c>
      <c r="C916" s="192" t="s">
        <v>4588</v>
      </c>
      <c r="D916" s="170" t="s">
        <v>11</v>
      </c>
      <c r="E916" s="170" t="s">
        <v>12</v>
      </c>
      <c r="H916" s="207">
        <v>478453</v>
      </c>
      <c r="I916" s="182" t="s">
        <v>4589</v>
      </c>
      <c r="J916" s="182" t="s">
        <v>4590</v>
      </c>
      <c r="K916" s="182" t="s">
        <v>4591</v>
      </c>
      <c r="L916" s="182" t="s">
        <v>15</v>
      </c>
    </row>
    <row r="917" spans="1:12">
      <c r="A917" s="170" t="s">
        <v>4592</v>
      </c>
      <c r="B917" s="170" t="s">
        <v>4593</v>
      </c>
      <c r="C917" s="192" t="s">
        <v>4594</v>
      </c>
      <c r="D917" s="170" t="s">
        <v>11</v>
      </c>
      <c r="E917" s="170" t="s">
        <v>12</v>
      </c>
      <c r="H917" s="207" t="s">
        <v>4595</v>
      </c>
      <c r="I917" s="182" t="s">
        <v>4596</v>
      </c>
      <c r="J917" s="182" t="s">
        <v>4595</v>
      </c>
      <c r="K917" s="182" t="s">
        <v>4597</v>
      </c>
      <c r="L917" s="182" t="s">
        <v>15</v>
      </c>
    </row>
    <row r="918" spans="1:12">
      <c r="A918" s="170" t="s">
        <v>4598</v>
      </c>
      <c r="B918" s="170" t="s">
        <v>4599</v>
      </c>
      <c r="C918" s="170"/>
      <c r="D918" s="170" t="s">
        <v>11</v>
      </c>
      <c r="E918" s="170" t="s">
        <v>12</v>
      </c>
      <c r="H918" s="207">
        <v>507807</v>
      </c>
      <c r="I918" s="182" t="s">
        <v>4600</v>
      </c>
      <c r="J918" s="182" t="s">
        <v>4601</v>
      </c>
      <c r="K918" s="182"/>
      <c r="L918" s="182" t="s">
        <v>15</v>
      </c>
    </row>
    <row r="919" spans="1:12">
      <c r="A919" s="170" t="s">
        <v>4602</v>
      </c>
      <c r="B919" s="170" t="s">
        <v>4603</v>
      </c>
      <c r="C919" s="192" t="s">
        <v>4604</v>
      </c>
      <c r="D919" s="170" t="s">
        <v>11</v>
      </c>
      <c r="E919" s="170" t="s">
        <v>12</v>
      </c>
      <c r="H919" s="207" t="s">
        <v>4605</v>
      </c>
      <c r="I919" s="182" t="s">
        <v>10</v>
      </c>
      <c r="J919" s="182" t="s">
        <v>4605</v>
      </c>
      <c r="K919" s="182" t="s">
        <v>4606</v>
      </c>
      <c r="L919" s="182" t="s">
        <v>19</v>
      </c>
    </row>
    <row r="920" spans="1:12">
      <c r="A920" s="170" t="s">
        <v>4607</v>
      </c>
      <c r="B920" s="170" t="s">
        <v>4608</v>
      </c>
      <c r="C920" s="192" t="s">
        <v>4609</v>
      </c>
      <c r="D920" s="170" t="s">
        <v>11</v>
      </c>
      <c r="E920" s="170" t="s">
        <v>12</v>
      </c>
      <c r="H920" s="207">
        <v>408151</v>
      </c>
      <c r="I920" s="182" t="s">
        <v>4610</v>
      </c>
      <c r="J920" s="182" t="s">
        <v>4611</v>
      </c>
      <c r="K920" s="182" t="s">
        <v>4612</v>
      </c>
      <c r="L920" s="182" t="s">
        <v>15</v>
      </c>
    </row>
    <row r="921" spans="1:12">
      <c r="A921" s="170" t="s">
        <v>4614</v>
      </c>
      <c r="B921" s="170" t="s">
        <v>4615</v>
      </c>
      <c r="C921" s="170"/>
      <c r="D921" s="170" t="s">
        <v>11</v>
      </c>
      <c r="E921" s="170" t="s">
        <v>12</v>
      </c>
      <c r="H921" s="207">
        <v>508839</v>
      </c>
      <c r="I921" s="182" t="s">
        <v>4616</v>
      </c>
      <c r="J921" s="182" t="s">
        <v>4617</v>
      </c>
      <c r="K921" s="182" t="s">
        <v>4618</v>
      </c>
      <c r="L921" s="182" t="s">
        <v>15</v>
      </c>
    </row>
    <row r="922" spans="1:12">
      <c r="A922" s="170" t="s">
        <v>4619</v>
      </c>
      <c r="B922" s="170" t="s">
        <v>4620</v>
      </c>
      <c r="C922" s="192" t="s">
        <v>4621</v>
      </c>
      <c r="D922" s="170" t="s">
        <v>11</v>
      </c>
      <c r="E922" s="170" t="s">
        <v>12</v>
      </c>
      <c r="H922" s="207" t="s">
        <v>4622</v>
      </c>
      <c r="I922" s="182" t="s">
        <v>10</v>
      </c>
      <c r="J922" s="182" t="s">
        <v>4622</v>
      </c>
      <c r="K922" s="182" t="s">
        <v>4623</v>
      </c>
      <c r="L922" s="182" t="s">
        <v>19</v>
      </c>
    </row>
    <row r="923" spans="1:12">
      <c r="A923" s="170" t="s">
        <v>4624</v>
      </c>
      <c r="B923" s="170" t="s">
        <v>4625</v>
      </c>
      <c r="C923" s="192" t="s">
        <v>4626</v>
      </c>
      <c r="D923" s="170" t="s">
        <v>11</v>
      </c>
      <c r="E923" s="170" t="s">
        <v>12</v>
      </c>
      <c r="H923" s="207">
        <v>505414</v>
      </c>
      <c r="I923" s="182" t="s">
        <v>4627</v>
      </c>
      <c r="J923" s="182" t="s">
        <v>4628</v>
      </c>
      <c r="K923" s="182" t="s">
        <v>4629</v>
      </c>
      <c r="L923" s="182" t="s">
        <v>15</v>
      </c>
    </row>
    <row r="924" spans="1:12">
      <c r="A924" s="170" t="s">
        <v>4630</v>
      </c>
      <c r="B924" s="170" t="s">
        <v>4631</v>
      </c>
      <c r="C924" s="170"/>
      <c r="D924" s="170" t="s">
        <v>11</v>
      </c>
      <c r="E924" s="170" t="s">
        <v>12</v>
      </c>
      <c r="H924" s="207">
        <v>513700</v>
      </c>
      <c r="I924" s="182" t="s">
        <v>4632</v>
      </c>
      <c r="J924" s="182" t="s">
        <v>4633</v>
      </c>
      <c r="K924" s="182"/>
      <c r="L924" s="182" t="s">
        <v>15</v>
      </c>
    </row>
    <row r="925" spans="1:12">
      <c r="A925" s="170" t="s">
        <v>4634</v>
      </c>
      <c r="B925" s="170" t="s">
        <v>4635</v>
      </c>
      <c r="C925" s="231" t="s">
        <v>4636</v>
      </c>
      <c r="D925" s="170" t="s">
        <v>11</v>
      </c>
      <c r="E925" s="170" t="s">
        <v>12</v>
      </c>
      <c r="H925" s="207">
        <v>482625</v>
      </c>
      <c r="I925" s="182" t="s">
        <v>4637</v>
      </c>
      <c r="J925" s="182" t="s">
        <v>4638</v>
      </c>
      <c r="K925" s="182" t="s">
        <v>4639</v>
      </c>
      <c r="L925" s="182" t="s">
        <v>15</v>
      </c>
    </row>
    <row r="926" spans="1:12">
      <c r="A926" s="170" t="s">
        <v>4640</v>
      </c>
      <c r="B926" s="170" t="s">
        <v>4641</v>
      </c>
      <c r="C926" s="192" t="s">
        <v>4642</v>
      </c>
      <c r="D926" s="170" t="s">
        <v>11</v>
      </c>
      <c r="E926" s="170" t="s">
        <v>12</v>
      </c>
      <c r="H926" s="207">
        <v>446127</v>
      </c>
      <c r="I926" s="182" t="s">
        <v>4643</v>
      </c>
      <c r="J926" s="182" t="s">
        <v>4644</v>
      </c>
      <c r="K926" s="182" t="s">
        <v>4645</v>
      </c>
      <c r="L926" s="182" t="s">
        <v>15</v>
      </c>
    </row>
    <row r="927" spans="1:12">
      <c r="A927" s="170" t="s">
        <v>4646</v>
      </c>
      <c r="B927" s="170" t="s">
        <v>4647</v>
      </c>
      <c r="C927" s="170"/>
      <c r="D927" s="170" t="s">
        <v>11</v>
      </c>
      <c r="E927" s="170" t="s">
        <v>12</v>
      </c>
      <c r="H927" s="207">
        <v>478464</v>
      </c>
      <c r="I927" s="182" t="s">
        <v>4648</v>
      </c>
      <c r="J927" s="182" t="s">
        <v>4649</v>
      </c>
      <c r="K927" s="182" t="s">
        <v>4650</v>
      </c>
      <c r="L927" s="182" t="s">
        <v>15</v>
      </c>
    </row>
    <row r="928" spans="1:12">
      <c r="A928" s="170" t="s">
        <v>4651</v>
      </c>
      <c r="B928" s="170" t="s">
        <v>4652</v>
      </c>
      <c r="C928" t="s">
        <v>4653</v>
      </c>
      <c r="D928" s="170" t="s">
        <v>11</v>
      </c>
      <c r="E928" s="170" t="s">
        <v>12</v>
      </c>
      <c r="H928" s="207" t="s">
        <v>4654</v>
      </c>
      <c r="I928" s="182" t="s">
        <v>10</v>
      </c>
      <c r="J928" s="182" t="s">
        <v>4654</v>
      </c>
      <c r="K928" s="182" t="s">
        <v>4655</v>
      </c>
      <c r="L928" s="182" t="s">
        <v>19</v>
      </c>
    </row>
    <row r="929" spans="1:12">
      <c r="A929" s="170" t="s">
        <v>4656</v>
      </c>
      <c r="B929" s="170" t="s">
        <v>4657</v>
      </c>
      <c r="C929" s="170"/>
      <c r="D929" s="170" t="s">
        <v>11</v>
      </c>
      <c r="E929" s="170" t="s">
        <v>12</v>
      </c>
      <c r="H929" s="207">
        <v>216556</v>
      </c>
      <c r="I929" s="182" t="s">
        <v>4658</v>
      </c>
      <c r="J929" s="182" t="s">
        <v>4659</v>
      </c>
      <c r="K929" s="182" t="s">
        <v>4660</v>
      </c>
      <c r="L929" s="182" t="s">
        <v>15</v>
      </c>
    </row>
    <row r="930" spans="1:12">
      <c r="A930" s="170" t="s">
        <v>4661</v>
      </c>
      <c r="B930" s="170" t="s">
        <v>4662</v>
      </c>
      <c r="C930" s="170"/>
      <c r="D930" s="170" t="s">
        <v>11</v>
      </c>
      <c r="E930" s="170" t="s">
        <v>12</v>
      </c>
      <c r="H930" s="207">
        <v>508172</v>
      </c>
      <c r="I930" s="182" t="s">
        <v>4663</v>
      </c>
      <c r="J930" s="182" t="s">
        <v>4664</v>
      </c>
      <c r="K930" s="182"/>
      <c r="L930" s="182" t="s">
        <v>15</v>
      </c>
    </row>
    <row r="931" spans="1:12">
      <c r="A931" s="170" t="s">
        <v>4665</v>
      </c>
      <c r="B931" s="170" t="s">
        <v>4666</v>
      </c>
      <c r="C931" s="178" t="s">
        <v>10</v>
      </c>
      <c r="D931" s="170" t="s">
        <v>11</v>
      </c>
      <c r="E931" s="170" t="s">
        <v>12</v>
      </c>
      <c r="H931" s="207">
        <v>518661</v>
      </c>
      <c r="I931" s="182" t="s">
        <v>4667</v>
      </c>
      <c r="J931" s="182" t="s">
        <v>4668</v>
      </c>
      <c r="K931" s="182" t="s">
        <v>4669</v>
      </c>
      <c r="L931" s="182" t="s">
        <v>15</v>
      </c>
    </row>
    <row r="932" spans="1:12">
      <c r="A932" s="170" t="s">
        <v>4670</v>
      </c>
      <c r="B932" s="170" t="s">
        <v>4671</v>
      </c>
      <c r="C932" s="178" t="s">
        <v>10</v>
      </c>
      <c r="D932" s="170" t="s">
        <v>11</v>
      </c>
      <c r="E932" s="170" t="s">
        <v>12</v>
      </c>
      <c r="H932" s="207">
        <v>433771</v>
      </c>
      <c r="I932" s="182" t="s">
        <v>4672</v>
      </c>
      <c r="J932" s="182" t="s">
        <v>4673</v>
      </c>
      <c r="K932" s="182"/>
      <c r="L932" s="182" t="s">
        <v>15</v>
      </c>
    </row>
    <row r="933" spans="1:12">
      <c r="A933" s="170" t="s">
        <v>4674</v>
      </c>
      <c r="B933" s="170" t="s">
        <v>4675</v>
      </c>
      <c r="C933" s="178" t="s">
        <v>10</v>
      </c>
      <c r="D933" s="170" t="s">
        <v>11</v>
      </c>
      <c r="E933" s="170" t="s">
        <v>12</v>
      </c>
      <c r="H933" s="207" t="s">
        <v>4676</v>
      </c>
      <c r="I933" s="182" t="s">
        <v>10</v>
      </c>
      <c r="J933" s="182" t="s">
        <v>4676</v>
      </c>
      <c r="K933" s="182" t="s">
        <v>4677</v>
      </c>
      <c r="L933" s="182" t="s">
        <v>19</v>
      </c>
    </row>
    <row r="934" spans="1:12">
      <c r="A934" s="170" t="s">
        <v>4678</v>
      </c>
      <c r="B934" s="170" t="s">
        <v>4679</v>
      </c>
      <c r="C934" s="178" t="s">
        <v>10</v>
      </c>
      <c r="D934" s="170" t="s">
        <v>11</v>
      </c>
      <c r="E934" s="170" t="s">
        <v>12</v>
      </c>
      <c r="H934" s="207">
        <v>748290</v>
      </c>
      <c r="I934" s="182" t="s">
        <v>4680</v>
      </c>
      <c r="J934" s="182" t="s">
        <v>4681</v>
      </c>
      <c r="K934" s="182" t="s">
        <v>4682</v>
      </c>
      <c r="L934" s="182" t="s">
        <v>15</v>
      </c>
    </row>
    <row r="935" spans="1:12">
      <c r="A935" s="170" t="s">
        <v>4683</v>
      </c>
      <c r="B935" s="170" t="s">
        <v>4684</v>
      </c>
      <c r="C935" s="178" t="s">
        <v>10</v>
      </c>
      <c r="D935" s="170" t="s">
        <v>11</v>
      </c>
      <c r="E935" s="170" t="s">
        <v>12</v>
      </c>
      <c r="H935" s="207" t="s">
        <v>4685</v>
      </c>
      <c r="I935" s="182" t="s">
        <v>10</v>
      </c>
      <c r="J935" s="182" t="s">
        <v>4685</v>
      </c>
      <c r="K935" s="182" t="s">
        <v>4686</v>
      </c>
      <c r="L935" s="182" t="s">
        <v>19</v>
      </c>
    </row>
    <row r="936" spans="1:12">
      <c r="A936" s="170" t="s">
        <v>4687</v>
      </c>
      <c r="B936" s="170" t="s">
        <v>4688</v>
      </c>
      <c r="C936" s="178" t="s">
        <v>10</v>
      </c>
      <c r="D936" s="170" t="s">
        <v>11</v>
      </c>
      <c r="E936" s="170" t="s">
        <v>12</v>
      </c>
      <c r="H936" s="207" t="s">
        <v>4689</v>
      </c>
      <c r="I936" s="182" t="s">
        <v>10</v>
      </c>
      <c r="J936" s="182" t="s">
        <v>4689</v>
      </c>
      <c r="K936" s="182" t="s">
        <v>4690</v>
      </c>
      <c r="L936" s="182" t="s">
        <v>53</v>
      </c>
    </row>
    <row r="937" spans="1:12">
      <c r="A937" s="170" t="s">
        <v>4691</v>
      </c>
      <c r="B937" s="170" t="s">
        <v>4692</v>
      </c>
      <c r="C937" s="225" t="s">
        <v>4693</v>
      </c>
      <c r="D937" s="170" t="s">
        <v>11</v>
      </c>
      <c r="E937" s="170" t="s">
        <v>12</v>
      </c>
      <c r="H937" s="207" t="s">
        <v>4694</v>
      </c>
      <c r="I937" s="182" t="s">
        <v>4695</v>
      </c>
      <c r="J937" s="182" t="s">
        <v>4696</v>
      </c>
      <c r="K937" s="182" t="s">
        <v>4697</v>
      </c>
      <c r="L937" s="182" t="s">
        <v>15</v>
      </c>
    </row>
    <row r="938" spans="1:12">
      <c r="A938" s="170" t="s">
        <v>4698</v>
      </c>
      <c r="B938" s="170" t="s">
        <v>4699</v>
      </c>
      <c r="C938" s="170"/>
      <c r="D938" s="170" t="s">
        <v>11</v>
      </c>
      <c r="E938" s="170" t="s">
        <v>12</v>
      </c>
      <c r="H938" s="207">
        <v>505752</v>
      </c>
      <c r="I938" s="182" t="s">
        <v>4700</v>
      </c>
      <c r="J938" s="182" t="s">
        <v>4701</v>
      </c>
      <c r="K938" s="182" t="s">
        <v>4702</v>
      </c>
      <c r="L938" s="182" t="s">
        <v>15</v>
      </c>
    </row>
    <row r="939" spans="1:12">
      <c r="A939" s="170" t="s">
        <v>4703</v>
      </c>
      <c r="B939" s="170" t="s">
        <v>4704</v>
      </c>
      <c r="C939" s="170"/>
      <c r="D939" s="170" t="s">
        <v>11</v>
      </c>
      <c r="E939" s="170" t="s">
        <v>12</v>
      </c>
      <c r="H939" s="207" t="s">
        <v>4705</v>
      </c>
      <c r="I939" s="182" t="s">
        <v>10</v>
      </c>
      <c r="J939" s="182" t="s">
        <v>4705</v>
      </c>
      <c r="K939" s="182" t="s">
        <v>4706</v>
      </c>
      <c r="L939" s="182" t="s">
        <v>19</v>
      </c>
    </row>
    <row r="940" spans="1:12">
      <c r="A940" s="170" t="s">
        <v>4707</v>
      </c>
      <c r="B940" s="170" t="s">
        <v>4708</v>
      </c>
      <c r="C940" s="192" t="s">
        <v>4709</v>
      </c>
      <c r="D940" s="170" t="s">
        <v>11</v>
      </c>
      <c r="E940" s="170" t="s">
        <v>12</v>
      </c>
      <c r="H940" s="207">
        <v>499584</v>
      </c>
      <c r="I940" s="182" t="s">
        <v>4710</v>
      </c>
      <c r="J940" s="182" t="s">
        <v>4711</v>
      </c>
      <c r="K940" s="182" t="s">
        <v>4712</v>
      </c>
      <c r="L940" s="182" t="s">
        <v>15</v>
      </c>
    </row>
    <row r="941" spans="1:12">
      <c r="A941" s="170" t="s">
        <v>4713</v>
      </c>
      <c r="B941" s="170" t="s">
        <v>4714</v>
      </c>
      <c r="C941" s="170"/>
      <c r="D941" s="170" t="s">
        <v>11</v>
      </c>
      <c r="E941" s="170" t="s">
        <v>12</v>
      </c>
      <c r="H941" s="207">
        <v>493502</v>
      </c>
      <c r="I941" s="182" t="s">
        <v>4715</v>
      </c>
      <c r="J941" s="182" t="s">
        <v>4716</v>
      </c>
      <c r="K941" s="182" t="s">
        <v>4717</v>
      </c>
      <c r="L941" s="182" t="s">
        <v>15</v>
      </c>
    </row>
    <row r="942" spans="1:12">
      <c r="A942" s="170" t="s">
        <v>4718</v>
      </c>
      <c r="B942" s="170" t="s">
        <v>4719</v>
      </c>
      <c r="C942" s="170"/>
      <c r="D942" s="170" t="s">
        <v>11</v>
      </c>
      <c r="E942" s="170" t="s">
        <v>12</v>
      </c>
      <c r="H942" s="207" t="s">
        <v>4720</v>
      </c>
      <c r="I942" s="182" t="s">
        <v>10</v>
      </c>
      <c r="J942" s="182" t="s">
        <v>4720</v>
      </c>
      <c r="K942" s="182" t="s">
        <v>4721</v>
      </c>
      <c r="L942" s="182" t="s">
        <v>19</v>
      </c>
    </row>
    <row r="943" spans="1:12">
      <c r="A943" s="170" t="s">
        <v>4722</v>
      </c>
      <c r="B943" s="170" t="s">
        <v>4723</v>
      </c>
      <c r="C943" s="192" t="s">
        <v>4724</v>
      </c>
      <c r="D943" s="170" t="s">
        <v>11</v>
      </c>
      <c r="E943" s="170" t="s">
        <v>12</v>
      </c>
      <c r="H943" s="207">
        <v>513639</v>
      </c>
      <c r="I943" s="182" t="s">
        <v>4725</v>
      </c>
      <c r="J943" s="182" t="s">
        <v>4726</v>
      </c>
      <c r="K943" s="182" t="s">
        <v>4727</v>
      </c>
      <c r="L943" s="182" t="s">
        <v>15</v>
      </c>
    </row>
    <row r="944" spans="1:12">
      <c r="A944" s="170" t="s">
        <v>4728</v>
      </c>
      <c r="B944" s="170" t="s">
        <v>4729</v>
      </c>
      <c r="C944" s="170"/>
      <c r="D944" s="170" t="s">
        <v>11</v>
      </c>
      <c r="E944" s="170" t="s">
        <v>12</v>
      </c>
      <c r="H944" s="207">
        <v>812007</v>
      </c>
      <c r="I944" s="182" t="s">
        <v>4730</v>
      </c>
      <c r="J944" s="182" t="s">
        <v>4731</v>
      </c>
      <c r="K944" s="182" t="s">
        <v>4732</v>
      </c>
      <c r="L944" s="182" t="s">
        <v>15</v>
      </c>
    </row>
    <row r="945" spans="1:12">
      <c r="A945" s="170" t="s">
        <v>4733</v>
      </c>
      <c r="B945" s="170" t="s">
        <v>4734</v>
      </c>
      <c r="C945" s="170"/>
      <c r="D945" s="170" t="s">
        <v>11</v>
      </c>
      <c r="E945" s="170" t="s">
        <v>12</v>
      </c>
      <c r="H945" s="207">
        <v>469156</v>
      </c>
      <c r="I945" s="182" t="s">
        <v>4735</v>
      </c>
      <c r="J945" s="182" t="s">
        <v>4736</v>
      </c>
      <c r="K945" s="182"/>
      <c r="L945" s="182" t="s">
        <v>15</v>
      </c>
    </row>
    <row r="946" spans="1:12">
      <c r="A946" s="170" t="s">
        <v>4737</v>
      </c>
      <c r="B946" s="170" t="s">
        <v>4738</v>
      </c>
      <c r="C946" s="192" t="s">
        <v>4739</v>
      </c>
      <c r="D946" s="170" t="s">
        <v>11</v>
      </c>
      <c r="E946" s="170" t="s">
        <v>12</v>
      </c>
      <c r="H946" s="207">
        <v>465359</v>
      </c>
      <c r="I946" s="182" t="s">
        <v>4740</v>
      </c>
      <c r="J946" s="182" t="s">
        <v>4741</v>
      </c>
      <c r="K946" s="182" t="s">
        <v>4742</v>
      </c>
      <c r="L946" s="182" t="s">
        <v>15</v>
      </c>
    </row>
    <row r="947" spans="1:12">
      <c r="A947" s="170" t="s">
        <v>4743</v>
      </c>
      <c r="B947" s="170" t="s">
        <v>4744</v>
      </c>
      <c r="C947" s="170"/>
      <c r="D947" s="170" t="s">
        <v>11</v>
      </c>
      <c r="E947" s="170" t="s">
        <v>12</v>
      </c>
      <c r="H947" s="207">
        <v>500972</v>
      </c>
      <c r="I947" s="182" t="s">
        <v>4745</v>
      </c>
      <c r="J947" s="182" t="s">
        <v>4746</v>
      </c>
      <c r="K947" s="182" t="s">
        <v>4747</v>
      </c>
      <c r="L947" s="182" t="s">
        <v>15</v>
      </c>
    </row>
    <row r="948" spans="1:12">
      <c r="A948" s="170" t="s">
        <v>4748</v>
      </c>
      <c r="B948" s="170" t="s">
        <v>4749</v>
      </c>
      <c r="C948" s="170"/>
      <c r="D948" s="170" t="s">
        <v>11</v>
      </c>
      <c r="E948" s="170" t="s">
        <v>12</v>
      </c>
      <c r="H948" s="207">
        <v>508030</v>
      </c>
      <c r="I948" s="182" t="s">
        <v>4750</v>
      </c>
      <c r="J948" s="182" t="s">
        <v>4751</v>
      </c>
      <c r="K948" s="182" t="s">
        <v>4752</v>
      </c>
      <c r="L948" s="182" t="s">
        <v>15</v>
      </c>
    </row>
    <row r="949" spans="1:12">
      <c r="A949" s="170" t="s">
        <v>4753</v>
      </c>
      <c r="B949" s="170" t="s">
        <v>4754</v>
      </c>
      <c r="C949" s="192" t="s">
        <v>4755</v>
      </c>
      <c r="D949" s="170" t="s">
        <v>11</v>
      </c>
      <c r="E949" s="170" t="s">
        <v>12</v>
      </c>
      <c r="H949" s="207">
        <v>504292</v>
      </c>
      <c r="I949" s="182" t="s">
        <v>4756</v>
      </c>
      <c r="J949" s="182" t="s">
        <v>4757</v>
      </c>
      <c r="K949" s="182" t="s">
        <v>4758</v>
      </c>
      <c r="L949" s="182" t="s">
        <v>15</v>
      </c>
    </row>
    <row r="950" spans="1:12">
      <c r="A950" s="170" t="s">
        <v>4759</v>
      </c>
      <c r="B950" s="170" t="s">
        <v>4760</v>
      </c>
      <c r="C950" s="232" t="s">
        <v>4761</v>
      </c>
      <c r="D950" s="170" t="s">
        <v>11</v>
      </c>
      <c r="E950" s="170" t="s">
        <v>12</v>
      </c>
      <c r="H950" s="207">
        <v>497634</v>
      </c>
      <c r="I950" s="182" t="s">
        <v>4762</v>
      </c>
      <c r="J950" s="182" t="s">
        <v>4763</v>
      </c>
      <c r="K950" s="182" t="s">
        <v>4764</v>
      </c>
      <c r="L950" s="182" t="s">
        <v>415</v>
      </c>
    </row>
    <row r="951" spans="1:12">
      <c r="A951" s="170" t="s">
        <v>4765</v>
      </c>
      <c r="B951" s="170" t="s">
        <v>4766</v>
      </c>
      <c r="C951" s="170"/>
      <c r="D951" s="170" t="s">
        <v>11</v>
      </c>
      <c r="E951" s="170" t="s">
        <v>12</v>
      </c>
      <c r="H951" s="207">
        <v>410162</v>
      </c>
      <c r="I951" s="182" t="s">
        <v>4767</v>
      </c>
      <c r="J951" s="182" t="s">
        <v>4768</v>
      </c>
      <c r="K951" s="182" t="s">
        <v>4769</v>
      </c>
      <c r="L951" s="182" t="s">
        <v>15</v>
      </c>
    </row>
    <row r="952" spans="1:12">
      <c r="A952" s="170" t="s">
        <v>4770</v>
      </c>
      <c r="B952" s="170" t="s">
        <v>4771</v>
      </c>
      <c r="C952" s="230" t="s">
        <v>4772</v>
      </c>
      <c r="D952" s="170" t="s">
        <v>11</v>
      </c>
      <c r="E952" s="170" t="s">
        <v>12</v>
      </c>
      <c r="H952" s="207">
        <v>507542</v>
      </c>
      <c r="I952" s="182" t="s">
        <v>4773</v>
      </c>
      <c r="J952" s="182" t="s">
        <v>4774</v>
      </c>
      <c r="K952" s="182" t="s">
        <v>4775</v>
      </c>
      <c r="L952" s="182" t="s">
        <v>15</v>
      </c>
    </row>
    <row r="953" spans="1:12">
      <c r="A953" s="170" t="s">
        <v>4777</v>
      </c>
      <c r="B953" s="170" t="s">
        <v>4778</v>
      </c>
      <c r="C953" s="230" t="s">
        <v>4779</v>
      </c>
      <c r="D953" s="170" t="s">
        <v>11</v>
      </c>
      <c r="E953" s="170" t="s">
        <v>12</v>
      </c>
      <c r="H953" s="207" t="s">
        <v>4780</v>
      </c>
      <c r="I953" s="182" t="s">
        <v>10</v>
      </c>
      <c r="J953" s="182" t="s">
        <v>4780</v>
      </c>
      <c r="K953" s="182" t="s">
        <v>4781</v>
      </c>
      <c r="L953" s="182" t="s">
        <v>15</v>
      </c>
    </row>
    <row r="954" spans="1:12">
      <c r="A954" s="170" t="s">
        <v>4782</v>
      </c>
      <c r="B954" s="170" t="s">
        <v>4776</v>
      </c>
      <c r="C954" s="170"/>
      <c r="D954" s="170" t="s">
        <v>11</v>
      </c>
      <c r="E954" s="170" t="s">
        <v>12</v>
      </c>
      <c r="H954" s="207">
        <v>465234</v>
      </c>
      <c r="I954" s="182" t="s">
        <v>4783</v>
      </c>
      <c r="J954" s="182" t="s">
        <v>4784</v>
      </c>
      <c r="K954" s="182"/>
      <c r="L954" s="182" t="s">
        <v>15</v>
      </c>
    </row>
    <row r="955" spans="1:12">
      <c r="A955" s="170" t="s">
        <v>4785</v>
      </c>
      <c r="B955" s="170" t="s">
        <v>4786</v>
      </c>
      <c r="C955" s="230" t="s">
        <v>4787</v>
      </c>
      <c r="D955" s="170" t="s">
        <v>11</v>
      </c>
      <c r="E955" s="170" t="s">
        <v>12</v>
      </c>
      <c r="H955" s="207">
        <v>514113</v>
      </c>
      <c r="I955" s="182" t="s">
        <v>104</v>
      </c>
      <c r="J955" s="182" t="s">
        <v>4788</v>
      </c>
      <c r="K955" s="182" t="s">
        <v>4789</v>
      </c>
      <c r="L955" s="182" t="s">
        <v>15</v>
      </c>
    </row>
    <row r="956" spans="1:12">
      <c r="A956" s="170" t="s">
        <v>4791</v>
      </c>
      <c r="B956" s="170" t="s">
        <v>4792</v>
      </c>
      <c r="D956" s="170" t="s">
        <v>11</v>
      </c>
      <c r="E956" s="170" t="s">
        <v>12</v>
      </c>
      <c r="H956" s="207" t="s">
        <v>4794</v>
      </c>
      <c r="I956" s="182" t="s">
        <v>10</v>
      </c>
      <c r="J956" s="182" t="s">
        <v>4794</v>
      </c>
      <c r="K956" s="182" t="s">
        <v>4795</v>
      </c>
      <c r="L956" s="182" t="s">
        <v>19</v>
      </c>
    </row>
    <row r="957" spans="1:12">
      <c r="A957" s="170" t="s">
        <v>4796</v>
      </c>
      <c r="B957" s="170" t="s">
        <v>4790</v>
      </c>
      <c r="C957" s="230" t="s">
        <v>4793</v>
      </c>
      <c r="D957" s="170" t="s">
        <v>11</v>
      </c>
      <c r="E957" s="170" t="s">
        <v>12</v>
      </c>
      <c r="H957" s="207">
        <v>501462</v>
      </c>
      <c r="I957" s="182" t="s">
        <v>4797</v>
      </c>
      <c r="J957" s="182" t="s">
        <v>4798</v>
      </c>
      <c r="K957" s="182" t="s">
        <v>4799</v>
      </c>
      <c r="L957" s="182" t="s">
        <v>15</v>
      </c>
    </row>
    <row r="958" spans="1:12">
      <c r="A958" s="170" t="s">
        <v>4800</v>
      </c>
      <c r="B958" s="170" t="s">
        <v>4801</v>
      </c>
      <c r="C958" s="230" t="s">
        <v>4802</v>
      </c>
      <c r="D958" s="170" t="s">
        <v>11</v>
      </c>
      <c r="E958" s="170" t="s">
        <v>12</v>
      </c>
      <c r="H958" s="207" t="s">
        <v>4803</v>
      </c>
      <c r="I958" s="182" t="s">
        <v>10</v>
      </c>
      <c r="J958" s="182" t="s">
        <v>4803</v>
      </c>
      <c r="K958" s="182" t="s">
        <v>4804</v>
      </c>
      <c r="L958" s="182" t="s">
        <v>53</v>
      </c>
    </row>
    <row r="959" spans="1:12">
      <c r="A959" s="170" t="s">
        <v>4806</v>
      </c>
      <c r="B959" s="170" t="s">
        <v>4807</v>
      </c>
      <c r="C959" s="230" t="s">
        <v>4808</v>
      </c>
      <c r="D959" s="170" t="s">
        <v>11</v>
      </c>
      <c r="E959" s="170" t="s">
        <v>12</v>
      </c>
      <c r="H959" s="207">
        <v>473912</v>
      </c>
      <c r="I959" s="182" t="s">
        <v>4809</v>
      </c>
      <c r="J959" s="182" t="s">
        <v>4810</v>
      </c>
      <c r="K959" s="182" t="s">
        <v>4811</v>
      </c>
      <c r="L959" s="182" t="s">
        <v>15</v>
      </c>
    </row>
    <row r="960" spans="1:12">
      <c r="A960" s="170" t="s">
        <v>4812</v>
      </c>
      <c r="B960" s="170" t="s">
        <v>4805</v>
      </c>
      <c r="C960" s="170"/>
      <c r="D960" s="170" t="s">
        <v>11</v>
      </c>
      <c r="E960" s="170" t="s">
        <v>12</v>
      </c>
      <c r="H960" s="207">
        <v>900006</v>
      </c>
      <c r="I960" s="182" t="s">
        <v>4813</v>
      </c>
      <c r="J960" s="182" t="s">
        <v>4814</v>
      </c>
      <c r="K960" s="182" t="s">
        <v>4815</v>
      </c>
      <c r="L960" s="182" t="s">
        <v>15</v>
      </c>
    </row>
    <row r="961" spans="1:12">
      <c r="A961" s="170" t="s">
        <v>4816</v>
      </c>
      <c r="B961" s="170" t="s">
        <v>4817</v>
      </c>
      <c r="C961" s="230" t="s">
        <v>4818</v>
      </c>
      <c r="D961" s="170" t="s">
        <v>11</v>
      </c>
      <c r="E961" s="170" t="s">
        <v>12</v>
      </c>
      <c r="H961" s="207">
        <v>493095</v>
      </c>
      <c r="I961" s="182" t="s">
        <v>4819</v>
      </c>
      <c r="J961" s="182" t="s">
        <v>4820</v>
      </c>
      <c r="K961" s="182" t="s">
        <v>4821</v>
      </c>
      <c r="L961" s="182" t="s">
        <v>15</v>
      </c>
    </row>
    <row r="962" spans="1:12">
      <c r="A962" s="170" t="s">
        <v>4823</v>
      </c>
      <c r="B962" s="170" t="s">
        <v>4824</v>
      </c>
      <c r="C962" s="170"/>
      <c r="D962" s="170" t="s">
        <v>11</v>
      </c>
      <c r="E962" s="170" t="s">
        <v>12</v>
      </c>
      <c r="H962" s="207">
        <v>443274</v>
      </c>
      <c r="I962" s="182" t="s">
        <v>4825</v>
      </c>
      <c r="J962" s="182" t="s">
        <v>4826</v>
      </c>
      <c r="K962" s="182" t="s">
        <v>4827</v>
      </c>
      <c r="L962" s="182" t="s">
        <v>15</v>
      </c>
    </row>
    <row r="963" spans="1:12">
      <c r="A963" s="170" t="s">
        <v>4828</v>
      </c>
      <c r="B963" s="170" t="s">
        <v>4822</v>
      </c>
      <c r="C963" s="170"/>
      <c r="D963" s="170" t="s">
        <v>11</v>
      </c>
      <c r="E963" s="170" t="s">
        <v>12</v>
      </c>
      <c r="H963" s="207">
        <v>732211</v>
      </c>
      <c r="I963" s="182" t="s">
        <v>4829</v>
      </c>
      <c r="J963" s="182" t="s">
        <v>4830</v>
      </c>
      <c r="K963" s="182" t="s">
        <v>4831</v>
      </c>
      <c r="L963" s="182" t="s">
        <v>15</v>
      </c>
    </row>
    <row r="964" spans="1:12">
      <c r="A964" s="170" t="s">
        <v>4832</v>
      </c>
      <c r="B964" s="170" t="s">
        <v>4833</v>
      </c>
      <c r="C964" s="230" t="s">
        <v>4834</v>
      </c>
      <c r="D964" s="170" t="s">
        <v>11</v>
      </c>
      <c r="E964" s="170" t="s">
        <v>12</v>
      </c>
      <c r="H964" s="207">
        <v>493204</v>
      </c>
      <c r="I964" s="182" t="s">
        <v>4835</v>
      </c>
      <c r="J964" s="182" t="s">
        <v>4836</v>
      </c>
      <c r="K964" s="182" t="s">
        <v>4837</v>
      </c>
      <c r="L964" s="182" t="s">
        <v>15</v>
      </c>
    </row>
    <row r="965" spans="1:12">
      <c r="A965" s="170" t="s">
        <v>4839</v>
      </c>
      <c r="B965" s="170" t="s">
        <v>4840</v>
      </c>
      <c r="C965" s="170"/>
      <c r="D965" s="170" t="s">
        <v>11</v>
      </c>
      <c r="E965" s="170" t="s">
        <v>12</v>
      </c>
      <c r="H965" s="207">
        <v>825108</v>
      </c>
      <c r="I965" s="182" t="s">
        <v>4841</v>
      </c>
      <c r="J965" s="182" t="s">
        <v>4842</v>
      </c>
      <c r="K965" s="182" t="s">
        <v>4843</v>
      </c>
      <c r="L965" s="182" t="s">
        <v>15</v>
      </c>
    </row>
    <row r="966" spans="1:12">
      <c r="A966" s="170" t="s">
        <v>4844</v>
      </c>
      <c r="B966" s="170" t="s">
        <v>4838</v>
      </c>
      <c r="C966" s="170"/>
      <c r="D966" s="170" t="s">
        <v>11</v>
      </c>
      <c r="E966" s="170" t="s">
        <v>12</v>
      </c>
      <c r="H966" s="207" t="s">
        <v>4845</v>
      </c>
      <c r="I966" s="182" t="s">
        <v>10</v>
      </c>
      <c r="J966" s="182" t="s">
        <v>4845</v>
      </c>
      <c r="K966" s="182" t="s">
        <v>4846</v>
      </c>
      <c r="L966" s="182" t="s">
        <v>19</v>
      </c>
    </row>
    <row r="967" spans="1:12">
      <c r="A967" s="170" t="s">
        <v>4847</v>
      </c>
      <c r="B967" s="170" t="s">
        <v>4848</v>
      </c>
      <c r="C967" s="230" t="s">
        <v>4849</v>
      </c>
      <c r="D967" s="170" t="s">
        <v>11</v>
      </c>
      <c r="E967" s="170" t="s">
        <v>12</v>
      </c>
      <c r="H967" s="207" t="s">
        <v>4850</v>
      </c>
      <c r="I967" s="182" t="s">
        <v>10</v>
      </c>
      <c r="J967" s="182" t="s">
        <v>4850</v>
      </c>
      <c r="K967" s="182" t="s">
        <v>4851</v>
      </c>
      <c r="L967" s="182" t="s">
        <v>19</v>
      </c>
    </row>
    <row r="968" spans="1:12">
      <c r="A968" s="170" t="s">
        <v>4853</v>
      </c>
      <c r="B968" s="170" t="s">
        <v>4854</v>
      </c>
      <c r="C968" s="170"/>
      <c r="D968" s="170" t="s">
        <v>11</v>
      </c>
      <c r="E968" s="170" t="s">
        <v>12</v>
      </c>
      <c r="H968" s="207">
        <v>492054</v>
      </c>
      <c r="I968" s="182" t="s">
        <v>4855</v>
      </c>
      <c r="J968" s="182" t="s">
        <v>4856</v>
      </c>
      <c r="K968" s="182" t="s">
        <v>4857</v>
      </c>
      <c r="L968" s="182" t="s">
        <v>15</v>
      </c>
    </row>
    <row r="969" spans="1:12">
      <c r="A969" s="170" t="s">
        <v>4858</v>
      </c>
      <c r="B969" s="170" t="s">
        <v>4852</v>
      </c>
      <c r="C969" s="170"/>
      <c r="D969" s="170" t="s">
        <v>11</v>
      </c>
      <c r="E969" s="170" t="s">
        <v>12</v>
      </c>
      <c r="H969" s="207">
        <v>606958</v>
      </c>
      <c r="I969" s="182" t="s">
        <v>4859</v>
      </c>
      <c r="J969" s="182" t="s">
        <v>4860</v>
      </c>
      <c r="K969" s="182" t="s">
        <v>4861</v>
      </c>
      <c r="L969" s="182" t="s">
        <v>15</v>
      </c>
    </row>
    <row r="970" spans="1:12">
      <c r="A970" s="170" t="s">
        <v>4862</v>
      </c>
      <c r="B970" s="170" t="s">
        <v>4863</v>
      </c>
      <c r="C970" s="230" t="s">
        <v>4864</v>
      </c>
      <c r="D970" s="170" t="s">
        <v>11</v>
      </c>
      <c r="E970" s="170" t="s">
        <v>12</v>
      </c>
      <c r="H970" s="207">
        <v>512927</v>
      </c>
      <c r="I970" s="182" t="s">
        <v>4865</v>
      </c>
      <c r="J970" s="182" t="s">
        <v>4866</v>
      </c>
      <c r="K970" s="182"/>
      <c r="L970" s="182" t="s">
        <v>15</v>
      </c>
    </row>
    <row r="971" spans="1:12">
      <c r="A971" s="170" t="s">
        <v>4867</v>
      </c>
      <c r="B971" s="170" t="s">
        <v>4868</v>
      </c>
      <c r="C971" s="170"/>
      <c r="D971" s="170" t="s">
        <v>11</v>
      </c>
      <c r="E971" s="170" t="s">
        <v>12</v>
      </c>
      <c r="H971" s="207">
        <v>514271</v>
      </c>
      <c r="I971" s="182" t="s">
        <v>4869</v>
      </c>
      <c r="J971" s="182" t="s">
        <v>4870</v>
      </c>
      <c r="K971" s="182"/>
      <c r="L971" s="182" t="s">
        <v>15</v>
      </c>
    </row>
    <row r="972" spans="1:12">
      <c r="A972" s="170" t="s">
        <v>4871</v>
      </c>
      <c r="B972" s="170" t="s">
        <v>4872</v>
      </c>
      <c r="C972" s="170"/>
      <c r="D972" s="170" t="s">
        <v>11</v>
      </c>
      <c r="E972" s="170" t="s">
        <v>12</v>
      </c>
      <c r="H972" s="207">
        <v>846612</v>
      </c>
      <c r="I972" s="182" t="s">
        <v>4873</v>
      </c>
      <c r="J972" s="182" t="s">
        <v>4874</v>
      </c>
      <c r="K972" s="182" t="s">
        <v>4875</v>
      </c>
      <c r="L972" s="182" t="s">
        <v>15</v>
      </c>
    </row>
    <row r="973" spans="1:12">
      <c r="A973" s="170" t="s">
        <v>4876</v>
      </c>
      <c r="B973" s="170" t="s">
        <v>4877</v>
      </c>
      <c r="C973" s="192" t="s">
        <v>4878</v>
      </c>
      <c r="D973" s="170" t="s">
        <v>11</v>
      </c>
      <c r="E973" s="170" t="s">
        <v>12</v>
      </c>
      <c r="H973" s="207">
        <v>494363</v>
      </c>
      <c r="I973" s="182" t="s">
        <v>4879</v>
      </c>
      <c r="J973" s="182" t="s">
        <v>4880</v>
      </c>
      <c r="K973" s="182" t="s">
        <v>4881</v>
      </c>
      <c r="L973" s="182" t="s">
        <v>15</v>
      </c>
    </row>
    <row r="974" spans="1:12">
      <c r="A974" s="170" t="s">
        <v>4883</v>
      </c>
      <c r="B974" s="170" t="s">
        <v>4884</v>
      </c>
      <c r="C974" s="170"/>
      <c r="D974" s="170" t="s">
        <v>11</v>
      </c>
      <c r="E974" s="170" t="s">
        <v>12</v>
      </c>
      <c r="H974" s="207" t="s">
        <v>4885</v>
      </c>
      <c r="I974" s="182" t="s">
        <v>10</v>
      </c>
      <c r="J974" s="182" t="s">
        <v>4885</v>
      </c>
      <c r="K974" s="182" t="s">
        <v>4886</v>
      </c>
      <c r="L974" s="182" t="s">
        <v>19</v>
      </c>
    </row>
    <row r="975" spans="1:12">
      <c r="A975" s="170" t="s">
        <v>4887</v>
      </c>
      <c r="B975" s="170" t="s">
        <v>4882</v>
      </c>
      <c r="C975" s="170"/>
      <c r="D975" s="170" t="s">
        <v>11</v>
      </c>
      <c r="E975" s="170" t="s">
        <v>12</v>
      </c>
      <c r="H975" s="207">
        <v>497481</v>
      </c>
      <c r="I975" s="182" t="s">
        <v>4888</v>
      </c>
      <c r="J975" s="182" t="s">
        <v>4889</v>
      </c>
      <c r="K975" s="182"/>
      <c r="L975" s="182" t="s">
        <v>15</v>
      </c>
    </row>
    <row r="976" spans="1:12">
      <c r="A976" s="170" t="s">
        <v>4890</v>
      </c>
      <c r="B976" s="170" t="s">
        <v>4891</v>
      </c>
      <c r="C976" s="230" t="s">
        <v>4892</v>
      </c>
      <c r="D976" s="170" t="s">
        <v>11</v>
      </c>
      <c r="E976" s="170" t="s">
        <v>12</v>
      </c>
      <c r="H976" s="207">
        <v>485600</v>
      </c>
      <c r="I976" s="182" t="s">
        <v>4893</v>
      </c>
      <c r="J976" s="182" t="s">
        <v>4894</v>
      </c>
      <c r="K976" s="182" t="s">
        <v>4895</v>
      </c>
      <c r="L976" s="182" t="s">
        <v>15</v>
      </c>
    </row>
    <row r="977" spans="1:12">
      <c r="A977" s="170" t="s">
        <v>4897</v>
      </c>
      <c r="B977" s="170" t="s">
        <v>4898</v>
      </c>
      <c r="C977" s="170"/>
      <c r="D977" s="170" t="s">
        <v>11</v>
      </c>
      <c r="E977" s="170" t="s">
        <v>12</v>
      </c>
      <c r="H977" s="207">
        <v>493412</v>
      </c>
      <c r="I977" s="182" t="s">
        <v>4899</v>
      </c>
      <c r="J977" s="182" t="s">
        <v>4900</v>
      </c>
      <c r="K977" s="182"/>
      <c r="L977" s="182" t="s">
        <v>15</v>
      </c>
    </row>
    <row r="978" spans="1:12">
      <c r="A978" s="170" t="s">
        <v>4901</v>
      </c>
      <c r="B978" s="170" t="s">
        <v>4896</v>
      </c>
      <c r="C978" s="170"/>
      <c r="D978" s="170" t="s">
        <v>11</v>
      </c>
      <c r="E978" s="170" t="s">
        <v>12</v>
      </c>
      <c r="H978" s="207">
        <v>355782</v>
      </c>
      <c r="I978" s="182" t="s">
        <v>4902</v>
      </c>
      <c r="J978" s="182" t="s">
        <v>4903</v>
      </c>
      <c r="K978" s="182" t="s">
        <v>4904</v>
      </c>
      <c r="L978" s="182" t="s">
        <v>15</v>
      </c>
    </row>
    <row r="979" spans="1:12">
      <c r="A979" s="170" t="s">
        <v>4905</v>
      </c>
      <c r="B979" s="170" t="s">
        <v>4906</v>
      </c>
      <c r="C979" s="230" t="s">
        <v>4907</v>
      </c>
      <c r="D979" s="170" t="s">
        <v>11</v>
      </c>
      <c r="E979" s="170" t="s">
        <v>12</v>
      </c>
      <c r="H979" s="207">
        <v>476162</v>
      </c>
      <c r="I979" s="182" t="s">
        <v>4908</v>
      </c>
      <c r="J979" s="182" t="s">
        <v>4909</v>
      </c>
      <c r="K979" s="182" t="s">
        <v>4910</v>
      </c>
      <c r="L979" s="182" t="s">
        <v>15</v>
      </c>
    </row>
    <row r="980" spans="1:12">
      <c r="A980" s="170" t="s">
        <v>4912</v>
      </c>
      <c r="B980" s="170" t="s">
        <v>4913</v>
      </c>
      <c r="C980" s="230" t="s">
        <v>4914</v>
      </c>
      <c r="D980" s="170" t="s">
        <v>11</v>
      </c>
      <c r="E980" s="170" t="s">
        <v>12</v>
      </c>
      <c r="H980" s="207">
        <v>436447</v>
      </c>
      <c r="I980" s="182" t="s">
        <v>4915</v>
      </c>
      <c r="J980" s="182" t="s">
        <v>4916</v>
      </c>
      <c r="K980" s="182" t="s">
        <v>4917</v>
      </c>
      <c r="L980" s="182" t="s">
        <v>15</v>
      </c>
    </row>
    <row r="981" spans="1:12">
      <c r="A981" s="170" t="s">
        <v>4918</v>
      </c>
      <c r="B981" s="170" t="s">
        <v>4911</v>
      </c>
      <c r="C981" s="170"/>
      <c r="D981" s="170" t="s">
        <v>11</v>
      </c>
      <c r="E981" s="170" t="s">
        <v>12</v>
      </c>
      <c r="H981" s="207">
        <v>492956</v>
      </c>
      <c r="I981" s="182" t="s">
        <v>4919</v>
      </c>
      <c r="J981" s="182" t="s">
        <v>4920</v>
      </c>
      <c r="K981" s="182" t="s">
        <v>4921</v>
      </c>
      <c r="L981" s="182" t="s">
        <v>15</v>
      </c>
    </row>
    <row r="982" spans="1:12">
      <c r="A982" s="170" t="s">
        <v>4922</v>
      </c>
      <c r="B982" s="170" t="s">
        <v>4923</v>
      </c>
      <c r="C982" s="230" t="s">
        <v>4924</v>
      </c>
      <c r="D982" s="170" t="s">
        <v>11</v>
      </c>
      <c r="E982" s="170" t="s">
        <v>12</v>
      </c>
      <c r="H982" s="207">
        <v>514335</v>
      </c>
      <c r="I982" s="182" t="s">
        <v>4925</v>
      </c>
      <c r="J982" s="182" t="s">
        <v>4926</v>
      </c>
      <c r="K982" s="182"/>
      <c r="L982" s="182" t="s">
        <v>15</v>
      </c>
    </row>
    <row r="983" spans="1:12">
      <c r="A983" s="170" t="s">
        <v>4928</v>
      </c>
      <c r="B983" s="170" t="s">
        <v>4929</v>
      </c>
      <c r="C983" s="230" t="s">
        <v>4930</v>
      </c>
      <c r="D983" s="170" t="s">
        <v>11</v>
      </c>
      <c r="E983" s="170" t="s">
        <v>12</v>
      </c>
      <c r="H983" s="207">
        <v>211628</v>
      </c>
      <c r="I983" s="182" t="s">
        <v>4931</v>
      </c>
      <c r="J983" s="182" t="s">
        <v>4932</v>
      </c>
      <c r="K983" s="182" t="s">
        <v>4933</v>
      </c>
      <c r="L983" s="182" t="s">
        <v>15</v>
      </c>
    </row>
    <row r="984" spans="1:12">
      <c r="A984" s="170" t="s">
        <v>4934</v>
      </c>
      <c r="B984" s="170" t="s">
        <v>4935</v>
      </c>
      <c r="C984" s="170"/>
      <c r="D984" s="170" t="s">
        <v>11</v>
      </c>
      <c r="E984" s="170" t="s">
        <v>12</v>
      </c>
      <c r="H984" s="207">
        <v>392647</v>
      </c>
      <c r="I984" s="182" t="s">
        <v>4936</v>
      </c>
      <c r="J984" s="182" t="s">
        <v>4937</v>
      </c>
      <c r="K984" s="182" t="s">
        <v>4938</v>
      </c>
      <c r="L984" s="182" t="s">
        <v>15</v>
      </c>
    </row>
    <row r="985" spans="1:12">
      <c r="A985" s="170" t="s">
        <v>4939</v>
      </c>
      <c r="B985" s="170" t="s">
        <v>4940</v>
      </c>
      <c r="C985" s="192" t="s">
        <v>4941</v>
      </c>
      <c r="D985" s="170" t="s">
        <v>11</v>
      </c>
      <c r="E985" s="170" t="s">
        <v>12</v>
      </c>
      <c r="H985" s="207">
        <v>481895</v>
      </c>
      <c r="I985" s="182" t="s">
        <v>4942</v>
      </c>
      <c r="J985" s="182" t="s">
        <v>4943</v>
      </c>
      <c r="K985" s="182" t="s">
        <v>4944</v>
      </c>
      <c r="L985" s="182" t="s">
        <v>15</v>
      </c>
    </row>
    <row r="986" spans="1:12">
      <c r="A986" s="170" t="s">
        <v>4945</v>
      </c>
      <c r="B986" s="170" t="s">
        <v>4946</v>
      </c>
      <c r="C986" s="192" t="s">
        <v>4947</v>
      </c>
      <c r="D986" s="170" t="s">
        <v>11</v>
      </c>
      <c r="E986" s="170" t="s">
        <v>12</v>
      </c>
      <c r="H986" s="207" t="s">
        <v>4948</v>
      </c>
      <c r="I986" s="182" t="s">
        <v>10</v>
      </c>
      <c r="J986" s="182" t="s">
        <v>4948</v>
      </c>
      <c r="K986" s="182" t="s">
        <v>4949</v>
      </c>
      <c r="L986" s="182" t="s">
        <v>53</v>
      </c>
    </row>
    <row r="987" spans="1:12">
      <c r="A987" s="170" t="s">
        <v>4950</v>
      </c>
      <c r="B987" s="170" t="s">
        <v>4951</v>
      </c>
      <c r="C987" s="170"/>
      <c r="D987" s="170" t="s">
        <v>11</v>
      </c>
      <c r="E987" s="170" t="s">
        <v>12</v>
      </c>
      <c r="H987" s="207" t="s">
        <v>4952</v>
      </c>
      <c r="I987" s="182" t="s">
        <v>10</v>
      </c>
      <c r="J987" s="182" t="s">
        <v>4952</v>
      </c>
      <c r="K987" s="182" t="s">
        <v>4953</v>
      </c>
      <c r="L987" s="182" t="s">
        <v>19</v>
      </c>
    </row>
    <row r="988" spans="1:12">
      <c r="A988" s="170" t="s">
        <v>4954</v>
      </c>
      <c r="B988" s="170" t="s">
        <v>4955</v>
      </c>
      <c r="C988" s="192" t="s">
        <v>4956</v>
      </c>
      <c r="D988" s="170" t="s">
        <v>11</v>
      </c>
      <c r="E988" s="170" t="s">
        <v>12</v>
      </c>
      <c r="H988" s="207">
        <v>417332</v>
      </c>
      <c r="I988" s="182" t="s">
        <v>4957</v>
      </c>
      <c r="J988" s="182" t="s">
        <v>4958</v>
      </c>
      <c r="K988" s="182" t="s">
        <v>4959</v>
      </c>
      <c r="L988" s="182" t="s">
        <v>415</v>
      </c>
    </row>
    <row r="989" spans="1:12">
      <c r="A989" s="170" t="s">
        <v>4960</v>
      </c>
      <c r="B989" s="170" t="s">
        <v>4961</v>
      </c>
      <c r="C989" s="170"/>
      <c r="D989" s="170" t="s">
        <v>11</v>
      </c>
      <c r="E989" s="170" t="s">
        <v>12</v>
      </c>
      <c r="H989" s="207">
        <v>517872</v>
      </c>
      <c r="I989" s="182" t="s">
        <v>4962</v>
      </c>
      <c r="J989" s="182" t="s">
        <v>4963</v>
      </c>
      <c r="K989" s="182"/>
      <c r="L989" s="182" t="s">
        <v>15</v>
      </c>
    </row>
    <row r="990" spans="1:12">
      <c r="A990" s="170" t="s">
        <v>4964</v>
      </c>
      <c r="B990" s="170" t="s">
        <v>4965</v>
      </c>
      <c r="C990" s="170"/>
      <c r="D990" s="170" t="s">
        <v>11</v>
      </c>
      <c r="E990" s="170" t="s">
        <v>12</v>
      </c>
      <c r="H990" s="207">
        <v>480549</v>
      </c>
      <c r="I990" s="182" t="s">
        <v>4966</v>
      </c>
      <c r="J990" s="182" t="s">
        <v>4967</v>
      </c>
      <c r="K990" s="182" t="s">
        <v>4968</v>
      </c>
      <c r="L990" s="182" t="s">
        <v>15</v>
      </c>
    </row>
    <row r="991" spans="1:12">
      <c r="A991" s="170" t="s">
        <v>4969</v>
      </c>
      <c r="B991" s="170" t="s">
        <v>4970</v>
      </c>
      <c r="C991" s="192" t="s">
        <v>4971</v>
      </c>
      <c r="D991" s="170" t="s">
        <v>11</v>
      </c>
      <c r="E991" s="170" t="s">
        <v>12</v>
      </c>
      <c r="H991" s="207">
        <v>454098</v>
      </c>
      <c r="I991" s="182" t="s">
        <v>4972</v>
      </c>
      <c r="J991" s="182" t="s">
        <v>4973</v>
      </c>
      <c r="K991" s="182" t="s">
        <v>4974</v>
      </c>
      <c r="L991" s="182" t="s">
        <v>15</v>
      </c>
    </row>
    <row r="992" spans="1:12">
      <c r="A992" s="170" t="s">
        <v>4975</v>
      </c>
      <c r="B992" s="170" t="s">
        <v>4976</v>
      </c>
      <c r="C992" s="170"/>
      <c r="D992" s="170" t="s">
        <v>11</v>
      </c>
      <c r="E992" s="170" t="s">
        <v>12</v>
      </c>
      <c r="H992" s="207">
        <v>509828</v>
      </c>
      <c r="I992" s="182" t="s">
        <v>4977</v>
      </c>
      <c r="J992" s="182" t="s">
        <v>4978</v>
      </c>
      <c r="K992" s="182"/>
      <c r="L992" s="182" t="s">
        <v>15</v>
      </c>
    </row>
    <row r="993" spans="1:12">
      <c r="A993" s="170" t="s">
        <v>4979</v>
      </c>
      <c r="B993" s="170" t="s">
        <v>4980</v>
      </c>
      <c r="C993" s="170"/>
      <c r="D993" s="170" t="s">
        <v>11</v>
      </c>
      <c r="E993" s="170" t="s">
        <v>12</v>
      </c>
      <c r="H993" s="207">
        <v>458670</v>
      </c>
      <c r="I993" s="182" t="s">
        <v>4981</v>
      </c>
      <c r="J993" s="182" t="s">
        <v>4982</v>
      </c>
      <c r="K993" s="182" t="s">
        <v>4983</v>
      </c>
      <c r="L993" s="182" t="s">
        <v>15</v>
      </c>
    </row>
    <row r="994" spans="1:12">
      <c r="A994" s="170" t="s">
        <v>4984</v>
      </c>
      <c r="B994" s="170" t="s">
        <v>4985</v>
      </c>
      <c r="C994" s="192" t="s">
        <v>4986</v>
      </c>
      <c r="D994" s="170" t="s">
        <v>11</v>
      </c>
      <c r="E994" s="170" t="s">
        <v>12</v>
      </c>
      <c r="H994" s="207">
        <v>500586</v>
      </c>
      <c r="I994" s="182" t="s">
        <v>4987</v>
      </c>
      <c r="J994" s="182" t="s">
        <v>4988</v>
      </c>
      <c r="K994" s="182" t="s">
        <v>4989</v>
      </c>
      <c r="L994" s="182" t="s">
        <v>15</v>
      </c>
    </row>
    <row r="995" spans="1:12">
      <c r="A995" s="170" t="s">
        <v>4990</v>
      </c>
      <c r="B995" s="170" t="s">
        <v>4991</v>
      </c>
      <c r="C995" s="170"/>
      <c r="D995" s="170" t="s">
        <v>11</v>
      </c>
      <c r="E995" s="170" t="s">
        <v>12</v>
      </c>
      <c r="H995" s="207">
        <v>336497</v>
      </c>
      <c r="I995" s="182" t="s">
        <v>4992</v>
      </c>
      <c r="J995" s="182" t="s">
        <v>4993</v>
      </c>
      <c r="K995" s="182" t="s">
        <v>4994</v>
      </c>
      <c r="L995" s="182" t="s">
        <v>15</v>
      </c>
    </row>
    <row r="996" spans="1:12">
      <c r="A996" s="170" t="s">
        <v>4995</v>
      </c>
      <c r="B996" s="170" t="s">
        <v>4996</v>
      </c>
      <c r="C996" s="170"/>
      <c r="D996" s="170" t="s">
        <v>11</v>
      </c>
      <c r="E996" s="170" t="s">
        <v>12</v>
      </c>
      <c r="H996" s="207">
        <v>501065</v>
      </c>
      <c r="I996" s="182" t="s">
        <v>4997</v>
      </c>
      <c r="J996" s="182" t="s">
        <v>4998</v>
      </c>
      <c r="K996" s="182" t="s">
        <v>4999</v>
      </c>
      <c r="L996" s="182" t="s">
        <v>15</v>
      </c>
    </row>
    <row r="997" spans="1:12">
      <c r="A997" s="170" t="s">
        <v>5000</v>
      </c>
      <c r="B997" s="170" t="s">
        <v>5001</v>
      </c>
      <c r="C997" s="178" t="s">
        <v>10</v>
      </c>
      <c r="D997" s="170" t="s">
        <v>11</v>
      </c>
      <c r="E997" s="170" t="s">
        <v>12</v>
      </c>
      <c r="H997" s="207">
        <v>341369</v>
      </c>
      <c r="I997" s="182" t="s">
        <v>10</v>
      </c>
      <c r="J997" s="182" t="s">
        <v>5002</v>
      </c>
      <c r="K997" s="182" t="s">
        <v>5003</v>
      </c>
      <c r="L997" s="182" t="s">
        <v>15</v>
      </c>
    </row>
    <row r="998" spans="1:12">
      <c r="A998" s="170" t="s">
        <v>5004</v>
      </c>
      <c r="B998" s="170" t="s">
        <v>5005</v>
      </c>
      <c r="C998" s="178" t="s">
        <v>10</v>
      </c>
      <c r="D998" s="170" t="s">
        <v>11</v>
      </c>
      <c r="E998" s="170" t="s">
        <v>12</v>
      </c>
      <c r="H998" s="207">
        <v>500836</v>
      </c>
      <c r="I998" s="182" t="s">
        <v>5006</v>
      </c>
      <c r="J998" s="182" t="s">
        <v>5007</v>
      </c>
      <c r="K998" s="182" t="s">
        <v>5008</v>
      </c>
      <c r="L998" s="182" t="s">
        <v>15</v>
      </c>
    </row>
    <row r="999" spans="1:12">
      <c r="A999" s="170" t="s">
        <v>5009</v>
      </c>
      <c r="B999" s="170" t="s">
        <v>5010</v>
      </c>
      <c r="C999" s="178" t="s">
        <v>10</v>
      </c>
      <c r="D999" s="170" t="s">
        <v>11</v>
      </c>
      <c r="E999" s="170" t="s">
        <v>12</v>
      </c>
      <c r="H999" s="207">
        <v>460124</v>
      </c>
      <c r="I999" s="182" t="s">
        <v>5011</v>
      </c>
      <c r="J999" s="182" t="s">
        <v>5012</v>
      </c>
      <c r="K999" s="182" t="s">
        <v>5013</v>
      </c>
      <c r="L999" s="182" t="s">
        <v>15</v>
      </c>
    </row>
    <row r="1000" spans="1:12">
      <c r="A1000" s="170" t="s">
        <v>5014</v>
      </c>
      <c r="B1000" s="170" t="s">
        <v>5015</v>
      </c>
      <c r="C1000" s="178" t="s">
        <v>10</v>
      </c>
      <c r="D1000" s="170" t="s">
        <v>11</v>
      </c>
      <c r="E1000" s="170" t="s">
        <v>12</v>
      </c>
      <c r="H1000" s="207">
        <v>223764</v>
      </c>
      <c r="I1000" s="182" t="s">
        <v>5016</v>
      </c>
      <c r="J1000" s="182" t="s">
        <v>5017</v>
      </c>
      <c r="K1000" s="182" t="s">
        <v>5018</v>
      </c>
      <c r="L1000" s="182" t="s">
        <v>15</v>
      </c>
    </row>
    <row r="1001" spans="1:12">
      <c r="A1001" s="170" t="s">
        <v>5019</v>
      </c>
      <c r="B1001" s="170" t="s">
        <v>5020</v>
      </c>
      <c r="C1001" s="178" t="s">
        <v>10</v>
      </c>
      <c r="D1001" s="170" t="s">
        <v>11</v>
      </c>
      <c r="E1001" s="170" t="s">
        <v>12</v>
      </c>
      <c r="H1001" s="207">
        <v>514383</v>
      </c>
      <c r="I1001" s="182" t="s">
        <v>5021</v>
      </c>
      <c r="J1001" s="182" t="s">
        <v>5022</v>
      </c>
      <c r="K1001" s="182" t="s">
        <v>5023</v>
      </c>
      <c r="L1001" s="182" t="s">
        <v>15</v>
      </c>
    </row>
    <row r="1002" spans="1:12">
      <c r="A1002" s="170" t="s">
        <v>5024</v>
      </c>
      <c r="B1002" s="170" t="s">
        <v>5025</v>
      </c>
      <c r="C1002" s="178" t="s">
        <v>10</v>
      </c>
      <c r="D1002" s="170" t="s">
        <v>11</v>
      </c>
      <c r="E1002" s="170" t="s">
        <v>12</v>
      </c>
      <c r="H1002" s="207">
        <v>493028</v>
      </c>
      <c r="I1002" s="182" t="s">
        <v>5026</v>
      </c>
      <c r="J1002" s="182" t="s">
        <v>5027</v>
      </c>
      <c r="K1002" s="182" t="s">
        <v>5028</v>
      </c>
      <c r="L1002" s="182" t="s">
        <v>15</v>
      </c>
    </row>
    <row r="1003" spans="1:12">
      <c r="A1003" s="170" t="s">
        <v>5029</v>
      </c>
      <c r="B1003" s="170" t="s">
        <v>5030</v>
      </c>
      <c r="C1003" s="178" t="s">
        <v>10</v>
      </c>
      <c r="D1003" s="170" t="s">
        <v>11</v>
      </c>
      <c r="E1003" s="170" t="s">
        <v>12</v>
      </c>
      <c r="H1003" s="207">
        <v>221785</v>
      </c>
      <c r="I1003" s="182" t="s">
        <v>5031</v>
      </c>
      <c r="J1003" s="182" t="s">
        <v>5032</v>
      </c>
      <c r="K1003" s="182" t="s">
        <v>5033</v>
      </c>
      <c r="L1003" s="182" t="s">
        <v>15</v>
      </c>
    </row>
    <row r="1004" spans="1:12">
      <c r="A1004" s="170" t="s">
        <v>5034</v>
      </c>
      <c r="B1004" s="170" t="s">
        <v>5035</v>
      </c>
      <c r="C1004" s="178" t="s">
        <v>10</v>
      </c>
      <c r="D1004" s="170" t="s">
        <v>11</v>
      </c>
      <c r="E1004" s="170" t="s">
        <v>12</v>
      </c>
      <c r="H1004" s="207">
        <v>402116</v>
      </c>
      <c r="I1004" s="182" t="s">
        <v>5036</v>
      </c>
      <c r="J1004" s="182" t="s">
        <v>5037</v>
      </c>
      <c r="K1004" s="182" t="s">
        <v>5038</v>
      </c>
      <c r="L1004" s="182" t="s">
        <v>15</v>
      </c>
    </row>
    <row r="1005" spans="1:12">
      <c r="A1005" s="170" t="s">
        <v>5039</v>
      </c>
      <c r="B1005" s="170" t="s">
        <v>5040</v>
      </c>
      <c r="C1005" s="178" t="s">
        <v>10</v>
      </c>
      <c r="D1005" s="170" t="s">
        <v>11</v>
      </c>
      <c r="E1005" s="170" t="s">
        <v>12</v>
      </c>
      <c r="H1005" s="207" t="s">
        <v>5041</v>
      </c>
      <c r="I1005" s="182" t="s">
        <v>10</v>
      </c>
      <c r="J1005" s="182" t="s">
        <v>5041</v>
      </c>
      <c r="K1005" s="182" t="s">
        <v>5042</v>
      </c>
      <c r="L1005" s="182" t="s">
        <v>19</v>
      </c>
    </row>
    <row r="1006" spans="1:12">
      <c r="A1006" s="170" t="s">
        <v>5043</v>
      </c>
      <c r="B1006" s="170" t="s">
        <v>5044</v>
      </c>
      <c r="C1006" s="178" t="s">
        <v>10</v>
      </c>
      <c r="D1006" s="170" t="s">
        <v>11</v>
      </c>
      <c r="E1006" s="170" t="s">
        <v>12</v>
      </c>
      <c r="H1006" s="207" t="s">
        <v>5045</v>
      </c>
      <c r="I1006" s="182" t="s">
        <v>10</v>
      </c>
      <c r="J1006" s="182" t="s">
        <v>5045</v>
      </c>
      <c r="K1006" s="182" t="s">
        <v>5046</v>
      </c>
      <c r="L1006" s="182" t="s">
        <v>53</v>
      </c>
    </row>
    <row r="1007" spans="1:12">
      <c r="A1007" s="170" t="s">
        <v>5047</v>
      </c>
      <c r="B1007" s="170" t="s">
        <v>5048</v>
      </c>
      <c r="C1007" s="178" t="s">
        <v>10</v>
      </c>
      <c r="D1007" s="170" t="s">
        <v>11</v>
      </c>
      <c r="E1007" s="170" t="s">
        <v>12</v>
      </c>
      <c r="H1007" s="207" t="s">
        <v>5049</v>
      </c>
      <c r="I1007" s="182" t="s">
        <v>10</v>
      </c>
      <c r="J1007" s="182" t="s">
        <v>5049</v>
      </c>
      <c r="K1007" s="182" t="s">
        <v>5050</v>
      </c>
      <c r="L1007" s="182" t="s">
        <v>19</v>
      </c>
    </row>
    <row r="1008" spans="1:12">
      <c r="A1008" s="170" t="s">
        <v>5051</v>
      </c>
      <c r="B1008" s="170" t="s">
        <v>5052</v>
      </c>
      <c r="C1008" s="178" t="s">
        <v>10</v>
      </c>
      <c r="D1008" s="170" t="s">
        <v>11</v>
      </c>
      <c r="E1008" s="170" t="s">
        <v>12</v>
      </c>
      <c r="H1008" s="207">
        <v>507550</v>
      </c>
      <c r="I1008" s="182" t="s">
        <v>5053</v>
      </c>
      <c r="J1008" s="182" t="s">
        <v>5054</v>
      </c>
      <c r="K1008" s="182"/>
      <c r="L1008" s="182" t="s">
        <v>15</v>
      </c>
    </row>
    <row r="1009" spans="1:12">
      <c r="A1009" s="170" t="s">
        <v>5055</v>
      </c>
      <c r="B1009" s="170" t="s">
        <v>5056</v>
      </c>
      <c r="C1009" s="182" t="s">
        <v>5057</v>
      </c>
      <c r="D1009" s="170" t="s">
        <v>11</v>
      </c>
      <c r="E1009" s="170" t="s">
        <v>12</v>
      </c>
      <c r="H1009" s="207">
        <v>496511</v>
      </c>
      <c r="I1009" s="182" t="s">
        <v>5058</v>
      </c>
      <c r="J1009" s="182" t="s">
        <v>5059</v>
      </c>
      <c r="K1009" s="182" t="s">
        <v>5060</v>
      </c>
      <c r="L1009" s="182" t="s">
        <v>15</v>
      </c>
    </row>
    <row r="1010" spans="1:12">
      <c r="A1010" s="170" t="s">
        <v>5061</v>
      </c>
      <c r="B1010" s="170" t="s">
        <v>5062</v>
      </c>
      <c r="C1010" s="182" t="s">
        <v>5063</v>
      </c>
      <c r="D1010" s="170" t="s">
        <v>11</v>
      </c>
      <c r="E1010" s="170" t="s">
        <v>12</v>
      </c>
      <c r="H1010" s="207" t="s">
        <v>5064</v>
      </c>
      <c r="I1010" s="182" t="s">
        <v>10</v>
      </c>
      <c r="J1010" s="182" t="s">
        <v>5064</v>
      </c>
      <c r="K1010" s="182" t="s">
        <v>5065</v>
      </c>
      <c r="L1010" s="182" t="s">
        <v>19</v>
      </c>
    </row>
    <row r="1011" spans="1:12">
      <c r="A1011" s="170" t="s">
        <v>5066</v>
      </c>
      <c r="B1011" s="170" t="s">
        <v>5067</v>
      </c>
      <c r="C1011" s="170"/>
      <c r="D1011" s="170" t="s">
        <v>11</v>
      </c>
      <c r="E1011" s="170" t="s">
        <v>12</v>
      </c>
      <c r="H1011" s="207">
        <v>207449</v>
      </c>
      <c r="I1011" s="182" t="s">
        <v>5068</v>
      </c>
      <c r="J1011" s="182" t="s">
        <v>5069</v>
      </c>
      <c r="K1011" s="182" t="s">
        <v>5070</v>
      </c>
      <c r="L1011" s="182" t="s">
        <v>15</v>
      </c>
    </row>
    <row r="1012" spans="1:12">
      <c r="A1012" s="170" t="s">
        <v>5071</v>
      </c>
      <c r="B1012" s="170" t="s">
        <v>5072</v>
      </c>
      <c r="C1012" s="182" t="s">
        <v>5073</v>
      </c>
      <c r="D1012" s="170" t="s">
        <v>11</v>
      </c>
      <c r="E1012" s="170" t="s">
        <v>12</v>
      </c>
      <c r="H1012" s="207" t="s">
        <v>5074</v>
      </c>
      <c r="I1012" s="182" t="s">
        <v>5075</v>
      </c>
      <c r="J1012" s="182" t="s">
        <v>5074</v>
      </c>
      <c r="K1012" s="182" t="s">
        <v>5076</v>
      </c>
      <c r="L1012" s="182" t="s">
        <v>15</v>
      </c>
    </row>
    <row r="1013" spans="1:12">
      <c r="A1013" s="170" t="s">
        <v>5077</v>
      </c>
      <c r="B1013" s="170" t="s">
        <v>5078</v>
      </c>
      <c r="C1013" s="182" t="s">
        <v>5079</v>
      </c>
      <c r="D1013" s="170" t="s">
        <v>11</v>
      </c>
      <c r="E1013" s="170" t="s">
        <v>12</v>
      </c>
      <c r="H1013" s="207">
        <v>202322</v>
      </c>
      <c r="I1013" s="182" t="s">
        <v>5080</v>
      </c>
      <c r="J1013" s="182" t="s">
        <v>5081</v>
      </c>
      <c r="K1013" s="182" t="s">
        <v>5082</v>
      </c>
      <c r="L1013" s="182" t="s">
        <v>15</v>
      </c>
    </row>
    <row r="1014" spans="1:12">
      <c r="A1014" s="170" t="s">
        <v>5083</v>
      </c>
      <c r="B1014" s="170" t="s">
        <v>5084</v>
      </c>
      <c r="C1014" s="170"/>
      <c r="D1014" s="170" t="s">
        <v>11</v>
      </c>
      <c r="E1014" s="170" t="s">
        <v>12</v>
      </c>
      <c r="H1014" s="207">
        <v>514535</v>
      </c>
      <c r="I1014" s="182" t="s">
        <v>5085</v>
      </c>
      <c r="J1014" s="182" t="s">
        <v>5086</v>
      </c>
      <c r="K1014" s="182" t="s">
        <v>5087</v>
      </c>
      <c r="L1014" s="182" t="s">
        <v>15</v>
      </c>
    </row>
    <row r="1015" spans="1:12">
      <c r="A1015" s="170" t="s">
        <v>5088</v>
      </c>
      <c r="B1015" s="170" t="s">
        <v>5089</v>
      </c>
      <c r="C1015" s="182" t="s">
        <v>5090</v>
      </c>
      <c r="D1015" s="170" t="s">
        <v>11</v>
      </c>
      <c r="E1015" s="170" t="s">
        <v>12</v>
      </c>
      <c r="H1015" s="207">
        <v>393276</v>
      </c>
      <c r="I1015" s="182" t="s">
        <v>5091</v>
      </c>
      <c r="J1015" s="182" t="s">
        <v>5092</v>
      </c>
      <c r="K1015" s="182" t="s">
        <v>5093</v>
      </c>
      <c r="L1015" s="182" t="s">
        <v>15</v>
      </c>
    </row>
    <row r="1016" spans="1:12">
      <c r="A1016" s="170" t="s">
        <v>5094</v>
      </c>
      <c r="B1016" s="170" t="s">
        <v>5095</v>
      </c>
      <c r="C1016" s="182" t="s">
        <v>5096</v>
      </c>
      <c r="D1016" s="170" t="s">
        <v>11</v>
      </c>
      <c r="E1016" s="170" t="s">
        <v>12</v>
      </c>
      <c r="H1016" s="207">
        <v>960641</v>
      </c>
      <c r="I1016" s="182" t="s">
        <v>5097</v>
      </c>
      <c r="J1016" s="182" t="s">
        <v>5098</v>
      </c>
      <c r="K1016" s="182" t="s">
        <v>5099</v>
      </c>
      <c r="L1016" s="182" t="s">
        <v>369</v>
      </c>
    </row>
    <row r="1017" spans="1:12">
      <c r="A1017" s="170" t="s">
        <v>5100</v>
      </c>
      <c r="B1017" s="170" t="s">
        <v>5101</v>
      </c>
      <c r="C1017" s="170"/>
      <c r="D1017" s="170" t="s">
        <v>11</v>
      </c>
      <c r="E1017" s="170" t="s">
        <v>12</v>
      </c>
      <c r="H1017" s="207">
        <v>502059</v>
      </c>
      <c r="I1017" s="182" t="s">
        <v>5102</v>
      </c>
      <c r="J1017" s="182" t="s">
        <v>5103</v>
      </c>
      <c r="K1017" s="182" t="s">
        <v>5104</v>
      </c>
      <c r="L1017" s="182" t="s">
        <v>15</v>
      </c>
    </row>
    <row r="1018" spans="1:12">
      <c r="A1018" s="170" t="s">
        <v>5105</v>
      </c>
      <c r="B1018" s="170" t="s">
        <v>5106</v>
      </c>
      <c r="C1018" s="182" t="s">
        <v>5107</v>
      </c>
      <c r="D1018" s="170" t="s">
        <v>11</v>
      </c>
      <c r="E1018" s="170" t="s">
        <v>12</v>
      </c>
      <c r="H1018" s="207" t="s">
        <v>5108</v>
      </c>
      <c r="I1018" s="182" t="s">
        <v>10</v>
      </c>
      <c r="J1018" s="182" t="s">
        <v>5108</v>
      </c>
      <c r="K1018" s="182" t="s">
        <v>5109</v>
      </c>
      <c r="L1018" s="182" t="s">
        <v>19</v>
      </c>
    </row>
    <row r="1019" spans="1:12">
      <c r="A1019" s="170" t="s">
        <v>5110</v>
      </c>
      <c r="B1019" s="170" t="s">
        <v>5111</v>
      </c>
      <c r="C1019" s="182" t="s">
        <v>5112</v>
      </c>
      <c r="D1019" s="170" t="s">
        <v>11</v>
      </c>
      <c r="E1019" s="170" t="s">
        <v>12</v>
      </c>
      <c r="H1019" s="207" t="s">
        <v>5113</v>
      </c>
      <c r="I1019" s="182" t="s">
        <v>10</v>
      </c>
      <c r="J1019" s="182" t="s">
        <v>5113</v>
      </c>
      <c r="K1019" s="182" t="s">
        <v>5114</v>
      </c>
      <c r="L1019" s="182" t="s">
        <v>53</v>
      </c>
    </row>
    <row r="1020" spans="1:12">
      <c r="A1020" s="170" t="s">
        <v>5115</v>
      </c>
      <c r="B1020" s="170" t="s">
        <v>5116</v>
      </c>
      <c r="C1020" s="170"/>
      <c r="D1020" s="170" t="s">
        <v>11</v>
      </c>
      <c r="E1020" s="170" t="s">
        <v>12</v>
      </c>
      <c r="H1020" s="207">
        <v>518303</v>
      </c>
      <c r="I1020" s="182" t="s">
        <v>5117</v>
      </c>
      <c r="J1020" s="182" t="s">
        <v>5118</v>
      </c>
      <c r="K1020" s="182" t="s">
        <v>5119</v>
      </c>
      <c r="L1020" s="182" t="s">
        <v>15</v>
      </c>
    </row>
    <row r="1021" spans="1:12">
      <c r="A1021" s="170" t="s">
        <v>5120</v>
      </c>
      <c r="B1021" s="170" t="s">
        <v>5121</v>
      </c>
      <c r="C1021" s="182" t="s">
        <v>5122</v>
      </c>
      <c r="D1021" s="170" t="s">
        <v>11</v>
      </c>
      <c r="E1021" s="170" t="s">
        <v>12</v>
      </c>
      <c r="H1021" s="207">
        <v>487320</v>
      </c>
      <c r="I1021" s="182" t="s">
        <v>5123</v>
      </c>
      <c r="J1021" s="182" t="s">
        <v>5124</v>
      </c>
      <c r="K1021" s="182" t="s">
        <v>5125</v>
      </c>
      <c r="L1021" s="182" t="s">
        <v>15</v>
      </c>
    </row>
    <row r="1022" spans="1:12">
      <c r="A1022" s="170" t="s">
        <v>5126</v>
      </c>
      <c r="B1022" s="170" t="s">
        <v>5127</v>
      </c>
      <c r="C1022" s="182" t="s">
        <v>5128</v>
      </c>
      <c r="D1022" s="170" t="s">
        <v>11</v>
      </c>
      <c r="E1022" s="170" t="s">
        <v>12</v>
      </c>
      <c r="H1022" s="207" t="s">
        <v>5129</v>
      </c>
      <c r="I1022" s="182" t="s">
        <v>10</v>
      </c>
      <c r="J1022" s="182" t="s">
        <v>5129</v>
      </c>
      <c r="K1022" s="182" t="s">
        <v>5130</v>
      </c>
      <c r="L1022" s="182" t="s">
        <v>53</v>
      </c>
    </row>
    <row r="1023" spans="1:12">
      <c r="A1023" s="170" t="s">
        <v>5131</v>
      </c>
      <c r="B1023" s="170" t="s">
        <v>5132</v>
      </c>
      <c r="C1023" s="170"/>
      <c r="D1023" s="170" t="s">
        <v>11</v>
      </c>
      <c r="E1023" s="170" t="s">
        <v>12</v>
      </c>
      <c r="H1023" s="207" t="s">
        <v>5133</v>
      </c>
      <c r="I1023" s="182" t="s">
        <v>10</v>
      </c>
      <c r="J1023" s="182" t="s">
        <v>5133</v>
      </c>
      <c r="K1023" s="182" t="s">
        <v>5134</v>
      </c>
      <c r="L1023" s="182" t="s">
        <v>53</v>
      </c>
    </row>
    <row r="1024" spans="1:12">
      <c r="A1024" s="170" t="s">
        <v>5135</v>
      </c>
      <c r="B1024" s="170" t="s">
        <v>5136</v>
      </c>
      <c r="C1024" s="182" t="s">
        <v>5137</v>
      </c>
      <c r="D1024" s="170" t="s">
        <v>11</v>
      </c>
      <c r="E1024" s="170" t="s">
        <v>12</v>
      </c>
      <c r="H1024" s="207">
        <v>459839</v>
      </c>
      <c r="I1024" s="182" t="s">
        <v>5138</v>
      </c>
      <c r="J1024" s="182" t="s">
        <v>5139</v>
      </c>
      <c r="K1024" s="182"/>
      <c r="L1024" s="182" t="s">
        <v>15</v>
      </c>
    </row>
    <row r="1025" spans="1:12">
      <c r="A1025" s="170" t="s">
        <v>5140</v>
      </c>
      <c r="B1025" s="170" t="s">
        <v>5141</v>
      </c>
      <c r="C1025" s="182" t="s">
        <v>5142</v>
      </c>
      <c r="D1025" s="170" t="s">
        <v>11</v>
      </c>
      <c r="E1025" s="170" t="s">
        <v>12</v>
      </c>
      <c r="H1025" s="207">
        <v>460742</v>
      </c>
      <c r="I1025" s="182" t="s">
        <v>5143</v>
      </c>
      <c r="J1025" s="182" t="s">
        <v>5144</v>
      </c>
      <c r="K1025" s="182" t="s">
        <v>5145</v>
      </c>
      <c r="L1025" s="182" t="s">
        <v>15</v>
      </c>
    </row>
    <row r="1026" spans="1:12">
      <c r="A1026" s="170" t="s">
        <v>5146</v>
      </c>
      <c r="B1026" s="170" t="s">
        <v>5147</v>
      </c>
      <c r="C1026" s="170"/>
      <c r="D1026" s="170" t="s">
        <v>11</v>
      </c>
      <c r="E1026" s="170" t="s">
        <v>12</v>
      </c>
      <c r="H1026" s="207">
        <v>503207</v>
      </c>
      <c r="I1026" s="182" t="s">
        <v>5148</v>
      </c>
      <c r="J1026" s="182" t="s">
        <v>5149</v>
      </c>
      <c r="K1026" s="182"/>
      <c r="L1026" s="182" t="s">
        <v>15</v>
      </c>
    </row>
    <row r="1027" spans="1:12">
      <c r="A1027" s="170" t="s">
        <v>5150</v>
      </c>
      <c r="B1027" s="170" t="s">
        <v>5151</v>
      </c>
      <c r="C1027" s="182" t="s">
        <v>5152</v>
      </c>
      <c r="D1027" s="170" t="s">
        <v>11</v>
      </c>
      <c r="E1027" s="170" t="s">
        <v>12</v>
      </c>
      <c r="H1027" s="207" t="s">
        <v>5153</v>
      </c>
      <c r="I1027" s="182" t="s">
        <v>10</v>
      </c>
      <c r="J1027" s="182" t="s">
        <v>5153</v>
      </c>
      <c r="K1027" s="182" t="s">
        <v>5154</v>
      </c>
      <c r="L1027" s="182" t="s">
        <v>19</v>
      </c>
    </row>
    <row r="1028" spans="1:12">
      <c r="A1028" s="170" t="s">
        <v>5155</v>
      </c>
      <c r="B1028" s="170" t="s">
        <v>5156</v>
      </c>
      <c r="C1028" s="182" t="s">
        <v>5157</v>
      </c>
      <c r="D1028" s="170" t="s">
        <v>11</v>
      </c>
      <c r="E1028" s="170" t="s">
        <v>12</v>
      </c>
      <c r="H1028" s="207">
        <v>970637</v>
      </c>
      <c r="I1028" s="182" t="s">
        <v>5158</v>
      </c>
      <c r="J1028" s="182" t="s">
        <v>5159</v>
      </c>
      <c r="K1028" s="182" t="s">
        <v>5160</v>
      </c>
      <c r="L1028" s="182" t="s">
        <v>15</v>
      </c>
    </row>
    <row r="1029" spans="1:12">
      <c r="A1029" s="170" t="s">
        <v>5161</v>
      </c>
      <c r="B1029" s="170" t="s">
        <v>5162</v>
      </c>
      <c r="C1029" s="170"/>
      <c r="D1029" s="170" t="s">
        <v>11</v>
      </c>
      <c r="E1029" s="170" t="s">
        <v>12</v>
      </c>
      <c r="H1029" s="207">
        <v>459206</v>
      </c>
      <c r="I1029" s="182" t="s">
        <v>5163</v>
      </c>
      <c r="J1029" s="182" t="s">
        <v>5164</v>
      </c>
      <c r="K1029" s="182" t="s">
        <v>5165</v>
      </c>
      <c r="L1029" s="182" t="s">
        <v>15</v>
      </c>
    </row>
    <row r="1030" spans="1:12">
      <c r="A1030" s="170" t="s">
        <v>5166</v>
      </c>
      <c r="B1030" s="170" t="s">
        <v>5167</v>
      </c>
      <c r="C1030" s="182" t="s">
        <v>5168</v>
      </c>
      <c r="D1030" s="170" t="s">
        <v>11</v>
      </c>
      <c r="E1030" s="170" t="s">
        <v>12</v>
      </c>
      <c r="H1030" s="207">
        <v>514524</v>
      </c>
      <c r="I1030" s="182" t="s">
        <v>5169</v>
      </c>
      <c r="J1030" s="182" t="s">
        <v>5170</v>
      </c>
      <c r="K1030" s="182" t="s">
        <v>5171</v>
      </c>
      <c r="L1030" s="182" t="s">
        <v>15</v>
      </c>
    </row>
    <row r="1031" spans="1:12">
      <c r="A1031" s="170" t="s">
        <v>5172</v>
      </c>
      <c r="B1031" s="170" t="s">
        <v>5173</v>
      </c>
      <c r="C1031" s="182" t="s">
        <v>5174</v>
      </c>
      <c r="D1031" s="170" t="s">
        <v>11</v>
      </c>
      <c r="E1031" s="170" t="s">
        <v>12</v>
      </c>
      <c r="H1031" s="207">
        <v>857935</v>
      </c>
      <c r="I1031" s="182" t="s">
        <v>5175</v>
      </c>
      <c r="J1031" s="182" t="s">
        <v>5176</v>
      </c>
      <c r="K1031" s="182" t="s">
        <v>5177</v>
      </c>
      <c r="L1031" s="182" t="s">
        <v>15</v>
      </c>
    </row>
    <row r="1032" spans="1:12">
      <c r="A1032" s="170" t="s">
        <v>5178</v>
      </c>
      <c r="B1032" s="170" t="s">
        <v>5179</v>
      </c>
      <c r="C1032" s="170"/>
      <c r="D1032" s="170" t="s">
        <v>11</v>
      </c>
      <c r="E1032" s="170" t="s">
        <v>12</v>
      </c>
      <c r="H1032" s="207">
        <v>190893</v>
      </c>
      <c r="I1032" s="182" t="s">
        <v>5180</v>
      </c>
      <c r="J1032" s="182" t="s">
        <v>5181</v>
      </c>
      <c r="K1032" s="182" t="s">
        <v>5182</v>
      </c>
      <c r="L1032" s="182" t="s">
        <v>15</v>
      </c>
    </row>
    <row r="1033" spans="1:12">
      <c r="A1033" s="170" t="s">
        <v>5183</v>
      </c>
      <c r="B1033" s="170" t="s">
        <v>5184</v>
      </c>
      <c r="C1033" s="182" t="s">
        <v>5185</v>
      </c>
      <c r="D1033" s="170" t="s">
        <v>11</v>
      </c>
      <c r="E1033" s="170" t="s">
        <v>12</v>
      </c>
      <c r="H1033" s="207">
        <v>459586</v>
      </c>
      <c r="I1033" s="182" t="s">
        <v>5186</v>
      </c>
      <c r="J1033" s="182" t="s">
        <v>5187</v>
      </c>
      <c r="K1033" s="182" t="s">
        <v>5188</v>
      </c>
      <c r="L1033" s="182" t="s">
        <v>15</v>
      </c>
    </row>
    <row r="1034" spans="1:12">
      <c r="A1034" s="170" t="s">
        <v>5189</v>
      </c>
      <c r="B1034" s="170" t="s">
        <v>5190</v>
      </c>
      <c r="C1034" s="182" t="s">
        <v>5191</v>
      </c>
      <c r="D1034" s="170" t="s">
        <v>11</v>
      </c>
      <c r="E1034" s="170" t="s">
        <v>12</v>
      </c>
      <c r="H1034" s="207">
        <v>487036</v>
      </c>
      <c r="I1034" s="182" t="s">
        <v>5192</v>
      </c>
      <c r="J1034" s="182" t="s">
        <v>5193</v>
      </c>
      <c r="K1034" s="182"/>
      <c r="L1034" s="182" t="s">
        <v>15</v>
      </c>
    </row>
    <row r="1035" spans="1:12">
      <c r="A1035" s="170" t="s">
        <v>5194</v>
      </c>
      <c r="B1035" s="170" t="s">
        <v>5195</v>
      </c>
      <c r="C1035" s="170"/>
      <c r="D1035" s="170" t="s">
        <v>11</v>
      </c>
      <c r="E1035" s="170" t="s">
        <v>12</v>
      </c>
      <c r="H1035" s="207" t="s">
        <v>5196</v>
      </c>
      <c r="I1035" s="182" t="s">
        <v>10</v>
      </c>
      <c r="J1035" s="182" t="s">
        <v>5196</v>
      </c>
      <c r="K1035" s="182" t="s">
        <v>5197</v>
      </c>
      <c r="L1035" s="182" t="s">
        <v>53</v>
      </c>
    </row>
    <row r="1036" spans="1:12">
      <c r="A1036" s="170" t="s">
        <v>5198</v>
      </c>
      <c r="B1036" s="170" t="s">
        <v>5199</v>
      </c>
      <c r="C1036" t="s">
        <v>5200</v>
      </c>
      <c r="D1036" s="170" t="s">
        <v>11</v>
      </c>
      <c r="E1036" s="170" t="s">
        <v>12</v>
      </c>
      <c r="H1036" s="207">
        <v>161441</v>
      </c>
      <c r="I1036" s="182" t="s">
        <v>5201</v>
      </c>
      <c r="J1036" s="182" t="s">
        <v>5202</v>
      </c>
      <c r="K1036" s="182"/>
      <c r="L1036" s="182" t="s">
        <v>15</v>
      </c>
    </row>
    <row r="1037" spans="1:12">
      <c r="A1037" s="170" t="s">
        <v>5203</v>
      </c>
      <c r="B1037" s="170" t="s">
        <v>5204</v>
      </c>
      <c r="C1037" s="170"/>
      <c r="D1037" s="170" t="s">
        <v>11</v>
      </c>
      <c r="E1037" s="170" t="s">
        <v>12</v>
      </c>
      <c r="H1037" s="207">
        <v>486897</v>
      </c>
      <c r="I1037" s="182" t="s">
        <v>5205</v>
      </c>
      <c r="J1037" s="182" t="s">
        <v>5206</v>
      </c>
      <c r="K1037" s="182" t="s">
        <v>5207</v>
      </c>
      <c r="L1037" s="182" t="s">
        <v>15</v>
      </c>
    </row>
    <row r="1038" spans="1:12">
      <c r="A1038" s="170" t="s">
        <v>5208</v>
      </c>
      <c r="B1038" s="170" t="s">
        <v>5209</v>
      </c>
      <c r="C1038" s="170"/>
      <c r="D1038" s="170" t="s">
        <v>11</v>
      </c>
      <c r="E1038" s="170" t="s">
        <v>12</v>
      </c>
      <c r="H1038" s="207">
        <v>499431</v>
      </c>
      <c r="I1038" s="182" t="s">
        <v>5210</v>
      </c>
      <c r="J1038" s="182" t="s">
        <v>5211</v>
      </c>
      <c r="K1038" s="182" t="s">
        <v>5212</v>
      </c>
      <c r="L1038" s="182" t="s">
        <v>15</v>
      </c>
    </row>
    <row r="1039" spans="1:12">
      <c r="A1039" s="170" t="s">
        <v>5213</v>
      </c>
      <c r="B1039" s="170" t="s">
        <v>5214</v>
      </c>
      <c r="C1039" s="182" t="s">
        <v>5215</v>
      </c>
      <c r="D1039" s="170" t="s">
        <v>11</v>
      </c>
      <c r="E1039" s="170" t="s">
        <v>12</v>
      </c>
      <c r="H1039" s="207">
        <v>358868</v>
      </c>
      <c r="I1039" s="182" t="s">
        <v>5216</v>
      </c>
      <c r="J1039" s="182" t="s">
        <v>5217</v>
      </c>
      <c r="K1039" s="182" t="s">
        <v>5218</v>
      </c>
      <c r="L1039" s="182" t="s">
        <v>15</v>
      </c>
    </row>
    <row r="1040" spans="1:12">
      <c r="A1040" s="170" t="s">
        <v>5219</v>
      </c>
      <c r="B1040" s="170" t="s">
        <v>5220</v>
      </c>
      <c r="C1040" s="182" t="s">
        <v>5221</v>
      </c>
      <c r="D1040" s="170" t="s">
        <v>11</v>
      </c>
      <c r="E1040" s="170" t="s">
        <v>12</v>
      </c>
      <c r="H1040" s="207" t="s">
        <v>5222</v>
      </c>
      <c r="I1040" s="182" t="s">
        <v>10</v>
      </c>
      <c r="J1040" s="182" t="s">
        <v>5222</v>
      </c>
      <c r="K1040" s="182" t="s">
        <v>5223</v>
      </c>
      <c r="L1040" s="182" t="s">
        <v>53</v>
      </c>
    </row>
    <row r="1041" spans="1:12">
      <c r="A1041" s="170" t="s">
        <v>5224</v>
      </c>
      <c r="B1041" s="170" t="s">
        <v>5225</v>
      </c>
      <c r="C1041" s="170"/>
      <c r="D1041" s="170" t="s">
        <v>11</v>
      </c>
      <c r="E1041" s="170" t="s">
        <v>12</v>
      </c>
      <c r="H1041" s="207">
        <v>496914</v>
      </c>
      <c r="I1041" s="182" t="s">
        <v>5226</v>
      </c>
      <c r="J1041" s="182" t="s">
        <v>5227</v>
      </c>
      <c r="K1041" s="182"/>
      <c r="L1041" s="182" t="s">
        <v>15</v>
      </c>
    </row>
    <row r="1042" spans="1:12">
      <c r="A1042" s="170" t="s">
        <v>5228</v>
      </c>
      <c r="B1042" s="170" t="s">
        <v>5229</v>
      </c>
      <c r="C1042" s="182" t="s">
        <v>5230</v>
      </c>
      <c r="D1042" s="170" t="s">
        <v>11</v>
      </c>
      <c r="E1042" s="170" t="s">
        <v>12</v>
      </c>
      <c r="H1042" s="207">
        <v>510843</v>
      </c>
      <c r="I1042" s="182" t="s">
        <v>5231</v>
      </c>
      <c r="J1042" s="182" t="s">
        <v>5232</v>
      </c>
      <c r="K1042" s="182" t="s">
        <v>5233</v>
      </c>
      <c r="L1042" s="182" t="s">
        <v>15</v>
      </c>
    </row>
    <row r="1043" spans="1:12">
      <c r="A1043" s="170" t="s">
        <v>5234</v>
      </c>
      <c r="B1043" s="170" t="s">
        <v>5235</v>
      </c>
      <c r="C1043" s="182" t="s">
        <v>5236</v>
      </c>
      <c r="D1043" s="170" t="s">
        <v>11</v>
      </c>
      <c r="E1043" s="170" t="s">
        <v>12</v>
      </c>
      <c r="H1043" s="207">
        <v>507066</v>
      </c>
      <c r="I1043" s="182" t="s">
        <v>5237</v>
      </c>
      <c r="J1043" s="182" t="s">
        <v>5238</v>
      </c>
      <c r="K1043" s="182" t="s">
        <v>5239</v>
      </c>
      <c r="L1043" s="182" t="s">
        <v>15</v>
      </c>
    </row>
    <row r="1044" spans="1:12">
      <c r="A1044" s="170" t="s">
        <v>5240</v>
      </c>
      <c r="B1044" s="170" t="s">
        <v>5241</v>
      </c>
      <c r="C1044" s="170"/>
      <c r="D1044" s="170" t="s">
        <v>11</v>
      </c>
      <c r="E1044" s="170" t="s">
        <v>12</v>
      </c>
      <c r="H1044" s="207" t="s">
        <v>10</v>
      </c>
      <c r="I1044" s="182" t="s">
        <v>10</v>
      </c>
      <c r="J1044" s="182" t="s">
        <v>5242</v>
      </c>
      <c r="K1044" s="182" t="s">
        <v>5243</v>
      </c>
      <c r="L1044" s="182" t="s">
        <v>15</v>
      </c>
    </row>
    <row r="1045" spans="1:12">
      <c r="A1045" s="170" t="s">
        <v>5244</v>
      </c>
      <c r="B1045" s="170" t="s">
        <v>5245</v>
      </c>
      <c r="C1045" s="182" t="s">
        <v>5246</v>
      </c>
      <c r="D1045" s="170" t="s">
        <v>11</v>
      </c>
      <c r="E1045" s="170" t="s">
        <v>12</v>
      </c>
      <c r="H1045" s="207">
        <v>39575</v>
      </c>
      <c r="I1045" s="182" t="s">
        <v>5247</v>
      </c>
      <c r="J1045" s="182" t="s">
        <v>5248</v>
      </c>
      <c r="K1045" s="182" t="s">
        <v>5249</v>
      </c>
      <c r="L1045" s="182" t="s">
        <v>15</v>
      </c>
    </row>
    <row r="1046" spans="1:12">
      <c r="A1046" s="170" t="s">
        <v>5250</v>
      </c>
      <c r="B1046" s="170" t="s">
        <v>5251</v>
      </c>
      <c r="C1046" s="182" t="s">
        <v>5252</v>
      </c>
      <c r="D1046" s="170" t="s">
        <v>11</v>
      </c>
      <c r="E1046" s="170" t="s">
        <v>12</v>
      </c>
      <c r="H1046" s="207">
        <v>506906</v>
      </c>
      <c r="I1046" s="182" t="s">
        <v>5253</v>
      </c>
      <c r="J1046" s="182" t="s">
        <v>5254</v>
      </c>
      <c r="K1046" s="182" t="s">
        <v>5255</v>
      </c>
      <c r="L1046" s="182" t="s">
        <v>15</v>
      </c>
    </row>
    <row r="1047" spans="1:12">
      <c r="A1047" s="170" t="s">
        <v>5256</v>
      </c>
      <c r="B1047" s="170" t="s">
        <v>5257</v>
      </c>
      <c r="C1047" s="170"/>
      <c r="D1047" s="170" t="s">
        <v>11</v>
      </c>
      <c r="E1047" s="170" t="s">
        <v>12</v>
      </c>
      <c r="H1047" s="207">
        <v>496560</v>
      </c>
      <c r="I1047" s="182" t="s">
        <v>5258</v>
      </c>
      <c r="J1047" s="182" t="s">
        <v>5259</v>
      </c>
      <c r="K1047" s="182" t="s">
        <v>5260</v>
      </c>
      <c r="L1047" s="182" t="s">
        <v>15</v>
      </c>
    </row>
    <row r="1048" spans="1:12">
      <c r="A1048" s="170" t="s">
        <v>5261</v>
      </c>
      <c r="B1048" s="170" t="s">
        <v>5262</v>
      </c>
      <c r="C1048" s="182" t="s">
        <v>5263</v>
      </c>
      <c r="D1048" s="170" t="s">
        <v>11</v>
      </c>
      <c r="E1048" s="170" t="s">
        <v>12</v>
      </c>
      <c r="H1048" s="207">
        <v>478088</v>
      </c>
      <c r="I1048" s="182" t="s">
        <v>5264</v>
      </c>
      <c r="J1048" s="182" t="s">
        <v>5265</v>
      </c>
      <c r="K1048" s="182" t="s">
        <v>5266</v>
      </c>
      <c r="L1048" s="182" t="s">
        <v>15</v>
      </c>
    </row>
    <row r="1049" spans="1:12">
      <c r="A1049" s="170" t="s">
        <v>5267</v>
      </c>
      <c r="B1049" s="170" t="s">
        <v>5268</v>
      </c>
      <c r="C1049" s="182" t="s">
        <v>5269</v>
      </c>
      <c r="D1049" s="170" t="s">
        <v>11</v>
      </c>
      <c r="E1049" s="170" t="s">
        <v>12</v>
      </c>
      <c r="H1049" s="207" t="s">
        <v>5270</v>
      </c>
      <c r="I1049" s="182" t="s">
        <v>10</v>
      </c>
      <c r="J1049" s="182" t="s">
        <v>5270</v>
      </c>
      <c r="K1049" s="182" t="s">
        <v>5271</v>
      </c>
      <c r="L1049" s="182" t="s">
        <v>53</v>
      </c>
    </row>
    <row r="1050" spans="1:12">
      <c r="A1050" s="170" t="s">
        <v>5272</v>
      </c>
      <c r="B1050" s="170" t="s">
        <v>5273</v>
      </c>
      <c r="C1050" s="170"/>
      <c r="D1050" s="170" t="s">
        <v>11</v>
      </c>
      <c r="E1050" s="170" t="s">
        <v>12</v>
      </c>
      <c r="H1050" s="207">
        <v>487325</v>
      </c>
      <c r="I1050" s="182" t="s">
        <v>5274</v>
      </c>
      <c r="J1050" s="182" t="s">
        <v>5275</v>
      </c>
      <c r="K1050" s="182" t="s">
        <v>5276</v>
      </c>
      <c r="L1050" s="182" t="s">
        <v>15</v>
      </c>
    </row>
    <row r="1051" spans="1:12">
      <c r="A1051" s="170" t="s">
        <v>5277</v>
      </c>
      <c r="B1051" s="170" t="s">
        <v>5278</v>
      </c>
      <c r="C1051" s="182" t="s">
        <v>5279</v>
      </c>
      <c r="D1051" s="170" t="s">
        <v>11</v>
      </c>
      <c r="E1051" s="170" t="s">
        <v>12</v>
      </c>
      <c r="H1051" s="207">
        <v>421626</v>
      </c>
      <c r="I1051" s="182" t="s">
        <v>5280</v>
      </c>
      <c r="J1051" s="182" t="s">
        <v>5281</v>
      </c>
      <c r="K1051" s="182" t="s">
        <v>5282</v>
      </c>
      <c r="L1051" s="182" t="s">
        <v>15</v>
      </c>
    </row>
    <row r="1052" spans="1:12">
      <c r="A1052" s="170" t="s">
        <v>5283</v>
      </c>
      <c r="B1052" s="170" t="s">
        <v>5284</v>
      </c>
      <c r="C1052" s="182" t="s">
        <v>5285</v>
      </c>
      <c r="D1052" s="170" t="s">
        <v>11</v>
      </c>
      <c r="E1052" s="170" t="s">
        <v>12</v>
      </c>
      <c r="H1052" s="207" t="s">
        <v>5286</v>
      </c>
      <c r="I1052" s="182" t="s">
        <v>10</v>
      </c>
      <c r="J1052" s="182" t="s">
        <v>5286</v>
      </c>
      <c r="K1052" s="182" t="s">
        <v>5287</v>
      </c>
      <c r="L1052" s="182" t="s">
        <v>19</v>
      </c>
    </row>
    <row r="1053" spans="1:12">
      <c r="A1053" s="170" t="s">
        <v>5288</v>
      </c>
      <c r="B1053" s="170" t="s">
        <v>5289</v>
      </c>
      <c r="C1053" s="170"/>
      <c r="D1053" s="170" t="s">
        <v>11</v>
      </c>
      <c r="E1053" s="170" t="s">
        <v>12</v>
      </c>
      <c r="H1053" s="207">
        <v>509836</v>
      </c>
      <c r="I1053" s="182" t="s">
        <v>5290</v>
      </c>
      <c r="J1053" s="182" t="s">
        <v>5291</v>
      </c>
      <c r="K1053" s="182" t="s">
        <v>5292</v>
      </c>
      <c r="L1053" s="182" t="s">
        <v>15</v>
      </c>
    </row>
    <row r="1054" spans="1:12">
      <c r="A1054" s="170" t="s">
        <v>5293</v>
      </c>
      <c r="B1054" s="170" t="s">
        <v>5294</v>
      </c>
      <c r="C1054" s="182" t="s">
        <v>5295</v>
      </c>
      <c r="D1054" s="170" t="s">
        <v>11</v>
      </c>
      <c r="E1054" s="170" t="s">
        <v>12</v>
      </c>
      <c r="H1054" s="207">
        <v>361359</v>
      </c>
      <c r="I1054" s="182" t="s">
        <v>5296</v>
      </c>
      <c r="J1054" s="182" t="s">
        <v>5297</v>
      </c>
      <c r="K1054" s="182" t="s">
        <v>5298</v>
      </c>
      <c r="L1054" s="182" t="s">
        <v>15</v>
      </c>
    </row>
    <row r="1055" spans="1:12">
      <c r="A1055" s="170" t="s">
        <v>5299</v>
      </c>
      <c r="B1055" s="170" t="s">
        <v>5300</v>
      </c>
      <c r="C1055" s="182" t="s">
        <v>5301</v>
      </c>
      <c r="D1055" s="170" t="s">
        <v>11</v>
      </c>
      <c r="E1055" s="170" t="s">
        <v>12</v>
      </c>
      <c r="H1055" s="207">
        <v>478271</v>
      </c>
      <c r="I1055" s="182" t="s">
        <v>5302</v>
      </c>
      <c r="J1055" s="182" t="s">
        <v>5303</v>
      </c>
      <c r="K1055" s="182"/>
      <c r="L1055" s="182" t="s">
        <v>15</v>
      </c>
    </row>
    <row r="1056" spans="1:12">
      <c r="A1056" s="170" t="s">
        <v>5304</v>
      </c>
      <c r="B1056" s="170" t="s">
        <v>5305</v>
      </c>
      <c r="C1056" s="170"/>
      <c r="D1056" s="170" t="s">
        <v>11</v>
      </c>
      <c r="E1056" s="170" t="s">
        <v>12</v>
      </c>
      <c r="H1056" s="207">
        <v>809607</v>
      </c>
      <c r="I1056" s="182" t="s">
        <v>5306</v>
      </c>
      <c r="J1056" s="182" t="s">
        <v>5307</v>
      </c>
      <c r="K1056" s="182" t="s">
        <v>5308</v>
      </c>
      <c r="L1056" s="182" t="s">
        <v>15</v>
      </c>
    </row>
    <row r="1057" spans="1:12">
      <c r="A1057" s="170" t="s">
        <v>5309</v>
      </c>
      <c r="B1057" s="170" t="s">
        <v>5310</v>
      </c>
      <c r="C1057" s="182" t="s">
        <v>5311</v>
      </c>
      <c r="D1057" s="170" t="s">
        <v>11</v>
      </c>
      <c r="E1057" s="170" t="s">
        <v>12</v>
      </c>
      <c r="H1057" s="207">
        <v>162449</v>
      </c>
      <c r="I1057" s="182" t="s">
        <v>5312</v>
      </c>
      <c r="J1057" s="182" t="s">
        <v>5313</v>
      </c>
      <c r="K1057" s="182" t="s">
        <v>5314</v>
      </c>
      <c r="L1057" s="182" t="s">
        <v>15</v>
      </c>
    </row>
    <row r="1058" spans="1:12">
      <c r="A1058" s="170" t="s">
        <v>5315</v>
      </c>
      <c r="B1058" s="170" t="s">
        <v>5316</v>
      </c>
      <c r="C1058" s="182" t="s">
        <v>5317</v>
      </c>
      <c r="D1058" s="170" t="s">
        <v>11</v>
      </c>
      <c r="E1058" s="170" t="s">
        <v>12</v>
      </c>
      <c r="H1058" s="207">
        <v>451001</v>
      </c>
      <c r="I1058" s="182" t="s">
        <v>5318</v>
      </c>
      <c r="J1058" s="182" t="s">
        <v>5319</v>
      </c>
      <c r="K1058" s="182" t="s">
        <v>5320</v>
      </c>
      <c r="L1058" s="182" t="s">
        <v>15</v>
      </c>
    </row>
    <row r="1059" spans="1:12">
      <c r="A1059" s="170" t="s">
        <v>5321</v>
      </c>
      <c r="B1059" s="170" t="s">
        <v>5322</v>
      </c>
      <c r="C1059" s="170"/>
      <c r="D1059" s="170" t="s">
        <v>11</v>
      </c>
      <c r="E1059" s="170" t="s">
        <v>12</v>
      </c>
      <c r="H1059" s="207">
        <v>139709</v>
      </c>
      <c r="I1059" s="182" t="s">
        <v>5323</v>
      </c>
      <c r="J1059" s="182" t="s">
        <v>5324</v>
      </c>
      <c r="K1059" s="182" t="s">
        <v>5325</v>
      </c>
      <c r="L1059" s="182" t="s">
        <v>15</v>
      </c>
    </row>
    <row r="1060" spans="1:12">
      <c r="A1060" s="170" t="s">
        <v>5326</v>
      </c>
      <c r="B1060" s="170" t="s">
        <v>5327</v>
      </c>
      <c r="C1060" s="182" t="s">
        <v>5328</v>
      </c>
      <c r="D1060" s="170" t="s">
        <v>11</v>
      </c>
      <c r="E1060" s="170" t="s">
        <v>12</v>
      </c>
      <c r="H1060" s="207">
        <v>492223</v>
      </c>
      <c r="I1060" s="182" t="s">
        <v>5329</v>
      </c>
      <c r="J1060" s="182" t="s">
        <v>5330</v>
      </c>
      <c r="K1060" s="182" t="s">
        <v>5331</v>
      </c>
      <c r="L1060" s="182" t="s">
        <v>15</v>
      </c>
    </row>
    <row r="1061" spans="1:12">
      <c r="A1061" s="170" t="s">
        <v>5332</v>
      </c>
      <c r="B1061" s="170" t="s">
        <v>5333</v>
      </c>
      <c r="C1061" s="170"/>
      <c r="D1061" s="170" t="s">
        <v>11</v>
      </c>
      <c r="E1061" s="170" t="s">
        <v>12</v>
      </c>
      <c r="H1061" s="207">
        <v>486020</v>
      </c>
      <c r="I1061" s="182" t="s">
        <v>4957</v>
      </c>
      <c r="J1061" s="182" t="s">
        <v>5334</v>
      </c>
      <c r="K1061" s="182" t="s">
        <v>5335</v>
      </c>
      <c r="L1061" s="182" t="s">
        <v>369</v>
      </c>
    </row>
    <row r="1062" spans="1:12">
      <c r="A1062" s="170" t="s">
        <v>5336</v>
      </c>
      <c r="B1062" s="170" t="s">
        <v>5337</v>
      </c>
      <c r="C1062" s="170"/>
      <c r="D1062" s="170" t="s">
        <v>11</v>
      </c>
      <c r="E1062" s="170" t="s">
        <v>12</v>
      </c>
      <c r="H1062" s="207" t="s">
        <v>5338</v>
      </c>
      <c r="I1062" s="182" t="s">
        <v>10</v>
      </c>
      <c r="J1062" s="182" t="s">
        <v>5338</v>
      </c>
      <c r="K1062" s="182" t="s">
        <v>5339</v>
      </c>
      <c r="L1062" s="182" t="s">
        <v>19</v>
      </c>
    </row>
    <row r="1063" spans="1:12">
      <c r="A1063" s="170" t="s">
        <v>5340</v>
      </c>
      <c r="B1063" s="170" t="s">
        <v>5341</v>
      </c>
      <c r="C1063" s="182" t="s">
        <v>5342</v>
      </c>
      <c r="D1063" s="170" t="s">
        <v>11</v>
      </c>
      <c r="E1063" s="170" t="s">
        <v>12</v>
      </c>
      <c r="H1063" s="207">
        <v>440828</v>
      </c>
      <c r="I1063" s="182" t="s">
        <v>5343</v>
      </c>
      <c r="J1063" s="182" t="s">
        <v>5344</v>
      </c>
      <c r="K1063" s="182" t="s">
        <v>5345</v>
      </c>
      <c r="L1063" s="182" t="s">
        <v>15</v>
      </c>
    </row>
    <row r="1064" spans="1:12">
      <c r="A1064" s="170" t="s">
        <v>5346</v>
      </c>
      <c r="B1064" s="170" t="s">
        <v>5347</v>
      </c>
      <c r="C1064" s="170"/>
      <c r="D1064" s="170" t="s">
        <v>11</v>
      </c>
      <c r="E1064" s="170" t="s">
        <v>12</v>
      </c>
      <c r="H1064" s="207">
        <v>485267</v>
      </c>
      <c r="I1064" s="182" t="s">
        <v>5348</v>
      </c>
      <c r="J1064" s="182" t="s">
        <v>5349</v>
      </c>
      <c r="K1064" s="182" t="s">
        <v>5350</v>
      </c>
      <c r="L1064" s="182" t="s">
        <v>15</v>
      </c>
    </row>
    <row r="1065" spans="1:12">
      <c r="A1065" s="170" t="s">
        <v>5351</v>
      </c>
      <c r="B1065" s="170" t="s">
        <v>5352</v>
      </c>
      <c r="C1065" s="170"/>
      <c r="D1065" s="170" t="s">
        <v>11</v>
      </c>
      <c r="E1065" s="170" t="s">
        <v>12</v>
      </c>
      <c r="H1065" s="207">
        <v>458238</v>
      </c>
      <c r="I1065" s="182" t="s">
        <v>5353</v>
      </c>
      <c r="J1065" s="182" t="s">
        <v>5354</v>
      </c>
      <c r="K1065" s="182" t="s">
        <v>5355</v>
      </c>
      <c r="L1065" s="182" t="s">
        <v>15</v>
      </c>
    </row>
    <row r="1066" spans="1:12">
      <c r="A1066" s="170" t="s">
        <v>5356</v>
      </c>
      <c r="B1066" s="170" t="s">
        <v>5357</v>
      </c>
      <c r="C1066" s="182" t="s">
        <v>5358</v>
      </c>
      <c r="D1066" s="170" t="s">
        <v>11</v>
      </c>
      <c r="E1066" s="170" t="s">
        <v>12</v>
      </c>
      <c r="H1066" s="207">
        <v>497139</v>
      </c>
      <c r="I1066" s="182" t="s">
        <v>5359</v>
      </c>
      <c r="J1066" s="182" t="s">
        <v>5360</v>
      </c>
      <c r="K1066" s="182"/>
      <c r="L1066" s="182" t="s">
        <v>15</v>
      </c>
    </row>
    <row r="1067" spans="1:12">
      <c r="A1067" s="170" t="s">
        <v>5361</v>
      </c>
      <c r="B1067" s="170" t="s">
        <v>5362</v>
      </c>
      <c r="C1067" s="170"/>
      <c r="D1067" s="170" t="s">
        <v>11</v>
      </c>
      <c r="E1067" s="170" t="s">
        <v>12</v>
      </c>
      <c r="H1067" s="207">
        <v>487097</v>
      </c>
      <c r="I1067" s="182" t="s">
        <v>5363</v>
      </c>
      <c r="J1067" s="182" t="s">
        <v>5364</v>
      </c>
      <c r="K1067" s="182" t="s">
        <v>5365</v>
      </c>
      <c r="L1067" s="182" t="s">
        <v>15</v>
      </c>
    </row>
    <row r="1068" spans="1:12">
      <c r="A1068" s="170" t="s">
        <v>5366</v>
      </c>
      <c r="B1068" s="170" t="s">
        <v>5367</v>
      </c>
      <c r="C1068" s="170"/>
      <c r="D1068" s="170" t="s">
        <v>11</v>
      </c>
      <c r="E1068" s="170" t="s">
        <v>12</v>
      </c>
      <c r="H1068" s="207">
        <v>450380</v>
      </c>
      <c r="I1068" s="182" t="s">
        <v>5368</v>
      </c>
      <c r="J1068" s="182" t="s">
        <v>5369</v>
      </c>
      <c r="K1068" s="182" t="s">
        <v>5370</v>
      </c>
      <c r="L1068" s="182" t="s">
        <v>15</v>
      </c>
    </row>
    <row r="1069" spans="1:12">
      <c r="A1069" s="170" t="s">
        <v>5371</v>
      </c>
      <c r="B1069" s="170" t="s">
        <v>5372</v>
      </c>
      <c r="C1069" s="178" t="s">
        <v>10</v>
      </c>
      <c r="D1069" s="170" t="s">
        <v>11</v>
      </c>
      <c r="E1069" s="170" t="s">
        <v>12</v>
      </c>
      <c r="H1069" s="207" t="s">
        <v>5373</v>
      </c>
      <c r="I1069" s="182" t="s">
        <v>10</v>
      </c>
      <c r="J1069" s="182" t="s">
        <v>5373</v>
      </c>
      <c r="K1069" s="182" t="s">
        <v>5374</v>
      </c>
      <c r="L1069" s="182" t="s">
        <v>53</v>
      </c>
    </row>
    <row r="1070" spans="1:12">
      <c r="A1070" s="170" t="s">
        <v>5375</v>
      </c>
      <c r="B1070" s="170" t="s">
        <v>5376</v>
      </c>
      <c r="C1070" s="178" t="s">
        <v>10</v>
      </c>
      <c r="D1070" s="170" t="s">
        <v>11</v>
      </c>
      <c r="E1070" s="170" t="s">
        <v>12</v>
      </c>
      <c r="H1070" s="207">
        <v>437430</v>
      </c>
      <c r="I1070" s="182" t="s">
        <v>5377</v>
      </c>
      <c r="J1070" s="182" t="s">
        <v>5378</v>
      </c>
      <c r="K1070" s="182" t="s">
        <v>5379</v>
      </c>
      <c r="L1070" s="182" t="s">
        <v>15</v>
      </c>
    </row>
    <row r="1071" spans="1:12">
      <c r="A1071" s="170" t="s">
        <v>5380</v>
      </c>
      <c r="B1071" s="170" t="s">
        <v>5381</v>
      </c>
      <c r="C1071" s="178" t="s">
        <v>10</v>
      </c>
      <c r="D1071" s="170" t="s">
        <v>11</v>
      </c>
      <c r="E1071" s="170" t="s">
        <v>12</v>
      </c>
      <c r="H1071" s="207">
        <v>436879</v>
      </c>
      <c r="I1071" s="182" t="s">
        <v>5382</v>
      </c>
      <c r="J1071" s="182" t="s">
        <v>5383</v>
      </c>
      <c r="K1071" s="182" t="s">
        <v>5384</v>
      </c>
      <c r="L1071" s="182" t="s">
        <v>15</v>
      </c>
    </row>
    <row r="1072" spans="1:12">
      <c r="A1072" s="170" t="s">
        <v>5385</v>
      </c>
      <c r="B1072" s="170" t="s">
        <v>5386</v>
      </c>
      <c r="C1072" s="178" t="s">
        <v>10</v>
      </c>
      <c r="D1072" s="170" t="s">
        <v>11</v>
      </c>
      <c r="E1072" s="170" t="s">
        <v>12</v>
      </c>
      <c r="H1072" s="207">
        <v>500640</v>
      </c>
      <c r="I1072" s="182" t="s">
        <v>89</v>
      </c>
      <c r="J1072" s="182" t="s">
        <v>5387</v>
      </c>
      <c r="K1072" s="182" t="s">
        <v>5388</v>
      </c>
      <c r="L1072" s="182" t="s">
        <v>15</v>
      </c>
    </row>
    <row r="1073" spans="1:12">
      <c r="A1073" s="170" t="s">
        <v>5389</v>
      </c>
      <c r="B1073" s="170" t="s">
        <v>5390</v>
      </c>
      <c r="C1073" s="178" t="s">
        <v>10</v>
      </c>
      <c r="D1073" s="170" t="s">
        <v>11</v>
      </c>
      <c r="E1073" s="170" t="s">
        <v>12</v>
      </c>
      <c r="H1073" s="207">
        <v>451038</v>
      </c>
      <c r="I1073" s="182" t="s">
        <v>5391</v>
      </c>
      <c r="J1073" s="182" t="s">
        <v>5392</v>
      </c>
      <c r="K1073" s="182" t="s">
        <v>5393</v>
      </c>
      <c r="L1073" s="182" t="s">
        <v>15</v>
      </c>
    </row>
    <row r="1074" spans="1:12">
      <c r="A1074" s="170" t="s">
        <v>5394</v>
      </c>
      <c r="B1074" s="170" t="s">
        <v>5395</v>
      </c>
      <c r="C1074" s="178" t="s">
        <v>10</v>
      </c>
      <c r="D1074" s="170" t="s">
        <v>11</v>
      </c>
      <c r="E1074" s="170" t="s">
        <v>12</v>
      </c>
      <c r="H1074" s="207">
        <v>501425</v>
      </c>
      <c r="I1074" s="182" t="s">
        <v>5396</v>
      </c>
      <c r="J1074" s="182" t="s">
        <v>5397</v>
      </c>
      <c r="K1074" s="182" t="s">
        <v>5398</v>
      </c>
      <c r="L1074" s="182" t="s">
        <v>15</v>
      </c>
    </row>
    <row r="1075" spans="1:12">
      <c r="A1075" s="170" t="s">
        <v>5399</v>
      </c>
      <c r="B1075" s="170" t="s">
        <v>5400</v>
      </c>
      <c r="C1075" s="182" t="s">
        <v>5401</v>
      </c>
      <c r="D1075" s="170" t="s">
        <v>11</v>
      </c>
      <c r="E1075" s="170" t="s">
        <v>12</v>
      </c>
      <c r="H1075" s="207">
        <v>83718</v>
      </c>
      <c r="I1075" s="182" t="s">
        <v>5402</v>
      </c>
      <c r="J1075" s="182" t="s">
        <v>5403</v>
      </c>
      <c r="K1075" s="182" t="s">
        <v>5404</v>
      </c>
      <c r="L1075" s="182" t="s">
        <v>15</v>
      </c>
    </row>
    <row r="1076" spans="1:12">
      <c r="A1076" s="170" t="s">
        <v>5405</v>
      </c>
      <c r="B1076" s="170" t="s">
        <v>5406</v>
      </c>
      <c r="C1076" s="170"/>
      <c r="D1076" s="170" t="s">
        <v>11</v>
      </c>
      <c r="E1076" s="170" t="s">
        <v>12</v>
      </c>
      <c r="H1076" s="207" t="s">
        <v>5407</v>
      </c>
      <c r="I1076" s="182" t="s">
        <v>10</v>
      </c>
      <c r="J1076" s="182" t="s">
        <v>5407</v>
      </c>
      <c r="K1076" s="182" t="s">
        <v>5408</v>
      </c>
      <c r="L1076" s="182" t="s">
        <v>19</v>
      </c>
    </row>
    <row r="1077" spans="1:12">
      <c r="A1077" s="170" t="s">
        <v>5409</v>
      </c>
      <c r="B1077" s="170" t="s">
        <v>5410</v>
      </c>
      <c r="C1077" s="170"/>
      <c r="D1077" s="170" t="s">
        <v>11</v>
      </c>
      <c r="E1077" s="170" t="s">
        <v>12</v>
      </c>
      <c r="H1077" s="207">
        <v>439356</v>
      </c>
      <c r="I1077" s="182" t="s">
        <v>5411</v>
      </c>
      <c r="J1077" s="182" t="s">
        <v>5412</v>
      </c>
      <c r="K1077" s="182" t="s">
        <v>5413</v>
      </c>
      <c r="L1077" s="182" t="s">
        <v>15</v>
      </c>
    </row>
    <row r="1078" spans="1:12">
      <c r="A1078" s="170" t="s">
        <v>5414</v>
      </c>
      <c r="B1078" s="170" t="s">
        <v>5415</v>
      </c>
      <c r="C1078" s="192" t="s">
        <v>5416</v>
      </c>
      <c r="D1078" s="170" t="s">
        <v>11</v>
      </c>
      <c r="E1078" s="170" t="s">
        <v>12</v>
      </c>
      <c r="H1078" s="207">
        <v>439151</v>
      </c>
      <c r="I1078" s="182" t="s">
        <v>5417</v>
      </c>
      <c r="J1078" s="182" t="s">
        <v>5418</v>
      </c>
      <c r="K1078" s="182" t="s">
        <v>5419</v>
      </c>
      <c r="L1078" s="182" t="s">
        <v>15</v>
      </c>
    </row>
    <row r="1079" spans="1:12">
      <c r="A1079" s="170" t="s">
        <v>5420</v>
      </c>
      <c r="B1079" s="170" t="s">
        <v>5421</v>
      </c>
      <c r="C1079" s="170"/>
      <c r="D1079" s="170" t="s">
        <v>11</v>
      </c>
      <c r="E1079" s="170" t="s">
        <v>12</v>
      </c>
      <c r="H1079" s="207">
        <v>490699</v>
      </c>
      <c r="I1079" s="182" t="s">
        <v>5422</v>
      </c>
      <c r="J1079" s="182" t="s">
        <v>5423</v>
      </c>
      <c r="K1079" s="182"/>
      <c r="L1079" s="182" t="s">
        <v>15</v>
      </c>
    </row>
    <row r="1080" spans="1:12">
      <c r="A1080" s="170" t="s">
        <v>5424</v>
      </c>
      <c r="B1080" s="170" t="s">
        <v>5425</v>
      </c>
      <c r="C1080" s="170"/>
      <c r="D1080" s="170" t="s">
        <v>11</v>
      </c>
      <c r="E1080" s="170" t="s">
        <v>12</v>
      </c>
      <c r="H1080" s="207" t="s">
        <v>5426</v>
      </c>
      <c r="I1080" s="182" t="s">
        <v>10</v>
      </c>
      <c r="J1080" s="182" t="s">
        <v>5426</v>
      </c>
      <c r="K1080" s="182" t="s">
        <v>5427</v>
      </c>
      <c r="L1080" s="182" t="s">
        <v>19</v>
      </c>
    </row>
    <row r="1081" spans="1:12">
      <c r="A1081" s="170" t="s">
        <v>5428</v>
      </c>
      <c r="B1081" s="170" t="s">
        <v>5429</v>
      </c>
      <c r="C1081" s="182" t="s">
        <v>5430</v>
      </c>
      <c r="D1081" s="170" t="s">
        <v>11</v>
      </c>
      <c r="E1081" s="170" t="s">
        <v>12</v>
      </c>
      <c r="H1081" s="207">
        <v>431471</v>
      </c>
      <c r="I1081" s="182" t="s">
        <v>5431</v>
      </c>
      <c r="J1081" s="182" t="s">
        <v>5432</v>
      </c>
      <c r="K1081" s="182" t="s">
        <v>5433</v>
      </c>
      <c r="L1081" s="182" t="s">
        <v>15</v>
      </c>
    </row>
    <row r="1082" spans="1:12">
      <c r="A1082" s="170" t="s">
        <v>5435</v>
      </c>
      <c r="B1082" s="170" t="s">
        <v>5436</v>
      </c>
      <c r="C1082" s="182" t="s">
        <v>5437</v>
      </c>
      <c r="D1082" s="170" t="s">
        <v>11</v>
      </c>
      <c r="E1082" s="170" t="s">
        <v>12</v>
      </c>
      <c r="H1082" s="207">
        <v>481488</v>
      </c>
      <c r="I1082" s="182" t="s">
        <v>5438</v>
      </c>
      <c r="J1082" s="182" t="s">
        <v>5439</v>
      </c>
      <c r="K1082" s="182" t="s">
        <v>5440</v>
      </c>
      <c r="L1082" s="182" t="s">
        <v>15</v>
      </c>
    </row>
    <row r="1083" spans="1:12">
      <c r="A1083" s="170" t="s">
        <v>5441</v>
      </c>
      <c r="B1083" s="170" t="s">
        <v>5442</v>
      </c>
      <c r="C1083" s="170"/>
      <c r="D1083" s="170" t="s">
        <v>11</v>
      </c>
      <c r="E1083" s="170" t="s">
        <v>12</v>
      </c>
      <c r="H1083" s="207">
        <v>490971</v>
      </c>
      <c r="I1083" s="182" t="s">
        <v>5443</v>
      </c>
      <c r="J1083" s="182" t="s">
        <v>5444</v>
      </c>
      <c r="K1083" s="182" t="s">
        <v>5445</v>
      </c>
      <c r="L1083" s="182" t="s">
        <v>15</v>
      </c>
    </row>
    <row r="1084" spans="1:12">
      <c r="A1084" s="170" t="s">
        <v>5446</v>
      </c>
      <c r="B1084" s="170" t="s">
        <v>5447</v>
      </c>
      <c r="C1084" s="182" t="s">
        <v>5448</v>
      </c>
      <c r="D1084" s="170" t="s">
        <v>11</v>
      </c>
      <c r="E1084" s="170" t="s">
        <v>12</v>
      </c>
      <c r="H1084" s="207">
        <v>501252</v>
      </c>
      <c r="I1084" s="182" t="s">
        <v>5449</v>
      </c>
      <c r="J1084" s="182" t="s">
        <v>5450</v>
      </c>
      <c r="K1084" s="182"/>
      <c r="L1084" s="182" t="s">
        <v>15</v>
      </c>
    </row>
    <row r="1085" spans="1:12">
      <c r="A1085" s="170" t="s">
        <v>5451</v>
      </c>
      <c r="B1085" s="170" t="s">
        <v>5452</v>
      </c>
      <c r="C1085" s="182" t="s">
        <v>5453</v>
      </c>
      <c r="D1085" s="170" t="s">
        <v>11</v>
      </c>
      <c r="E1085" s="170" t="s">
        <v>12</v>
      </c>
      <c r="H1085" s="207">
        <v>495383</v>
      </c>
      <c r="I1085" s="182" t="s">
        <v>5454</v>
      </c>
      <c r="J1085" s="182" t="s">
        <v>5455</v>
      </c>
      <c r="K1085" s="182" t="s">
        <v>5456</v>
      </c>
      <c r="L1085" s="182" t="s">
        <v>15</v>
      </c>
    </row>
    <row r="1086" spans="1:12">
      <c r="A1086" s="170" t="s">
        <v>5457</v>
      </c>
      <c r="B1086" s="170" t="s">
        <v>5458</v>
      </c>
      <c r="C1086" s="170"/>
      <c r="D1086" s="170" t="s">
        <v>11</v>
      </c>
      <c r="E1086" s="170" t="s">
        <v>12</v>
      </c>
      <c r="H1086" s="207">
        <v>491929</v>
      </c>
      <c r="I1086" s="182" t="s">
        <v>5459</v>
      </c>
      <c r="J1086" s="182" t="s">
        <v>5460</v>
      </c>
      <c r="K1086" s="182" t="s">
        <v>5461</v>
      </c>
      <c r="L1086" s="182" t="s">
        <v>15</v>
      </c>
    </row>
    <row r="1087" spans="1:12">
      <c r="A1087" s="170" t="s">
        <v>5462</v>
      </c>
      <c r="B1087" s="170" t="s">
        <v>5463</v>
      </c>
      <c r="C1087" s="182" t="s">
        <v>5464</v>
      </c>
      <c r="D1087" s="170" t="s">
        <v>11</v>
      </c>
      <c r="E1087" s="170" t="s">
        <v>12</v>
      </c>
      <c r="H1087" s="207">
        <v>425921</v>
      </c>
      <c r="I1087" s="182" t="s">
        <v>5465</v>
      </c>
      <c r="J1087" s="182" t="s">
        <v>5466</v>
      </c>
      <c r="K1087" s="182" t="s">
        <v>5467</v>
      </c>
      <c r="L1087" s="182" t="s">
        <v>15</v>
      </c>
    </row>
    <row r="1088" spans="1:12">
      <c r="A1088" s="170" t="s">
        <v>5468</v>
      </c>
      <c r="B1088" s="170" t="s">
        <v>5469</v>
      </c>
      <c r="C1088" s="182" t="s">
        <v>5470</v>
      </c>
      <c r="D1088" s="170" t="s">
        <v>11</v>
      </c>
      <c r="E1088" s="170" t="s">
        <v>12</v>
      </c>
      <c r="H1088" s="207">
        <v>433297</v>
      </c>
      <c r="I1088" s="182" t="s">
        <v>5471</v>
      </c>
      <c r="J1088" s="182" t="s">
        <v>5472</v>
      </c>
      <c r="K1088" s="182" t="s">
        <v>5473</v>
      </c>
      <c r="L1088" s="182" t="s">
        <v>15</v>
      </c>
    </row>
    <row r="1089" spans="1:12">
      <c r="A1089" s="170" t="s">
        <v>5474</v>
      </c>
      <c r="B1089" s="170" t="s">
        <v>5475</v>
      </c>
      <c r="C1089" s="170"/>
      <c r="D1089" s="170" t="s">
        <v>11</v>
      </c>
      <c r="E1089" s="170" t="s">
        <v>12</v>
      </c>
      <c r="H1089" s="207">
        <v>407510</v>
      </c>
      <c r="I1089" s="182" t="s">
        <v>5476</v>
      </c>
      <c r="J1089" s="182" t="s">
        <v>5477</v>
      </c>
      <c r="K1089" s="182" t="s">
        <v>5478</v>
      </c>
      <c r="L1089" s="182" t="s">
        <v>15</v>
      </c>
    </row>
    <row r="1090" spans="1:12">
      <c r="A1090" s="170" t="s">
        <v>5479</v>
      </c>
      <c r="B1090" s="170" t="s">
        <v>5480</v>
      </c>
      <c r="C1090" s="192" t="s">
        <v>5481</v>
      </c>
      <c r="D1090" s="170" t="s">
        <v>11</v>
      </c>
      <c r="E1090" s="170" t="s">
        <v>12</v>
      </c>
      <c r="H1090" s="207">
        <v>876731</v>
      </c>
      <c r="I1090" s="182" t="s">
        <v>5482</v>
      </c>
      <c r="J1090" s="182" t="s">
        <v>5483</v>
      </c>
      <c r="K1090" s="182" t="s">
        <v>5484</v>
      </c>
      <c r="L1090" s="182" t="s">
        <v>15</v>
      </c>
    </row>
    <row r="1091" spans="1:12">
      <c r="A1091" s="170" t="s">
        <v>5485</v>
      </c>
      <c r="B1091" s="170" t="s">
        <v>5486</v>
      </c>
      <c r="C1091" s="192" t="s">
        <v>5487</v>
      </c>
      <c r="D1091" s="170" t="s">
        <v>11</v>
      </c>
      <c r="E1091" s="170" t="s">
        <v>12</v>
      </c>
      <c r="H1091" s="207">
        <v>496313</v>
      </c>
      <c r="I1091" s="182" t="s">
        <v>5488</v>
      </c>
      <c r="J1091" s="182" t="s">
        <v>5489</v>
      </c>
      <c r="K1091" s="182"/>
      <c r="L1091" s="182" t="s">
        <v>15</v>
      </c>
    </row>
    <row r="1092" spans="1:12">
      <c r="A1092" s="170" t="s">
        <v>5490</v>
      </c>
      <c r="B1092" s="170" t="s">
        <v>5491</v>
      </c>
      <c r="C1092" s="170"/>
      <c r="D1092" s="170" t="s">
        <v>11</v>
      </c>
      <c r="E1092" s="170" t="s">
        <v>12</v>
      </c>
      <c r="H1092" s="207">
        <v>513613</v>
      </c>
      <c r="I1092" s="182" t="s">
        <v>5492</v>
      </c>
      <c r="J1092" s="182" t="s">
        <v>5493</v>
      </c>
      <c r="K1092" s="182" t="s">
        <v>5494</v>
      </c>
      <c r="L1092" s="182" t="s">
        <v>15</v>
      </c>
    </row>
    <row r="1093" spans="1:12">
      <c r="A1093" s="170" t="s">
        <v>5495</v>
      </c>
      <c r="B1093" s="170" t="s">
        <v>5496</v>
      </c>
      <c r="C1093" s="182" t="s">
        <v>5497</v>
      </c>
      <c r="D1093" s="170" t="s">
        <v>11</v>
      </c>
      <c r="E1093" s="170" t="s">
        <v>12</v>
      </c>
      <c r="H1093" s="207">
        <v>512932</v>
      </c>
      <c r="I1093" s="182" t="s">
        <v>5498</v>
      </c>
      <c r="J1093" s="182" t="s">
        <v>5499</v>
      </c>
      <c r="K1093" s="182" t="s">
        <v>5500</v>
      </c>
      <c r="L1093" s="182" t="s">
        <v>15</v>
      </c>
    </row>
    <row r="1094" spans="1:12">
      <c r="A1094" s="170" t="s">
        <v>5501</v>
      </c>
      <c r="B1094" s="170" t="s">
        <v>5502</v>
      </c>
      <c r="C1094" s="182" t="s">
        <v>5503</v>
      </c>
      <c r="D1094" s="170" t="s">
        <v>11</v>
      </c>
      <c r="E1094" s="170" t="s">
        <v>12</v>
      </c>
      <c r="H1094" s="207">
        <v>507675</v>
      </c>
      <c r="I1094" s="182" t="s">
        <v>5504</v>
      </c>
      <c r="J1094" s="182" t="s">
        <v>5505</v>
      </c>
      <c r="K1094" s="182" t="s">
        <v>5506</v>
      </c>
      <c r="L1094" s="182" t="s">
        <v>15</v>
      </c>
    </row>
    <row r="1095" spans="1:12">
      <c r="A1095" s="170" t="s">
        <v>5507</v>
      </c>
      <c r="B1095" s="170" t="s">
        <v>5508</v>
      </c>
      <c r="C1095" s="170"/>
      <c r="D1095" s="170" t="s">
        <v>11</v>
      </c>
      <c r="E1095" s="170" t="s">
        <v>12</v>
      </c>
      <c r="H1095" s="207" t="s">
        <v>5509</v>
      </c>
      <c r="I1095" s="182" t="s">
        <v>10</v>
      </c>
      <c r="J1095" s="182" t="s">
        <v>5509</v>
      </c>
      <c r="K1095" s="182" t="s">
        <v>5510</v>
      </c>
      <c r="L1095" s="182" t="s">
        <v>53</v>
      </c>
    </row>
    <row r="1096" spans="1:12">
      <c r="A1096" s="170" t="s">
        <v>5511</v>
      </c>
      <c r="B1096" s="170" t="s">
        <v>5512</v>
      </c>
      <c r="C1096" s="182" t="s">
        <v>5513</v>
      </c>
      <c r="D1096" s="170" t="s">
        <v>11</v>
      </c>
      <c r="E1096" s="170" t="s">
        <v>12</v>
      </c>
      <c r="H1096" s="207">
        <v>375305</v>
      </c>
      <c r="I1096" s="182" t="s">
        <v>5514</v>
      </c>
      <c r="J1096" s="182" t="s">
        <v>5515</v>
      </c>
      <c r="K1096" s="182" t="s">
        <v>5516</v>
      </c>
      <c r="L1096" s="182" t="s">
        <v>15</v>
      </c>
    </row>
    <row r="1097" spans="1:12">
      <c r="A1097" s="170" t="s">
        <v>5517</v>
      </c>
      <c r="B1097" s="170" t="s">
        <v>5518</v>
      </c>
      <c r="C1097" s="182" t="s">
        <v>5519</v>
      </c>
      <c r="D1097" s="170" t="s">
        <v>11</v>
      </c>
      <c r="E1097" s="170" t="s">
        <v>12</v>
      </c>
      <c r="H1097" s="207">
        <v>822116</v>
      </c>
      <c r="I1097" s="182" t="s">
        <v>5520</v>
      </c>
      <c r="J1097" s="182" t="s">
        <v>5521</v>
      </c>
      <c r="K1097" s="182" t="s">
        <v>5522</v>
      </c>
      <c r="L1097" s="182" t="s">
        <v>15</v>
      </c>
    </row>
    <row r="1098" spans="1:12">
      <c r="A1098" s="170" t="s">
        <v>5523</v>
      </c>
      <c r="B1098" s="170" t="s">
        <v>5524</v>
      </c>
      <c r="C1098" s="170"/>
      <c r="D1098" s="170" t="s">
        <v>11</v>
      </c>
      <c r="E1098" s="170" t="s">
        <v>12</v>
      </c>
      <c r="H1098" s="207">
        <v>167214</v>
      </c>
      <c r="I1098" s="182" t="s">
        <v>5525</v>
      </c>
      <c r="J1098" s="182" t="s">
        <v>5526</v>
      </c>
      <c r="K1098" s="182" t="s">
        <v>5527</v>
      </c>
      <c r="L1098" s="182" t="s">
        <v>15</v>
      </c>
    </row>
    <row r="1099" spans="1:12">
      <c r="A1099" s="170" t="s">
        <v>5528</v>
      </c>
      <c r="B1099" s="170" t="s">
        <v>5529</v>
      </c>
      <c r="C1099" s="182" t="s">
        <v>5530</v>
      </c>
      <c r="D1099" s="170" t="s">
        <v>11</v>
      </c>
      <c r="E1099" s="170" t="s">
        <v>12</v>
      </c>
      <c r="H1099" s="207">
        <v>485800</v>
      </c>
      <c r="I1099" s="182" t="s">
        <v>5531</v>
      </c>
      <c r="J1099" s="182" t="s">
        <v>5532</v>
      </c>
      <c r="K1099" s="182"/>
      <c r="L1099" s="182" t="s">
        <v>15</v>
      </c>
    </row>
    <row r="1100" spans="1:12">
      <c r="A1100" s="170" t="s">
        <v>5533</v>
      </c>
      <c r="B1100" s="170" t="s">
        <v>5534</v>
      </c>
      <c r="C1100" s="182" t="s">
        <v>5535</v>
      </c>
      <c r="D1100" s="170" t="s">
        <v>11</v>
      </c>
      <c r="E1100" s="170" t="s">
        <v>12</v>
      </c>
      <c r="H1100" s="207">
        <v>477883</v>
      </c>
      <c r="I1100" s="182" t="s">
        <v>5536</v>
      </c>
      <c r="J1100" s="182" t="s">
        <v>5537</v>
      </c>
      <c r="K1100" s="182" t="s">
        <v>5538</v>
      </c>
      <c r="L1100" s="182" t="s">
        <v>15</v>
      </c>
    </row>
    <row r="1101" spans="1:12">
      <c r="A1101" s="170" t="s">
        <v>5539</v>
      </c>
      <c r="B1101" s="170" t="s">
        <v>5540</v>
      </c>
      <c r="C1101" s="170"/>
      <c r="D1101" s="170" t="s">
        <v>11</v>
      </c>
      <c r="E1101" s="170" t="s">
        <v>12</v>
      </c>
      <c r="H1101" s="207">
        <v>469176</v>
      </c>
      <c r="I1101" s="182" t="s">
        <v>5541</v>
      </c>
      <c r="J1101" s="182" t="s">
        <v>5542</v>
      </c>
      <c r="K1101" s="182" t="s">
        <v>5543</v>
      </c>
      <c r="L1101" s="182" t="s">
        <v>15</v>
      </c>
    </row>
    <row r="1102" spans="1:12">
      <c r="A1102" s="170" t="s">
        <v>5544</v>
      </c>
      <c r="B1102" s="170" t="s">
        <v>5545</v>
      </c>
      <c r="C1102" s="182" t="s">
        <v>5546</v>
      </c>
      <c r="D1102" s="170" t="s">
        <v>11</v>
      </c>
      <c r="E1102" s="170" t="s">
        <v>12</v>
      </c>
      <c r="H1102" s="207" t="s">
        <v>5547</v>
      </c>
      <c r="I1102" s="182" t="s">
        <v>10</v>
      </c>
      <c r="J1102" s="182" t="s">
        <v>5547</v>
      </c>
      <c r="K1102" s="182" t="s">
        <v>5548</v>
      </c>
      <c r="L1102" s="182" t="s">
        <v>19</v>
      </c>
    </row>
    <row r="1103" spans="1:12">
      <c r="A1103" s="170" t="s">
        <v>5549</v>
      </c>
      <c r="B1103" s="170" t="s">
        <v>5550</v>
      </c>
      <c r="C1103" s="182" t="s">
        <v>5551</v>
      </c>
      <c r="D1103" s="170" t="s">
        <v>11</v>
      </c>
      <c r="E1103" s="170" t="s">
        <v>12</v>
      </c>
      <c r="H1103" s="207">
        <v>509805</v>
      </c>
      <c r="I1103" s="182" t="s">
        <v>5552</v>
      </c>
      <c r="J1103" s="182" t="s">
        <v>5553</v>
      </c>
      <c r="K1103" s="182" t="s">
        <v>5554</v>
      </c>
      <c r="L1103" s="182" t="s">
        <v>15</v>
      </c>
    </row>
    <row r="1104" spans="1:12">
      <c r="A1104" s="170" t="s">
        <v>5555</v>
      </c>
      <c r="B1104" s="170" t="s">
        <v>5556</v>
      </c>
      <c r="C1104" s="170"/>
      <c r="D1104" s="170" t="s">
        <v>11</v>
      </c>
      <c r="E1104" s="170" t="s">
        <v>12</v>
      </c>
      <c r="H1104" s="207">
        <v>472724</v>
      </c>
      <c r="I1104" s="182" t="s">
        <v>5557</v>
      </c>
      <c r="J1104" s="182" t="s">
        <v>5558</v>
      </c>
      <c r="K1104" s="182"/>
      <c r="L1104" s="182" t="s">
        <v>15</v>
      </c>
    </row>
    <row r="1105" spans="1:12">
      <c r="A1105" s="203" t="s">
        <v>5559</v>
      </c>
      <c r="B1105" s="203" t="s">
        <v>5560</v>
      </c>
      <c r="C1105" s="233" t="s">
        <v>6621</v>
      </c>
      <c r="D1105" s="203" t="s">
        <v>11</v>
      </c>
      <c r="E1105" s="203" t="s">
        <v>12</v>
      </c>
      <c r="F1105">
        <v>13.01</v>
      </c>
      <c r="H1105" s="207">
        <v>368211</v>
      </c>
      <c r="I1105" s="182" t="s">
        <v>5561</v>
      </c>
      <c r="J1105" s="182" t="s">
        <v>5562</v>
      </c>
      <c r="K1105" s="182" t="s">
        <v>5563</v>
      </c>
      <c r="L1105" s="182" t="s">
        <v>415</v>
      </c>
    </row>
    <row r="1106" spans="1:12">
      <c r="A1106" s="203" t="s">
        <v>5565</v>
      </c>
      <c r="B1106" s="203" t="s">
        <v>5566</v>
      </c>
      <c r="C1106" s="233" t="s">
        <v>6622</v>
      </c>
      <c r="D1106" s="203" t="s">
        <v>11</v>
      </c>
      <c r="E1106" s="203" t="s">
        <v>12</v>
      </c>
      <c r="F1106">
        <v>13.01</v>
      </c>
      <c r="H1106" s="207" t="s">
        <v>5567</v>
      </c>
      <c r="I1106" s="182" t="s">
        <v>10</v>
      </c>
      <c r="J1106" s="182" t="s">
        <v>5567</v>
      </c>
      <c r="K1106" s="182" t="s">
        <v>5568</v>
      </c>
      <c r="L1106" s="182" t="s">
        <v>53</v>
      </c>
    </row>
    <row r="1107" spans="1:12">
      <c r="A1107" s="170" t="s">
        <v>5569</v>
      </c>
      <c r="B1107" s="170" t="s">
        <v>5564</v>
      </c>
      <c r="C1107" s="170"/>
      <c r="D1107" s="170" t="s">
        <v>11</v>
      </c>
      <c r="E1107" s="170" t="s">
        <v>12</v>
      </c>
      <c r="H1107" s="207">
        <v>482696</v>
      </c>
      <c r="I1107" s="182" t="s">
        <v>5570</v>
      </c>
      <c r="J1107" s="182" t="s">
        <v>5571</v>
      </c>
      <c r="K1107" s="182" t="s">
        <v>5572</v>
      </c>
      <c r="L1107" s="182" t="s">
        <v>15</v>
      </c>
    </row>
    <row r="1108" spans="1:12">
      <c r="A1108" s="170" t="s">
        <v>5573</v>
      </c>
      <c r="B1108" s="170" t="s">
        <v>5574</v>
      </c>
      <c r="C1108" s="192" t="s">
        <v>5575</v>
      </c>
      <c r="D1108" s="170" t="s">
        <v>11</v>
      </c>
      <c r="E1108" s="170" t="s">
        <v>12</v>
      </c>
      <c r="H1108" s="207">
        <v>157928</v>
      </c>
      <c r="I1108" s="182" t="s">
        <v>5576</v>
      </c>
      <c r="J1108" s="182" t="s">
        <v>5577</v>
      </c>
      <c r="K1108" s="182" t="s">
        <v>5578</v>
      </c>
      <c r="L1108" s="182" t="s">
        <v>15</v>
      </c>
    </row>
    <row r="1109" ht="15.25" spans="1:12">
      <c r="A1109" s="170" t="s">
        <v>5579</v>
      </c>
      <c r="B1109" s="170" t="s">
        <v>5580</v>
      </c>
      <c r="C1109" s="234" t="s">
        <v>5581</v>
      </c>
      <c r="D1109" s="170" t="s">
        <v>11</v>
      </c>
      <c r="E1109" s="170" t="s">
        <v>12</v>
      </c>
      <c r="H1109" s="207" t="s">
        <v>5582</v>
      </c>
      <c r="I1109" s="182" t="s">
        <v>10</v>
      </c>
      <c r="J1109" s="182" t="s">
        <v>5582</v>
      </c>
      <c r="K1109" s="182" t="s">
        <v>5583</v>
      </c>
      <c r="L1109" s="182" t="s">
        <v>53</v>
      </c>
    </row>
    <row r="1110" spans="1:12">
      <c r="A1110" s="170" t="s">
        <v>5584</v>
      </c>
      <c r="B1110" s="170" t="s">
        <v>5585</v>
      </c>
      <c r="C1110" s="182" t="s">
        <v>5586</v>
      </c>
      <c r="D1110" s="170" t="s">
        <v>11</v>
      </c>
      <c r="E1110" s="170" t="s">
        <v>12</v>
      </c>
      <c r="H1110" s="207" t="s">
        <v>5587</v>
      </c>
      <c r="I1110" s="182" t="s">
        <v>10</v>
      </c>
      <c r="J1110" s="182" t="s">
        <v>5587</v>
      </c>
      <c r="K1110" s="182" t="s">
        <v>5588</v>
      </c>
      <c r="L1110" s="182" t="s">
        <v>53</v>
      </c>
    </row>
    <row r="1111" spans="1:12">
      <c r="A1111" s="170" t="s">
        <v>5589</v>
      </c>
      <c r="B1111" s="170" t="s">
        <v>5590</v>
      </c>
      <c r="C1111" s="182" t="s">
        <v>5591</v>
      </c>
      <c r="D1111" s="170" t="s">
        <v>11</v>
      </c>
      <c r="E1111" s="170" t="s">
        <v>12</v>
      </c>
      <c r="H1111" s="207">
        <v>160435</v>
      </c>
      <c r="I1111" s="182" t="s">
        <v>5592</v>
      </c>
      <c r="J1111" s="182" t="s">
        <v>5593</v>
      </c>
      <c r="K1111" s="182" t="s">
        <v>5594</v>
      </c>
      <c r="L1111" s="182" t="s">
        <v>15</v>
      </c>
    </row>
    <row r="1112" spans="1:12">
      <c r="A1112" s="170" t="s">
        <v>5595</v>
      </c>
      <c r="B1112" s="170" t="s">
        <v>5596</v>
      </c>
      <c r="C1112" s="182" t="s">
        <v>5597</v>
      </c>
      <c r="D1112" s="170" t="s">
        <v>11</v>
      </c>
      <c r="E1112" s="170" t="s">
        <v>12</v>
      </c>
      <c r="H1112" s="207">
        <v>319034</v>
      </c>
      <c r="I1112" s="182" t="s">
        <v>5598</v>
      </c>
      <c r="J1112" s="182" t="s">
        <v>5599</v>
      </c>
      <c r="K1112" s="182" t="s">
        <v>5600</v>
      </c>
      <c r="L1112" s="182" t="s">
        <v>369</v>
      </c>
    </row>
    <row r="1113" spans="1:12">
      <c r="A1113" s="170" t="s">
        <v>5601</v>
      </c>
      <c r="B1113" s="170" t="s">
        <v>5602</v>
      </c>
      <c r="C1113" s="170"/>
      <c r="D1113" s="170" t="s">
        <v>11</v>
      </c>
      <c r="E1113" s="170" t="s">
        <v>12</v>
      </c>
      <c r="H1113" s="207">
        <v>492999</v>
      </c>
      <c r="I1113" s="182" t="s">
        <v>5603</v>
      </c>
      <c r="J1113" s="182" t="s">
        <v>5604</v>
      </c>
      <c r="K1113" s="182" t="s">
        <v>5605</v>
      </c>
      <c r="L1113" s="182" t="s">
        <v>15</v>
      </c>
    </row>
    <row r="1114" spans="1:12">
      <c r="A1114" s="170" t="s">
        <v>5606</v>
      </c>
      <c r="B1114" s="170" t="s">
        <v>5607</v>
      </c>
      <c r="C1114" s="192" t="s">
        <v>5608</v>
      </c>
      <c r="D1114" s="170" t="s">
        <v>11</v>
      </c>
      <c r="E1114" s="170" t="s">
        <v>12</v>
      </c>
      <c r="H1114" s="207">
        <v>332759</v>
      </c>
      <c r="I1114" s="182" t="s">
        <v>5609</v>
      </c>
      <c r="J1114" s="182" t="s">
        <v>5610</v>
      </c>
      <c r="K1114" s="182" t="s">
        <v>5611</v>
      </c>
      <c r="L1114" s="182" t="s">
        <v>15</v>
      </c>
    </row>
    <row r="1115" spans="1:12">
      <c r="A1115" s="170" t="s">
        <v>5612</v>
      </c>
      <c r="B1115" s="170" t="s">
        <v>5613</v>
      </c>
      <c r="C1115" s="192" t="s">
        <v>5614</v>
      </c>
      <c r="D1115" s="170" t="s">
        <v>11</v>
      </c>
      <c r="E1115" s="170" t="s">
        <v>12</v>
      </c>
      <c r="H1115" s="207">
        <v>476140</v>
      </c>
      <c r="I1115" s="182" t="s">
        <v>5615</v>
      </c>
      <c r="J1115" s="182" t="s">
        <v>5616</v>
      </c>
      <c r="K1115" s="182" t="s">
        <v>5617</v>
      </c>
      <c r="L1115" s="182" t="s">
        <v>15</v>
      </c>
    </row>
    <row r="1116" spans="1:12">
      <c r="A1116" s="170" t="s">
        <v>5618</v>
      </c>
      <c r="B1116" s="170" t="s">
        <v>5619</v>
      </c>
      <c r="C1116" s="170"/>
      <c r="D1116" s="170" t="s">
        <v>11</v>
      </c>
      <c r="E1116" s="170" t="s">
        <v>12</v>
      </c>
      <c r="H1116" s="207">
        <v>436586</v>
      </c>
      <c r="I1116" s="182" t="s">
        <v>5620</v>
      </c>
      <c r="J1116" s="182" t="s">
        <v>5621</v>
      </c>
      <c r="K1116" s="182" t="s">
        <v>5622</v>
      </c>
      <c r="L1116" s="182" t="s">
        <v>15</v>
      </c>
    </row>
    <row r="1117" spans="1:12">
      <c r="A1117" s="170" t="s">
        <v>5623</v>
      </c>
      <c r="B1117" s="170" t="s">
        <v>5624</v>
      </c>
      <c r="C1117" s="182" t="s">
        <v>5625</v>
      </c>
      <c r="D1117" s="170" t="s">
        <v>11</v>
      </c>
      <c r="E1117" s="170" t="s">
        <v>12</v>
      </c>
      <c r="H1117" s="207" t="s">
        <v>5626</v>
      </c>
      <c r="I1117" s="182" t="s">
        <v>10</v>
      </c>
      <c r="J1117" s="182" t="s">
        <v>5626</v>
      </c>
      <c r="K1117" s="182" t="s">
        <v>5627</v>
      </c>
      <c r="L1117" s="182" t="s">
        <v>15</v>
      </c>
    </row>
    <row r="1118" spans="1:12">
      <c r="A1118" s="170" t="s">
        <v>5628</v>
      </c>
      <c r="B1118" s="170" t="s">
        <v>5629</v>
      </c>
      <c r="C1118" s="182" t="s">
        <v>5630</v>
      </c>
      <c r="D1118" s="170" t="s">
        <v>11</v>
      </c>
      <c r="E1118" s="170" t="s">
        <v>12</v>
      </c>
      <c r="H1118" s="207">
        <v>394693</v>
      </c>
      <c r="I1118" s="182" t="s">
        <v>5631</v>
      </c>
      <c r="J1118" s="182" t="s">
        <v>5632</v>
      </c>
      <c r="K1118" s="182" t="s">
        <v>5633</v>
      </c>
      <c r="L1118" s="182" t="s">
        <v>15</v>
      </c>
    </row>
    <row r="1119" spans="1:12">
      <c r="A1119" s="170" t="s">
        <v>5634</v>
      </c>
      <c r="B1119" s="170" t="s">
        <v>5635</v>
      </c>
      <c r="C1119" s="170"/>
      <c r="D1119" s="170" t="s">
        <v>11</v>
      </c>
      <c r="E1119" s="170" t="s">
        <v>12</v>
      </c>
      <c r="H1119" s="207" t="s">
        <v>5636</v>
      </c>
      <c r="I1119" s="182" t="s">
        <v>10</v>
      </c>
      <c r="J1119" s="182" t="s">
        <v>5636</v>
      </c>
      <c r="K1119" s="182" t="s">
        <v>5637</v>
      </c>
      <c r="L1119" s="182" t="s">
        <v>53</v>
      </c>
    </row>
    <row r="1120" spans="1:12">
      <c r="A1120" s="170" t="s">
        <v>5638</v>
      </c>
      <c r="B1120" s="170" t="s">
        <v>5639</v>
      </c>
      <c r="C1120" s="192" t="s">
        <v>5640</v>
      </c>
      <c r="D1120" s="170" t="s">
        <v>11</v>
      </c>
      <c r="E1120" s="170" t="s">
        <v>12</v>
      </c>
      <c r="H1120" s="207" t="s">
        <v>5641</v>
      </c>
      <c r="I1120" s="182" t="s">
        <v>10</v>
      </c>
      <c r="J1120" s="182" t="s">
        <v>5641</v>
      </c>
      <c r="K1120" s="182" t="s">
        <v>5642</v>
      </c>
      <c r="L1120" s="182" t="s">
        <v>53</v>
      </c>
    </row>
    <row r="1121" spans="1:12">
      <c r="A1121" s="170" t="s">
        <v>5643</v>
      </c>
      <c r="B1121" s="170" t="s">
        <v>5644</v>
      </c>
      <c r="C1121" s="192" t="s">
        <v>5645</v>
      </c>
      <c r="D1121" s="170" t="s">
        <v>11</v>
      </c>
      <c r="E1121" s="170" t="s">
        <v>12</v>
      </c>
      <c r="H1121" s="207" t="s">
        <v>5646</v>
      </c>
      <c r="I1121" s="182" t="s">
        <v>10</v>
      </c>
      <c r="J1121" s="182" t="s">
        <v>5646</v>
      </c>
      <c r="K1121" s="182" t="s">
        <v>5647</v>
      </c>
      <c r="L1121" s="182" t="s">
        <v>19</v>
      </c>
    </row>
    <row r="1122" spans="1:12">
      <c r="A1122" s="170" t="s">
        <v>5648</v>
      </c>
      <c r="B1122" s="170" t="s">
        <v>5649</v>
      </c>
      <c r="C1122" s="170"/>
      <c r="D1122" s="170" t="s">
        <v>11</v>
      </c>
      <c r="E1122" s="170" t="s">
        <v>12</v>
      </c>
      <c r="H1122" s="207">
        <v>519659</v>
      </c>
      <c r="I1122" s="182" t="s">
        <v>5650</v>
      </c>
      <c r="J1122" s="182" t="s">
        <v>5651</v>
      </c>
      <c r="K1122" s="182" t="s">
        <v>5652</v>
      </c>
      <c r="L1122" s="182" t="s">
        <v>15</v>
      </c>
    </row>
    <row r="1123" spans="1:12">
      <c r="A1123" s="170" t="s">
        <v>5653</v>
      </c>
      <c r="B1123" s="170" t="s">
        <v>5654</v>
      </c>
      <c r="C1123" s="192" t="s">
        <v>5655</v>
      </c>
      <c r="D1123" s="170" t="s">
        <v>11</v>
      </c>
      <c r="E1123" s="170" t="s">
        <v>12</v>
      </c>
      <c r="H1123" s="207">
        <v>432234</v>
      </c>
      <c r="I1123" s="182" t="s">
        <v>5656</v>
      </c>
      <c r="J1123" s="182" t="s">
        <v>5657</v>
      </c>
      <c r="K1123" s="182" t="s">
        <v>5658</v>
      </c>
      <c r="L1123" s="182" t="s">
        <v>369</v>
      </c>
    </row>
    <row r="1124" spans="1:12">
      <c r="A1124" s="170" t="s">
        <v>5659</v>
      </c>
      <c r="B1124" s="170" t="s">
        <v>5660</v>
      </c>
      <c r="C1124" s="192" t="s">
        <v>5661</v>
      </c>
      <c r="D1124" s="170" t="s">
        <v>11</v>
      </c>
      <c r="E1124" s="170" t="s">
        <v>12</v>
      </c>
      <c r="H1124" s="207" t="s">
        <v>5662</v>
      </c>
      <c r="I1124" s="182" t="s">
        <v>10</v>
      </c>
      <c r="J1124" s="182" t="s">
        <v>5662</v>
      </c>
      <c r="K1124" s="182" t="s">
        <v>5663</v>
      </c>
      <c r="L1124" s="182" t="s">
        <v>19</v>
      </c>
    </row>
    <row r="1125" spans="1:12">
      <c r="A1125" s="170" t="s">
        <v>5664</v>
      </c>
      <c r="B1125" s="170" t="s">
        <v>5665</v>
      </c>
      <c r="C1125" s="170"/>
      <c r="D1125" s="170" t="s">
        <v>11</v>
      </c>
      <c r="E1125" s="170" t="s">
        <v>12</v>
      </c>
      <c r="H1125" s="207">
        <v>382243</v>
      </c>
      <c r="I1125" s="182" t="s">
        <v>5666</v>
      </c>
      <c r="J1125" s="182" t="s">
        <v>5667</v>
      </c>
      <c r="K1125" s="182" t="s">
        <v>5668</v>
      </c>
      <c r="L1125" s="182" t="s">
        <v>15</v>
      </c>
    </row>
    <row r="1126" spans="1:12">
      <c r="A1126" s="170" t="s">
        <v>5669</v>
      </c>
      <c r="B1126" s="170" t="s">
        <v>5670</v>
      </c>
      <c r="C1126" s="182" t="s">
        <v>5671</v>
      </c>
      <c r="D1126" s="170" t="s">
        <v>11</v>
      </c>
      <c r="E1126" s="170" t="s">
        <v>12</v>
      </c>
      <c r="H1126" s="207">
        <v>481860</v>
      </c>
      <c r="I1126" s="182" t="s">
        <v>5672</v>
      </c>
      <c r="J1126" s="182" t="s">
        <v>5673</v>
      </c>
      <c r="K1126" s="182" t="s">
        <v>5674</v>
      </c>
      <c r="L1126" s="182" t="s">
        <v>15</v>
      </c>
    </row>
    <row r="1127" spans="1:12">
      <c r="A1127" s="170" t="s">
        <v>5675</v>
      </c>
      <c r="B1127" s="170" t="s">
        <v>5676</v>
      </c>
      <c r="C1127" s="182" t="s">
        <v>5677</v>
      </c>
      <c r="D1127" s="170" t="s">
        <v>11</v>
      </c>
      <c r="E1127" s="170" t="s">
        <v>12</v>
      </c>
      <c r="H1127" s="207" t="s">
        <v>5678</v>
      </c>
      <c r="I1127" s="182" t="s">
        <v>10</v>
      </c>
      <c r="J1127" s="182" t="s">
        <v>5678</v>
      </c>
      <c r="K1127" s="182" t="s">
        <v>5679</v>
      </c>
      <c r="L1127" s="182" t="s">
        <v>447</v>
      </c>
    </row>
    <row r="1128" spans="1:12">
      <c r="A1128" s="170" t="s">
        <v>5680</v>
      </c>
      <c r="B1128" s="170" t="s">
        <v>5681</v>
      </c>
      <c r="C1128" s="170"/>
      <c r="D1128" s="170" t="s">
        <v>11</v>
      </c>
      <c r="E1128" s="170" t="s">
        <v>12</v>
      </c>
      <c r="H1128" s="207">
        <v>482595</v>
      </c>
      <c r="I1128" s="182" t="s">
        <v>5682</v>
      </c>
      <c r="J1128" s="182" t="s">
        <v>5683</v>
      </c>
      <c r="K1128" s="182" t="s">
        <v>5684</v>
      </c>
      <c r="L1128" s="182" t="s">
        <v>15</v>
      </c>
    </row>
    <row r="1129" spans="1:12">
      <c r="A1129" s="170" t="s">
        <v>5685</v>
      </c>
      <c r="B1129" s="170" t="s">
        <v>5686</v>
      </c>
      <c r="C1129" s="182" t="s">
        <v>5687</v>
      </c>
      <c r="D1129" s="170" t="s">
        <v>11</v>
      </c>
      <c r="E1129" s="170" t="s">
        <v>12</v>
      </c>
      <c r="H1129" s="207">
        <v>432654</v>
      </c>
      <c r="I1129" s="182" t="s">
        <v>5688</v>
      </c>
      <c r="J1129" s="182" t="s">
        <v>5689</v>
      </c>
      <c r="K1129" s="182" t="s">
        <v>5690</v>
      </c>
      <c r="L1129" s="182" t="s">
        <v>15</v>
      </c>
    </row>
    <row r="1130" spans="1:12">
      <c r="A1130" s="170" t="s">
        <v>5691</v>
      </c>
      <c r="B1130" s="170" t="s">
        <v>5692</v>
      </c>
      <c r="C1130" s="182" t="s">
        <v>5693</v>
      </c>
      <c r="D1130" s="170" t="s">
        <v>11</v>
      </c>
      <c r="E1130" s="170" t="s">
        <v>12</v>
      </c>
      <c r="H1130" s="207">
        <v>496187</v>
      </c>
      <c r="I1130" s="182" t="s">
        <v>5694</v>
      </c>
      <c r="J1130" s="182" t="s">
        <v>5695</v>
      </c>
      <c r="K1130" s="182" t="s">
        <v>5696</v>
      </c>
      <c r="L1130" s="182" t="s">
        <v>15</v>
      </c>
    </row>
    <row r="1131" spans="1:12">
      <c r="A1131" s="170" t="s">
        <v>5697</v>
      </c>
      <c r="B1131" s="170" t="s">
        <v>5698</v>
      </c>
      <c r="C1131" s="170"/>
      <c r="D1131" s="170" t="s">
        <v>11</v>
      </c>
      <c r="E1131" s="170" t="s">
        <v>12</v>
      </c>
      <c r="H1131" s="207" t="s">
        <v>5699</v>
      </c>
      <c r="I1131" s="182" t="s">
        <v>10</v>
      </c>
      <c r="J1131" s="182" t="s">
        <v>5699</v>
      </c>
      <c r="K1131" s="182" t="s">
        <v>5700</v>
      </c>
      <c r="L1131" s="182" t="s">
        <v>53</v>
      </c>
    </row>
    <row r="1132" spans="1:12">
      <c r="A1132" s="170" t="s">
        <v>5701</v>
      </c>
      <c r="B1132" s="170" t="s">
        <v>5702</v>
      </c>
      <c r="C1132" s="182" t="s">
        <v>5703</v>
      </c>
      <c r="D1132" s="170" t="s">
        <v>11</v>
      </c>
      <c r="E1132" s="170" t="s">
        <v>12</v>
      </c>
      <c r="H1132" s="207">
        <v>514159</v>
      </c>
      <c r="I1132" s="182" t="s">
        <v>5704</v>
      </c>
      <c r="J1132" s="182" t="s">
        <v>5705</v>
      </c>
      <c r="K1132" s="182" t="s">
        <v>5706</v>
      </c>
      <c r="L1132" s="182" t="s">
        <v>15</v>
      </c>
    </row>
    <row r="1133" spans="1:12">
      <c r="A1133" s="170" t="s">
        <v>5707</v>
      </c>
      <c r="B1133" s="170" t="s">
        <v>5708</v>
      </c>
      <c r="C1133" s="182" t="s">
        <v>5709</v>
      </c>
      <c r="D1133" s="170" t="s">
        <v>11</v>
      </c>
      <c r="E1133" s="170" t="s">
        <v>12</v>
      </c>
      <c r="H1133" s="207">
        <v>501025</v>
      </c>
      <c r="I1133" s="182" t="s">
        <v>5710</v>
      </c>
      <c r="J1133" s="182" t="s">
        <v>5711</v>
      </c>
      <c r="K1133" s="182" t="s">
        <v>5712</v>
      </c>
      <c r="L1133" s="182" t="s">
        <v>369</v>
      </c>
    </row>
    <row r="1134" spans="1:12">
      <c r="A1134" s="170" t="s">
        <v>5713</v>
      </c>
      <c r="B1134" s="170" t="s">
        <v>5714</v>
      </c>
      <c r="C1134" s="170"/>
      <c r="D1134" s="170" t="s">
        <v>11</v>
      </c>
      <c r="E1134" s="170" t="s">
        <v>12</v>
      </c>
      <c r="H1134" s="207">
        <v>455646</v>
      </c>
      <c r="I1134" s="182" t="s">
        <v>5715</v>
      </c>
      <c r="J1134" s="182" t="s">
        <v>5716</v>
      </c>
      <c r="K1134" s="182" t="s">
        <v>5717</v>
      </c>
      <c r="L1134" s="182" t="s">
        <v>15</v>
      </c>
    </row>
    <row r="1135" spans="1:12">
      <c r="A1135" s="170" t="s">
        <v>5718</v>
      </c>
      <c r="B1135" s="170" t="s">
        <v>5719</v>
      </c>
      <c r="C1135" s="178" t="s">
        <v>10</v>
      </c>
      <c r="D1135" s="170" t="s">
        <v>11</v>
      </c>
      <c r="E1135" s="170" t="s">
        <v>12</v>
      </c>
      <c r="H1135" s="207">
        <v>446999</v>
      </c>
      <c r="I1135" s="182" t="s">
        <v>5720</v>
      </c>
      <c r="J1135" s="182" t="s">
        <v>5721</v>
      </c>
      <c r="K1135" s="182" t="s">
        <v>5722</v>
      </c>
      <c r="L1135" s="182" t="s">
        <v>15</v>
      </c>
    </row>
    <row r="1136" spans="1:12">
      <c r="A1136" s="170" t="s">
        <v>5723</v>
      </c>
      <c r="B1136" s="170" t="s">
        <v>5724</v>
      </c>
      <c r="C1136" s="178" t="s">
        <v>10</v>
      </c>
      <c r="D1136" s="170" t="s">
        <v>11</v>
      </c>
      <c r="E1136" s="170" t="s">
        <v>12</v>
      </c>
      <c r="H1136" s="207">
        <v>192053</v>
      </c>
      <c r="I1136" s="182" t="s">
        <v>5725</v>
      </c>
      <c r="J1136" s="182" t="s">
        <v>5726</v>
      </c>
      <c r="K1136" s="182" t="s">
        <v>5727</v>
      </c>
      <c r="L1136" s="182" t="s">
        <v>15</v>
      </c>
    </row>
    <row r="1137" spans="1:12">
      <c r="A1137" s="170" t="s">
        <v>5728</v>
      </c>
      <c r="B1137" s="170" t="s">
        <v>5729</v>
      </c>
      <c r="C1137" s="178" t="s">
        <v>10</v>
      </c>
      <c r="D1137" s="170" t="s">
        <v>11</v>
      </c>
      <c r="E1137" s="170" t="s">
        <v>12</v>
      </c>
      <c r="H1137" s="207">
        <v>152015</v>
      </c>
      <c r="I1137" s="182" t="s">
        <v>10</v>
      </c>
      <c r="J1137" s="182" t="s">
        <v>5730</v>
      </c>
      <c r="K1137" s="182" t="s">
        <v>5731</v>
      </c>
      <c r="L1137" s="182" t="s">
        <v>447</v>
      </c>
    </row>
    <row r="1138" spans="1:12">
      <c r="A1138" s="170" t="s">
        <v>5732</v>
      </c>
      <c r="B1138" s="170" t="s">
        <v>5733</v>
      </c>
      <c r="C1138" s="178" t="s">
        <v>10</v>
      </c>
      <c r="D1138" s="170" t="s">
        <v>11</v>
      </c>
      <c r="E1138" s="170" t="s">
        <v>12</v>
      </c>
      <c r="H1138" s="207" t="s">
        <v>5734</v>
      </c>
      <c r="I1138" s="182" t="s">
        <v>10</v>
      </c>
      <c r="J1138" s="182" t="s">
        <v>5734</v>
      </c>
      <c r="K1138" s="182" t="s">
        <v>5735</v>
      </c>
      <c r="L1138" s="182" t="s">
        <v>19</v>
      </c>
    </row>
    <row r="1139" spans="1:12">
      <c r="A1139" s="170" t="s">
        <v>5736</v>
      </c>
      <c r="B1139" s="170" t="s">
        <v>5737</v>
      </c>
      <c r="C1139" s="178" t="s">
        <v>10</v>
      </c>
      <c r="D1139" s="170" t="s">
        <v>11</v>
      </c>
      <c r="E1139" s="170" t="s">
        <v>12</v>
      </c>
      <c r="H1139" s="207">
        <v>173079</v>
      </c>
      <c r="I1139" s="182" t="s">
        <v>5738</v>
      </c>
      <c r="J1139" s="182" t="s">
        <v>5739</v>
      </c>
      <c r="K1139" s="182" t="s">
        <v>5740</v>
      </c>
      <c r="L1139" s="182" t="s">
        <v>15</v>
      </c>
    </row>
    <row r="1140" spans="1:12">
      <c r="A1140" s="170" t="s">
        <v>5741</v>
      </c>
      <c r="B1140" s="170" t="s">
        <v>5742</v>
      </c>
      <c r="C1140" s="178" t="s">
        <v>10</v>
      </c>
      <c r="D1140" s="170" t="s">
        <v>11</v>
      </c>
      <c r="E1140" s="170" t="s">
        <v>12</v>
      </c>
      <c r="H1140" s="207" t="s">
        <v>5743</v>
      </c>
      <c r="I1140" s="182" t="s">
        <v>10</v>
      </c>
      <c r="J1140" s="182" t="s">
        <v>5743</v>
      </c>
      <c r="K1140" s="182" t="s">
        <v>5744</v>
      </c>
      <c r="L1140" s="182" t="s">
        <v>53</v>
      </c>
    </row>
    <row r="1141" spans="1:12">
      <c r="A1141" s="170" t="s">
        <v>5745</v>
      </c>
      <c r="B1141" s="170" t="s">
        <v>5746</v>
      </c>
      <c r="C1141" s="178" t="s">
        <v>10</v>
      </c>
      <c r="D1141" s="170" t="s">
        <v>11</v>
      </c>
      <c r="E1141" s="170" t="s">
        <v>12</v>
      </c>
      <c r="H1141" s="207" t="s">
        <v>5747</v>
      </c>
      <c r="I1141" s="182" t="s">
        <v>10</v>
      </c>
      <c r="J1141" s="182" t="s">
        <v>5747</v>
      </c>
      <c r="K1141" s="182" t="s">
        <v>5748</v>
      </c>
      <c r="L1141" s="182" t="s">
        <v>53</v>
      </c>
    </row>
    <row r="1142" spans="1:12">
      <c r="A1142" s="170" t="s">
        <v>5749</v>
      </c>
      <c r="B1142" s="170" t="s">
        <v>5750</v>
      </c>
      <c r="C1142" s="178" t="s">
        <v>10</v>
      </c>
      <c r="D1142" s="170" t="s">
        <v>11</v>
      </c>
      <c r="E1142" s="170" t="s">
        <v>12</v>
      </c>
      <c r="H1142" s="207">
        <v>124875</v>
      </c>
      <c r="I1142" s="182" t="s">
        <v>5751</v>
      </c>
      <c r="J1142" s="182" t="s">
        <v>5752</v>
      </c>
      <c r="K1142" s="182" t="s">
        <v>5753</v>
      </c>
      <c r="L1142" s="182" t="s">
        <v>15</v>
      </c>
    </row>
    <row r="1143" spans="1:12">
      <c r="A1143" s="170" t="s">
        <v>5754</v>
      </c>
      <c r="B1143" s="170" t="s">
        <v>5755</v>
      </c>
      <c r="C1143" s="178" t="s">
        <v>10</v>
      </c>
      <c r="D1143" s="170" t="s">
        <v>11</v>
      </c>
      <c r="E1143" s="170" t="s">
        <v>12</v>
      </c>
      <c r="H1143" s="207">
        <v>818087</v>
      </c>
      <c r="I1143" s="182" t="s">
        <v>5756</v>
      </c>
      <c r="J1143" s="182" t="s">
        <v>5757</v>
      </c>
      <c r="K1143" s="182" t="s">
        <v>5758</v>
      </c>
      <c r="L1143" s="182" t="s">
        <v>15</v>
      </c>
    </row>
    <row r="1144" spans="1:12">
      <c r="A1144" s="170" t="s">
        <v>5759</v>
      </c>
      <c r="B1144" s="170" t="s">
        <v>5760</v>
      </c>
      <c r="C1144" s="178" t="s">
        <v>10</v>
      </c>
      <c r="D1144" s="170" t="s">
        <v>11</v>
      </c>
      <c r="E1144" s="170" t="s">
        <v>12</v>
      </c>
      <c r="H1144" s="207" t="s">
        <v>5761</v>
      </c>
      <c r="I1144" s="182" t="s">
        <v>10</v>
      </c>
      <c r="J1144" s="182" t="s">
        <v>5761</v>
      </c>
      <c r="K1144" s="182" t="s">
        <v>5762</v>
      </c>
      <c r="L1144" s="182" t="s">
        <v>53</v>
      </c>
    </row>
    <row r="1145" spans="1:12">
      <c r="A1145" s="170" t="s">
        <v>5763</v>
      </c>
      <c r="B1145" s="170" t="s">
        <v>5764</v>
      </c>
      <c r="C1145" s="178" t="s">
        <v>10</v>
      </c>
      <c r="D1145" s="170" t="s">
        <v>11</v>
      </c>
      <c r="E1145" s="170" t="s">
        <v>12</v>
      </c>
      <c r="H1145" s="207">
        <v>472826</v>
      </c>
      <c r="I1145" s="182" t="s">
        <v>5765</v>
      </c>
      <c r="J1145" s="182" t="s">
        <v>5766</v>
      </c>
      <c r="K1145" s="182" t="s">
        <v>5767</v>
      </c>
      <c r="L1145" s="182" t="s">
        <v>15</v>
      </c>
    </row>
    <row r="1146" spans="1:12">
      <c r="A1146" s="170" t="s">
        <v>5768</v>
      </c>
      <c r="B1146" s="170" t="s">
        <v>5769</v>
      </c>
      <c r="C1146" s="178" t="s">
        <v>10</v>
      </c>
      <c r="D1146" s="170" t="s">
        <v>11</v>
      </c>
      <c r="E1146" s="170" t="s">
        <v>12</v>
      </c>
      <c r="H1146" s="207">
        <v>747089</v>
      </c>
      <c r="I1146" s="182" t="s">
        <v>5770</v>
      </c>
      <c r="J1146" s="182" t="s">
        <v>5771</v>
      </c>
      <c r="K1146" s="182" t="s">
        <v>5772</v>
      </c>
      <c r="L1146" s="182" t="s">
        <v>15</v>
      </c>
    </row>
    <row r="1147" spans="1:12">
      <c r="A1147" s="170" t="s">
        <v>5773</v>
      </c>
      <c r="B1147" s="170" t="s">
        <v>5774</v>
      </c>
      <c r="C1147" s="235" t="s">
        <v>5775</v>
      </c>
      <c r="D1147" s="170" t="s">
        <v>11</v>
      </c>
      <c r="E1147" s="170" t="s">
        <v>12</v>
      </c>
      <c r="H1147" s="207">
        <v>207432</v>
      </c>
      <c r="I1147" s="182" t="s">
        <v>5776</v>
      </c>
      <c r="J1147" s="182" t="s">
        <v>5777</v>
      </c>
      <c r="K1147" s="182" t="s">
        <v>5778</v>
      </c>
      <c r="L1147" s="182" t="s">
        <v>15</v>
      </c>
    </row>
    <row r="1148" spans="1:12">
      <c r="A1148" s="170" t="s">
        <v>5779</v>
      </c>
      <c r="B1148" s="170" t="s">
        <v>5780</v>
      </c>
      <c r="C1148" s="170"/>
      <c r="D1148" s="170" t="s">
        <v>11</v>
      </c>
      <c r="E1148" s="170" t="s">
        <v>12</v>
      </c>
      <c r="H1148" s="207">
        <v>450360</v>
      </c>
      <c r="I1148" s="182" t="s">
        <v>5781</v>
      </c>
      <c r="J1148" s="182" t="s">
        <v>5782</v>
      </c>
      <c r="K1148" s="182" t="s">
        <v>5783</v>
      </c>
      <c r="L1148" s="182" t="s">
        <v>15</v>
      </c>
    </row>
    <row r="1149" spans="1:12">
      <c r="A1149" s="170" t="s">
        <v>5784</v>
      </c>
      <c r="B1149" s="170" t="s">
        <v>5785</v>
      </c>
      <c r="C1149" s="170"/>
      <c r="D1149" s="170" t="s">
        <v>11</v>
      </c>
      <c r="E1149" s="170" t="s">
        <v>12</v>
      </c>
      <c r="H1149" s="207">
        <v>112004</v>
      </c>
      <c r="I1149" s="182" t="s">
        <v>5786</v>
      </c>
      <c r="J1149" s="182" t="s">
        <v>5787</v>
      </c>
      <c r="K1149" s="182" t="s">
        <v>5788</v>
      </c>
      <c r="L1149" s="182" t="s">
        <v>15</v>
      </c>
    </row>
    <row r="1150" spans="1:12">
      <c r="A1150" s="170" t="s">
        <v>5789</v>
      </c>
      <c r="B1150" s="170" t="s">
        <v>5790</v>
      </c>
      <c r="C1150" s="235" t="s">
        <v>5791</v>
      </c>
      <c r="D1150" s="170" t="s">
        <v>11</v>
      </c>
      <c r="E1150" s="170" t="s">
        <v>12</v>
      </c>
      <c r="H1150" s="207">
        <v>417007</v>
      </c>
      <c r="I1150" s="182" t="s">
        <v>5792</v>
      </c>
      <c r="J1150" s="182" t="s">
        <v>5793</v>
      </c>
      <c r="K1150" s="182" t="s">
        <v>5794</v>
      </c>
      <c r="L1150" s="182" t="s">
        <v>15</v>
      </c>
    </row>
    <row r="1151" spans="1:12">
      <c r="A1151" s="170" t="s">
        <v>5795</v>
      </c>
      <c r="B1151" s="170" t="s">
        <v>5796</v>
      </c>
      <c r="C1151" s="221" t="s">
        <v>5797</v>
      </c>
      <c r="D1151" s="170" t="s">
        <v>11</v>
      </c>
      <c r="E1151" s="170" t="s">
        <v>12</v>
      </c>
      <c r="H1151" s="207">
        <v>490907</v>
      </c>
      <c r="I1151" s="182" t="s">
        <v>5798</v>
      </c>
      <c r="J1151" s="182" t="s">
        <v>5799</v>
      </c>
      <c r="K1151" s="182" t="s">
        <v>5800</v>
      </c>
      <c r="L1151" s="182" t="s">
        <v>15</v>
      </c>
    </row>
    <row r="1152" spans="1:12">
      <c r="A1152" s="170" t="s">
        <v>5801</v>
      </c>
      <c r="B1152" s="170" t="s">
        <v>5802</v>
      </c>
      <c r="C1152" s="170"/>
      <c r="D1152" s="170" t="s">
        <v>11</v>
      </c>
      <c r="E1152" s="170" t="s">
        <v>12</v>
      </c>
      <c r="H1152" s="207" t="s">
        <v>5803</v>
      </c>
      <c r="I1152" s="182" t="s">
        <v>10</v>
      </c>
      <c r="J1152" s="182" t="s">
        <v>5803</v>
      </c>
      <c r="K1152" s="182" t="s">
        <v>5804</v>
      </c>
      <c r="L1152" s="182" t="s">
        <v>19</v>
      </c>
    </row>
    <row r="1153" spans="1:12">
      <c r="A1153" s="170" t="s">
        <v>5805</v>
      </c>
      <c r="B1153" s="170" t="s">
        <v>5806</v>
      </c>
      <c r="C1153" s="235" t="s">
        <v>5807</v>
      </c>
      <c r="D1153" s="170" t="s">
        <v>11</v>
      </c>
      <c r="E1153" s="170" t="s">
        <v>12</v>
      </c>
      <c r="H1153" s="207">
        <v>492074</v>
      </c>
      <c r="I1153" s="182" t="s">
        <v>5808</v>
      </c>
      <c r="J1153" s="182" t="s">
        <v>5809</v>
      </c>
      <c r="K1153" s="182"/>
      <c r="L1153" s="182" t="s">
        <v>15</v>
      </c>
    </row>
    <row r="1154" spans="1:12">
      <c r="A1154" s="170" t="s">
        <v>5810</v>
      </c>
      <c r="B1154" s="170" t="s">
        <v>5811</v>
      </c>
      <c r="C1154" s="235" t="s">
        <v>5812</v>
      </c>
      <c r="D1154" s="170" t="s">
        <v>11</v>
      </c>
      <c r="E1154" s="170" t="s">
        <v>12</v>
      </c>
      <c r="H1154" s="207" t="s">
        <v>5813</v>
      </c>
      <c r="I1154" s="182" t="s">
        <v>10</v>
      </c>
      <c r="J1154" s="182" t="s">
        <v>5813</v>
      </c>
      <c r="K1154" s="182" t="s">
        <v>5814</v>
      </c>
      <c r="L1154" s="182" t="s">
        <v>53</v>
      </c>
    </row>
    <row r="1155" spans="1:12">
      <c r="A1155" s="170" t="s">
        <v>5815</v>
      </c>
      <c r="B1155" s="170" t="s">
        <v>5816</v>
      </c>
      <c r="C1155" s="170"/>
      <c r="D1155" s="170" t="s">
        <v>11</v>
      </c>
      <c r="E1155" s="170" t="s">
        <v>12</v>
      </c>
      <c r="H1155" s="207">
        <v>500473</v>
      </c>
      <c r="I1155" s="182" t="s">
        <v>5817</v>
      </c>
      <c r="J1155" s="182" t="s">
        <v>5818</v>
      </c>
      <c r="K1155" s="182" t="s">
        <v>5819</v>
      </c>
      <c r="L1155" s="182" t="s">
        <v>15</v>
      </c>
    </row>
    <row r="1156" spans="1:12">
      <c r="A1156" s="170" t="s">
        <v>5820</v>
      </c>
      <c r="B1156" s="170" t="s">
        <v>5821</v>
      </c>
      <c r="C1156" s="235" t="s">
        <v>5822</v>
      </c>
      <c r="D1156" s="170" t="s">
        <v>11</v>
      </c>
      <c r="E1156" s="170" t="s">
        <v>12</v>
      </c>
      <c r="H1156" s="207">
        <v>186751</v>
      </c>
      <c r="I1156" s="182" t="s">
        <v>5823</v>
      </c>
      <c r="J1156" s="182" t="s">
        <v>5824</v>
      </c>
      <c r="K1156" s="182"/>
      <c r="L1156" s="182" t="s">
        <v>15</v>
      </c>
    </row>
    <row r="1157" spans="1:12">
      <c r="A1157" s="170" t="s">
        <v>5825</v>
      </c>
      <c r="B1157" s="170" t="s">
        <v>5826</v>
      </c>
      <c r="C1157" s="235" t="s">
        <v>5827</v>
      </c>
      <c r="D1157" s="170" t="s">
        <v>11</v>
      </c>
      <c r="E1157" s="170" t="s">
        <v>12</v>
      </c>
      <c r="H1157" s="207">
        <v>392991</v>
      </c>
      <c r="I1157" s="182" t="s">
        <v>5828</v>
      </c>
      <c r="J1157" s="182" t="s">
        <v>5829</v>
      </c>
      <c r="K1157" s="182"/>
      <c r="L1157" s="182" t="s">
        <v>15</v>
      </c>
    </row>
    <row r="1158" spans="1:12">
      <c r="A1158" s="170" t="s">
        <v>5831</v>
      </c>
      <c r="B1158" s="170" t="s">
        <v>5830</v>
      </c>
      <c r="C1158" s="170"/>
      <c r="D1158" s="170" t="s">
        <v>11</v>
      </c>
      <c r="E1158" s="170" t="s">
        <v>12</v>
      </c>
      <c r="H1158" s="207">
        <v>481195</v>
      </c>
      <c r="I1158" s="182" t="s">
        <v>5832</v>
      </c>
      <c r="J1158" s="182" t="s">
        <v>5833</v>
      </c>
      <c r="K1158" s="182" t="s">
        <v>5834</v>
      </c>
      <c r="L1158" s="182" t="s">
        <v>15</v>
      </c>
    </row>
    <row r="1159" spans="1:12">
      <c r="A1159" s="170" t="s">
        <v>5835</v>
      </c>
      <c r="B1159" s="170" t="s">
        <v>5836</v>
      </c>
      <c r="C1159" s="235" t="s">
        <v>5837</v>
      </c>
      <c r="D1159" s="170" t="s">
        <v>11</v>
      </c>
      <c r="E1159" s="170" t="s">
        <v>12</v>
      </c>
      <c r="H1159" s="207">
        <v>506865</v>
      </c>
      <c r="I1159" s="182" t="s">
        <v>5838</v>
      </c>
      <c r="J1159" s="182" t="s">
        <v>5839</v>
      </c>
      <c r="K1159" s="182" t="s">
        <v>5840</v>
      </c>
      <c r="L1159" s="182" t="s">
        <v>15</v>
      </c>
    </row>
    <row r="1160" spans="1:12">
      <c r="A1160" s="170" t="s">
        <v>5841</v>
      </c>
      <c r="B1160" s="170" t="s">
        <v>5842</v>
      </c>
      <c r="C1160" s="235" t="s">
        <v>5843</v>
      </c>
      <c r="D1160" s="170" t="s">
        <v>11</v>
      </c>
      <c r="E1160" s="170" t="s">
        <v>12</v>
      </c>
      <c r="H1160" s="207">
        <v>478435</v>
      </c>
      <c r="I1160" s="182" t="s">
        <v>5844</v>
      </c>
      <c r="J1160" s="182" t="s">
        <v>5845</v>
      </c>
      <c r="K1160" s="182" t="s">
        <v>5846</v>
      </c>
      <c r="L1160" s="182" t="s">
        <v>15</v>
      </c>
    </row>
    <row r="1161" spans="1:12">
      <c r="A1161" s="170" t="s">
        <v>5847</v>
      </c>
      <c r="B1161" s="170" t="s">
        <v>5848</v>
      </c>
      <c r="C1161" s="170"/>
      <c r="D1161" s="170" t="s">
        <v>11</v>
      </c>
      <c r="E1161" s="170" t="s">
        <v>12</v>
      </c>
      <c r="H1161" s="207">
        <v>330193</v>
      </c>
      <c r="I1161" s="182" t="s">
        <v>5849</v>
      </c>
      <c r="J1161" s="182" t="s">
        <v>5850</v>
      </c>
      <c r="K1161" s="182" t="s">
        <v>5851</v>
      </c>
      <c r="L1161" s="182" t="s">
        <v>15</v>
      </c>
    </row>
    <row r="1162" spans="1:12">
      <c r="A1162" s="170" t="s">
        <v>5852</v>
      </c>
      <c r="B1162" s="170" t="s">
        <v>5853</v>
      </c>
      <c r="C1162" s="236" t="s">
        <v>5854</v>
      </c>
      <c r="D1162" s="170" t="s">
        <v>11</v>
      </c>
      <c r="E1162" s="170" t="s">
        <v>12</v>
      </c>
      <c r="H1162" s="207">
        <v>756229</v>
      </c>
      <c r="I1162" s="182" t="s">
        <v>5855</v>
      </c>
      <c r="J1162" s="182" t="s">
        <v>5856</v>
      </c>
      <c r="K1162" s="182" t="s">
        <v>5857</v>
      </c>
      <c r="L1162" s="182" t="s">
        <v>415</v>
      </c>
    </row>
    <row r="1163" spans="1:12">
      <c r="A1163" s="170" t="s">
        <v>5858</v>
      </c>
      <c r="B1163" s="170" t="s">
        <v>5859</v>
      </c>
      <c r="C1163" s="235" t="s">
        <v>5860</v>
      </c>
      <c r="D1163" s="170" t="s">
        <v>11</v>
      </c>
      <c r="E1163" s="170" t="s">
        <v>12</v>
      </c>
      <c r="H1163" s="207" t="s">
        <v>5861</v>
      </c>
      <c r="I1163" s="182" t="s">
        <v>10</v>
      </c>
      <c r="J1163" s="182" t="s">
        <v>5861</v>
      </c>
      <c r="K1163" s="182" t="s">
        <v>5862</v>
      </c>
      <c r="L1163" s="182" t="s">
        <v>19</v>
      </c>
    </row>
    <row r="1164" spans="1:12">
      <c r="A1164" s="170" t="s">
        <v>5863</v>
      </c>
      <c r="B1164" s="170" t="s">
        <v>5864</v>
      </c>
      <c r="C1164" s="170"/>
      <c r="D1164" s="170" t="s">
        <v>11</v>
      </c>
      <c r="E1164" s="170" t="s">
        <v>12</v>
      </c>
      <c r="H1164" s="207">
        <v>486490</v>
      </c>
      <c r="I1164" s="182" t="s">
        <v>5865</v>
      </c>
      <c r="J1164" s="182" t="s">
        <v>5866</v>
      </c>
      <c r="K1164" s="182" t="s">
        <v>5867</v>
      </c>
      <c r="L1164" s="182" t="s">
        <v>15</v>
      </c>
    </row>
    <row r="1165" spans="1:12">
      <c r="A1165" s="170" t="s">
        <v>5868</v>
      </c>
      <c r="B1165" s="170" t="s">
        <v>5869</v>
      </c>
      <c r="C1165" s="235" t="s">
        <v>5870</v>
      </c>
      <c r="D1165" s="170" t="s">
        <v>11</v>
      </c>
      <c r="E1165" s="170" t="s">
        <v>12</v>
      </c>
      <c r="H1165" s="207" t="s">
        <v>5871</v>
      </c>
      <c r="I1165" s="182" t="s">
        <v>10</v>
      </c>
      <c r="J1165" s="182" t="s">
        <v>5871</v>
      </c>
      <c r="K1165" s="182" t="s">
        <v>5872</v>
      </c>
      <c r="L1165" s="182" t="s">
        <v>53</v>
      </c>
    </row>
    <row r="1166" spans="1:12">
      <c r="A1166" s="170" t="s">
        <v>5873</v>
      </c>
      <c r="B1166" s="170" t="s">
        <v>5874</v>
      </c>
      <c r="C1166" s="235" t="s">
        <v>5875</v>
      </c>
      <c r="D1166" s="170" t="s">
        <v>11</v>
      </c>
      <c r="E1166" s="170" t="s">
        <v>12</v>
      </c>
      <c r="H1166" s="207">
        <v>476509</v>
      </c>
      <c r="I1166" s="182" t="s">
        <v>5876</v>
      </c>
      <c r="J1166" s="182" t="s">
        <v>5877</v>
      </c>
      <c r="K1166" s="182" t="s">
        <v>5878</v>
      </c>
      <c r="L1166" s="182" t="s">
        <v>15</v>
      </c>
    </row>
    <row r="1167" spans="1:12">
      <c r="A1167" s="170" t="s">
        <v>5879</v>
      </c>
      <c r="B1167" s="170" t="s">
        <v>5880</v>
      </c>
      <c r="C1167" s="170"/>
      <c r="D1167" s="170" t="s">
        <v>11</v>
      </c>
      <c r="E1167" s="170" t="s">
        <v>12</v>
      </c>
      <c r="H1167" s="207">
        <v>427571</v>
      </c>
      <c r="I1167" s="182" t="s">
        <v>5881</v>
      </c>
      <c r="J1167" s="182" t="s">
        <v>5882</v>
      </c>
      <c r="K1167" s="182" t="s">
        <v>5883</v>
      </c>
      <c r="L1167" s="182" t="s">
        <v>15</v>
      </c>
    </row>
    <row r="1168" spans="1:12">
      <c r="A1168" s="170" t="s">
        <v>5884</v>
      </c>
      <c r="B1168" s="170" t="s">
        <v>5885</v>
      </c>
      <c r="C1168" s="221" t="s">
        <v>5886</v>
      </c>
      <c r="D1168" s="170" t="s">
        <v>11</v>
      </c>
      <c r="E1168" s="170" t="s">
        <v>12</v>
      </c>
      <c r="H1168" s="207">
        <v>469262</v>
      </c>
      <c r="I1168" s="182" t="s">
        <v>5887</v>
      </c>
      <c r="J1168" s="182" t="s">
        <v>5888</v>
      </c>
      <c r="K1168" s="182" t="s">
        <v>5889</v>
      </c>
      <c r="L1168" s="182" t="s">
        <v>15</v>
      </c>
    </row>
    <row r="1169" spans="1:12">
      <c r="A1169" s="170" t="s">
        <v>5890</v>
      </c>
      <c r="B1169" s="170" t="s">
        <v>5891</v>
      </c>
      <c r="C1169" s="221" t="s">
        <v>5892</v>
      </c>
      <c r="D1169" s="170" t="s">
        <v>11</v>
      </c>
      <c r="E1169" s="170" t="s">
        <v>12</v>
      </c>
      <c r="H1169" s="207" t="s">
        <v>5893</v>
      </c>
      <c r="I1169" s="182" t="s">
        <v>10</v>
      </c>
      <c r="J1169" s="182" t="s">
        <v>5893</v>
      </c>
      <c r="K1169" s="182" t="s">
        <v>5894</v>
      </c>
      <c r="L1169" s="182" t="s">
        <v>19</v>
      </c>
    </row>
    <row r="1170" spans="1:12">
      <c r="A1170" s="170" t="s">
        <v>5895</v>
      </c>
      <c r="B1170" s="170" t="s">
        <v>5896</v>
      </c>
      <c r="C1170" s="170"/>
      <c r="D1170" s="170" t="s">
        <v>11</v>
      </c>
      <c r="E1170" s="170" t="s">
        <v>12</v>
      </c>
      <c r="H1170" s="207">
        <v>884574</v>
      </c>
      <c r="I1170" s="182" t="s">
        <v>5897</v>
      </c>
      <c r="J1170" s="182" t="s">
        <v>5898</v>
      </c>
      <c r="K1170" s="182" t="s">
        <v>5899</v>
      </c>
      <c r="L1170" s="182" t="s">
        <v>15</v>
      </c>
    </row>
    <row r="1171" spans="1:12">
      <c r="A1171" s="170" t="s">
        <v>5900</v>
      </c>
      <c r="B1171" s="170" t="s">
        <v>5901</v>
      </c>
      <c r="C1171" s="221" t="s">
        <v>5902</v>
      </c>
      <c r="D1171" s="170" t="s">
        <v>11</v>
      </c>
      <c r="E1171" s="170" t="s">
        <v>12</v>
      </c>
      <c r="H1171" s="207">
        <v>518363</v>
      </c>
      <c r="I1171" s="182" t="s">
        <v>5903</v>
      </c>
      <c r="J1171" s="182" t="s">
        <v>5904</v>
      </c>
      <c r="K1171" s="182" t="s">
        <v>5905</v>
      </c>
      <c r="L1171" s="182" t="s">
        <v>15</v>
      </c>
    </row>
    <row r="1172" spans="1:12">
      <c r="A1172" s="170" t="s">
        <v>5906</v>
      </c>
      <c r="B1172" s="170" t="s">
        <v>5907</v>
      </c>
      <c r="C1172" s="221" t="s">
        <v>5908</v>
      </c>
      <c r="D1172" s="170" t="s">
        <v>11</v>
      </c>
      <c r="E1172" s="170" t="s">
        <v>12</v>
      </c>
      <c r="H1172" s="207">
        <v>492009</v>
      </c>
      <c r="I1172" s="182" t="s">
        <v>5909</v>
      </c>
      <c r="J1172" s="182" t="s">
        <v>5910</v>
      </c>
      <c r="K1172" s="182" t="s">
        <v>5911</v>
      </c>
      <c r="L1172" s="182" t="s">
        <v>15</v>
      </c>
    </row>
    <row r="1173" spans="1:12">
      <c r="A1173" s="170" t="s">
        <v>5912</v>
      </c>
      <c r="B1173" s="170" t="s">
        <v>5913</v>
      </c>
      <c r="C1173" s="170"/>
      <c r="D1173" s="170" t="s">
        <v>11</v>
      </c>
      <c r="E1173" s="170" t="s">
        <v>12</v>
      </c>
      <c r="H1173" s="207">
        <v>462738</v>
      </c>
      <c r="I1173" s="182" t="s">
        <v>5914</v>
      </c>
      <c r="J1173" s="182" t="s">
        <v>5915</v>
      </c>
      <c r="K1173" s="182" t="s">
        <v>5916</v>
      </c>
      <c r="L1173" s="182" t="s">
        <v>15</v>
      </c>
    </row>
    <row r="1174" spans="1:12">
      <c r="A1174" s="170" t="s">
        <v>5917</v>
      </c>
      <c r="B1174" s="170" t="s">
        <v>5918</v>
      </c>
      <c r="C1174" s="221" t="s">
        <v>5919</v>
      </c>
      <c r="D1174" s="170" t="s">
        <v>11</v>
      </c>
      <c r="E1174" s="170" t="s">
        <v>12</v>
      </c>
      <c r="H1174" s="207" t="s">
        <v>5920</v>
      </c>
      <c r="I1174" s="182" t="s">
        <v>10</v>
      </c>
      <c r="J1174" s="182" t="s">
        <v>5920</v>
      </c>
      <c r="K1174" s="182"/>
      <c r="L1174" s="182" t="s">
        <v>53</v>
      </c>
    </row>
    <row r="1175" spans="1:12">
      <c r="A1175" s="170" t="s">
        <v>5921</v>
      </c>
      <c r="B1175" s="170" t="s">
        <v>5922</v>
      </c>
      <c r="C1175" s="221" t="s">
        <v>5923</v>
      </c>
      <c r="D1175" s="170" t="s">
        <v>11</v>
      </c>
      <c r="E1175" s="170" t="s">
        <v>12</v>
      </c>
      <c r="H1175" s="207">
        <v>487143</v>
      </c>
      <c r="I1175" s="182" t="s">
        <v>5924</v>
      </c>
      <c r="J1175" s="182" t="s">
        <v>5925</v>
      </c>
      <c r="K1175" s="182" t="s">
        <v>5926</v>
      </c>
      <c r="L1175" s="182" t="s">
        <v>15</v>
      </c>
    </row>
    <row r="1176" spans="1:12">
      <c r="A1176" s="170" t="s">
        <v>5927</v>
      </c>
      <c r="B1176" s="170" t="s">
        <v>5928</v>
      </c>
      <c r="C1176" s="170"/>
      <c r="D1176" s="170" t="s">
        <v>11</v>
      </c>
      <c r="E1176" s="170" t="s">
        <v>12</v>
      </c>
      <c r="H1176" s="207">
        <v>501022</v>
      </c>
      <c r="I1176" s="182" t="s">
        <v>5929</v>
      </c>
      <c r="J1176" s="182" t="s">
        <v>5930</v>
      </c>
      <c r="K1176" s="182" t="s">
        <v>5931</v>
      </c>
      <c r="L1176" s="182" t="s">
        <v>15</v>
      </c>
    </row>
    <row r="1177" spans="1:12">
      <c r="A1177" s="170" t="s">
        <v>5932</v>
      </c>
      <c r="B1177" s="170" t="s">
        <v>5933</v>
      </c>
      <c r="C1177" s="218" t="s">
        <v>5934</v>
      </c>
      <c r="D1177" s="170" t="s">
        <v>11</v>
      </c>
      <c r="E1177" s="170" t="s">
        <v>12</v>
      </c>
      <c r="H1177" s="207">
        <v>464572</v>
      </c>
      <c r="I1177" s="182" t="s">
        <v>5935</v>
      </c>
      <c r="J1177" s="182" t="s">
        <v>5936</v>
      </c>
      <c r="K1177" s="182" t="s">
        <v>5937</v>
      </c>
      <c r="L1177" s="182" t="s">
        <v>15</v>
      </c>
    </row>
    <row r="1178" spans="1:12">
      <c r="A1178" s="170" t="s">
        <v>5938</v>
      </c>
      <c r="B1178" s="170" t="s">
        <v>5939</v>
      </c>
      <c r="C1178" s="221" t="s">
        <v>5940</v>
      </c>
      <c r="D1178" s="170" t="s">
        <v>11</v>
      </c>
      <c r="E1178" s="170" t="s">
        <v>12</v>
      </c>
      <c r="H1178" s="207">
        <v>415170</v>
      </c>
      <c r="I1178" s="182" t="s">
        <v>5941</v>
      </c>
      <c r="J1178" s="182" t="s">
        <v>5942</v>
      </c>
      <c r="K1178" s="182"/>
      <c r="L1178" s="182" t="s">
        <v>15</v>
      </c>
    </row>
    <row r="1179" spans="1:12">
      <c r="A1179" s="170" t="s">
        <v>5943</v>
      </c>
      <c r="B1179" s="170" t="s">
        <v>5944</v>
      </c>
      <c r="C1179" s="170"/>
      <c r="D1179" s="170" t="s">
        <v>11</v>
      </c>
      <c r="E1179" s="170" t="s">
        <v>12</v>
      </c>
      <c r="H1179" s="207">
        <v>548990</v>
      </c>
      <c r="I1179" s="182" t="s">
        <v>5945</v>
      </c>
      <c r="J1179" s="182" t="s">
        <v>5946</v>
      </c>
      <c r="K1179" s="182" t="s">
        <v>5947</v>
      </c>
      <c r="L1179" s="182" t="s">
        <v>15</v>
      </c>
    </row>
    <row r="1180" spans="1:12">
      <c r="A1180" s="170" t="s">
        <v>5948</v>
      </c>
      <c r="B1180" s="170" t="s">
        <v>5949</v>
      </c>
      <c r="C1180" s="221" t="s">
        <v>5950</v>
      </c>
      <c r="D1180" s="170" t="s">
        <v>11</v>
      </c>
      <c r="E1180" s="170" t="s">
        <v>12</v>
      </c>
      <c r="H1180" s="207">
        <v>469824</v>
      </c>
      <c r="I1180" s="182" t="s">
        <v>5951</v>
      </c>
      <c r="J1180" s="182" t="s">
        <v>5952</v>
      </c>
      <c r="K1180" s="182"/>
      <c r="L1180" s="182" t="s">
        <v>15</v>
      </c>
    </row>
    <row r="1181" spans="1:12">
      <c r="A1181" s="170" t="s">
        <v>5953</v>
      </c>
      <c r="B1181" s="170" t="s">
        <v>5954</v>
      </c>
      <c r="C1181" s="221" t="s">
        <v>5955</v>
      </c>
      <c r="D1181" s="170" t="s">
        <v>11</v>
      </c>
      <c r="E1181" s="170" t="s">
        <v>12</v>
      </c>
      <c r="H1181" s="207">
        <v>486831</v>
      </c>
      <c r="I1181" s="182" t="s">
        <v>5956</v>
      </c>
      <c r="J1181" s="182" t="s">
        <v>5957</v>
      </c>
      <c r="K1181" s="182" t="s">
        <v>5958</v>
      </c>
      <c r="L1181" s="182" t="s">
        <v>15</v>
      </c>
    </row>
    <row r="1182" spans="1:12">
      <c r="A1182" s="170" t="s">
        <v>5959</v>
      </c>
      <c r="B1182" s="170" t="s">
        <v>5960</v>
      </c>
      <c r="C1182" s="170"/>
      <c r="D1182" s="170" t="s">
        <v>11</v>
      </c>
      <c r="E1182" s="170" t="s">
        <v>12</v>
      </c>
      <c r="H1182" s="207">
        <v>509045</v>
      </c>
      <c r="I1182" s="182" t="s">
        <v>5961</v>
      </c>
      <c r="J1182" s="182" t="s">
        <v>5962</v>
      </c>
      <c r="K1182" s="182" t="s">
        <v>5963</v>
      </c>
      <c r="L1182" s="182" t="s">
        <v>15</v>
      </c>
    </row>
    <row r="1183" spans="1:12">
      <c r="A1183" s="170" t="s">
        <v>5964</v>
      </c>
      <c r="B1183" s="170" t="s">
        <v>5965</v>
      </c>
      <c r="C1183" s="218" t="s">
        <v>5966</v>
      </c>
      <c r="D1183" s="170" t="s">
        <v>11</v>
      </c>
      <c r="E1183" s="170" t="s">
        <v>12</v>
      </c>
      <c r="H1183" s="207" t="s">
        <v>5967</v>
      </c>
      <c r="I1183" s="182" t="s">
        <v>10</v>
      </c>
      <c r="J1183" s="182" t="s">
        <v>5967</v>
      </c>
      <c r="K1183" s="182" t="s">
        <v>5968</v>
      </c>
      <c r="L1183" s="182" t="s">
        <v>53</v>
      </c>
    </row>
    <row r="1184" spans="1:12">
      <c r="A1184" s="170" t="s">
        <v>5969</v>
      </c>
      <c r="B1184" s="170" t="s">
        <v>5970</v>
      </c>
      <c r="C1184" s="218" t="s">
        <v>5971</v>
      </c>
      <c r="D1184" s="170" t="s">
        <v>11</v>
      </c>
      <c r="E1184" s="170" t="s">
        <v>12</v>
      </c>
      <c r="H1184" s="207">
        <v>472684</v>
      </c>
      <c r="I1184" s="182" t="s">
        <v>5972</v>
      </c>
      <c r="J1184" s="182" t="s">
        <v>5973</v>
      </c>
      <c r="K1184" s="182" t="s">
        <v>5974</v>
      </c>
      <c r="L1184" s="182" t="s">
        <v>15</v>
      </c>
    </row>
    <row r="1185" spans="1:12">
      <c r="A1185" s="170" t="s">
        <v>5975</v>
      </c>
      <c r="B1185" s="170" t="s">
        <v>5976</v>
      </c>
      <c r="C1185" s="170"/>
      <c r="D1185" s="170" t="s">
        <v>11</v>
      </c>
      <c r="E1185" s="170" t="s">
        <v>12</v>
      </c>
      <c r="H1185" s="207">
        <v>355490</v>
      </c>
      <c r="I1185" s="182" t="s">
        <v>5977</v>
      </c>
      <c r="J1185" s="182" t="s">
        <v>5978</v>
      </c>
      <c r="K1185" s="182" t="s">
        <v>5979</v>
      </c>
      <c r="L1185" s="182" t="s">
        <v>15</v>
      </c>
    </row>
    <row r="1186" spans="1:12">
      <c r="A1186" s="170" t="s">
        <v>5980</v>
      </c>
      <c r="B1186" s="170" t="s">
        <v>5981</v>
      </c>
      <c r="C1186" s="221" t="s">
        <v>5982</v>
      </c>
      <c r="D1186" s="170" t="s">
        <v>11</v>
      </c>
      <c r="E1186" s="170" t="s">
        <v>12</v>
      </c>
      <c r="H1186" s="207" t="s">
        <v>5983</v>
      </c>
      <c r="I1186" s="182" t="s">
        <v>10</v>
      </c>
      <c r="J1186" s="182" t="s">
        <v>5983</v>
      </c>
      <c r="K1186" s="182" t="s">
        <v>5984</v>
      </c>
      <c r="L1186" s="182" t="s">
        <v>53</v>
      </c>
    </row>
    <row r="1187" spans="1:12">
      <c r="A1187" s="170" t="s">
        <v>5985</v>
      </c>
      <c r="B1187" s="170" t="s">
        <v>5986</v>
      </c>
      <c r="C1187" s="221" t="s">
        <v>5987</v>
      </c>
      <c r="D1187" s="170" t="s">
        <v>11</v>
      </c>
      <c r="E1187" s="170" t="s">
        <v>12</v>
      </c>
      <c r="H1187" s="207" t="s">
        <v>5988</v>
      </c>
      <c r="I1187" s="182" t="s">
        <v>10</v>
      </c>
      <c r="J1187" s="182" t="s">
        <v>5988</v>
      </c>
      <c r="K1187" s="182" t="s">
        <v>5989</v>
      </c>
      <c r="L1187" s="182" t="s">
        <v>19</v>
      </c>
    </row>
    <row r="1188" spans="1:12">
      <c r="A1188" s="170" t="s">
        <v>5990</v>
      </c>
      <c r="B1188" s="170" t="s">
        <v>5991</v>
      </c>
      <c r="C1188" s="170"/>
      <c r="D1188" s="170" t="s">
        <v>11</v>
      </c>
      <c r="E1188" s="170" t="s">
        <v>12</v>
      </c>
      <c r="H1188" s="207" t="s">
        <v>5992</v>
      </c>
      <c r="I1188" s="182" t="s">
        <v>10</v>
      </c>
      <c r="J1188" s="182" t="s">
        <v>5992</v>
      </c>
      <c r="K1188" s="182" t="s">
        <v>5993</v>
      </c>
      <c r="L1188" s="182" t="s">
        <v>19</v>
      </c>
    </row>
    <row r="1189" spans="1:12">
      <c r="A1189" s="170" t="s">
        <v>5994</v>
      </c>
      <c r="B1189" s="170" t="s">
        <v>5995</v>
      </c>
      <c r="C1189" s="221" t="s">
        <v>5996</v>
      </c>
      <c r="D1189" s="170" t="s">
        <v>11</v>
      </c>
      <c r="E1189" s="170" t="s">
        <v>12</v>
      </c>
      <c r="H1189" s="207">
        <v>317038</v>
      </c>
      <c r="I1189" s="182" t="s">
        <v>5997</v>
      </c>
      <c r="J1189" s="182" t="s">
        <v>5998</v>
      </c>
      <c r="K1189" s="182" t="s">
        <v>5999</v>
      </c>
      <c r="L1189" s="182" t="s">
        <v>15</v>
      </c>
    </row>
    <row r="1190" spans="1:12">
      <c r="A1190" s="170" t="s">
        <v>6000</v>
      </c>
      <c r="B1190" s="170" t="s">
        <v>6001</v>
      </c>
      <c r="C1190" s="221" t="s">
        <v>6002</v>
      </c>
      <c r="D1190" s="170" t="s">
        <v>11</v>
      </c>
      <c r="E1190" s="170" t="s">
        <v>12</v>
      </c>
      <c r="H1190" s="207">
        <v>476100</v>
      </c>
      <c r="I1190" s="182" t="s">
        <v>6003</v>
      </c>
      <c r="J1190" s="182" t="s">
        <v>6004</v>
      </c>
      <c r="K1190" s="182"/>
      <c r="L1190" s="182" t="s">
        <v>15</v>
      </c>
    </row>
    <row r="1191" spans="1:12">
      <c r="A1191" s="170" t="s">
        <v>6005</v>
      </c>
      <c r="B1191" s="170" t="s">
        <v>6006</v>
      </c>
      <c r="C1191" s="170"/>
      <c r="D1191" s="170" t="s">
        <v>11</v>
      </c>
      <c r="E1191" s="170" t="s">
        <v>12</v>
      </c>
      <c r="H1191" s="207">
        <v>710142</v>
      </c>
      <c r="I1191" s="182" t="s">
        <v>6007</v>
      </c>
      <c r="J1191" s="182" t="s">
        <v>6008</v>
      </c>
      <c r="K1191" s="182" t="s">
        <v>6009</v>
      </c>
      <c r="L1191" s="182" t="s">
        <v>15</v>
      </c>
    </row>
    <row r="1192" spans="1:12">
      <c r="A1192" s="170" t="s">
        <v>6010</v>
      </c>
      <c r="B1192" s="170" t="s">
        <v>6011</v>
      </c>
      <c r="C1192" s="235" t="s">
        <v>6012</v>
      </c>
      <c r="D1192" s="170" t="s">
        <v>11</v>
      </c>
      <c r="E1192" s="170" t="s">
        <v>12</v>
      </c>
      <c r="H1192" s="207">
        <v>392383</v>
      </c>
      <c r="I1192" s="182" t="s">
        <v>6013</v>
      </c>
      <c r="J1192" s="182" t="s">
        <v>6014</v>
      </c>
      <c r="K1192" s="182" t="s">
        <v>6015</v>
      </c>
      <c r="L1192" s="182" t="s">
        <v>15</v>
      </c>
    </row>
    <row r="1193" spans="1:12">
      <c r="A1193" s="170" t="s">
        <v>6016</v>
      </c>
      <c r="B1193" s="170" t="s">
        <v>6017</v>
      </c>
      <c r="C1193" s="235" t="s">
        <v>6018</v>
      </c>
      <c r="D1193" s="170" t="s">
        <v>11</v>
      </c>
      <c r="E1193" s="170" t="s">
        <v>12</v>
      </c>
      <c r="H1193" s="207">
        <v>418436</v>
      </c>
      <c r="I1193" s="182" t="s">
        <v>6019</v>
      </c>
      <c r="J1193" s="182" t="s">
        <v>6020</v>
      </c>
      <c r="K1193" s="182" t="s">
        <v>6021</v>
      </c>
      <c r="L1193" s="182" t="s">
        <v>15</v>
      </c>
    </row>
    <row r="1194" spans="1:12">
      <c r="A1194" s="170" t="s">
        <v>6023</v>
      </c>
      <c r="B1194" s="170" t="s">
        <v>6022</v>
      </c>
      <c r="C1194" s="170"/>
      <c r="D1194" s="170" t="s">
        <v>11</v>
      </c>
      <c r="E1194" s="170" t="s">
        <v>12</v>
      </c>
      <c r="H1194" s="207">
        <v>491873</v>
      </c>
      <c r="I1194" s="182" t="s">
        <v>6024</v>
      </c>
      <c r="J1194" s="182" t="s">
        <v>6025</v>
      </c>
      <c r="K1194" s="182" t="s">
        <v>6026</v>
      </c>
      <c r="L1194" s="182" t="s">
        <v>15</v>
      </c>
    </row>
    <row r="1195" spans="1:12">
      <c r="A1195" s="170" t="s">
        <v>6027</v>
      </c>
      <c r="B1195" s="170" t="s">
        <v>6028</v>
      </c>
      <c r="C1195" s="235" t="s">
        <v>6029</v>
      </c>
      <c r="D1195" s="170" t="s">
        <v>11</v>
      </c>
      <c r="E1195" s="170" t="s">
        <v>12</v>
      </c>
      <c r="H1195" s="207">
        <v>585051</v>
      </c>
      <c r="I1195" s="182" t="s">
        <v>6030</v>
      </c>
      <c r="J1195" s="182" t="s">
        <v>6031</v>
      </c>
      <c r="K1195" s="182" t="s">
        <v>6032</v>
      </c>
      <c r="L1195" s="182" t="s">
        <v>15</v>
      </c>
    </row>
    <row r="1196" spans="1:12">
      <c r="A1196" s="170" t="s">
        <v>6033</v>
      </c>
      <c r="B1196" s="170" t="s">
        <v>6034</v>
      </c>
      <c r="C1196" s="235" t="s">
        <v>6035</v>
      </c>
      <c r="D1196" s="170" t="s">
        <v>11</v>
      </c>
      <c r="E1196" s="170" t="s">
        <v>12</v>
      </c>
      <c r="H1196" s="207">
        <v>513820</v>
      </c>
      <c r="I1196" s="182" t="s">
        <v>6036</v>
      </c>
      <c r="J1196" s="182" t="s">
        <v>6037</v>
      </c>
      <c r="K1196" s="182" t="s">
        <v>6038</v>
      </c>
      <c r="L1196" s="182" t="s">
        <v>15</v>
      </c>
    </row>
    <row r="1197" spans="1:12">
      <c r="A1197" s="170" t="s">
        <v>6039</v>
      </c>
      <c r="B1197" s="170" t="s">
        <v>6040</v>
      </c>
      <c r="C1197" s="170"/>
      <c r="D1197" s="170" t="s">
        <v>11</v>
      </c>
      <c r="E1197" s="170" t="s">
        <v>12</v>
      </c>
      <c r="H1197" s="207" t="s">
        <v>6041</v>
      </c>
      <c r="I1197" s="182" t="s">
        <v>10</v>
      </c>
      <c r="J1197" s="182" t="s">
        <v>6041</v>
      </c>
      <c r="K1197" s="182" t="s">
        <v>6042</v>
      </c>
      <c r="L1197" s="182" t="s">
        <v>19</v>
      </c>
    </row>
    <row r="1198" spans="1:12">
      <c r="A1198" s="170" t="s">
        <v>6043</v>
      </c>
      <c r="B1198" s="170" t="s">
        <v>6044</v>
      </c>
      <c r="C1198" s="235" t="s">
        <v>6045</v>
      </c>
      <c r="D1198" s="170" t="s">
        <v>11</v>
      </c>
      <c r="E1198" s="170" t="s">
        <v>12</v>
      </c>
      <c r="H1198" s="207">
        <v>797229</v>
      </c>
      <c r="I1198" s="182" t="s">
        <v>6046</v>
      </c>
      <c r="J1198" s="182" t="s">
        <v>6047</v>
      </c>
      <c r="K1198" s="182" t="s">
        <v>6048</v>
      </c>
      <c r="L1198" s="182" t="s">
        <v>15</v>
      </c>
    </row>
    <row r="1199" spans="1:12">
      <c r="A1199" s="170" t="s">
        <v>6049</v>
      </c>
      <c r="B1199" s="170" t="s">
        <v>6050</v>
      </c>
      <c r="C1199" s="235" t="s">
        <v>6051</v>
      </c>
      <c r="D1199" s="170" t="s">
        <v>11</v>
      </c>
      <c r="E1199" s="170" t="s">
        <v>12</v>
      </c>
      <c r="H1199" s="207">
        <v>406919</v>
      </c>
      <c r="I1199" s="182" t="s">
        <v>6052</v>
      </c>
      <c r="J1199" s="182" t="s">
        <v>6053</v>
      </c>
      <c r="K1199" s="182" t="s">
        <v>6054</v>
      </c>
      <c r="L1199" s="182" t="s">
        <v>15</v>
      </c>
    </row>
    <row r="1200" spans="1:12">
      <c r="A1200" s="170" t="s">
        <v>6055</v>
      </c>
      <c r="B1200" s="170" t="s">
        <v>6056</v>
      </c>
      <c r="C1200" s="170"/>
      <c r="D1200" s="170" t="s">
        <v>11</v>
      </c>
      <c r="E1200" s="170" t="s">
        <v>12</v>
      </c>
      <c r="H1200" s="207">
        <v>481043</v>
      </c>
      <c r="I1200" s="182" t="s">
        <v>6057</v>
      </c>
      <c r="J1200" s="182" t="s">
        <v>6058</v>
      </c>
      <c r="K1200" s="182"/>
      <c r="L1200" s="182" t="s">
        <v>15</v>
      </c>
    </row>
    <row r="1201" spans="1:5">
      <c r="A1201" s="170" t="s">
        <v>6059</v>
      </c>
      <c r="B1201" s="170" t="s">
        <v>6060</v>
      </c>
      <c r="C1201" s="170"/>
      <c r="D1201" s="170" t="s">
        <v>11</v>
      </c>
      <c r="E1201" s="170" t="s">
        <v>12</v>
      </c>
    </row>
    <row r="1202" spans="1:5">
      <c r="A1202" s="170" t="s">
        <v>6061</v>
      </c>
      <c r="B1202" s="170" t="s">
        <v>6062</v>
      </c>
      <c r="C1202" s="221" t="s">
        <v>6063</v>
      </c>
      <c r="D1202" s="170" t="s">
        <v>11</v>
      </c>
      <c r="E1202" s="170" t="s">
        <v>12</v>
      </c>
    </row>
    <row r="1203" spans="1:5">
      <c r="A1203" s="170" t="s">
        <v>6064</v>
      </c>
      <c r="B1203" s="170" t="s">
        <v>6065</v>
      </c>
      <c r="C1203" s="235" t="s">
        <v>6066</v>
      </c>
      <c r="D1203" s="170" t="s">
        <v>11</v>
      </c>
      <c r="E1203" s="170" t="s">
        <v>12</v>
      </c>
    </row>
    <row r="1204" spans="1:5">
      <c r="A1204" s="170" t="s">
        <v>6067</v>
      </c>
      <c r="B1204" s="170" t="s">
        <v>6068</v>
      </c>
      <c r="C1204" s="170"/>
      <c r="D1204" s="170" t="s">
        <v>11</v>
      </c>
      <c r="E1204" s="170" t="s">
        <v>12</v>
      </c>
    </row>
    <row r="1205" spans="1:5">
      <c r="A1205" s="170" t="s">
        <v>6069</v>
      </c>
      <c r="B1205" s="170" t="s">
        <v>6070</v>
      </c>
      <c r="C1205" s="221" t="s">
        <v>6071</v>
      </c>
      <c r="D1205" s="170" t="s">
        <v>11</v>
      </c>
      <c r="E1205" s="170" t="s">
        <v>12</v>
      </c>
    </row>
    <row r="1206" spans="1:5">
      <c r="A1206" s="170" t="s">
        <v>6073</v>
      </c>
      <c r="B1206" s="170" t="s">
        <v>6074</v>
      </c>
      <c r="C1206" s="221" t="s">
        <v>6075</v>
      </c>
      <c r="D1206" s="170" t="s">
        <v>11</v>
      </c>
      <c r="E1206" s="170" t="s">
        <v>12</v>
      </c>
    </row>
    <row r="1207" spans="1:5">
      <c r="A1207" s="170" t="s">
        <v>6076</v>
      </c>
      <c r="B1207" s="170" t="s">
        <v>6077</v>
      </c>
      <c r="C1207" s="170"/>
      <c r="D1207" s="170" t="s">
        <v>11</v>
      </c>
      <c r="E1207" s="170" t="s">
        <v>12</v>
      </c>
    </row>
    <row r="1208" spans="1:5">
      <c r="A1208" s="170" t="s">
        <v>6078</v>
      </c>
      <c r="B1208" s="170" t="s">
        <v>6079</v>
      </c>
      <c r="C1208" s="178" t="s">
        <v>10</v>
      </c>
      <c r="D1208" s="170" t="s">
        <v>11</v>
      </c>
      <c r="E1208" s="170" t="s">
        <v>12</v>
      </c>
    </row>
    <row r="1209" spans="1:5">
      <c r="A1209" s="170" t="s">
        <v>6080</v>
      </c>
      <c r="B1209" s="170" t="s">
        <v>6081</v>
      </c>
      <c r="C1209" s="178" t="s">
        <v>10</v>
      </c>
      <c r="D1209" s="170" t="s">
        <v>11</v>
      </c>
      <c r="E1209" s="170" t="s">
        <v>12</v>
      </c>
    </row>
    <row r="1210" spans="1:5">
      <c r="A1210" s="170" t="s">
        <v>6082</v>
      </c>
      <c r="B1210" s="170" t="s">
        <v>6083</v>
      </c>
      <c r="C1210" s="178" t="s">
        <v>10</v>
      </c>
      <c r="D1210" s="170" t="s">
        <v>11</v>
      </c>
      <c r="E1210" s="170" t="s">
        <v>12</v>
      </c>
    </row>
    <row r="1211" spans="1:5">
      <c r="A1211" s="170" t="s">
        <v>6084</v>
      </c>
      <c r="B1211" s="170" t="s">
        <v>6085</v>
      </c>
      <c r="C1211" s="178" t="s">
        <v>10</v>
      </c>
      <c r="D1211" s="170" t="s">
        <v>11</v>
      </c>
      <c r="E1211" s="170" t="s">
        <v>12</v>
      </c>
    </row>
    <row r="1212" spans="1:5">
      <c r="A1212" s="170" t="s">
        <v>6086</v>
      </c>
      <c r="B1212" s="170" t="s">
        <v>6087</v>
      </c>
      <c r="C1212" s="178" t="s">
        <v>10</v>
      </c>
      <c r="D1212" s="170" t="s">
        <v>11</v>
      </c>
      <c r="E1212" s="170" t="s">
        <v>12</v>
      </c>
    </row>
    <row r="1213" spans="1:5">
      <c r="A1213" s="170" t="s">
        <v>6088</v>
      </c>
      <c r="B1213" s="170" t="s">
        <v>6089</v>
      </c>
      <c r="C1213" s="178" t="s">
        <v>10</v>
      </c>
      <c r="D1213" s="170" t="s">
        <v>11</v>
      </c>
      <c r="E1213" s="170" t="s">
        <v>12</v>
      </c>
    </row>
    <row r="1214" spans="1:5">
      <c r="A1214" s="170" t="s">
        <v>6090</v>
      </c>
      <c r="B1214" s="170" t="s">
        <v>6091</v>
      </c>
      <c r="C1214" s="237" t="s">
        <v>6092</v>
      </c>
      <c r="D1214" s="170" t="s">
        <v>11</v>
      </c>
      <c r="E1214" s="170" t="s">
        <v>12</v>
      </c>
    </row>
    <row r="1215" spans="1:5">
      <c r="A1215" s="170" t="s">
        <v>6093</v>
      </c>
      <c r="B1215" s="170" t="s">
        <v>6094</v>
      </c>
      <c r="C1215" s="238"/>
      <c r="D1215" s="170" t="s">
        <v>11</v>
      </c>
      <c r="E1215" s="170" t="s">
        <v>12</v>
      </c>
    </row>
    <row r="1216" spans="1:5">
      <c r="A1216" s="170" t="s">
        <v>6095</v>
      </c>
      <c r="B1216" s="170" t="s">
        <v>6096</v>
      </c>
      <c r="C1216" s="170"/>
      <c r="D1216" s="170" t="s">
        <v>11</v>
      </c>
      <c r="E1216" s="170" t="s">
        <v>12</v>
      </c>
    </row>
    <row r="1217" spans="1:5">
      <c r="A1217" s="170" t="s">
        <v>6097</v>
      </c>
      <c r="B1217" s="170" t="s">
        <v>6098</v>
      </c>
      <c r="C1217" s="239" t="s">
        <v>6099</v>
      </c>
      <c r="D1217" s="170" t="s">
        <v>11</v>
      </c>
      <c r="E1217" s="170" t="s">
        <v>12</v>
      </c>
    </row>
    <row r="1218" spans="1:5">
      <c r="A1218" s="170" t="s">
        <v>6100</v>
      </c>
      <c r="B1218" s="170" t="s">
        <v>6101</v>
      </c>
      <c r="C1218" s="239" t="s">
        <v>6102</v>
      </c>
      <c r="D1218" s="170" t="s">
        <v>11</v>
      </c>
      <c r="E1218" s="170" t="s">
        <v>12</v>
      </c>
    </row>
    <row r="1219" spans="1:5">
      <c r="A1219" s="170" t="s">
        <v>6103</v>
      </c>
      <c r="B1219" s="170" t="s">
        <v>6104</v>
      </c>
      <c r="C1219" s="170"/>
      <c r="D1219" s="170" t="s">
        <v>11</v>
      </c>
      <c r="E1219" s="170" t="s">
        <v>12</v>
      </c>
    </row>
    <row r="1220" spans="1:5">
      <c r="A1220" s="170" t="s">
        <v>6105</v>
      </c>
      <c r="B1220" s="170" t="s">
        <v>6106</v>
      </c>
      <c r="C1220" s="239" t="s">
        <v>6107</v>
      </c>
      <c r="D1220" s="170" t="s">
        <v>11</v>
      </c>
      <c r="E1220" s="170" t="s">
        <v>12</v>
      </c>
    </row>
    <row r="1221" spans="1:6">
      <c r="A1221" s="203" t="s">
        <v>6108</v>
      </c>
      <c r="B1221" s="203" t="s">
        <v>6109</v>
      </c>
      <c r="C1221" s="240"/>
      <c r="D1221" s="203" t="s">
        <v>11</v>
      </c>
      <c r="E1221" s="203" t="s">
        <v>12</v>
      </c>
      <c r="F1221">
        <v>13.01</v>
      </c>
    </row>
    <row r="1222" spans="1:5">
      <c r="A1222" s="170" t="s">
        <v>6110</v>
      </c>
      <c r="B1222" s="170" t="s">
        <v>6111</v>
      </c>
      <c r="C1222" s="170"/>
      <c r="D1222" s="170" t="s">
        <v>11</v>
      </c>
      <c r="E1222" s="170" t="s">
        <v>12</v>
      </c>
    </row>
    <row r="1223" spans="1:5">
      <c r="A1223" s="170" t="s">
        <v>6112</v>
      </c>
      <c r="B1223" s="170" t="s">
        <v>6113</v>
      </c>
      <c r="C1223" s="239" t="s">
        <v>6114</v>
      </c>
      <c r="D1223" s="170" t="s">
        <v>11</v>
      </c>
      <c r="E1223" s="170" t="s">
        <v>12</v>
      </c>
    </row>
    <row r="1224" spans="1:5">
      <c r="A1224" s="170" t="s">
        <v>6115</v>
      </c>
      <c r="B1224" s="170" t="s">
        <v>6116</v>
      </c>
      <c r="C1224" s="241" t="s">
        <v>6117</v>
      </c>
      <c r="D1224" s="170" t="s">
        <v>11</v>
      </c>
      <c r="E1224" s="170" t="s">
        <v>12</v>
      </c>
    </row>
    <row r="1225" spans="1:5">
      <c r="A1225" s="170" t="s">
        <v>6118</v>
      </c>
      <c r="B1225" s="170" t="s">
        <v>6119</v>
      </c>
      <c r="C1225" s="170"/>
      <c r="D1225" s="170" t="s">
        <v>11</v>
      </c>
      <c r="E1225" s="170" t="s">
        <v>12</v>
      </c>
    </row>
    <row r="1226" spans="1:5">
      <c r="A1226" s="170" t="s">
        <v>6120</v>
      </c>
      <c r="B1226" s="170" t="s">
        <v>6121</v>
      </c>
      <c r="C1226" s="239" t="s">
        <v>6122</v>
      </c>
      <c r="D1226" s="170" t="s">
        <v>11</v>
      </c>
      <c r="E1226" s="170" t="s">
        <v>12</v>
      </c>
    </row>
    <row r="1227" spans="1:5">
      <c r="A1227" s="170" t="s">
        <v>6123</v>
      </c>
      <c r="B1227" s="170" t="s">
        <v>6124</v>
      </c>
      <c r="C1227" s="239" t="s">
        <v>6125</v>
      </c>
      <c r="D1227" s="170" t="s">
        <v>11</v>
      </c>
      <c r="E1227" s="170" t="s">
        <v>12</v>
      </c>
    </row>
    <row r="1228" spans="1:5">
      <c r="A1228" s="170" t="s">
        <v>6126</v>
      </c>
      <c r="B1228" s="170" t="s">
        <v>6127</v>
      </c>
      <c r="C1228" s="170"/>
      <c r="D1228" s="170" t="s">
        <v>11</v>
      </c>
      <c r="E1228" s="170" t="s">
        <v>12</v>
      </c>
    </row>
    <row r="1229" spans="1:5">
      <c r="A1229" s="170" t="s">
        <v>6128</v>
      </c>
      <c r="B1229" s="170" t="s">
        <v>6129</v>
      </c>
      <c r="C1229" s="239" t="s">
        <v>6130</v>
      </c>
      <c r="D1229" s="170" t="s">
        <v>11</v>
      </c>
      <c r="E1229" s="170" t="s">
        <v>12</v>
      </c>
    </row>
    <row r="1230" spans="1:5">
      <c r="A1230" s="170" t="s">
        <v>6131</v>
      </c>
      <c r="B1230" s="170" t="s">
        <v>6132</v>
      </c>
      <c r="C1230" s="239" t="s">
        <v>6133</v>
      </c>
      <c r="D1230" s="170" t="s">
        <v>11</v>
      </c>
      <c r="E1230" s="170" t="s">
        <v>12</v>
      </c>
    </row>
    <row r="1231" spans="1:5">
      <c r="A1231" s="170" t="s">
        <v>6134</v>
      </c>
      <c r="B1231" s="170" t="s">
        <v>6135</v>
      </c>
      <c r="C1231" s="170"/>
      <c r="D1231" s="170" t="s">
        <v>11</v>
      </c>
      <c r="E1231" s="170" t="s">
        <v>12</v>
      </c>
    </row>
    <row r="1232" spans="1:5">
      <c r="A1232" s="170" t="s">
        <v>6136</v>
      </c>
      <c r="B1232" s="170" t="s">
        <v>6137</v>
      </c>
      <c r="C1232" s="239" t="s">
        <v>6138</v>
      </c>
      <c r="D1232" s="170" t="s">
        <v>11</v>
      </c>
      <c r="E1232" s="170" t="s">
        <v>12</v>
      </c>
    </row>
    <row r="1233" spans="1:5">
      <c r="A1233" s="170" t="s">
        <v>6139</v>
      </c>
      <c r="B1233" s="170" t="s">
        <v>6140</v>
      </c>
      <c r="C1233" s="242" t="s">
        <v>6141</v>
      </c>
      <c r="D1233" s="170" t="s">
        <v>11</v>
      </c>
      <c r="E1233" s="170" t="s">
        <v>12</v>
      </c>
    </row>
    <row r="1234" spans="1:5">
      <c r="A1234" s="170" t="s">
        <v>6142</v>
      </c>
      <c r="B1234" s="170" t="s">
        <v>6143</v>
      </c>
      <c r="C1234" s="170"/>
      <c r="D1234" s="170" t="s">
        <v>11</v>
      </c>
      <c r="E1234" s="170" t="s">
        <v>12</v>
      </c>
    </row>
    <row r="1235" spans="1:6">
      <c r="A1235" s="203" t="s">
        <v>6144</v>
      </c>
      <c r="B1235" s="203" t="s">
        <v>6145</v>
      </c>
      <c r="C1235" s="243" t="s">
        <v>6623</v>
      </c>
      <c r="D1235" s="203" t="s">
        <v>11</v>
      </c>
      <c r="E1235" s="203" t="s">
        <v>12</v>
      </c>
      <c r="F1235">
        <v>13.01</v>
      </c>
    </row>
    <row r="1236" spans="1:5">
      <c r="A1236" s="170" t="s">
        <v>6147</v>
      </c>
      <c r="B1236" s="170" t="s">
        <v>6148</v>
      </c>
      <c r="C1236" s="239" t="s">
        <v>6149</v>
      </c>
      <c r="D1236" s="170" t="s">
        <v>11</v>
      </c>
      <c r="E1236" s="170" t="s">
        <v>12</v>
      </c>
    </row>
    <row r="1237" spans="1:5">
      <c r="A1237" s="170" t="s">
        <v>6151</v>
      </c>
      <c r="B1237" s="170" t="s">
        <v>6152</v>
      </c>
      <c r="C1237" s="170"/>
      <c r="D1237" s="170" t="s">
        <v>11</v>
      </c>
      <c r="E1237" s="170" t="s">
        <v>12</v>
      </c>
    </row>
    <row r="1238" spans="1:5">
      <c r="A1238" s="170" t="s">
        <v>6153</v>
      </c>
      <c r="B1238" s="170" t="s">
        <v>6154</v>
      </c>
      <c r="C1238" s="239" t="s">
        <v>6155</v>
      </c>
      <c r="D1238" s="170" t="s">
        <v>11</v>
      </c>
      <c r="E1238" s="170" t="s">
        <v>12</v>
      </c>
    </row>
    <row r="1239" spans="1:5">
      <c r="A1239" s="170" t="s">
        <v>6156</v>
      </c>
      <c r="B1239" s="170" t="s">
        <v>6157</v>
      </c>
      <c r="C1239" s="239" t="s">
        <v>6158</v>
      </c>
      <c r="D1239" s="170" t="s">
        <v>11</v>
      </c>
      <c r="E1239" s="170" t="s">
        <v>12</v>
      </c>
    </row>
    <row r="1240" spans="1:5">
      <c r="A1240" s="170" t="s">
        <v>6159</v>
      </c>
      <c r="B1240" s="170" t="s">
        <v>6160</v>
      </c>
      <c r="C1240" s="170"/>
      <c r="D1240" s="170" t="s">
        <v>11</v>
      </c>
      <c r="E1240" s="170" t="s">
        <v>12</v>
      </c>
    </row>
    <row r="1241" spans="1:5">
      <c r="A1241" s="170" t="s">
        <v>6161</v>
      </c>
      <c r="B1241" s="170" t="s">
        <v>6162</v>
      </c>
      <c r="C1241" s="239" t="s">
        <v>6163</v>
      </c>
      <c r="D1241" s="170" t="s">
        <v>11</v>
      </c>
      <c r="E1241" s="170" t="s">
        <v>12</v>
      </c>
    </row>
    <row r="1242" spans="1:5">
      <c r="A1242" s="170" t="s">
        <v>6164</v>
      </c>
      <c r="B1242" s="170" t="s">
        <v>6165</v>
      </c>
      <c r="C1242" s="244" t="s">
        <v>6166</v>
      </c>
      <c r="D1242" s="170" t="s">
        <v>11</v>
      </c>
      <c r="E1242" s="170" t="s">
        <v>12</v>
      </c>
    </row>
    <row r="1243" ht="15.25" spans="1:5">
      <c r="A1243" s="170" t="s">
        <v>6167</v>
      </c>
      <c r="B1243" s="170" t="s">
        <v>6168</v>
      </c>
      <c r="C1243" s="245"/>
      <c r="D1243" s="170" t="s">
        <v>11</v>
      </c>
      <c r="E1243" s="170" t="s">
        <v>12</v>
      </c>
    </row>
    <row r="1244" spans="1:5">
      <c r="A1244" s="170" t="s">
        <v>6169</v>
      </c>
      <c r="B1244" s="170" t="s">
        <v>6170</v>
      </c>
      <c r="C1244" s="216" t="s">
        <v>6171</v>
      </c>
      <c r="D1244" s="170" t="s">
        <v>11</v>
      </c>
      <c r="E1244" s="170" t="s">
        <v>12</v>
      </c>
    </row>
    <row r="1245" spans="1:5">
      <c r="A1245" s="170" t="s">
        <v>6172</v>
      </c>
      <c r="B1245" s="170" t="s">
        <v>6173</v>
      </c>
      <c r="C1245" s="170"/>
      <c r="D1245" s="170" t="s">
        <v>11</v>
      </c>
      <c r="E1245" s="170" t="s">
        <v>12</v>
      </c>
    </row>
    <row r="1246" spans="1:5">
      <c r="A1246" s="170" t="s">
        <v>6174</v>
      </c>
      <c r="B1246" s="170" t="s">
        <v>6175</v>
      </c>
      <c r="C1246" s="170"/>
      <c r="D1246" s="170" t="s">
        <v>11</v>
      </c>
      <c r="E1246" s="170" t="s">
        <v>12</v>
      </c>
    </row>
    <row r="1247" spans="1:5">
      <c r="A1247" s="170" t="s">
        <v>6176</v>
      </c>
      <c r="B1247" s="170" t="s">
        <v>6177</v>
      </c>
      <c r="C1247" s="221" t="s">
        <v>6178</v>
      </c>
      <c r="D1247" s="170" t="s">
        <v>11</v>
      </c>
      <c r="E1247" s="170" t="s">
        <v>12</v>
      </c>
    </row>
    <row r="1248" spans="1:5">
      <c r="A1248" s="170" t="s">
        <v>6179</v>
      </c>
      <c r="B1248" s="170" t="s">
        <v>6180</v>
      </c>
      <c r="C1248" s="246" t="s">
        <v>6181</v>
      </c>
      <c r="D1248" s="170" t="s">
        <v>11</v>
      </c>
      <c r="E1248" s="170" t="s">
        <v>12</v>
      </c>
    </row>
    <row r="1249" spans="1:5">
      <c r="A1249" s="170" t="s">
        <v>6182</v>
      </c>
      <c r="B1249" s="170" t="s">
        <v>6183</v>
      </c>
      <c r="C1249" s="170"/>
      <c r="D1249" s="170" t="s">
        <v>11</v>
      </c>
      <c r="E1249" s="170" t="s">
        <v>12</v>
      </c>
    </row>
    <row r="1250" spans="1:5">
      <c r="A1250" s="170" t="s">
        <v>6184</v>
      </c>
      <c r="B1250" s="170" t="s">
        <v>6185</v>
      </c>
      <c r="C1250" s="239" t="s">
        <v>6186</v>
      </c>
      <c r="D1250" s="170" t="s">
        <v>11</v>
      </c>
      <c r="E1250" s="170" t="s">
        <v>12</v>
      </c>
    </row>
    <row r="1251" spans="1:5">
      <c r="A1251" s="170" t="s">
        <v>6187</v>
      </c>
      <c r="B1251" s="170" t="s">
        <v>6188</v>
      </c>
      <c r="C1251" s="239" t="s">
        <v>6189</v>
      </c>
      <c r="D1251" s="170" t="s">
        <v>11</v>
      </c>
      <c r="E1251" s="170" t="s">
        <v>12</v>
      </c>
    </row>
    <row r="1252" spans="1:5">
      <c r="A1252" s="170" t="s">
        <v>6190</v>
      </c>
      <c r="B1252" s="170" t="s">
        <v>6191</v>
      </c>
      <c r="C1252" s="170"/>
      <c r="D1252" s="170" t="s">
        <v>11</v>
      </c>
      <c r="E1252" s="170" t="s">
        <v>12</v>
      </c>
    </row>
    <row r="1253" spans="1:5">
      <c r="A1253" s="170" t="s">
        <v>6192</v>
      </c>
      <c r="B1253" s="170" t="s">
        <v>6193</v>
      </c>
      <c r="C1253" s="241" t="s">
        <v>6194</v>
      </c>
      <c r="D1253" s="170" t="s">
        <v>11</v>
      </c>
      <c r="E1253" s="170" t="s">
        <v>12</v>
      </c>
    </row>
    <row r="1254" spans="1:5">
      <c r="A1254" s="170" t="s">
        <v>6195</v>
      </c>
      <c r="B1254" s="170" t="s">
        <v>6196</v>
      </c>
      <c r="C1254" s="239" t="s">
        <v>6197</v>
      </c>
      <c r="D1254" s="170" t="s">
        <v>11</v>
      </c>
      <c r="E1254" s="170" t="s">
        <v>12</v>
      </c>
    </row>
    <row r="1255" spans="1:5">
      <c r="A1255" s="170" t="s">
        <v>6198</v>
      </c>
      <c r="B1255" s="170" t="s">
        <v>6199</v>
      </c>
      <c r="C1255" s="170"/>
      <c r="D1255" s="170" t="s">
        <v>11</v>
      </c>
      <c r="E1255" s="170" t="s">
        <v>12</v>
      </c>
    </row>
    <row r="1256" spans="1:5">
      <c r="A1256" s="170" t="s">
        <v>6200</v>
      </c>
      <c r="B1256" s="170" t="s">
        <v>6201</v>
      </c>
      <c r="C1256" s="239" t="s">
        <v>6202</v>
      </c>
      <c r="D1256" s="170" t="s">
        <v>11</v>
      </c>
      <c r="E1256" s="170" t="s">
        <v>12</v>
      </c>
    </row>
    <row r="1257" spans="1:5">
      <c r="A1257" s="170" t="s">
        <v>6203</v>
      </c>
      <c r="B1257" s="170" t="s">
        <v>6204</v>
      </c>
      <c r="C1257" s="239" t="s">
        <v>6205</v>
      </c>
      <c r="D1257" s="170" t="s">
        <v>11</v>
      </c>
      <c r="E1257" s="170" t="s">
        <v>12</v>
      </c>
    </row>
    <row r="1258" spans="1:5">
      <c r="A1258" s="170" t="s">
        <v>6206</v>
      </c>
      <c r="B1258" s="170" t="s">
        <v>6207</v>
      </c>
      <c r="C1258" s="170"/>
      <c r="D1258" s="170" t="s">
        <v>11</v>
      </c>
      <c r="E1258" s="170" t="s">
        <v>12</v>
      </c>
    </row>
    <row r="1259" spans="1:5">
      <c r="A1259" s="170" t="s">
        <v>6208</v>
      </c>
      <c r="B1259" s="170" t="s">
        <v>6209</v>
      </c>
      <c r="C1259" s="241" t="s">
        <v>6210</v>
      </c>
      <c r="D1259" s="170" t="s">
        <v>11</v>
      </c>
      <c r="E1259" s="170" t="s">
        <v>12</v>
      </c>
    </row>
    <row r="1260" spans="1:5">
      <c r="A1260" s="170" t="s">
        <v>6211</v>
      </c>
      <c r="B1260" s="170" t="s">
        <v>6212</v>
      </c>
      <c r="C1260" s="241" t="s">
        <v>6213</v>
      </c>
      <c r="D1260" s="170" t="s">
        <v>11</v>
      </c>
      <c r="E1260" s="170" t="s">
        <v>12</v>
      </c>
    </row>
    <row r="1261" spans="1:5">
      <c r="A1261" s="170" t="s">
        <v>6214</v>
      </c>
      <c r="B1261" s="170" t="s">
        <v>6215</v>
      </c>
      <c r="C1261" s="170"/>
      <c r="D1261" s="170" t="s">
        <v>11</v>
      </c>
      <c r="E1261" s="170" t="s">
        <v>12</v>
      </c>
    </row>
    <row r="1262" spans="1:5">
      <c r="A1262" s="170" t="s">
        <v>6216</v>
      </c>
      <c r="B1262" s="170" t="s">
        <v>6217</v>
      </c>
      <c r="C1262" s="239" t="s">
        <v>6218</v>
      </c>
      <c r="D1262" s="170" t="s">
        <v>11</v>
      </c>
      <c r="E1262" s="170" t="s">
        <v>12</v>
      </c>
    </row>
    <row r="1263" spans="1:5">
      <c r="A1263" s="170" t="s">
        <v>6219</v>
      </c>
      <c r="B1263" s="170" t="s">
        <v>6220</v>
      </c>
      <c r="C1263" s="239" t="s">
        <v>6221</v>
      </c>
      <c r="D1263" s="170" t="s">
        <v>11</v>
      </c>
      <c r="E1263" s="170" t="s">
        <v>12</v>
      </c>
    </row>
    <row r="1264" spans="1:5">
      <c r="A1264" s="170" t="s">
        <v>6222</v>
      </c>
      <c r="B1264" s="170" t="s">
        <v>6223</v>
      </c>
      <c r="C1264" s="170"/>
      <c r="D1264" s="170" t="s">
        <v>11</v>
      </c>
      <c r="E1264" s="170" t="s">
        <v>12</v>
      </c>
    </row>
    <row r="1265" spans="1:5">
      <c r="A1265" s="170" t="s">
        <v>6224</v>
      </c>
      <c r="B1265" s="170" t="s">
        <v>6225</v>
      </c>
      <c r="C1265" s="239" t="s">
        <v>6226</v>
      </c>
      <c r="D1265" s="170" t="s">
        <v>11</v>
      </c>
      <c r="E1265" s="170" t="s">
        <v>12</v>
      </c>
    </row>
    <row r="1266" spans="1:5">
      <c r="A1266" s="170" t="s">
        <v>6227</v>
      </c>
      <c r="B1266" s="170" t="s">
        <v>6228</v>
      </c>
      <c r="C1266" s="239" t="s">
        <v>6229</v>
      </c>
      <c r="D1266" s="170" t="s">
        <v>11</v>
      </c>
      <c r="E1266" s="170" t="s">
        <v>12</v>
      </c>
    </row>
    <row r="1267" spans="1:5">
      <c r="A1267" s="170" t="s">
        <v>6230</v>
      </c>
      <c r="B1267" s="170" t="s">
        <v>6231</v>
      </c>
      <c r="C1267" s="170"/>
      <c r="D1267" s="170" t="s">
        <v>11</v>
      </c>
      <c r="E1267" s="170" t="s">
        <v>12</v>
      </c>
    </row>
    <row r="1268" spans="1:5">
      <c r="A1268" s="170" t="s">
        <v>6232</v>
      </c>
      <c r="B1268" s="170" t="s">
        <v>6233</v>
      </c>
      <c r="C1268" s="239" t="s">
        <v>6234</v>
      </c>
      <c r="D1268" s="170" t="s">
        <v>11</v>
      </c>
      <c r="E1268" s="170" t="s">
        <v>12</v>
      </c>
    </row>
    <row r="1269" spans="1:5">
      <c r="A1269" s="170" t="s">
        <v>6235</v>
      </c>
      <c r="B1269" s="170" t="s">
        <v>6236</v>
      </c>
      <c r="C1269" s="239" t="s">
        <v>6237</v>
      </c>
      <c r="D1269" s="170" t="s">
        <v>11</v>
      </c>
      <c r="E1269" s="170" t="s">
        <v>12</v>
      </c>
    </row>
    <row r="1270" spans="1:5">
      <c r="A1270" s="170" t="s">
        <v>6238</v>
      </c>
      <c r="B1270" s="170" t="s">
        <v>6239</v>
      </c>
      <c r="C1270" s="170"/>
      <c r="D1270" s="170" t="s">
        <v>11</v>
      </c>
      <c r="E1270" s="170" t="s">
        <v>12</v>
      </c>
    </row>
    <row r="1271" spans="1:5">
      <c r="A1271" s="170" t="s">
        <v>6240</v>
      </c>
      <c r="B1271" s="170" t="s">
        <v>6241</v>
      </c>
      <c r="C1271" s="247" t="s">
        <v>6242</v>
      </c>
      <c r="D1271" s="170" t="s">
        <v>11</v>
      </c>
      <c r="E1271" s="170" t="s">
        <v>12</v>
      </c>
    </row>
    <row r="1272" spans="1:5">
      <c r="A1272" s="170" t="s">
        <v>6243</v>
      </c>
      <c r="B1272" s="170" t="s">
        <v>6244</v>
      </c>
      <c r="C1272" s="170"/>
      <c r="D1272" s="170" t="s">
        <v>11</v>
      </c>
      <c r="E1272" s="170" t="s">
        <v>12</v>
      </c>
    </row>
    <row r="1273" spans="1:5">
      <c r="A1273" s="170" t="s">
        <v>6245</v>
      </c>
      <c r="B1273" s="170" t="s">
        <v>6246</v>
      </c>
      <c r="C1273" s="170"/>
      <c r="D1273" s="170" t="s">
        <v>11</v>
      </c>
      <c r="E1273" s="170" t="s">
        <v>12</v>
      </c>
    </row>
    <row r="1274" spans="1:5">
      <c r="A1274" s="170" t="s">
        <v>6247</v>
      </c>
      <c r="B1274" s="170" t="s">
        <v>6248</v>
      </c>
      <c r="C1274" s="178" t="s">
        <v>10</v>
      </c>
      <c r="D1274" s="170" t="s">
        <v>11</v>
      </c>
      <c r="E1274" s="170" t="s">
        <v>12</v>
      </c>
    </row>
    <row r="1275" spans="1:5">
      <c r="A1275" s="170" t="s">
        <v>6249</v>
      </c>
      <c r="B1275" s="170" t="s">
        <v>6250</v>
      </c>
      <c r="C1275" s="178" t="s">
        <v>10</v>
      </c>
      <c r="D1275" s="170" t="s">
        <v>11</v>
      </c>
      <c r="E1275" s="170" t="s">
        <v>12</v>
      </c>
    </row>
    <row r="1276" spans="1:5">
      <c r="A1276" s="170" t="s">
        <v>6251</v>
      </c>
      <c r="B1276" s="170" t="s">
        <v>6252</v>
      </c>
      <c r="C1276" s="178" t="s">
        <v>10</v>
      </c>
      <c r="D1276" s="170" t="s">
        <v>11</v>
      </c>
      <c r="E1276" s="170" t="s">
        <v>12</v>
      </c>
    </row>
    <row r="1277" spans="1:5">
      <c r="A1277" s="170" t="s">
        <v>6253</v>
      </c>
      <c r="B1277" s="170" t="s">
        <v>6254</v>
      </c>
      <c r="C1277" s="178" t="s">
        <v>10</v>
      </c>
      <c r="D1277" s="170" t="s">
        <v>11</v>
      </c>
      <c r="E1277" s="170" t="s">
        <v>12</v>
      </c>
    </row>
    <row r="1278" spans="1:5">
      <c r="A1278" s="170" t="s">
        <v>6255</v>
      </c>
      <c r="B1278" s="170" t="s">
        <v>6256</v>
      </c>
      <c r="C1278" s="178" t="s">
        <v>10</v>
      </c>
      <c r="D1278" s="170" t="s">
        <v>11</v>
      </c>
      <c r="E1278" s="170" t="s">
        <v>12</v>
      </c>
    </row>
    <row r="1279" spans="1:5">
      <c r="A1279" s="170" t="s">
        <v>6257</v>
      </c>
      <c r="B1279" s="170" t="s">
        <v>6258</v>
      </c>
      <c r="C1279" s="178" t="s">
        <v>10</v>
      </c>
      <c r="D1279" s="170" t="s">
        <v>11</v>
      </c>
      <c r="E1279" s="170" t="s">
        <v>12</v>
      </c>
    </row>
    <row r="1280" spans="1:5">
      <c r="A1280" s="170" t="s">
        <v>6259</v>
      </c>
      <c r="B1280" s="170" t="s">
        <v>6260</v>
      </c>
      <c r="C1280" s="178" t="s">
        <v>10</v>
      </c>
      <c r="D1280" s="170" t="s">
        <v>11</v>
      </c>
      <c r="E1280" s="170" t="s">
        <v>12</v>
      </c>
    </row>
    <row r="1281" spans="1:5">
      <c r="A1281" s="170" t="s">
        <v>6261</v>
      </c>
      <c r="B1281" s="170" t="s">
        <v>6262</v>
      </c>
      <c r="C1281" s="178" t="s">
        <v>10</v>
      </c>
      <c r="D1281" s="170" t="s">
        <v>11</v>
      </c>
      <c r="E1281" s="170" t="s">
        <v>12</v>
      </c>
    </row>
    <row r="1282" spans="1:5">
      <c r="A1282" s="170" t="s">
        <v>6263</v>
      </c>
      <c r="B1282" s="170" t="s">
        <v>6264</v>
      </c>
      <c r="C1282" s="178" t="s">
        <v>10</v>
      </c>
      <c r="D1282" s="170" t="s">
        <v>11</v>
      </c>
      <c r="E1282" s="170" t="s">
        <v>12</v>
      </c>
    </row>
    <row r="1283" spans="1:5">
      <c r="A1283" s="170" t="s">
        <v>6265</v>
      </c>
      <c r="B1283" s="170" t="s">
        <v>6266</v>
      </c>
      <c r="C1283" s="178" t="s">
        <v>10</v>
      </c>
      <c r="D1283" s="170" t="s">
        <v>11</v>
      </c>
      <c r="E1283" s="170" t="s">
        <v>12</v>
      </c>
    </row>
    <row r="1284" spans="1:5">
      <c r="A1284" s="170" t="s">
        <v>6267</v>
      </c>
      <c r="B1284" s="170" t="s">
        <v>6268</v>
      </c>
      <c r="C1284" s="178" t="s">
        <v>10</v>
      </c>
      <c r="D1284" s="170" t="s">
        <v>11</v>
      </c>
      <c r="E1284" s="170" t="s">
        <v>12</v>
      </c>
    </row>
    <row r="1285" spans="1:5">
      <c r="A1285" s="170" t="s">
        <v>6269</v>
      </c>
      <c r="B1285" s="170" t="s">
        <v>6270</v>
      </c>
      <c r="C1285" s="178" t="s">
        <v>10</v>
      </c>
      <c r="D1285" s="170" t="s">
        <v>11</v>
      </c>
      <c r="E1285" s="170" t="s">
        <v>12</v>
      </c>
    </row>
    <row r="1286" spans="1:5">
      <c r="A1286" s="170" t="s">
        <v>6271</v>
      </c>
      <c r="B1286" s="170" t="s">
        <v>6272</v>
      </c>
      <c r="C1286" s="224" t="s">
        <v>6273</v>
      </c>
      <c r="D1286" s="170" t="s">
        <v>11</v>
      </c>
      <c r="E1286" s="170" t="s">
        <v>12</v>
      </c>
    </row>
    <row r="1287" spans="1:5">
      <c r="A1287" s="170" t="s">
        <v>6274</v>
      </c>
      <c r="B1287" s="170" t="s">
        <v>6275</v>
      </c>
      <c r="C1287" s="170"/>
      <c r="D1287" s="170" t="s">
        <v>11</v>
      </c>
      <c r="E1287" s="170" t="s">
        <v>12</v>
      </c>
    </row>
    <row r="1288" spans="1:5">
      <c r="A1288" s="170" t="s">
        <v>6276</v>
      </c>
      <c r="B1288" s="170" t="s">
        <v>6277</v>
      </c>
      <c r="C1288" s="170"/>
      <c r="D1288" s="170" t="s">
        <v>11</v>
      </c>
      <c r="E1288" s="170" t="s">
        <v>12</v>
      </c>
    </row>
    <row r="1289" spans="1:5">
      <c r="A1289" s="170" t="s">
        <v>6278</v>
      </c>
      <c r="B1289" s="170" t="s">
        <v>6279</v>
      </c>
      <c r="C1289" s="224" t="s">
        <v>6280</v>
      </c>
      <c r="D1289" s="170" t="s">
        <v>11</v>
      </c>
      <c r="E1289" s="170" t="s">
        <v>12</v>
      </c>
    </row>
    <row r="1290" spans="1:5">
      <c r="A1290" s="170" t="s">
        <v>6281</v>
      </c>
      <c r="B1290" s="170" t="s">
        <v>6282</v>
      </c>
      <c r="C1290" s="224"/>
      <c r="D1290" s="170" t="s">
        <v>11</v>
      </c>
      <c r="E1290" s="170" t="s">
        <v>12</v>
      </c>
    </row>
    <row r="1291" spans="1:5">
      <c r="A1291" s="170" t="s">
        <v>6283</v>
      </c>
      <c r="B1291" s="170" t="s">
        <v>6284</v>
      </c>
      <c r="C1291" s="170"/>
      <c r="D1291" s="170" t="s">
        <v>11</v>
      </c>
      <c r="E1291" s="170" t="s">
        <v>12</v>
      </c>
    </row>
    <row r="1292" spans="1:5">
      <c r="A1292" s="170" t="s">
        <v>6285</v>
      </c>
      <c r="B1292" s="170" t="s">
        <v>6286</v>
      </c>
      <c r="C1292" s="224" t="s">
        <v>6287</v>
      </c>
      <c r="D1292" s="170" t="s">
        <v>11</v>
      </c>
      <c r="E1292" s="170" t="s">
        <v>12</v>
      </c>
    </row>
    <row r="1293" spans="1:5">
      <c r="A1293" s="170" t="s">
        <v>6288</v>
      </c>
      <c r="B1293" s="170" t="s">
        <v>6289</v>
      </c>
      <c r="C1293" s="170"/>
      <c r="D1293" s="170" t="s">
        <v>11</v>
      </c>
      <c r="E1293" s="170" t="s">
        <v>12</v>
      </c>
    </row>
    <row r="1294" spans="1:5">
      <c r="A1294" s="170" t="s">
        <v>6290</v>
      </c>
      <c r="B1294" s="170" t="s">
        <v>6291</v>
      </c>
      <c r="C1294" s="170"/>
      <c r="D1294" s="170" t="s">
        <v>11</v>
      </c>
      <c r="E1294" s="170" t="s">
        <v>12</v>
      </c>
    </row>
    <row r="1295" spans="1:5">
      <c r="A1295" s="170" t="s">
        <v>6292</v>
      </c>
      <c r="B1295" s="170" t="s">
        <v>6293</v>
      </c>
      <c r="C1295" s="224" t="s">
        <v>6294</v>
      </c>
      <c r="D1295" s="170" t="s">
        <v>11</v>
      </c>
      <c r="E1295" s="170" t="s">
        <v>12</v>
      </c>
    </row>
    <row r="1296" spans="1:5">
      <c r="A1296" s="170" t="s">
        <v>6295</v>
      </c>
      <c r="B1296" s="170" t="s">
        <v>6296</v>
      </c>
      <c r="C1296" s="170"/>
      <c r="D1296" s="170" t="s">
        <v>11</v>
      </c>
      <c r="E1296" s="170" t="s">
        <v>12</v>
      </c>
    </row>
    <row r="1297" spans="1:5">
      <c r="A1297" s="170" t="s">
        <v>6297</v>
      </c>
      <c r="B1297" s="170" t="s">
        <v>6298</v>
      </c>
      <c r="C1297" s="170"/>
      <c r="D1297" s="170" t="s">
        <v>11</v>
      </c>
      <c r="E1297" s="170" t="s">
        <v>12</v>
      </c>
    </row>
    <row r="1298" spans="1:5">
      <c r="A1298" s="170" t="s">
        <v>6299</v>
      </c>
      <c r="B1298" s="170" t="s">
        <v>6300</v>
      </c>
      <c r="C1298" s="248" t="s">
        <v>6301</v>
      </c>
      <c r="D1298" s="170" t="s">
        <v>11</v>
      </c>
      <c r="E1298" s="170" t="s">
        <v>12</v>
      </c>
    </row>
    <row r="1299" spans="1:5">
      <c r="A1299" s="170" t="s">
        <v>6302</v>
      </c>
      <c r="B1299" s="170" t="s">
        <v>6303</v>
      </c>
      <c r="C1299" s="170"/>
      <c r="D1299" s="170" t="s">
        <v>11</v>
      </c>
      <c r="E1299" s="170" t="s">
        <v>12</v>
      </c>
    </row>
    <row r="1300" spans="1:5">
      <c r="A1300" s="170" t="s">
        <v>6304</v>
      </c>
      <c r="B1300" s="170" t="s">
        <v>6305</v>
      </c>
      <c r="C1300" s="170"/>
      <c r="D1300" s="170" t="s">
        <v>11</v>
      </c>
      <c r="E1300" s="170" t="s">
        <v>12</v>
      </c>
    </row>
    <row r="1301" spans="1:5">
      <c r="A1301" s="170" t="s">
        <v>6306</v>
      </c>
      <c r="B1301" s="170" t="s">
        <v>6307</v>
      </c>
      <c r="C1301" s="248" t="s">
        <v>6308</v>
      </c>
      <c r="D1301" s="170" t="s">
        <v>11</v>
      </c>
      <c r="E1301" s="170" t="s">
        <v>12</v>
      </c>
    </row>
    <row r="1302" spans="1:5">
      <c r="A1302" s="170" t="s">
        <v>6310</v>
      </c>
      <c r="B1302" s="170" t="s">
        <v>6311</v>
      </c>
      <c r="C1302" s="170"/>
      <c r="D1302" s="170" t="s">
        <v>11</v>
      </c>
      <c r="E1302" s="170" t="s">
        <v>12</v>
      </c>
    </row>
    <row r="1303" spans="1:5">
      <c r="A1303" s="170" t="s">
        <v>6312</v>
      </c>
      <c r="B1303" s="170" t="s">
        <v>6313</v>
      </c>
      <c r="C1303" s="170"/>
      <c r="D1303" s="170" t="s">
        <v>11</v>
      </c>
      <c r="E1303" s="170" t="s">
        <v>12</v>
      </c>
    </row>
    <row r="1304" spans="1:5">
      <c r="A1304" s="170" t="s">
        <v>6314</v>
      </c>
      <c r="B1304" s="170" t="s">
        <v>6315</v>
      </c>
      <c r="C1304" s="224" t="s">
        <v>6316</v>
      </c>
      <c r="D1304" s="170" t="s">
        <v>11</v>
      </c>
      <c r="E1304" s="170" t="s">
        <v>12</v>
      </c>
    </row>
    <row r="1305" spans="1:5">
      <c r="A1305" s="170" t="s">
        <v>6317</v>
      </c>
      <c r="B1305" s="170" t="s">
        <v>6318</v>
      </c>
      <c r="C1305" s="170"/>
      <c r="D1305" s="170" t="s">
        <v>11</v>
      </c>
      <c r="E1305" s="170" t="s">
        <v>12</v>
      </c>
    </row>
    <row r="1306" spans="1:5">
      <c r="A1306" s="170" t="s">
        <v>6319</v>
      </c>
      <c r="B1306" s="170" t="s">
        <v>6320</v>
      </c>
      <c r="C1306" s="170"/>
      <c r="D1306" s="170" t="s">
        <v>11</v>
      </c>
      <c r="E1306" s="170" t="s">
        <v>12</v>
      </c>
    </row>
    <row r="1307" spans="1:5">
      <c r="A1307" s="170" t="s">
        <v>6321</v>
      </c>
      <c r="B1307" s="170" t="s">
        <v>6322</v>
      </c>
      <c r="C1307" s="249" t="s">
        <v>6323</v>
      </c>
      <c r="D1307" s="170" t="s">
        <v>11</v>
      </c>
      <c r="E1307" s="170" t="s">
        <v>12</v>
      </c>
    </row>
    <row r="1308" spans="1:5">
      <c r="A1308" s="170" t="s">
        <v>6324</v>
      </c>
      <c r="B1308" s="170" t="s">
        <v>6325</v>
      </c>
      <c r="C1308" s="170"/>
      <c r="D1308" s="170" t="s">
        <v>11</v>
      </c>
      <c r="E1308" s="170" t="s">
        <v>12</v>
      </c>
    </row>
    <row r="1309" spans="1:5">
      <c r="A1309" s="170" t="s">
        <v>6326</v>
      </c>
      <c r="B1309" s="170" t="s">
        <v>6327</v>
      </c>
      <c r="C1309" s="170"/>
      <c r="D1309" s="170" t="s">
        <v>11</v>
      </c>
      <c r="E1309" s="170" t="s">
        <v>12</v>
      </c>
    </row>
    <row r="1310" spans="1:5">
      <c r="A1310" s="170" t="s">
        <v>6328</v>
      </c>
      <c r="B1310" s="170" t="s">
        <v>6329</v>
      </c>
      <c r="C1310" s="249" t="s">
        <v>6330</v>
      </c>
      <c r="D1310" s="170" t="s">
        <v>11</v>
      </c>
      <c r="E1310" s="170" t="s">
        <v>12</v>
      </c>
    </row>
    <row r="1311" spans="1:5">
      <c r="A1311" s="170" t="s">
        <v>6331</v>
      </c>
      <c r="B1311" s="170" t="s">
        <v>6332</v>
      </c>
      <c r="C1311" s="170"/>
      <c r="D1311" s="170" t="s">
        <v>11</v>
      </c>
      <c r="E1311" s="170" t="s">
        <v>12</v>
      </c>
    </row>
    <row r="1312" spans="1:5">
      <c r="A1312" s="170" t="s">
        <v>6333</v>
      </c>
      <c r="B1312" s="170" t="s">
        <v>6334</v>
      </c>
      <c r="C1312" s="170"/>
      <c r="D1312" s="170" t="s">
        <v>11</v>
      </c>
      <c r="E1312" s="170" t="s">
        <v>12</v>
      </c>
    </row>
    <row r="1313" spans="1:5">
      <c r="A1313" s="170" t="s">
        <v>6335</v>
      </c>
      <c r="B1313" s="170" t="s">
        <v>6336</v>
      </c>
      <c r="C1313" s="224" t="s">
        <v>6337</v>
      </c>
      <c r="D1313" s="170" t="s">
        <v>11</v>
      </c>
      <c r="E1313" s="170" t="s">
        <v>12</v>
      </c>
    </row>
    <row r="1314" spans="1:5">
      <c r="A1314" s="170" t="s">
        <v>6338</v>
      </c>
      <c r="B1314" s="170" t="s">
        <v>6339</v>
      </c>
      <c r="C1314" s="170"/>
      <c r="D1314" s="170" t="s">
        <v>11</v>
      </c>
      <c r="E1314" s="170" t="s">
        <v>12</v>
      </c>
    </row>
    <row r="1315" spans="1:5">
      <c r="A1315" s="170" t="s">
        <v>6340</v>
      </c>
      <c r="B1315" s="170" t="s">
        <v>6341</v>
      </c>
      <c r="C1315" s="170"/>
      <c r="D1315" s="170" t="s">
        <v>11</v>
      </c>
      <c r="E1315" s="170" t="s">
        <v>12</v>
      </c>
    </row>
    <row r="1316" spans="1:5">
      <c r="A1316" s="170" t="s">
        <v>6342</v>
      </c>
      <c r="B1316" s="200" t="s">
        <v>6343</v>
      </c>
      <c r="C1316" s="250" t="s">
        <v>6344</v>
      </c>
      <c r="D1316" s="170" t="s">
        <v>11</v>
      </c>
      <c r="E1316" s="170" t="s">
        <v>12</v>
      </c>
    </row>
    <row r="1317" spans="1:5">
      <c r="A1317" s="170" t="s">
        <v>6346</v>
      </c>
      <c r="B1317" s="200" t="s">
        <v>6347</v>
      </c>
      <c r="C1317" s="200"/>
      <c r="D1317" s="170" t="s">
        <v>11</v>
      </c>
      <c r="E1317" s="170" t="s">
        <v>12</v>
      </c>
    </row>
    <row r="1318" spans="1:5">
      <c r="A1318" s="170" t="s">
        <v>6348</v>
      </c>
      <c r="B1318" s="200" t="s">
        <v>6345</v>
      </c>
      <c r="C1318" s="200"/>
      <c r="D1318" s="170" t="s">
        <v>11</v>
      </c>
      <c r="E1318" s="170" t="s">
        <v>12</v>
      </c>
    </row>
    <row r="1319" spans="1:5">
      <c r="A1319" s="170" t="s">
        <v>6349</v>
      </c>
      <c r="B1319" s="200" t="s">
        <v>6350</v>
      </c>
      <c r="C1319" s="251" t="s">
        <v>6351</v>
      </c>
      <c r="D1319" s="170" t="s">
        <v>11</v>
      </c>
      <c r="E1319" s="170" t="s">
        <v>12</v>
      </c>
    </row>
    <row r="1320" spans="1:5">
      <c r="A1320" s="178" t="s">
        <v>6352</v>
      </c>
      <c r="B1320" s="196" t="s">
        <v>6353</v>
      </c>
      <c r="C1320" s="252" t="s">
        <v>6354</v>
      </c>
      <c r="D1320" s="170" t="s">
        <v>11</v>
      </c>
      <c r="E1320" s="170" t="s">
        <v>12</v>
      </c>
    </row>
    <row r="1321" spans="1:5">
      <c r="A1321" s="178" t="s">
        <v>6355</v>
      </c>
      <c r="B1321" s="195" t="s">
        <v>6356</v>
      </c>
      <c r="C1321" s="253" t="s">
        <v>6357</v>
      </c>
      <c r="D1321" s="170" t="s">
        <v>11</v>
      </c>
      <c r="E1321" s="170" t="s">
        <v>12</v>
      </c>
    </row>
    <row r="1322" spans="1:5">
      <c r="A1322" s="178" t="s">
        <v>6358</v>
      </c>
      <c r="B1322" s="195" t="s">
        <v>6359</v>
      </c>
      <c r="C1322" s="254" t="s">
        <v>6360</v>
      </c>
      <c r="D1322" s="170" t="s">
        <v>11</v>
      </c>
      <c r="E1322" s="170" t="s">
        <v>12</v>
      </c>
    </row>
    <row r="1323" spans="1:5">
      <c r="A1323" s="178" t="s">
        <v>6361</v>
      </c>
      <c r="B1323" s="195" t="s">
        <v>6362</v>
      </c>
      <c r="C1323" s="250" t="s">
        <v>6363</v>
      </c>
      <c r="D1323" s="170" t="s">
        <v>11</v>
      </c>
      <c r="E1323" s="170" t="s">
        <v>12</v>
      </c>
    </row>
    <row r="1324" spans="1:5">
      <c r="A1324" s="178" t="s">
        <v>6364</v>
      </c>
      <c r="B1324" s="195" t="s">
        <v>6365</v>
      </c>
      <c r="C1324" s="255" t="s">
        <v>6366</v>
      </c>
      <c r="D1324" s="170" t="s">
        <v>11</v>
      </c>
      <c r="E1324" s="170" t="s">
        <v>12</v>
      </c>
    </row>
    <row r="1325" spans="1:5">
      <c r="A1325" s="178" t="s">
        <v>6367</v>
      </c>
      <c r="B1325" s="195" t="s">
        <v>6368</v>
      </c>
      <c r="C1325" s="250" t="s">
        <v>6369</v>
      </c>
      <c r="D1325" s="170" t="s">
        <v>11</v>
      </c>
      <c r="E1325" s="170" t="s">
        <v>12</v>
      </c>
    </row>
    <row r="1326" spans="1:5">
      <c r="A1326" s="178" t="s">
        <v>6370</v>
      </c>
      <c r="B1326" s="196" t="s">
        <v>6371</v>
      </c>
      <c r="C1326" s="250" t="s">
        <v>6372</v>
      </c>
      <c r="D1326" s="170" t="s">
        <v>11</v>
      </c>
      <c r="E1326" s="170" t="s">
        <v>12</v>
      </c>
    </row>
    <row r="1327" spans="1:5">
      <c r="A1327" s="178" t="s">
        <v>6373</v>
      </c>
      <c r="B1327" s="205" t="s">
        <v>6374</v>
      </c>
      <c r="C1327" s="250" t="s">
        <v>6375</v>
      </c>
      <c r="D1327" s="170" t="s">
        <v>11</v>
      </c>
      <c r="E1327" s="170" t="s">
        <v>12</v>
      </c>
    </row>
    <row r="1328" spans="1:5">
      <c r="A1328" s="170" t="s">
        <v>6376</v>
      </c>
      <c r="B1328" s="200" t="s">
        <v>6377</v>
      </c>
      <c r="C1328" s="200"/>
      <c r="D1328" s="170" t="s">
        <v>11</v>
      </c>
      <c r="E1328" s="170" t="s">
        <v>12</v>
      </c>
    </row>
    <row r="1329" spans="1:5">
      <c r="A1329" s="170" t="s">
        <v>6378</v>
      </c>
      <c r="B1329" s="170" t="s">
        <v>6379</v>
      </c>
      <c r="C1329" s="170"/>
      <c r="D1329" s="170" t="s">
        <v>11</v>
      </c>
      <c r="E1329" s="170" t="s">
        <v>12</v>
      </c>
    </row>
    <row r="1330" spans="1:5">
      <c r="A1330" s="170" t="s">
        <v>6352</v>
      </c>
      <c r="B1330" s="170" t="s">
        <v>6353</v>
      </c>
      <c r="C1330" s="170"/>
      <c r="D1330" s="170" t="s">
        <v>11</v>
      </c>
      <c r="E1330" s="170" t="s">
        <v>12</v>
      </c>
    </row>
    <row r="1331" spans="1:5">
      <c r="A1331" s="170" t="s">
        <v>6380</v>
      </c>
      <c r="B1331" s="170" t="s">
        <v>6381</v>
      </c>
      <c r="C1331" s="170"/>
      <c r="D1331" s="170" t="s">
        <v>11</v>
      </c>
      <c r="E1331" s="170" t="s">
        <v>12</v>
      </c>
    </row>
    <row r="1332" spans="1:5">
      <c r="A1332" s="170" t="s">
        <v>6382</v>
      </c>
      <c r="B1332" s="170" t="s">
        <v>6383</v>
      </c>
      <c r="C1332" s="170"/>
      <c r="D1332" s="170" t="s">
        <v>11</v>
      </c>
      <c r="E1332" s="170" t="s">
        <v>12</v>
      </c>
    </row>
    <row r="1333" spans="1:5">
      <c r="A1333" s="170" t="s">
        <v>6355</v>
      </c>
      <c r="B1333" s="170" t="s">
        <v>6356</v>
      </c>
      <c r="C1333" s="170"/>
      <c r="D1333" s="170" t="s">
        <v>11</v>
      </c>
      <c r="E1333" s="170" t="s">
        <v>12</v>
      </c>
    </row>
    <row r="1334" spans="1:5">
      <c r="A1334" s="170" t="s">
        <v>6384</v>
      </c>
      <c r="B1334" s="170" t="s">
        <v>6385</v>
      </c>
      <c r="C1334" s="170"/>
      <c r="D1334" s="170" t="s">
        <v>11</v>
      </c>
      <c r="E1334" s="170" t="s">
        <v>12</v>
      </c>
    </row>
    <row r="1335" spans="1:5">
      <c r="A1335" s="170" t="s">
        <v>6386</v>
      </c>
      <c r="B1335" s="170" t="s">
        <v>6387</v>
      </c>
      <c r="C1335" s="170"/>
      <c r="D1335" s="170" t="s">
        <v>11</v>
      </c>
      <c r="E1335" s="170" t="s">
        <v>12</v>
      </c>
    </row>
    <row r="1336" spans="1:5">
      <c r="A1336" s="170" t="s">
        <v>6358</v>
      </c>
      <c r="B1336" s="170" t="s">
        <v>6359</v>
      </c>
      <c r="C1336" s="170"/>
      <c r="D1336" s="170" t="s">
        <v>11</v>
      </c>
      <c r="E1336" s="170" t="s">
        <v>12</v>
      </c>
    </row>
    <row r="1337" spans="1:5">
      <c r="A1337" s="170" t="s">
        <v>6388</v>
      </c>
      <c r="B1337" s="170" t="s">
        <v>6389</v>
      </c>
      <c r="C1337" s="170"/>
      <c r="D1337" s="170" t="s">
        <v>11</v>
      </c>
      <c r="E1337" s="170" t="s">
        <v>12</v>
      </c>
    </row>
    <row r="1338" spans="1:5">
      <c r="A1338" s="170" t="s">
        <v>6390</v>
      </c>
      <c r="B1338" s="170" t="s">
        <v>6391</v>
      </c>
      <c r="C1338" s="170"/>
      <c r="D1338" s="170" t="s">
        <v>11</v>
      </c>
      <c r="E1338" s="170" t="s">
        <v>12</v>
      </c>
    </row>
    <row r="1339" spans="1:5">
      <c r="A1339" s="170" t="s">
        <v>6361</v>
      </c>
      <c r="B1339" s="170" t="s">
        <v>6362</v>
      </c>
      <c r="C1339" s="170"/>
      <c r="D1339" s="170" t="s">
        <v>11</v>
      </c>
      <c r="E1339" s="170" t="s">
        <v>12</v>
      </c>
    </row>
    <row r="1340" spans="1:5">
      <c r="A1340" s="170" t="s">
        <v>6392</v>
      </c>
      <c r="B1340" s="170" t="s">
        <v>6393</v>
      </c>
      <c r="C1340" s="170"/>
      <c r="D1340" s="170" t="s">
        <v>11</v>
      </c>
      <c r="E1340" s="170" t="s">
        <v>12</v>
      </c>
    </row>
    <row r="1341" spans="1:5">
      <c r="A1341" s="170" t="s">
        <v>6394</v>
      </c>
      <c r="B1341" s="170" t="s">
        <v>6395</v>
      </c>
      <c r="C1341" s="170"/>
      <c r="D1341" s="170" t="s">
        <v>11</v>
      </c>
      <c r="E1341" s="170" t="s">
        <v>12</v>
      </c>
    </row>
    <row r="1342" spans="1:5">
      <c r="A1342" s="170" t="s">
        <v>6364</v>
      </c>
      <c r="B1342" s="170" t="s">
        <v>6365</v>
      </c>
      <c r="C1342" s="170"/>
      <c r="D1342" s="170" t="s">
        <v>11</v>
      </c>
      <c r="E1342" s="170" t="s">
        <v>12</v>
      </c>
    </row>
    <row r="1343" spans="1:5">
      <c r="A1343" s="170" t="s">
        <v>6396</v>
      </c>
      <c r="B1343" s="170" t="s">
        <v>6397</v>
      </c>
      <c r="C1343" s="170"/>
      <c r="D1343" s="170" t="s">
        <v>11</v>
      </c>
      <c r="E1343" s="170" t="s">
        <v>12</v>
      </c>
    </row>
    <row r="1344" spans="1:5">
      <c r="A1344" s="170" t="s">
        <v>6398</v>
      </c>
      <c r="B1344" s="170" t="s">
        <v>6399</v>
      </c>
      <c r="C1344" s="170"/>
      <c r="D1344" s="170" t="s">
        <v>11</v>
      </c>
      <c r="E1344" s="170" t="s">
        <v>12</v>
      </c>
    </row>
    <row r="1345" spans="1:5">
      <c r="A1345" s="170" t="s">
        <v>6367</v>
      </c>
      <c r="B1345" s="170" t="s">
        <v>6368</v>
      </c>
      <c r="C1345" s="170"/>
      <c r="D1345" s="170" t="s">
        <v>11</v>
      </c>
      <c r="E1345" s="170" t="s">
        <v>12</v>
      </c>
    </row>
    <row r="1346" spans="1:5">
      <c r="A1346" s="170" t="s">
        <v>6400</v>
      </c>
      <c r="B1346" s="170" t="s">
        <v>6401</v>
      </c>
      <c r="C1346" s="170"/>
      <c r="D1346" s="170" t="s">
        <v>11</v>
      </c>
      <c r="E1346" s="170" t="s">
        <v>12</v>
      </c>
    </row>
    <row r="1347" spans="1:5">
      <c r="A1347" s="170" t="s">
        <v>6402</v>
      </c>
      <c r="B1347" s="170" t="s">
        <v>6403</v>
      </c>
      <c r="C1347" s="170"/>
      <c r="D1347" s="170" t="s">
        <v>11</v>
      </c>
      <c r="E1347" s="170" t="s">
        <v>12</v>
      </c>
    </row>
    <row r="1348" spans="1:5">
      <c r="A1348" s="170" t="s">
        <v>6370</v>
      </c>
      <c r="B1348" s="170" t="s">
        <v>6371</v>
      </c>
      <c r="C1348" s="170"/>
      <c r="D1348" s="170" t="s">
        <v>11</v>
      </c>
      <c r="E1348" s="170" t="s">
        <v>12</v>
      </c>
    </row>
    <row r="1349" spans="1:5">
      <c r="A1349" s="170" t="s">
        <v>6404</v>
      </c>
      <c r="B1349" s="170" t="s">
        <v>6405</v>
      </c>
      <c r="C1349" s="170"/>
      <c r="D1349" s="170" t="s">
        <v>11</v>
      </c>
      <c r="E1349" s="170" t="s">
        <v>12</v>
      </c>
    </row>
    <row r="1350" spans="1:5">
      <c r="A1350" s="170" t="s">
        <v>6406</v>
      </c>
      <c r="B1350" s="170" t="s">
        <v>6407</v>
      </c>
      <c r="C1350" s="170"/>
      <c r="D1350" s="170" t="s">
        <v>11</v>
      </c>
      <c r="E1350" s="170" t="s">
        <v>12</v>
      </c>
    </row>
    <row r="1351" spans="1:5">
      <c r="A1351" s="170" t="s">
        <v>6373</v>
      </c>
      <c r="B1351" s="170" t="s">
        <v>6374</v>
      </c>
      <c r="C1351" s="170"/>
      <c r="D1351" s="170" t="s">
        <v>11</v>
      </c>
      <c r="E1351" s="170" t="s">
        <v>12</v>
      </c>
    </row>
    <row r="1352" spans="1:5">
      <c r="A1352" s="170" t="s">
        <v>6408</v>
      </c>
      <c r="B1352" s="170" t="s">
        <v>6409</v>
      </c>
      <c r="C1352" s="170"/>
      <c r="D1352" s="170" t="s">
        <v>11</v>
      </c>
      <c r="E1352" s="170" t="s">
        <v>12</v>
      </c>
    </row>
    <row r="1353" spans="1:5">
      <c r="A1353" s="170" t="s">
        <v>6410</v>
      </c>
      <c r="B1353" s="170" t="s">
        <v>6411</v>
      </c>
      <c r="C1353" s="170"/>
      <c r="D1353" s="170" t="s">
        <v>11</v>
      </c>
      <c r="E1353" s="170" t="s">
        <v>12</v>
      </c>
    </row>
    <row r="1354" spans="1:5">
      <c r="A1354" s="170" t="s">
        <v>6412</v>
      </c>
      <c r="B1354" s="170" t="s">
        <v>6413</v>
      </c>
      <c r="C1354" s="178" t="s">
        <v>10</v>
      </c>
      <c r="D1354" s="170" t="s">
        <v>11</v>
      </c>
      <c r="E1354" s="170" t="s">
        <v>12</v>
      </c>
    </row>
    <row r="1355" spans="1:5">
      <c r="A1355" s="170" t="s">
        <v>6414</v>
      </c>
      <c r="B1355" s="170" t="s">
        <v>6415</v>
      </c>
      <c r="C1355" s="178" t="s">
        <v>10</v>
      </c>
      <c r="D1355" s="170" t="s">
        <v>11</v>
      </c>
      <c r="E1355" s="170" t="s">
        <v>12</v>
      </c>
    </row>
    <row r="1356" spans="1:5">
      <c r="A1356" s="170" t="s">
        <v>6416</v>
      </c>
      <c r="B1356" s="170" t="s">
        <v>6417</v>
      </c>
      <c r="C1356" s="178" t="s">
        <v>10</v>
      </c>
      <c r="D1356" s="170" t="s">
        <v>11</v>
      </c>
      <c r="E1356" s="170" t="s">
        <v>12</v>
      </c>
    </row>
    <row r="1357" spans="1:5">
      <c r="A1357" s="170" t="s">
        <v>6418</v>
      </c>
      <c r="B1357" s="170" t="s">
        <v>6419</v>
      </c>
      <c r="C1357" s="178" t="s">
        <v>10</v>
      </c>
      <c r="D1357" s="170" t="s">
        <v>11</v>
      </c>
      <c r="E1357" s="170" t="s">
        <v>12</v>
      </c>
    </row>
    <row r="1358" spans="1:5">
      <c r="A1358" s="170" t="s">
        <v>6420</v>
      </c>
      <c r="B1358" s="170" t="s">
        <v>6421</v>
      </c>
      <c r="C1358" s="178" t="s">
        <v>10</v>
      </c>
      <c r="D1358" s="170" t="s">
        <v>11</v>
      </c>
      <c r="E1358" s="170" t="s">
        <v>12</v>
      </c>
    </row>
    <row r="1359" spans="1:5">
      <c r="A1359" s="170" t="s">
        <v>6422</v>
      </c>
      <c r="B1359" s="170" t="s">
        <v>6423</v>
      </c>
      <c r="C1359" s="178" t="s">
        <v>10</v>
      </c>
      <c r="D1359" s="170" t="s">
        <v>11</v>
      </c>
      <c r="E1359" s="170" t="s">
        <v>12</v>
      </c>
    </row>
    <row r="1360" spans="1:5">
      <c r="A1360" s="170" t="s">
        <v>6424</v>
      </c>
      <c r="B1360" s="170" t="s">
        <v>6425</v>
      </c>
      <c r="C1360" s="256" t="s">
        <v>6426</v>
      </c>
      <c r="D1360" s="170" t="s">
        <v>11</v>
      </c>
      <c r="E1360" s="170" t="s">
        <v>12</v>
      </c>
    </row>
    <row r="1361" spans="1:5">
      <c r="A1361" s="170" t="s">
        <v>6427</v>
      </c>
      <c r="B1361" s="170" t="s">
        <v>6428</v>
      </c>
      <c r="C1361" s="170"/>
      <c r="D1361" s="170" t="s">
        <v>11</v>
      </c>
      <c r="E1361" s="170" t="s">
        <v>12</v>
      </c>
    </row>
    <row r="1362" spans="1:5">
      <c r="A1362" s="170" t="s">
        <v>6429</v>
      </c>
      <c r="B1362" s="170" t="s">
        <v>6430</v>
      </c>
      <c r="C1362" s="170"/>
      <c r="D1362" s="170" t="s">
        <v>11</v>
      </c>
      <c r="E1362" s="170" t="s">
        <v>12</v>
      </c>
    </row>
    <row r="1363" spans="1:5">
      <c r="A1363" s="170" t="s">
        <v>6431</v>
      </c>
      <c r="B1363" s="170" t="s">
        <v>6432</v>
      </c>
      <c r="C1363" s="256" t="s">
        <v>6433</v>
      </c>
      <c r="D1363" s="170" t="s">
        <v>11</v>
      </c>
      <c r="E1363" s="170" t="s">
        <v>12</v>
      </c>
    </row>
    <row r="1364" spans="1:5">
      <c r="A1364" s="170" t="s">
        <v>6434</v>
      </c>
      <c r="B1364" s="170" t="s">
        <v>6435</v>
      </c>
      <c r="C1364" s="170"/>
      <c r="D1364" s="170" t="s">
        <v>11</v>
      </c>
      <c r="E1364" s="170" t="s">
        <v>12</v>
      </c>
    </row>
    <row r="1365" spans="1:5">
      <c r="A1365" s="170" t="s">
        <v>6436</v>
      </c>
      <c r="B1365" s="170" t="s">
        <v>6437</v>
      </c>
      <c r="C1365" s="170"/>
      <c r="D1365" s="170" t="s">
        <v>11</v>
      </c>
      <c r="E1365" s="170" t="s">
        <v>12</v>
      </c>
    </row>
    <row r="1366" spans="1:5">
      <c r="A1366" s="170" t="s">
        <v>6438</v>
      </c>
      <c r="B1366" s="170" t="s">
        <v>6439</v>
      </c>
      <c r="C1366" s="257" t="s">
        <v>6440</v>
      </c>
      <c r="D1366" s="170" t="s">
        <v>11</v>
      </c>
      <c r="E1366" s="170" t="s">
        <v>12</v>
      </c>
    </row>
    <row r="1367" spans="1:5">
      <c r="A1367" s="170" t="s">
        <v>6441</v>
      </c>
      <c r="B1367" s="170" t="s">
        <v>6442</v>
      </c>
      <c r="C1367" s="170"/>
      <c r="D1367" s="170" t="s">
        <v>11</v>
      </c>
      <c r="E1367" s="170" t="s">
        <v>12</v>
      </c>
    </row>
    <row r="1368" spans="1:5">
      <c r="A1368" s="170" t="s">
        <v>6443</v>
      </c>
      <c r="B1368" s="170" t="s">
        <v>6444</v>
      </c>
      <c r="C1368" s="170"/>
      <c r="D1368" s="170" t="s">
        <v>11</v>
      </c>
      <c r="E1368" s="170" t="s">
        <v>12</v>
      </c>
    </row>
    <row r="1369" spans="1:6">
      <c r="A1369" s="203" t="s">
        <v>6445</v>
      </c>
      <c r="B1369" s="203" t="s">
        <v>6446</v>
      </c>
      <c r="C1369" s="258" t="s">
        <v>6624</v>
      </c>
      <c r="D1369" s="203" t="s">
        <v>11</v>
      </c>
      <c r="E1369" s="203" t="s">
        <v>12</v>
      </c>
      <c r="F1369">
        <v>13.01</v>
      </c>
    </row>
    <row r="1370" spans="1:5">
      <c r="A1370" s="170" t="s">
        <v>6448</v>
      </c>
      <c r="B1370" s="170" t="s">
        <v>6449</v>
      </c>
      <c r="C1370" s="257"/>
      <c r="D1370" s="170" t="s">
        <v>11</v>
      </c>
      <c r="E1370" s="170" t="s">
        <v>12</v>
      </c>
    </row>
    <row r="1371" spans="1:5">
      <c r="A1371" s="170" t="s">
        <v>6450</v>
      </c>
      <c r="B1371" s="170" t="s">
        <v>6451</v>
      </c>
      <c r="C1371" s="170"/>
      <c r="D1371" s="170" t="s">
        <v>11</v>
      </c>
      <c r="E1371" s="170" t="s">
        <v>12</v>
      </c>
    </row>
    <row r="1372" spans="1:5">
      <c r="A1372" s="170" t="s">
        <v>6452</v>
      </c>
      <c r="B1372" s="170" t="s">
        <v>6453</v>
      </c>
      <c r="C1372" s="170"/>
      <c r="D1372" s="170" t="s">
        <v>11</v>
      </c>
      <c r="E1372" s="170" t="s">
        <v>12</v>
      </c>
    </row>
    <row r="1373" spans="1:5">
      <c r="A1373" s="170" t="s">
        <v>6454</v>
      </c>
      <c r="B1373" s="170" t="s">
        <v>6455</v>
      </c>
      <c r="C1373" s="170"/>
      <c r="D1373" s="170" t="s">
        <v>11</v>
      </c>
      <c r="E1373" s="170" t="s">
        <v>12</v>
      </c>
    </row>
    <row r="1374" spans="1:5">
      <c r="A1374" s="170" t="s">
        <v>6456</v>
      </c>
      <c r="B1374" s="170" t="s">
        <v>6457</v>
      </c>
      <c r="C1374" s="170"/>
      <c r="D1374" s="170" t="s">
        <v>11</v>
      </c>
      <c r="E1374" s="170" t="s">
        <v>12</v>
      </c>
    </row>
    <row r="1375" spans="1:5">
      <c r="A1375" s="170" t="s">
        <v>6458</v>
      </c>
      <c r="B1375" s="170" t="s">
        <v>6459</v>
      </c>
      <c r="C1375" s="170"/>
      <c r="D1375" s="170" t="s">
        <v>11</v>
      </c>
      <c r="E1375" s="170" t="s">
        <v>12</v>
      </c>
    </row>
    <row r="1376" spans="1:5">
      <c r="A1376" s="170" t="s">
        <v>6460</v>
      </c>
      <c r="B1376" s="170" t="s">
        <v>6461</v>
      </c>
      <c r="C1376" s="170"/>
      <c r="D1376" s="170" t="s">
        <v>11</v>
      </c>
      <c r="E1376" s="170" t="s">
        <v>12</v>
      </c>
    </row>
    <row r="1377" spans="1:5">
      <c r="A1377" s="170" t="s">
        <v>6462</v>
      </c>
      <c r="B1377" s="170" t="s">
        <v>6463</v>
      </c>
      <c r="C1377" s="170"/>
      <c r="D1377" s="170" t="s">
        <v>11</v>
      </c>
      <c r="E1377" s="170" t="s">
        <v>12</v>
      </c>
    </row>
    <row r="1378" spans="1:5">
      <c r="A1378" s="170" t="s">
        <v>6464</v>
      </c>
      <c r="B1378" s="170" t="s">
        <v>6465</v>
      </c>
      <c r="C1378" s="170"/>
      <c r="D1378" s="170" t="s">
        <v>11</v>
      </c>
      <c r="E1378" s="170" t="s">
        <v>12</v>
      </c>
    </row>
    <row r="1379" spans="1:5">
      <c r="A1379" s="170" t="s">
        <v>6466</v>
      </c>
      <c r="B1379" s="170" t="s">
        <v>6467</v>
      </c>
      <c r="C1379" s="170"/>
      <c r="D1379" s="170" t="s">
        <v>11</v>
      </c>
      <c r="E1379" s="170" t="s">
        <v>12</v>
      </c>
    </row>
    <row r="1380" spans="1:5">
      <c r="A1380" s="170" t="s">
        <v>6468</v>
      </c>
      <c r="B1380" s="170" t="s">
        <v>6469</v>
      </c>
      <c r="C1380" s="170"/>
      <c r="D1380" s="170" t="s">
        <v>11</v>
      </c>
      <c r="E1380" s="170" t="s">
        <v>12</v>
      </c>
    </row>
    <row r="1381" spans="1:5">
      <c r="A1381" s="170" t="s">
        <v>6470</v>
      </c>
      <c r="B1381" s="170" t="s">
        <v>6471</v>
      </c>
      <c r="C1381" s="170"/>
      <c r="D1381" s="170" t="s">
        <v>11</v>
      </c>
      <c r="E1381" s="170" t="s">
        <v>12</v>
      </c>
    </row>
    <row r="1382" spans="1:5">
      <c r="A1382" s="170" t="s">
        <v>6472</v>
      </c>
      <c r="B1382" s="170" t="s">
        <v>6473</v>
      </c>
      <c r="C1382" s="170"/>
      <c r="D1382" s="170" t="s">
        <v>11</v>
      </c>
      <c r="E1382" s="170" t="s">
        <v>12</v>
      </c>
    </row>
    <row r="1383" spans="1:5">
      <c r="A1383" s="170" t="s">
        <v>6474</v>
      </c>
      <c r="B1383" s="170" t="s">
        <v>6475</v>
      </c>
      <c r="C1383" s="170"/>
      <c r="D1383" s="170" t="s">
        <v>11</v>
      </c>
      <c r="E1383" s="170" t="s">
        <v>12</v>
      </c>
    </row>
    <row r="1384" spans="1:5">
      <c r="A1384" s="170" t="s">
        <v>6476</v>
      </c>
      <c r="B1384" s="170" t="s">
        <v>6477</v>
      </c>
      <c r="C1384" s="170"/>
      <c r="D1384" s="170" t="s">
        <v>11</v>
      </c>
      <c r="E1384" s="170" t="s">
        <v>12</v>
      </c>
    </row>
    <row r="1385" spans="1:5">
      <c r="A1385" s="170" t="s">
        <v>6478</v>
      </c>
      <c r="B1385" s="170" t="s">
        <v>6479</v>
      </c>
      <c r="C1385" s="170"/>
      <c r="D1385" s="170" t="s">
        <v>11</v>
      </c>
      <c r="E1385" s="170" t="s">
        <v>12</v>
      </c>
    </row>
    <row r="1386" spans="1:5">
      <c r="A1386" s="170" t="s">
        <v>6480</v>
      </c>
      <c r="B1386" s="170" t="s">
        <v>6481</v>
      </c>
      <c r="C1386" s="170"/>
      <c r="D1386" s="170" t="s">
        <v>11</v>
      </c>
      <c r="E1386" s="170" t="s">
        <v>12</v>
      </c>
    </row>
    <row r="1387" spans="1:5">
      <c r="A1387" s="170" t="s">
        <v>6482</v>
      </c>
      <c r="B1387" s="170" t="s">
        <v>6483</v>
      </c>
      <c r="C1387" s="170"/>
      <c r="D1387" s="170" t="s">
        <v>11</v>
      </c>
      <c r="E1387" s="170" t="s">
        <v>12</v>
      </c>
    </row>
    <row r="1388" spans="1:5">
      <c r="A1388" s="170" t="s">
        <v>6484</v>
      </c>
      <c r="B1388" s="170" t="s">
        <v>6485</v>
      </c>
      <c r="C1388" s="170"/>
      <c r="D1388" s="170" t="s">
        <v>11</v>
      </c>
      <c r="E1388" s="170" t="s">
        <v>12</v>
      </c>
    </row>
    <row r="1389" spans="1:5">
      <c r="A1389" s="170" t="s">
        <v>6486</v>
      </c>
      <c r="B1389" s="170" t="s">
        <v>6487</v>
      </c>
      <c r="C1389" s="170"/>
      <c r="D1389" s="170" t="s">
        <v>11</v>
      </c>
      <c r="E1389" s="170" t="s">
        <v>12</v>
      </c>
    </row>
    <row r="1390" spans="1:5">
      <c r="A1390" s="170" t="s">
        <v>6488</v>
      </c>
      <c r="B1390" s="170" t="s">
        <v>6489</v>
      </c>
      <c r="C1390" s="170"/>
      <c r="D1390" s="170" t="s">
        <v>11</v>
      </c>
      <c r="E1390" s="170" t="s">
        <v>12</v>
      </c>
    </row>
    <row r="1391" spans="1:5">
      <c r="A1391" s="170" t="s">
        <v>6490</v>
      </c>
      <c r="B1391" s="170" t="s">
        <v>6491</v>
      </c>
      <c r="C1391" s="170"/>
      <c r="D1391" s="170" t="s">
        <v>11</v>
      </c>
      <c r="E1391" s="170" t="s">
        <v>12</v>
      </c>
    </row>
    <row r="1392" spans="1:5">
      <c r="A1392" s="170" t="s">
        <v>6492</v>
      </c>
      <c r="B1392" s="170" t="s">
        <v>6493</v>
      </c>
      <c r="C1392" s="170"/>
      <c r="D1392" s="170" t="s">
        <v>11</v>
      </c>
      <c r="E1392" s="170" t="s">
        <v>12</v>
      </c>
    </row>
    <row r="1393" spans="1:5">
      <c r="A1393" s="170" t="s">
        <v>6494</v>
      </c>
      <c r="B1393" s="170" t="s">
        <v>6495</v>
      </c>
      <c r="C1393" s="170"/>
      <c r="D1393" s="170" t="s">
        <v>11</v>
      </c>
      <c r="E1393" s="170" t="s">
        <v>12</v>
      </c>
    </row>
    <row r="1394" spans="1:5">
      <c r="A1394" s="170" t="s">
        <v>6496</v>
      </c>
      <c r="B1394" s="170" t="s">
        <v>6497</v>
      </c>
      <c r="C1394" s="170"/>
      <c r="D1394" s="170" t="s">
        <v>11</v>
      </c>
      <c r="E1394" s="170" t="s">
        <v>12</v>
      </c>
    </row>
    <row r="1395" spans="1:5">
      <c r="A1395" s="170" t="s">
        <v>6498</v>
      </c>
      <c r="B1395" s="170" t="s">
        <v>6499</v>
      </c>
      <c r="C1395" s="170"/>
      <c r="D1395" s="170" t="s">
        <v>11</v>
      </c>
      <c r="E1395" s="170" t="s">
        <v>12</v>
      </c>
    </row>
    <row r="1396" spans="1:5">
      <c r="A1396" s="170" t="s">
        <v>6500</v>
      </c>
      <c r="B1396" s="170" t="s">
        <v>6501</v>
      </c>
      <c r="C1396" s="170"/>
      <c r="D1396" s="170" t="s">
        <v>11</v>
      </c>
      <c r="E1396" s="170" t="s">
        <v>12</v>
      </c>
    </row>
    <row r="1397" spans="1:5">
      <c r="A1397" s="170" t="s">
        <v>6502</v>
      </c>
      <c r="B1397" s="170" t="s">
        <v>6503</v>
      </c>
      <c r="C1397" s="170"/>
      <c r="D1397" s="170" t="s">
        <v>11</v>
      </c>
      <c r="E1397" s="170" t="s">
        <v>12</v>
      </c>
    </row>
    <row r="1398" spans="1:5">
      <c r="A1398" s="170" t="s">
        <v>6504</v>
      </c>
      <c r="B1398" s="170" t="s">
        <v>6505</v>
      </c>
      <c r="C1398" s="170"/>
      <c r="D1398" s="170" t="s">
        <v>11</v>
      </c>
      <c r="E1398" s="170" t="s">
        <v>12</v>
      </c>
    </row>
    <row r="1399" spans="1:5">
      <c r="A1399" s="170" t="s">
        <v>6506</v>
      </c>
      <c r="B1399" s="170" t="s">
        <v>6507</v>
      </c>
      <c r="C1399" s="170"/>
      <c r="D1399" s="170" t="s">
        <v>11</v>
      </c>
      <c r="E1399" s="170" t="s">
        <v>12</v>
      </c>
    </row>
    <row r="1400" spans="1:5">
      <c r="A1400" s="170" t="s">
        <v>6508</v>
      </c>
      <c r="B1400" s="170" t="s">
        <v>6509</v>
      </c>
      <c r="C1400" s="170"/>
      <c r="D1400" s="170" t="s">
        <v>11</v>
      </c>
      <c r="E1400" s="170" t="s">
        <v>12</v>
      </c>
    </row>
    <row r="1401" spans="1:5">
      <c r="A1401" s="170" t="s">
        <v>6510</v>
      </c>
      <c r="B1401" s="170" t="s">
        <v>6511</v>
      </c>
      <c r="C1401" s="170"/>
      <c r="D1401" s="170" t="s">
        <v>11</v>
      </c>
      <c r="E1401" s="170" t="s">
        <v>12</v>
      </c>
    </row>
    <row r="1402" spans="1:5">
      <c r="A1402" s="170" t="s">
        <v>6512</v>
      </c>
      <c r="B1402" s="170" t="s">
        <v>6513</v>
      </c>
      <c r="C1402" s="170"/>
      <c r="D1402" s="170" t="s">
        <v>11</v>
      </c>
      <c r="E1402" s="170" t="s">
        <v>12</v>
      </c>
    </row>
    <row r="1403" spans="1:5">
      <c r="A1403" s="170" t="s">
        <v>6514</v>
      </c>
      <c r="B1403" s="170" t="s">
        <v>6515</v>
      </c>
      <c r="C1403" s="170"/>
      <c r="D1403" s="170" t="s">
        <v>11</v>
      </c>
      <c r="E1403" s="170" t="s">
        <v>12</v>
      </c>
    </row>
    <row r="1404" spans="1:5">
      <c r="A1404" s="170" t="s">
        <v>6516</v>
      </c>
      <c r="B1404" s="170" t="s">
        <v>6517</v>
      </c>
      <c r="C1404" s="170"/>
      <c r="D1404" s="170" t="s">
        <v>11</v>
      </c>
      <c r="E1404" s="170" t="s">
        <v>12</v>
      </c>
    </row>
    <row r="1405" spans="1:5">
      <c r="A1405" s="170" t="s">
        <v>6518</v>
      </c>
      <c r="B1405" s="170" t="s">
        <v>6519</v>
      </c>
      <c r="C1405" s="257" t="s">
        <v>6520</v>
      </c>
      <c r="D1405" s="170" t="s">
        <v>11</v>
      </c>
      <c r="E1405" s="170" t="s">
        <v>12</v>
      </c>
    </row>
    <row r="1406" spans="1:5">
      <c r="A1406" s="170" t="s">
        <v>6521</v>
      </c>
      <c r="B1406" s="170" t="s">
        <v>6522</v>
      </c>
      <c r="C1406" s="170"/>
      <c r="D1406" s="170" t="s">
        <v>11</v>
      </c>
      <c r="E1406" s="170" t="s">
        <v>12</v>
      </c>
    </row>
    <row r="1407" spans="1:5">
      <c r="A1407" s="170" t="s">
        <v>6523</v>
      </c>
      <c r="B1407" s="170" t="s">
        <v>6524</v>
      </c>
      <c r="C1407" s="170"/>
      <c r="D1407" s="170" t="s">
        <v>11</v>
      </c>
      <c r="E1407" s="170" t="s">
        <v>12</v>
      </c>
    </row>
    <row r="1408" spans="1:5">
      <c r="A1408" s="170" t="s">
        <v>6525</v>
      </c>
      <c r="B1408" s="170" t="s">
        <v>6526</v>
      </c>
      <c r="C1408" s="257" t="s">
        <v>6527</v>
      </c>
      <c r="D1408" s="170" t="s">
        <v>11</v>
      </c>
      <c r="E1408" s="170" t="s">
        <v>12</v>
      </c>
    </row>
    <row r="1409" spans="1:5">
      <c r="A1409" s="170" t="s">
        <v>6528</v>
      </c>
      <c r="B1409" s="170" t="s">
        <v>6529</v>
      </c>
      <c r="C1409" s="170"/>
      <c r="D1409" s="170" t="s">
        <v>11</v>
      </c>
      <c r="E1409" s="170" t="s">
        <v>12</v>
      </c>
    </row>
    <row r="1410" spans="1:5">
      <c r="A1410" s="170" t="s">
        <v>6530</v>
      </c>
      <c r="B1410" s="170" t="s">
        <v>6531</v>
      </c>
      <c r="C1410" s="170"/>
      <c r="D1410" s="170" t="s">
        <v>11</v>
      </c>
      <c r="E1410" s="170" t="s">
        <v>12</v>
      </c>
    </row>
    <row r="1411" spans="1:5">
      <c r="A1411" s="170" t="s">
        <v>6532</v>
      </c>
      <c r="B1411" s="170" t="s">
        <v>6533</v>
      </c>
      <c r="C1411" s="257" t="s">
        <v>6534</v>
      </c>
      <c r="D1411" s="170" t="s">
        <v>11</v>
      </c>
      <c r="E1411" s="170" t="s">
        <v>12</v>
      </c>
    </row>
    <row r="1412" spans="1:5">
      <c r="A1412" s="170" t="s">
        <v>6535</v>
      </c>
      <c r="B1412" s="170" t="s">
        <v>6536</v>
      </c>
      <c r="C1412" s="170"/>
      <c r="D1412" s="170" t="s">
        <v>11</v>
      </c>
      <c r="E1412" s="170" t="s">
        <v>12</v>
      </c>
    </row>
    <row r="1413" spans="1:5">
      <c r="A1413" s="170" t="s">
        <v>6537</v>
      </c>
      <c r="B1413" s="170" t="s">
        <v>6538</v>
      </c>
      <c r="C1413" s="170"/>
      <c r="D1413" s="170" t="s">
        <v>11</v>
      </c>
      <c r="E1413" s="170" t="s">
        <v>12</v>
      </c>
    </row>
    <row r="1414" spans="1:5">
      <c r="A1414" s="170" t="s">
        <v>6539</v>
      </c>
      <c r="B1414" s="170" t="s">
        <v>6540</v>
      </c>
      <c r="C1414" s="257" t="s">
        <v>6541</v>
      </c>
      <c r="D1414" s="170" t="s">
        <v>11</v>
      </c>
      <c r="E1414" s="170" t="s">
        <v>12</v>
      </c>
    </row>
    <row r="1415" spans="1:5">
      <c r="A1415" s="170" t="s">
        <v>6542</v>
      </c>
      <c r="B1415" s="170" t="s">
        <v>6543</v>
      </c>
      <c r="C1415" s="170"/>
      <c r="D1415" s="170" t="s">
        <v>11</v>
      </c>
      <c r="E1415" s="170" t="s">
        <v>12</v>
      </c>
    </row>
    <row r="1416" spans="1:5">
      <c r="A1416" s="170" t="s">
        <v>6544</v>
      </c>
      <c r="B1416" s="170" t="s">
        <v>6545</v>
      </c>
      <c r="C1416" s="170"/>
      <c r="D1416" s="170" t="s">
        <v>11</v>
      </c>
      <c r="E1416" s="170" t="s">
        <v>12</v>
      </c>
    </row>
    <row r="1417" spans="1:5">
      <c r="A1417" s="170" t="s">
        <v>6546</v>
      </c>
      <c r="B1417" s="170" t="s">
        <v>6547</v>
      </c>
      <c r="C1417" s="257" t="s">
        <v>6548</v>
      </c>
      <c r="D1417" s="170" t="s">
        <v>11</v>
      </c>
      <c r="E1417" s="170" t="s">
        <v>12</v>
      </c>
    </row>
    <row r="1418" spans="1:5">
      <c r="A1418" s="170" t="s">
        <v>6549</v>
      </c>
      <c r="B1418" s="170" t="s">
        <v>6550</v>
      </c>
      <c r="C1418" s="170"/>
      <c r="D1418" s="170" t="s">
        <v>11</v>
      </c>
      <c r="E1418" s="170" t="s">
        <v>12</v>
      </c>
    </row>
    <row r="1419" spans="1:5">
      <c r="A1419" s="170" t="s">
        <v>6551</v>
      </c>
      <c r="B1419" s="170" t="s">
        <v>6552</v>
      </c>
      <c r="C1419" s="170"/>
      <c r="D1419" s="170" t="s">
        <v>11</v>
      </c>
      <c r="E1419" s="170" t="s">
        <v>12</v>
      </c>
    </row>
    <row r="1420" spans="1:5">
      <c r="A1420" s="170" t="s">
        <v>6553</v>
      </c>
      <c r="B1420" s="170" t="s">
        <v>6554</v>
      </c>
      <c r="C1420" s="178" t="s">
        <v>10</v>
      </c>
      <c r="D1420" s="170" t="s">
        <v>11</v>
      </c>
      <c r="E1420" s="170" t="s">
        <v>12</v>
      </c>
    </row>
    <row r="1421" spans="1:5">
      <c r="A1421" s="170" t="s">
        <v>6555</v>
      </c>
      <c r="B1421" s="170" t="s">
        <v>6556</v>
      </c>
      <c r="C1421" s="178" t="s">
        <v>10</v>
      </c>
      <c r="D1421" s="170" t="s">
        <v>11</v>
      </c>
      <c r="E1421" s="170" t="s">
        <v>12</v>
      </c>
    </row>
    <row r="1422" spans="1:5">
      <c r="A1422" s="170" t="s">
        <v>6557</v>
      </c>
      <c r="B1422" s="170" t="s">
        <v>6558</v>
      </c>
      <c r="C1422" s="178" t="s">
        <v>10</v>
      </c>
      <c r="D1422" s="170" t="s">
        <v>11</v>
      </c>
      <c r="E1422" s="170" t="s">
        <v>12</v>
      </c>
    </row>
    <row r="1423" spans="1:5">
      <c r="A1423" s="170" t="s">
        <v>6559</v>
      </c>
      <c r="B1423" s="170" t="s">
        <v>6560</v>
      </c>
      <c r="C1423" s="178" t="s">
        <v>10</v>
      </c>
      <c r="D1423" s="170" t="s">
        <v>11</v>
      </c>
      <c r="E1423" s="170" t="s">
        <v>12</v>
      </c>
    </row>
    <row r="1424" spans="1:5">
      <c r="A1424" s="170" t="s">
        <v>6561</v>
      </c>
      <c r="B1424" s="170" t="s">
        <v>6562</v>
      </c>
      <c r="C1424" s="178" t="s">
        <v>10</v>
      </c>
      <c r="D1424" s="170" t="s">
        <v>11</v>
      </c>
      <c r="E1424" s="170" t="s">
        <v>12</v>
      </c>
    </row>
    <row r="1425" spans="1:5">
      <c r="A1425" s="170" t="s">
        <v>6563</v>
      </c>
      <c r="B1425" s="170" t="s">
        <v>6564</v>
      </c>
      <c r="C1425" s="178" t="s">
        <v>10</v>
      </c>
      <c r="D1425" s="170" t="s">
        <v>11</v>
      </c>
      <c r="E1425" s="170" t="s">
        <v>12</v>
      </c>
    </row>
  </sheetData>
  <autoFilter xmlns:etc="http://www.wps.cn/officeDocument/2017/etCustomData" ref="A1:L1425" etc:filterBottomFollowUsedRange="0">
    <extLst/>
  </autoFilter>
  <conditionalFormatting sqref="C445">
    <cfRule type="duplicateValues" dxfId="0" priority="1938"/>
  </conditionalFormatting>
  <conditionalFormatting sqref="C446">
    <cfRule type="duplicateValues" dxfId="0" priority="1939"/>
  </conditionalFormatting>
  <conditionalFormatting sqref="C448">
    <cfRule type="duplicateValues" dxfId="0" priority="1940"/>
  </conditionalFormatting>
  <conditionalFormatting sqref="C449">
    <cfRule type="duplicateValues" dxfId="0" priority="1941"/>
  </conditionalFormatting>
  <conditionalFormatting sqref="C455">
    <cfRule type="duplicateValues" dxfId="0" priority="1942"/>
  </conditionalFormatting>
  <conditionalFormatting sqref="C457">
    <cfRule type="duplicateValues" dxfId="0" priority="1943"/>
  </conditionalFormatting>
  <conditionalFormatting sqref="C458">
    <cfRule type="duplicateValues" dxfId="0" priority="1944"/>
  </conditionalFormatting>
  <conditionalFormatting sqref="C460">
    <cfRule type="duplicateValues" dxfId="0" priority="1945"/>
  </conditionalFormatting>
  <conditionalFormatting sqref="C461">
    <cfRule type="duplicateValues" dxfId="0" priority="1946"/>
  </conditionalFormatting>
  <conditionalFormatting sqref="C526">
    <cfRule type="duplicateValues" dxfId="0" priority="1947"/>
  </conditionalFormatting>
  <conditionalFormatting sqref="C871">
    <cfRule type="duplicateValues" dxfId="0" priority="1948"/>
  </conditionalFormatting>
  <conditionalFormatting sqref="C904">
    <cfRule type="duplicateValues" dxfId="0" priority="1949"/>
    <cfRule type="duplicateValues" dxfId="0" priority="1950"/>
    <cfRule type="duplicateValues" dxfId="0" priority="1951"/>
    <cfRule type="duplicateValues" dxfId="0" priority="1952"/>
  </conditionalFormatting>
  <conditionalFormatting sqref="C907">
    <cfRule type="duplicateValues" dxfId="0" priority="1953"/>
    <cfRule type="duplicateValues" dxfId="0" priority="1954"/>
    <cfRule type="duplicateValues" dxfId="0" priority="1955"/>
    <cfRule type="duplicateValues" dxfId="0" priority="1956"/>
  </conditionalFormatting>
  <conditionalFormatting sqref="C937">
    <cfRule type="duplicateValues" dxfId="0" priority="1957"/>
  </conditionalFormatting>
  <conditionalFormatting sqref="C952">
    <cfRule type="duplicateValues" dxfId="0" priority="1958"/>
    <cfRule type="duplicateValues" dxfId="0" priority="1959"/>
    <cfRule type="duplicateValues" dxfId="0" priority="1960"/>
    <cfRule type="duplicateValues" dxfId="0" priority="1961"/>
  </conditionalFormatting>
  <conditionalFormatting sqref="C953">
    <cfRule type="duplicateValues" dxfId="0" priority="1962"/>
    <cfRule type="duplicateValues" dxfId="0" priority="1963"/>
    <cfRule type="duplicateValues" dxfId="0" priority="1964"/>
    <cfRule type="duplicateValues" dxfId="0" priority="1965"/>
  </conditionalFormatting>
  <conditionalFormatting sqref="C955">
    <cfRule type="duplicateValues" dxfId="0" priority="1966"/>
    <cfRule type="duplicateValues" dxfId="0" priority="1967"/>
    <cfRule type="duplicateValues" dxfId="0" priority="1968"/>
    <cfRule type="duplicateValues" dxfId="0" priority="1969"/>
  </conditionalFormatting>
  <conditionalFormatting sqref="C957">
    <cfRule type="duplicateValues" dxfId="0" priority="1970"/>
    <cfRule type="duplicateValues" dxfId="0" priority="1971"/>
    <cfRule type="duplicateValues" dxfId="0" priority="1972"/>
    <cfRule type="duplicateValues" dxfId="0" priority="1973"/>
  </conditionalFormatting>
  <conditionalFormatting sqref="C958">
    <cfRule type="duplicateValues" dxfId="0" priority="1974"/>
    <cfRule type="duplicateValues" dxfId="0" priority="1975"/>
    <cfRule type="duplicateValues" dxfId="0" priority="1976"/>
    <cfRule type="duplicateValues" dxfId="0" priority="1977"/>
  </conditionalFormatting>
  <conditionalFormatting sqref="C959">
    <cfRule type="duplicateValues" dxfId="0" priority="1978"/>
    <cfRule type="duplicateValues" dxfId="0" priority="1979"/>
    <cfRule type="duplicateValues" dxfId="0" priority="1980"/>
    <cfRule type="duplicateValues" dxfId="0" priority="1981"/>
  </conditionalFormatting>
  <conditionalFormatting sqref="C961">
    <cfRule type="duplicateValues" dxfId="0" priority="1982"/>
    <cfRule type="duplicateValues" dxfId="0" priority="1983"/>
    <cfRule type="duplicateValues" dxfId="0" priority="1984"/>
    <cfRule type="duplicateValues" dxfId="0" priority="1985"/>
  </conditionalFormatting>
  <conditionalFormatting sqref="C964">
    <cfRule type="duplicateValues" dxfId="0" priority="1986"/>
    <cfRule type="duplicateValues" dxfId="0" priority="1987"/>
    <cfRule type="duplicateValues" dxfId="0" priority="1988"/>
    <cfRule type="duplicateValues" dxfId="0" priority="1989"/>
  </conditionalFormatting>
  <conditionalFormatting sqref="C967">
    <cfRule type="duplicateValues" dxfId="0" priority="1990"/>
    <cfRule type="duplicateValues" dxfId="0" priority="1991"/>
    <cfRule type="duplicateValues" dxfId="0" priority="1992"/>
    <cfRule type="duplicateValues" dxfId="0" priority="1993"/>
  </conditionalFormatting>
  <conditionalFormatting sqref="C970">
    <cfRule type="duplicateValues" dxfId="0" priority="1994"/>
    <cfRule type="duplicateValues" dxfId="0" priority="1995"/>
    <cfRule type="duplicateValues" dxfId="0" priority="1996"/>
    <cfRule type="duplicateValues" dxfId="0" priority="1997"/>
  </conditionalFormatting>
  <conditionalFormatting sqref="C976">
    <cfRule type="duplicateValues" dxfId="0" priority="1998"/>
    <cfRule type="duplicateValues" dxfId="0" priority="1999"/>
    <cfRule type="duplicateValues" dxfId="0" priority="2000"/>
    <cfRule type="duplicateValues" dxfId="0" priority="2001"/>
  </conditionalFormatting>
  <conditionalFormatting sqref="C979">
    <cfRule type="duplicateValues" dxfId="0" priority="2002"/>
    <cfRule type="duplicateValues" dxfId="0" priority="2003"/>
    <cfRule type="duplicateValues" dxfId="0" priority="2004"/>
    <cfRule type="duplicateValues" dxfId="0" priority="2005"/>
  </conditionalFormatting>
  <conditionalFormatting sqref="C980">
    <cfRule type="duplicateValues" dxfId="0" priority="2006"/>
    <cfRule type="duplicateValues" dxfId="0" priority="2007"/>
    <cfRule type="duplicateValues" dxfId="0" priority="2008"/>
    <cfRule type="duplicateValues" dxfId="0" priority="2009"/>
  </conditionalFormatting>
  <conditionalFormatting sqref="C982">
    <cfRule type="duplicateValues" dxfId="0" priority="2010"/>
    <cfRule type="duplicateValues" dxfId="0" priority="2011"/>
    <cfRule type="duplicateValues" dxfId="0" priority="2012"/>
    <cfRule type="duplicateValues" dxfId="0" priority="2013"/>
  </conditionalFormatting>
  <conditionalFormatting sqref="C983">
    <cfRule type="duplicateValues" dxfId="0" priority="2014"/>
    <cfRule type="duplicateValues" dxfId="0" priority="2015"/>
    <cfRule type="duplicateValues" dxfId="0" priority="2016"/>
    <cfRule type="duplicateValues" dxfId="0" priority="2017"/>
  </conditionalFormatting>
  <conditionalFormatting sqref="D3:D43">
    <cfRule type="cellIs" dxfId="3" priority="92" operator="equal">
      <formula>0</formula>
    </cfRule>
    <cfRule type="cellIs" dxfId="4" priority="93" operator="equal">
      <formula>1</formula>
    </cfRule>
    <cfRule type="cellIs" dxfId="5" priority="94" operator="equal">
      <formula>2</formula>
    </cfRule>
  </conditionalFormatting>
  <conditionalFormatting sqref="E2:E42 C3:C43">
    <cfRule type="cellIs" dxfId="9" priority="89" operator="equal">
      <formula>1</formula>
    </cfRule>
    <cfRule type="cellIs" dxfId="10" priority="90" operator="equal">
      <formula>2</formula>
    </cfRule>
    <cfRule type="cellIs" dxfId="11" priority="91" operator="equal">
      <formula>3</formula>
    </cfRule>
  </conditionalFormatting>
  <conditionalFormatting sqref="D3:E43">
    <cfRule type="cellIs" dxfId="6" priority="87" operator="equal">
      <formula>"global1"</formula>
    </cfRule>
    <cfRule type="cellIs" dxfId="7" priority="88" operator="equal">
      <formula>"#N/A"</formula>
    </cfRule>
  </conditionalFormatting>
  <conditionalFormatting sqref="C4:D43">
    <cfRule type="cellIs" dxfId="8" priority="95" operator="equal">
      <formula>4</formula>
    </cfRule>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529"/>
  <sheetViews>
    <sheetView tabSelected="1" zoomScale="115" zoomScaleNormal="115" workbookViewId="0">
      <pane ySplit="2" topLeftCell="A3" activePane="bottomLeft" state="frozen"/>
      <selection/>
      <selection pane="bottomLeft" activeCell="C529" sqref="C3:C529"/>
    </sheetView>
  </sheetViews>
  <sheetFormatPr defaultColWidth="9" defaultRowHeight="14.5"/>
  <cols>
    <col min="1" max="1" width="30.8545454545455" customWidth="1"/>
    <col min="2" max="2" width="14" customWidth="1"/>
    <col min="3" max="3" width="11.5454545454545" customWidth="1"/>
    <col min="4" max="4" width="17.4272727272727" customWidth="1"/>
    <col min="5" max="5" width="29.7090909090909" customWidth="1"/>
    <col min="6" max="6" width="13.1363636363636" customWidth="1"/>
    <col min="8" max="8" width="11.7090909090909" customWidth="1"/>
    <col min="9" max="9" width="26" style="35" customWidth="1"/>
    <col min="10" max="10" width="26.1363636363636" style="35" customWidth="1"/>
    <col min="11" max="11" width="10.8545454545455" customWidth="1"/>
  </cols>
  <sheetData>
    <row r="1" spans="7:11">
      <c r="G1" s="171" t="s">
        <v>5</v>
      </c>
      <c r="H1" s="172"/>
      <c r="I1" s="184"/>
      <c r="J1" s="185" t="s">
        <v>6</v>
      </c>
      <c r="K1" s="182" t="s">
        <v>7</v>
      </c>
    </row>
    <row r="2" ht="15.5" spans="1:11">
      <c r="A2" s="173" t="s">
        <v>0</v>
      </c>
      <c r="B2" s="174" t="s">
        <v>1</v>
      </c>
      <c r="C2" s="173" t="s">
        <v>2</v>
      </c>
      <c r="D2" s="173" t="s">
        <v>6</v>
      </c>
      <c r="E2" s="173" t="s">
        <v>6625</v>
      </c>
      <c r="G2" s="175" t="s">
        <v>41</v>
      </c>
      <c r="H2" s="176" t="s">
        <v>42</v>
      </c>
      <c r="I2" s="186" t="s">
        <v>43</v>
      </c>
      <c r="J2" s="187" t="s">
        <v>44</v>
      </c>
      <c r="K2" s="188">
        <v>893</v>
      </c>
    </row>
    <row r="3" spans="1:11">
      <c r="A3" s="170" t="s">
        <v>36</v>
      </c>
      <c r="B3" s="170"/>
      <c r="C3" s="177">
        <v>99901</v>
      </c>
      <c r="D3" s="178" t="s">
        <v>2612</v>
      </c>
      <c r="E3" s="178" t="s">
        <v>6626</v>
      </c>
      <c r="G3" s="175" t="s">
        <v>60</v>
      </c>
      <c r="H3" s="176" t="s">
        <v>61</v>
      </c>
      <c r="I3" s="186" t="s">
        <v>49</v>
      </c>
      <c r="J3" s="187"/>
      <c r="K3" s="188"/>
    </row>
    <row r="4" spans="1:11">
      <c r="A4" s="170" t="s">
        <v>55</v>
      </c>
      <c r="B4" s="170"/>
      <c r="C4" s="177">
        <v>99903</v>
      </c>
      <c r="D4" s="178" t="s">
        <v>2995</v>
      </c>
      <c r="E4" s="178" t="s">
        <v>6627</v>
      </c>
      <c r="G4" s="175" t="s">
        <v>73</v>
      </c>
      <c r="H4" s="176" t="s">
        <v>74</v>
      </c>
      <c r="I4" s="186" t="s">
        <v>54</v>
      </c>
      <c r="J4" s="187"/>
      <c r="K4" s="188"/>
    </row>
    <row r="5" spans="1:11">
      <c r="A5" s="170" t="s">
        <v>68</v>
      </c>
      <c r="B5" s="170"/>
      <c r="C5" s="177">
        <v>99905</v>
      </c>
      <c r="D5" s="178" t="s">
        <v>6612</v>
      </c>
      <c r="E5" s="178" t="s">
        <v>6628</v>
      </c>
      <c r="G5" s="175" t="s">
        <v>87</v>
      </c>
      <c r="H5" s="176" t="s">
        <v>88</v>
      </c>
      <c r="I5" s="186" t="s">
        <v>89</v>
      </c>
      <c r="J5" s="187"/>
      <c r="K5" s="188"/>
    </row>
    <row r="6" spans="1:11">
      <c r="A6" s="170" t="s">
        <v>82</v>
      </c>
      <c r="B6" s="170"/>
      <c r="C6" s="177">
        <v>99907</v>
      </c>
      <c r="D6" s="178" t="s">
        <v>5456</v>
      </c>
      <c r="E6" s="178" t="s">
        <v>6629</v>
      </c>
      <c r="G6" s="175" t="s">
        <v>102</v>
      </c>
      <c r="H6" s="176" t="s">
        <v>103</v>
      </c>
      <c r="I6" s="186" t="s">
        <v>104</v>
      </c>
      <c r="J6" s="187"/>
      <c r="K6" s="188"/>
    </row>
    <row r="7" spans="1:11">
      <c r="A7" s="170" t="s">
        <v>97</v>
      </c>
      <c r="B7" s="170"/>
      <c r="C7" s="177">
        <v>99909</v>
      </c>
      <c r="D7" s="179" t="s">
        <v>4263</v>
      </c>
      <c r="E7" s="178" t="s">
        <v>6630</v>
      </c>
      <c r="G7" s="180" t="s">
        <v>3577</v>
      </c>
      <c r="H7" s="181" t="s">
        <v>3578</v>
      </c>
      <c r="I7" s="188" t="s">
        <v>3579</v>
      </c>
      <c r="J7" s="189" t="s">
        <v>3580</v>
      </c>
      <c r="K7" s="182">
        <v>246</v>
      </c>
    </row>
    <row r="8" spans="1:11">
      <c r="A8" s="170" t="s">
        <v>111</v>
      </c>
      <c r="B8" s="170"/>
      <c r="C8" s="177">
        <v>99911</v>
      </c>
      <c r="D8" s="179" t="s">
        <v>4195</v>
      </c>
      <c r="E8" s="178" t="s">
        <v>6631</v>
      </c>
      <c r="G8" s="180" t="s">
        <v>3587</v>
      </c>
      <c r="H8" s="181" t="s">
        <v>3588</v>
      </c>
      <c r="I8" s="188" t="s">
        <v>3997</v>
      </c>
      <c r="J8" s="189" t="s">
        <v>3590</v>
      </c>
      <c r="K8" s="182">
        <v>600</v>
      </c>
    </row>
    <row r="9" spans="1:11">
      <c r="A9" s="170" t="s">
        <v>124</v>
      </c>
      <c r="B9" s="170"/>
      <c r="C9" s="177">
        <v>99913</v>
      </c>
      <c r="D9" s="179" t="s">
        <v>1135</v>
      </c>
      <c r="E9" s="178" t="s">
        <v>6632</v>
      </c>
      <c r="G9" s="180" t="s">
        <v>3597</v>
      </c>
      <c r="H9" s="181" t="s">
        <v>3598</v>
      </c>
      <c r="I9" s="188" t="s">
        <v>3599</v>
      </c>
      <c r="J9" s="189" t="s">
        <v>3600</v>
      </c>
      <c r="K9" s="182">
        <v>628</v>
      </c>
    </row>
    <row r="10" spans="1:11">
      <c r="A10" s="170" t="s">
        <v>137</v>
      </c>
      <c r="B10" s="170"/>
      <c r="C10" s="177">
        <v>99914</v>
      </c>
      <c r="D10" s="179" t="s">
        <v>3711</v>
      </c>
      <c r="E10" s="178" t="s">
        <v>6633</v>
      </c>
      <c r="G10" s="180" t="s">
        <v>3606</v>
      </c>
      <c r="H10" s="182" t="s">
        <v>3607</v>
      </c>
      <c r="I10" s="188" t="s">
        <v>3608</v>
      </c>
      <c r="J10" s="189" t="s">
        <v>3609</v>
      </c>
      <c r="K10" s="182">
        <v>1094</v>
      </c>
    </row>
    <row r="11" spans="1:11">
      <c r="A11" s="170" t="s">
        <v>150</v>
      </c>
      <c r="B11" s="170"/>
      <c r="C11" s="177">
        <v>99915</v>
      </c>
      <c r="D11" s="179" t="s">
        <v>3715</v>
      </c>
      <c r="E11" s="178" t="s">
        <v>6634</v>
      </c>
      <c r="G11" s="180" t="s">
        <v>3615</v>
      </c>
      <c r="H11" s="182" t="s">
        <v>3616</v>
      </c>
      <c r="I11" s="188" t="s">
        <v>3617</v>
      </c>
      <c r="J11" s="190" t="s">
        <v>3618</v>
      </c>
      <c r="K11" s="182">
        <v>1058</v>
      </c>
    </row>
    <row r="12" spans="1:11">
      <c r="A12" s="170" t="s">
        <v>162</v>
      </c>
      <c r="B12" s="170"/>
      <c r="C12" s="177">
        <v>99917</v>
      </c>
      <c r="D12" s="178" t="s">
        <v>5857</v>
      </c>
      <c r="E12" s="178" t="s">
        <v>6635</v>
      </c>
      <c r="G12" s="180" t="s">
        <v>4176</v>
      </c>
      <c r="H12" s="182"/>
      <c r="I12" s="188" t="s">
        <v>6636</v>
      </c>
      <c r="J12" s="190"/>
      <c r="K12" s="182"/>
    </row>
    <row r="13" spans="1:11">
      <c r="A13" s="170" t="s">
        <v>172</v>
      </c>
      <c r="B13" s="170"/>
      <c r="C13" s="177">
        <v>99919</v>
      </c>
      <c r="D13" s="178" t="s">
        <v>6637</v>
      </c>
      <c r="E13" s="178" t="s">
        <v>6638</v>
      </c>
      <c r="G13" s="180" t="s">
        <v>4158</v>
      </c>
      <c r="H13" s="182"/>
      <c r="I13" s="188" t="s">
        <v>3250</v>
      </c>
      <c r="J13" s="190"/>
      <c r="K13" s="182"/>
    </row>
    <row r="14" spans="1:11">
      <c r="A14" s="170" t="s">
        <v>184</v>
      </c>
      <c r="B14" s="170"/>
      <c r="C14" s="177">
        <v>99920</v>
      </c>
      <c r="D14" s="178" t="s">
        <v>638</v>
      </c>
      <c r="E14" s="178" t="s">
        <v>6639</v>
      </c>
      <c r="G14" s="183" t="s">
        <v>4121</v>
      </c>
      <c r="H14" s="182"/>
      <c r="I14" s="188" t="s">
        <v>6640</v>
      </c>
      <c r="J14" s="190"/>
      <c r="K14" s="182"/>
    </row>
    <row r="15" spans="1:11">
      <c r="A15" s="170" t="s">
        <v>196</v>
      </c>
      <c r="B15" s="170"/>
      <c r="C15" s="177">
        <v>99918</v>
      </c>
      <c r="D15" s="178" t="s">
        <v>5177</v>
      </c>
      <c r="E15" s="178" t="s">
        <v>1297</v>
      </c>
      <c r="G15" s="180"/>
      <c r="H15" s="182"/>
      <c r="I15" s="191"/>
      <c r="J15" s="190"/>
      <c r="K15" s="182"/>
    </row>
    <row r="16" spans="1:11">
      <c r="A16" s="170" t="s">
        <v>209</v>
      </c>
      <c r="B16" s="170"/>
      <c r="C16" s="177">
        <v>99916</v>
      </c>
      <c r="D16" s="178" t="s">
        <v>1542</v>
      </c>
      <c r="E16" s="178" t="s">
        <v>6641</v>
      </c>
      <c r="G16" s="180"/>
      <c r="H16" s="182"/>
      <c r="I16" s="188"/>
      <c r="J16" s="190"/>
      <c r="K16" s="182"/>
    </row>
    <row r="17" spans="1:5">
      <c r="A17" s="170" t="s">
        <v>222</v>
      </c>
      <c r="B17" s="170"/>
      <c r="C17" s="177">
        <v>99912</v>
      </c>
      <c r="D17" s="178" t="s">
        <v>3020</v>
      </c>
      <c r="E17" s="178" t="s">
        <v>6642</v>
      </c>
    </row>
    <row r="18" spans="1:5">
      <c r="A18" s="170" t="s">
        <v>235</v>
      </c>
      <c r="B18" s="170"/>
      <c r="C18" s="177">
        <v>99910</v>
      </c>
      <c r="D18" s="178" t="s">
        <v>4904</v>
      </c>
      <c r="E18" s="178" t="s">
        <v>6643</v>
      </c>
    </row>
    <row r="19" spans="1:5">
      <c r="A19" s="170" t="s">
        <v>247</v>
      </c>
      <c r="B19" s="170"/>
      <c r="C19" s="177">
        <v>99908</v>
      </c>
      <c r="D19" s="178" t="s">
        <v>5794</v>
      </c>
      <c r="E19" s="178" t="s">
        <v>6644</v>
      </c>
    </row>
    <row r="20" spans="1:5">
      <c r="A20" s="170" t="s">
        <v>258</v>
      </c>
      <c r="B20" s="170"/>
      <c r="C20" s="177">
        <v>99906</v>
      </c>
      <c r="D20" s="178" t="s">
        <v>1562</v>
      </c>
      <c r="E20" s="178" t="s">
        <v>6645</v>
      </c>
    </row>
    <row r="21" spans="1:5">
      <c r="A21" s="170" t="s">
        <v>271</v>
      </c>
      <c r="B21" s="170"/>
      <c r="C21" s="177">
        <v>99904</v>
      </c>
      <c r="D21" s="178" t="s">
        <v>4120</v>
      </c>
      <c r="E21" s="178" t="s">
        <v>6646</v>
      </c>
    </row>
    <row r="22" spans="1:5">
      <c r="A22" s="170" t="s">
        <v>284</v>
      </c>
      <c r="B22" s="170"/>
      <c r="C22" s="177">
        <v>99902</v>
      </c>
      <c r="D22" s="178" t="s">
        <v>4091</v>
      </c>
      <c r="E22" s="178" t="s">
        <v>6647</v>
      </c>
    </row>
    <row r="23" spans="1:5">
      <c r="A23" s="170" t="s">
        <v>326</v>
      </c>
      <c r="B23" s="170"/>
      <c r="C23" s="177">
        <v>99921</v>
      </c>
      <c r="D23" s="178" t="s">
        <v>5788</v>
      </c>
      <c r="E23" s="178" t="s">
        <v>6648</v>
      </c>
    </row>
    <row r="24" spans="1:5">
      <c r="A24" s="170" t="s">
        <v>342</v>
      </c>
      <c r="B24" s="170"/>
      <c r="C24" s="177">
        <v>99923</v>
      </c>
      <c r="D24" s="178" t="s">
        <v>1452</v>
      </c>
      <c r="E24" s="178" t="s">
        <v>6649</v>
      </c>
    </row>
    <row r="25" spans="1:5">
      <c r="A25" s="170" t="s">
        <v>357</v>
      </c>
      <c r="B25" s="170"/>
      <c r="C25" s="177">
        <v>99932</v>
      </c>
      <c r="D25" s="178" t="s">
        <v>3483</v>
      </c>
      <c r="E25" s="178" t="s">
        <v>4994</v>
      </c>
    </row>
    <row r="26" spans="1:5">
      <c r="A26" s="170" t="s">
        <v>363</v>
      </c>
      <c r="B26" s="170"/>
      <c r="C26" s="177">
        <v>99933</v>
      </c>
      <c r="D26" s="178" t="s">
        <v>6650</v>
      </c>
      <c r="E26" s="178" t="s">
        <v>1048</v>
      </c>
    </row>
    <row r="27" spans="1:5">
      <c r="A27" s="170" t="s">
        <v>375</v>
      </c>
      <c r="B27" s="170"/>
      <c r="C27" s="177">
        <v>99936</v>
      </c>
      <c r="D27" s="178" t="s">
        <v>3365</v>
      </c>
      <c r="E27" s="178" t="s">
        <v>6651</v>
      </c>
    </row>
    <row r="28" spans="1:5">
      <c r="A28" s="170" t="s">
        <v>382</v>
      </c>
      <c r="B28" s="170"/>
      <c r="C28" s="177">
        <v>99937</v>
      </c>
      <c r="D28" s="178" t="s">
        <v>3690</v>
      </c>
      <c r="E28" s="178" t="s">
        <v>6652</v>
      </c>
    </row>
    <row r="29" spans="1:5">
      <c r="A29" s="170" t="s">
        <v>591</v>
      </c>
      <c r="B29" s="170"/>
      <c r="C29" s="177">
        <v>99934</v>
      </c>
      <c r="D29" s="178" t="s">
        <v>1442</v>
      </c>
      <c r="E29" s="178" t="s">
        <v>6653</v>
      </c>
    </row>
    <row r="30" spans="1:5">
      <c r="A30" s="170" t="s">
        <v>597</v>
      </c>
      <c r="B30" s="170"/>
      <c r="C30" s="177">
        <v>99935</v>
      </c>
      <c r="D30" s="179" t="s">
        <v>539</v>
      </c>
      <c r="E30" s="178" t="s">
        <v>6654</v>
      </c>
    </row>
    <row r="31" spans="1:5">
      <c r="A31" s="170" t="s">
        <v>608</v>
      </c>
      <c r="B31" s="170"/>
      <c r="C31" s="177">
        <v>99930</v>
      </c>
      <c r="D31" s="179" t="s">
        <v>5611</v>
      </c>
      <c r="E31" s="178" t="s">
        <v>6655</v>
      </c>
    </row>
    <row r="32" spans="1:5">
      <c r="A32" s="170" t="s">
        <v>614</v>
      </c>
      <c r="B32" s="170"/>
      <c r="C32" s="177">
        <v>99931</v>
      </c>
      <c r="D32" s="179" t="s">
        <v>362</v>
      </c>
      <c r="E32" s="178" t="s">
        <v>6656</v>
      </c>
    </row>
    <row r="33" spans="1:5">
      <c r="A33" s="170" t="s">
        <v>624</v>
      </c>
      <c r="B33" s="170"/>
      <c r="C33" s="177">
        <v>99922</v>
      </c>
      <c r="D33" s="179" t="s">
        <v>2755</v>
      </c>
      <c r="E33" s="178" t="s">
        <v>6657</v>
      </c>
    </row>
    <row r="34" spans="1:5">
      <c r="A34" s="170" t="s">
        <v>696</v>
      </c>
      <c r="B34" s="170"/>
      <c r="C34" s="177">
        <v>10002</v>
      </c>
      <c r="D34" s="179" t="s">
        <v>3645</v>
      </c>
      <c r="E34" s="178" t="s">
        <v>2755</v>
      </c>
    </row>
    <row r="35" spans="1:5">
      <c r="A35" s="170" t="s">
        <v>710</v>
      </c>
      <c r="B35" s="170"/>
      <c r="C35" s="177">
        <v>12101</v>
      </c>
      <c r="D35" s="179" t="s">
        <v>1357</v>
      </c>
      <c r="E35" s="178" t="s">
        <v>6658</v>
      </c>
    </row>
    <row r="36" spans="1:5">
      <c r="A36" s="170" t="s">
        <v>716</v>
      </c>
      <c r="B36" s="170"/>
      <c r="C36" s="177">
        <v>12102</v>
      </c>
      <c r="D36" s="179" t="s">
        <v>2880</v>
      </c>
      <c r="E36" s="178" t="s">
        <v>6659</v>
      </c>
    </row>
    <row r="37" spans="1:5">
      <c r="A37" s="170" t="s">
        <v>728</v>
      </c>
      <c r="B37" s="170"/>
      <c r="C37" s="177">
        <v>12201</v>
      </c>
      <c r="D37" s="178" t="s">
        <v>4544</v>
      </c>
      <c r="E37" s="178" t="s">
        <v>6660</v>
      </c>
    </row>
    <row r="38" spans="1:5">
      <c r="A38" s="170" t="s">
        <v>733</v>
      </c>
      <c r="B38" s="170"/>
      <c r="C38" s="177">
        <v>12202</v>
      </c>
      <c r="D38" s="178" t="s">
        <v>2085</v>
      </c>
      <c r="E38" s="178" t="s">
        <v>6661</v>
      </c>
    </row>
    <row r="39" spans="1:5">
      <c r="A39" s="170" t="s">
        <v>744</v>
      </c>
      <c r="B39" s="170"/>
      <c r="C39" s="177">
        <v>12107</v>
      </c>
      <c r="D39" s="178" t="s">
        <v>3010</v>
      </c>
      <c r="E39" s="178" t="s">
        <v>6662</v>
      </c>
    </row>
    <row r="40" spans="1:5">
      <c r="A40" s="170" t="s">
        <v>749</v>
      </c>
      <c r="B40" s="170"/>
      <c r="C40" s="177">
        <v>12108</v>
      </c>
      <c r="D40" s="178" t="s">
        <v>933</v>
      </c>
      <c r="E40" s="178" t="s">
        <v>6663</v>
      </c>
    </row>
    <row r="41" spans="1:5">
      <c r="A41" s="170" t="s">
        <v>760</v>
      </c>
      <c r="B41" s="170"/>
      <c r="C41" s="177">
        <v>12109</v>
      </c>
      <c r="D41" s="178" t="s">
        <v>4249</v>
      </c>
      <c r="E41" s="178" t="s">
        <v>6664</v>
      </c>
    </row>
    <row r="42" spans="1:5">
      <c r="A42" s="170" t="s">
        <v>766</v>
      </c>
      <c r="B42" s="170"/>
      <c r="C42" s="177">
        <v>12110</v>
      </c>
      <c r="D42" s="178" t="s">
        <v>4861</v>
      </c>
      <c r="E42" s="178" t="s">
        <v>6665</v>
      </c>
    </row>
    <row r="43" spans="1:5">
      <c r="A43" s="170" t="s">
        <v>775</v>
      </c>
      <c r="B43" s="170"/>
      <c r="C43" s="177">
        <v>12203</v>
      </c>
      <c r="D43" s="178" t="s">
        <v>5388</v>
      </c>
      <c r="E43" s="178" t="s">
        <v>6666</v>
      </c>
    </row>
    <row r="44" spans="1:5">
      <c r="A44" s="170" t="s">
        <v>781</v>
      </c>
      <c r="B44" s="170"/>
      <c r="C44" s="177">
        <v>12205</v>
      </c>
      <c r="D44" s="178" t="s">
        <v>5744</v>
      </c>
      <c r="E44" s="178" t="s">
        <v>5076</v>
      </c>
    </row>
    <row r="45" spans="1:5">
      <c r="A45" s="170" t="s">
        <v>792</v>
      </c>
      <c r="B45" s="170"/>
      <c r="C45" s="177">
        <v>12210</v>
      </c>
      <c r="D45" s="178" t="s">
        <v>727</v>
      </c>
      <c r="E45" s="178" t="s">
        <v>6667</v>
      </c>
    </row>
    <row r="46" spans="1:5">
      <c r="A46" s="170" t="s">
        <v>798</v>
      </c>
      <c r="B46" s="170"/>
      <c r="C46" s="177">
        <v>12206</v>
      </c>
      <c r="D46" s="178" t="s">
        <v>4597</v>
      </c>
      <c r="E46" s="178" t="s">
        <v>6668</v>
      </c>
    </row>
    <row r="47" spans="1:5">
      <c r="A47" s="170" t="s">
        <v>808</v>
      </c>
      <c r="B47" s="170"/>
      <c r="C47" s="177">
        <v>12303</v>
      </c>
      <c r="D47" s="178" t="s">
        <v>4549</v>
      </c>
      <c r="E47" s="178" t="s">
        <v>3365</v>
      </c>
    </row>
    <row r="48" spans="1:5">
      <c r="A48" s="170" t="s">
        <v>814</v>
      </c>
      <c r="B48" s="170"/>
      <c r="C48" s="177">
        <v>12305</v>
      </c>
      <c r="D48" s="178" t="s">
        <v>6669</v>
      </c>
      <c r="E48" s="178" t="s">
        <v>6670</v>
      </c>
    </row>
    <row r="49" spans="1:5">
      <c r="A49" s="170" t="s">
        <v>822</v>
      </c>
      <c r="B49" s="170"/>
      <c r="C49" s="177">
        <v>12301</v>
      </c>
      <c r="D49" s="178" t="s">
        <v>4360</v>
      </c>
      <c r="E49" s="178" t="s">
        <v>6671</v>
      </c>
    </row>
    <row r="50" spans="1:16">
      <c r="A50" s="170" t="s">
        <v>828</v>
      </c>
      <c r="B50" s="170"/>
      <c r="C50" s="177">
        <v>12302</v>
      </c>
      <c r="D50" s="178" t="s">
        <v>3670</v>
      </c>
      <c r="E50" s="178" t="s">
        <v>6672</v>
      </c>
      <c r="P50" t="s">
        <v>6673</v>
      </c>
    </row>
    <row r="51" spans="1:5">
      <c r="A51" s="170" t="s">
        <v>839</v>
      </c>
      <c r="B51" s="170"/>
      <c r="C51" s="177">
        <v>12304</v>
      </c>
      <c r="D51" s="178" t="s">
        <v>907</v>
      </c>
      <c r="E51" s="178" t="s">
        <v>6674</v>
      </c>
    </row>
    <row r="52" spans="1:5">
      <c r="A52" s="170" t="s">
        <v>845</v>
      </c>
      <c r="B52" s="170"/>
      <c r="C52" s="177">
        <v>12307</v>
      </c>
      <c r="D52" s="178" t="s">
        <v>2381</v>
      </c>
      <c r="E52" s="178" t="s">
        <v>6675</v>
      </c>
    </row>
    <row r="53" spans="1:5">
      <c r="A53" s="170" t="s">
        <v>855</v>
      </c>
      <c r="B53" s="170"/>
      <c r="C53" s="177">
        <v>12001</v>
      </c>
      <c r="D53" s="178" t="s">
        <v>6676</v>
      </c>
      <c r="E53" s="178" t="s">
        <v>6677</v>
      </c>
    </row>
    <row r="54" spans="1:5">
      <c r="A54" s="170" t="s">
        <v>870</v>
      </c>
      <c r="B54" s="170"/>
      <c r="C54" s="177">
        <v>12002</v>
      </c>
      <c r="D54" s="178" t="s">
        <v>4831</v>
      </c>
      <c r="E54" s="178" t="s">
        <v>6678</v>
      </c>
    </row>
    <row r="55" spans="1:5">
      <c r="A55" s="170" t="s">
        <v>886</v>
      </c>
      <c r="B55" s="170"/>
      <c r="C55" s="177">
        <v>12309</v>
      </c>
      <c r="D55" s="178" t="s">
        <v>5484</v>
      </c>
      <c r="E55" s="178" t="s">
        <v>6679</v>
      </c>
    </row>
    <row r="56" spans="1:5">
      <c r="A56" s="170" t="s">
        <v>892</v>
      </c>
      <c r="B56" s="170"/>
      <c r="C56" s="177">
        <v>12306</v>
      </c>
      <c r="D56" s="178" t="s">
        <v>1447</v>
      </c>
      <c r="E56" s="178" t="s">
        <v>4180</v>
      </c>
    </row>
    <row r="57" spans="1:5">
      <c r="A57" s="170" t="s">
        <v>903</v>
      </c>
      <c r="B57" s="170"/>
      <c r="C57" s="177">
        <v>12308</v>
      </c>
      <c r="D57" s="178" t="s">
        <v>3886</v>
      </c>
      <c r="E57" s="178" t="s">
        <v>6680</v>
      </c>
    </row>
    <row r="58" spans="1:5">
      <c r="A58" s="170" t="s">
        <v>917</v>
      </c>
      <c r="B58" s="170"/>
      <c r="C58" s="177">
        <v>12208</v>
      </c>
      <c r="D58" s="178" t="s">
        <v>5076</v>
      </c>
      <c r="E58" s="178" t="s">
        <v>2095</v>
      </c>
    </row>
    <row r="59" spans="1:5">
      <c r="A59" s="170" t="s">
        <v>923</v>
      </c>
      <c r="B59" s="170"/>
      <c r="C59" s="177">
        <v>12209</v>
      </c>
      <c r="D59" s="178" t="s">
        <v>5042</v>
      </c>
      <c r="E59" s="178" t="s">
        <v>6681</v>
      </c>
    </row>
    <row r="60" spans="1:5">
      <c r="A60" s="170" t="s">
        <v>934</v>
      </c>
      <c r="B60" s="170"/>
      <c r="C60" s="177">
        <v>12204</v>
      </c>
      <c r="D60" s="178" t="s">
        <v>5325</v>
      </c>
      <c r="E60" s="178" t="s">
        <v>6682</v>
      </c>
    </row>
    <row r="61" spans="1:5">
      <c r="A61" s="170" t="s">
        <v>940</v>
      </c>
      <c r="B61" s="170"/>
      <c r="C61" s="177">
        <v>12207</v>
      </c>
      <c r="D61" s="178" t="s">
        <v>2661</v>
      </c>
      <c r="E61" s="178" t="s">
        <v>6683</v>
      </c>
    </row>
    <row r="62" spans="1:5">
      <c r="A62" s="170" t="s">
        <v>951</v>
      </c>
      <c r="B62" s="170"/>
      <c r="C62" s="177">
        <v>12111</v>
      </c>
      <c r="D62" s="178" t="s">
        <v>2253</v>
      </c>
      <c r="E62" s="178" t="s">
        <v>6684</v>
      </c>
    </row>
    <row r="63" spans="1:5">
      <c r="A63" s="170" t="s">
        <v>957</v>
      </c>
      <c r="B63" s="170"/>
      <c r="C63" s="177">
        <v>12106</v>
      </c>
      <c r="D63" s="178" t="s">
        <v>3540</v>
      </c>
      <c r="E63" s="178" t="s">
        <v>6685</v>
      </c>
    </row>
    <row r="64" spans="1:5">
      <c r="A64" s="170" t="s">
        <v>968</v>
      </c>
      <c r="B64" s="170"/>
      <c r="C64" s="177">
        <v>12103</v>
      </c>
      <c r="D64" s="178" t="s">
        <v>956</v>
      </c>
      <c r="E64" s="178" t="s">
        <v>6686</v>
      </c>
    </row>
    <row r="65" spans="1:5">
      <c r="A65" s="170" t="s">
        <v>982</v>
      </c>
      <c r="B65" s="170"/>
      <c r="C65" s="177">
        <v>12104</v>
      </c>
      <c r="D65" s="178" t="s">
        <v>3966</v>
      </c>
      <c r="E65" s="178" t="s">
        <v>933</v>
      </c>
    </row>
    <row r="66" spans="1:5">
      <c r="A66" s="170" t="s">
        <v>988</v>
      </c>
      <c r="B66" s="170"/>
      <c r="C66" s="177">
        <v>12105</v>
      </c>
      <c r="D66" s="178" t="s">
        <v>1022</v>
      </c>
      <c r="E66" s="178" t="s">
        <v>956</v>
      </c>
    </row>
    <row r="67" spans="1:5">
      <c r="A67" s="170" t="s">
        <v>998</v>
      </c>
      <c r="B67" s="170"/>
      <c r="C67" s="177">
        <v>10003</v>
      </c>
      <c r="D67" s="178" t="s">
        <v>6687</v>
      </c>
      <c r="E67" s="178" t="s">
        <v>6688</v>
      </c>
    </row>
    <row r="68" spans="1:5">
      <c r="A68" s="170" t="s">
        <v>1043</v>
      </c>
      <c r="B68" s="170"/>
      <c r="C68" s="177">
        <v>10048</v>
      </c>
      <c r="D68" s="178" t="s">
        <v>4875</v>
      </c>
      <c r="E68" s="178" t="s">
        <v>6689</v>
      </c>
    </row>
    <row r="69" spans="1:5">
      <c r="A69" s="170" t="s">
        <v>1059</v>
      </c>
      <c r="B69" s="170"/>
      <c r="C69" s="177">
        <v>13101</v>
      </c>
      <c r="D69" s="178" t="s">
        <v>4682</v>
      </c>
      <c r="E69" s="178" t="s">
        <v>6690</v>
      </c>
    </row>
    <row r="70" spans="1:5">
      <c r="A70" s="170" t="s">
        <v>1064</v>
      </c>
      <c r="B70" s="170"/>
      <c r="C70" s="177">
        <v>13102</v>
      </c>
      <c r="D70" s="178" t="s">
        <v>4015</v>
      </c>
      <c r="E70" s="178" t="s">
        <v>6691</v>
      </c>
    </row>
    <row r="71" spans="1:5">
      <c r="A71" s="170" t="s">
        <v>1074</v>
      </c>
      <c r="B71" s="170"/>
      <c r="C71" s="177">
        <v>13210</v>
      </c>
      <c r="D71" s="178" t="s">
        <v>596</v>
      </c>
      <c r="E71" s="178" t="s">
        <v>6692</v>
      </c>
    </row>
    <row r="72" spans="1:5">
      <c r="A72" s="170" t="s">
        <v>1080</v>
      </c>
      <c r="B72" s="170"/>
      <c r="C72" s="177">
        <v>13105</v>
      </c>
      <c r="D72" s="178" t="s">
        <v>5947</v>
      </c>
      <c r="E72" s="178" t="s">
        <v>6693</v>
      </c>
    </row>
    <row r="73" spans="1:5">
      <c r="A73" s="170" t="s">
        <v>1091</v>
      </c>
      <c r="B73" s="170"/>
      <c r="C73" s="177">
        <v>13108</v>
      </c>
      <c r="D73" s="178" t="s">
        <v>3911</v>
      </c>
      <c r="E73" s="178" t="s">
        <v>6694</v>
      </c>
    </row>
    <row r="74" spans="1:5">
      <c r="A74" s="170" t="s">
        <v>1097</v>
      </c>
      <c r="B74" s="170"/>
      <c r="C74" s="177">
        <v>13109</v>
      </c>
      <c r="D74" s="178" t="s">
        <v>1219</v>
      </c>
      <c r="E74" s="178" t="s">
        <v>6695</v>
      </c>
    </row>
    <row r="75" spans="1:5">
      <c r="A75" s="170" t="s">
        <v>1108</v>
      </c>
      <c r="B75" s="170"/>
      <c r="C75" s="177">
        <v>13204</v>
      </c>
      <c r="D75" s="178" t="s">
        <v>2129</v>
      </c>
      <c r="E75" s="178" t="s">
        <v>1245</v>
      </c>
    </row>
    <row r="76" spans="1:5">
      <c r="A76" s="170" t="s">
        <v>1113</v>
      </c>
      <c r="B76" s="170"/>
      <c r="C76" s="177">
        <v>13207</v>
      </c>
      <c r="D76" s="178" t="s">
        <v>3738</v>
      </c>
      <c r="E76" s="178" t="s">
        <v>6696</v>
      </c>
    </row>
    <row r="77" spans="1:5">
      <c r="A77" s="170" t="s">
        <v>1124</v>
      </c>
      <c r="B77" s="170"/>
      <c r="C77" s="177">
        <v>13208</v>
      </c>
      <c r="D77" s="178" t="s">
        <v>3411</v>
      </c>
      <c r="E77" s="178" t="s">
        <v>6697</v>
      </c>
    </row>
    <row r="78" spans="1:5">
      <c r="A78" s="170" t="s">
        <v>1130</v>
      </c>
      <c r="B78" s="170"/>
      <c r="C78" s="177">
        <v>13209</v>
      </c>
      <c r="D78" s="178" t="s">
        <v>4702</v>
      </c>
      <c r="E78" s="178" t="s">
        <v>6698</v>
      </c>
    </row>
    <row r="79" spans="1:5">
      <c r="A79" s="170" t="s">
        <v>1141</v>
      </c>
      <c r="B79" s="170"/>
      <c r="C79" s="177">
        <v>13103</v>
      </c>
      <c r="D79" s="178" t="s">
        <v>3406</v>
      </c>
      <c r="E79" s="178" t="s">
        <v>6699</v>
      </c>
    </row>
    <row r="80" spans="1:5">
      <c r="A80" s="170" t="s">
        <v>1157</v>
      </c>
      <c r="B80" s="170"/>
      <c r="C80" s="177">
        <v>13301</v>
      </c>
      <c r="D80" s="178" t="s">
        <v>2717</v>
      </c>
      <c r="E80" s="178" t="s">
        <v>6700</v>
      </c>
    </row>
    <row r="81" spans="1:5">
      <c r="A81" s="170" t="s">
        <v>1163</v>
      </c>
      <c r="B81" s="170"/>
      <c r="C81" s="177">
        <v>13302</v>
      </c>
      <c r="D81" s="178" t="s">
        <v>5712</v>
      </c>
      <c r="E81" s="178" t="s">
        <v>6701</v>
      </c>
    </row>
    <row r="82" spans="1:5">
      <c r="A82" s="170" t="s">
        <v>1172</v>
      </c>
      <c r="B82" s="170"/>
      <c r="C82" s="177">
        <v>13304</v>
      </c>
      <c r="D82" s="178" t="s">
        <v>1504</v>
      </c>
      <c r="E82" s="178" t="s">
        <v>2587</v>
      </c>
    </row>
    <row r="83" spans="1:5">
      <c r="A83" s="170" t="s">
        <v>1178</v>
      </c>
      <c r="B83" s="170"/>
      <c r="C83" s="177">
        <v>13307</v>
      </c>
      <c r="D83" s="178" t="s">
        <v>2666</v>
      </c>
      <c r="E83" s="178" t="s">
        <v>1656</v>
      </c>
    </row>
    <row r="84" spans="1:5">
      <c r="A84" s="170" t="s">
        <v>1187</v>
      </c>
      <c r="B84" s="170"/>
      <c r="C84" s="177">
        <v>13310</v>
      </c>
      <c r="D84" s="178" t="s">
        <v>5735</v>
      </c>
      <c r="E84" s="178" t="s">
        <v>6702</v>
      </c>
    </row>
    <row r="85" spans="1:5">
      <c r="A85" s="170" t="s">
        <v>1193</v>
      </c>
      <c r="B85" s="170"/>
      <c r="C85" s="177">
        <v>13306</v>
      </c>
      <c r="D85" s="178" t="s">
        <v>6703</v>
      </c>
      <c r="E85" s="178" t="s">
        <v>6704</v>
      </c>
    </row>
    <row r="86" spans="1:5">
      <c r="A86" s="170" t="s">
        <v>1205</v>
      </c>
      <c r="B86" s="170"/>
      <c r="C86" s="177">
        <v>13001</v>
      </c>
      <c r="D86" s="178" t="s">
        <v>4238</v>
      </c>
      <c r="E86" s="178" t="s">
        <v>6705</v>
      </c>
    </row>
    <row r="87" spans="1:5">
      <c r="A87" s="170" t="s">
        <v>1220</v>
      </c>
      <c r="B87" s="170"/>
      <c r="C87" s="177">
        <v>13002</v>
      </c>
      <c r="D87" s="178" t="s">
        <v>5878</v>
      </c>
      <c r="E87" s="178" t="s">
        <v>6706</v>
      </c>
    </row>
    <row r="88" spans="1:5">
      <c r="A88" s="170" t="s">
        <v>1235</v>
      </c>
      <c r="B88" s="170"/>
      <c r="C88" s="177">
        <v>13308</v>
      </c>
      <c r="D88" s="178" t="s">
        <v>4983</v>
      </c>
      <c r="E88" s="178" t="s">
        <v>6707</v>
      </c>
    </row>
    <row r="89" spans="1:5">
      <c r="A89" s="170" t="s">
        <v>1240</v>
      </c>
      <c r="B89" s="170"/>
      <c r="C89" s="177">
        <v>13309</v>
      </c>
      <c r="D89" s="178" t="s">
        <v>2790</v>
      </c>
      <c r="E89" s="178" t="s">
        <v>6708</v>
      </c>
    </row>
    <row r="90" spans="1:5">
      <c r="A90" s="170" t="s">
        <v>1251</v>
      </c>
      <c r="B90" s="170"/>
      <c r="C90" s="177">
        <v>13303</v>
      </c>
      <c r="D90" s="178" t="s">
        <v>4446</v>
      </c>
      <c r="E90" s="178" t="s">
        <v>6709</v>
      </c>
    </row>
    <row r="91" spans="1:5">
      <c r="A91" s="170" t="s">
        <v>1257</v>
      </c>
      <c r="B91" s="170"/>
      <c r="C91" s="177">
        <v>13305</v>
      </c>
      <c r="D91" s="178" t="s">
        <v>4585</v>
      </c>
      <c r="E91" s="178" t="s">
        <v>6710</v>
      </c>
    </row>
    <row r="92" spans="1:5">
      <c r="A92" s="170" t="s">
        <v>1268</v>
      </c>
      <c r="B92" s="170"/>
      <c r="C92" s="177">
        <v>13203</v>
      </c>
      <c r="D92" s="178" t="s">
        <v>1250</v>
      </c>
      <c r="E92" s="178" t="s">
        <v>6711</v>
      </c>
    </row>
    <row r="93" spans="1:5">
      <c r="A93" s="170" t="s">
        <v>1273</v>
      </c>
      <c r="B93" s="170"/>
      <c r="C93" s="177">
        <v>13205</v>
      </c>
      <c r="D93" s="178" t="s">
        <v>5320</v>
      </c>
      <c r="E93" s="178" t="s">
        <v>6712</v>
      </c>
    </row>
    <row r="94" spans="1:5">
      <c r="A94" s="170" t="s">
        <v>1283</v>
      </c>
      <c r="B94" s="170"/>
      <c r="C94" s="177">
        <v>13201</v>
      </c>
      <c r="D94" s="178" t="s">
        <v>3435</v>
      </c>
      <c r="E94" s="178" t="s">
        <v>6713</v>
      </c>
    </row>
    <row r="95" spans="1:5">
      <c r="A95" s="170" t="s">
        <v>1288</v>
      </c>
      <c r="B95" s="170"/>
      <c r="C95" s="177">
        <v>13202</v>
      </c>
      <c r="D95" s="178" t="s">
        <v>4758</v>
      </c>
      <c r="E95" s="178" t="s">
        <v>6714</v>
      </c>
    </row>
    <row r="96" spans="1:5">
      <c r="A96" s="170" t="s">
        <v>1298</v>
      </c>
      <c r="B96" s="170"/>
      <c r="C96" s="177">
        <v>13110</v>
      </c>
      <c r="D96" s="178" t="s">
        <v>2779</v>
      </c>
      <c r="E96" s="178" t="s">
        <v>6715</v>
      </c>
    </row>
    <row r="97" spans="1:5">
      <c r="A97" s="170" t="s">
        <v>1304</v>
      </c>
      <c r="B97" s="170"/>
      <c r="C97" s="177">
        <v>13111</v>
      </c>
      <c r="D97" s="178" t="s">
        <v>3596</v>
      </c>
      <c r="E97" s="178" t="s">
        <v>6716</v>
      </c>
    </row>
    <row r="98" spans="1:5">
      <c r="A98" s="170" t="s">
        <v>1314</v>
      </c>
      <c r="B98" s="170"/>
      <c r="C98" s="177">
        <v>13107</v>
      </c>
      <c r="D98" s="178" t="s">
        <v>1090</v>
      </c>
      <c r="E98" s="178" t="s">
        <v>2100</v>
      </c>
    </row>
    <row r="99" spans="1:5">
      <c r="A99" s="170" t="s">
        <v>1320</v>
      </c>
      <c r="B99" s="170"/>
      <c r="C99" s="177">
        <v>13106</v>
      </c>
      <c r="D99" s="178" t="s">
        <v>3753</v>
      </c>
      <c r="E99" s="178" t="s">
        <v>6717</v>
      </c>
    </row>
    <row r="100" spans="1:5">
      <c r="A100" s="170" t="s">
        <v>1331</v>
      </c>
      <c r="B100" s="170"/>
      <c r="C100" s="177">
        <v>13104</v>
      </c>
      <c r="D100" s="178" t="s">
        <v>386</v>
      </c>
      <c r="E100" s="178" t="s">
        <v>6718</v>
      </c>
    </row>
    <row r="101" spans="1:5">
      <c r="A101" s="170" t="s">
        <v>1336</v>
      </c>
      <c r="B101" s="170"/>
      <c r="C101" s="177">
        <v>13206</v>
      </c>
      <c r="D101" s="178" t="s">
        <v>2671</v>
      </c>
      <c r="E101" s="178" t="s">
        <v>6719</v>
      </c>
    </row>
    <row r="102" spans="1:5">
      <c r="A102" s="170" t="s">
        <v>1347</v>
      </c>
      <c r="B102" s="170"/>
      <c r="C102" s="177">
        <v>10041</v>
      </c>
      <c r="D102" s="178" t="s">
        <v>1096</v>
      </c>
      <c r="E102" s="178" t="s">
        <v>3921</v>
      </c>
    </row>
    <row r="103" spans="1:5">
      <c r="A103" s="170" t="s">
        <v>1421</v>
      </c>
      <c r="B103" s="170"/>
      <c r="C103" s="177">
        <v>20001</v>
      </c>
      <c r="D103" s="178" t="s">
        <v>3341</v>
      </c>
      <c r="E103" s="178" t="s">
        <v>6720</v>
      </c>
    </row>
    <row r="104" spans="1:5">
      <c r="A104" s="170" t="s">
        <v>1437</v>
      </c>
      <c r="B104" s="170"/>
      <c r="C104" s="177">
        <v>20002</v>
      </c>
      <c r="D104" s="178" t="s">
        <v>3634</v>
      </c>
      <c r="E104" s="178" t="s">
        <v>6721</v>
      </c>
    </row>
    <row r="105" spans="1:5">
      <c r="A105" s="170" t="s">
        <v>1453</v>
      </c>
      <c r="B105" s="170"/>
      <c r="C105" s="177">
        <v>20003</v>
      </c>
      <c r="D105" s="178" t="s">
        <v>6722</v>
      </c>
      <c r="E105" s="178" t="s">
        <v>6723</v>
      </c>
    </row>
    <row r="106" spans="1:5">
      <c r="A106" s="170" t="s">
        <v>1467</v>
      </c>
      <c r="B106" s="170"/>
      <c r="C106" s="177">
        <v>20041</v>
      </c>
      <c r="D106" s="178" t="s">
        <v>1352</v>
      </c>
      <c r="E106" s="178" t="s">
        <v>6724</v>
      </c>
    </row>
    <row r="107" spans="1:5">
      <c r="A107" s="170" t="s">
        <v>1482</v>
      </c>
      <c r="B107" s="170"/>
      <c r="C107" s="177">
        <v>21101</v>
      </c>
      <c r="D107" s="178" t="s">
        <v>4712</v>
      </c>
      <c r="E107" s="178" t="s">
        <v>6725</v>
      </c>
    </row>
    <row r="108" spans="1:5">
      <c r="A108" s="170" t="s">
        <v>1488</v>
      </c>
      <c r="B108" s="170"/>
      <c r="C108" s="177">
        <v>21102</v>
      </c>
      <c r="D108" s="178" t="s">
        <v>4999</v>
      </c>
      <c r="E108" s="178" t="s">
        <v>6726</v>
      </c>
    </row>
    <row r="109" spans="1:5">
      <c r="A109" s="170" t="s">
        <v>1499</v>
      </c>
      <c r="B109" s="170"/>
      <c r="C109" s="177">
        <v>21103</v>
      </c>
      <c r="D109" s="178" t="s">
        <v>3976</v>
      </c>
      <c r="E109" s="178" t="s">
        <v>3483</v>
      </c>
    </row>
    <row r="110" spans="1:5">
      <c r="A110" s="170" t="s">
        <v>1505</v>
      </c>
      <c r="B110" s="170"/>
      <c r="C110" s="177">
        <v>21203</v>
      </c>
      <c r="D110" s="178" t="s">
        <v>3256</v>
      </c>
      <c r="E110" s="178" t="s">
        <v>5674</v>
      </c>
    </row>
    <row r="111" spans="1:5">
      <c r="A111" s="170" t="s">
        <v>1516</v>
      </c>
      <c r="B111" s="170"/>
      <c r="C111" s="177">
        <v>21105</v>
      </c>
      <c r="D111" s="178" t="s">
        <v>2433</v>
      </c>
      <c r="E111" s="178" t="s">
        <v>6727</v>
      </c>
    </row>
    <row r="112" spans="1:5">
      <c r="A112" s="170" t="s">
        <v>1522</v>
      </c>
      <c r="B112" s="170"/>
      <c r="C112" s="177">
        <v>21104</v>
      </c>
      <c r="D112" s="178" t="s">
        <v>4520</v>
      </c>
      <c r="E112" s="178" t="s">
        <v>6728</v>
      </c>
    </row>
    <row r="113" spans="1:5">
      <c r="A113" s="170" t="s">
        <v>1532</v>
      </c>
      <c r="B113" s="170"/>
      <c r="C113" s="177">
        <v>21107</v>
      </c>
      <c r="D113" s="178" t="s">
        <v>4331</v>
      </c>
      <c r="E113" s="178" t="s">
        <v>6729</v>
      </c>
    </row>
    <row r="114" spans="1:5">
      <c r="A114" s="170" t="s">
        <v>1537</v>
      </c>
      <c r="B114" s="170"/>
      <c r="C114" s="177">
        <v>21108</v>
      </c>
      <c r="D114" s="178" t="s">
        <v>5125</v>
      </c>
      <c r="E114" s="178" t="s">
        <v>6730</v>
      </c>
    </row>
    <row r="115" spans="1:5">
      <c r="A115" s="170" t="s">
        <v>1547</v>
      </c>
      <c r="B115" s="170"/>
      <c r="C115" s="177">
        <v>21109</v>
      </c>
      <c r="D115" s="178" t="s">
        <v>2745</v>
      </c>
      <c r="E115" s="178" t="s">
        <v>4000</v>
      </c>
    </row>
    <row r="116" spans="1:5">
      <c r="A116" s="170" t="s">
        <v>1553</v>
      </c>
      <c r="B116" s="170"/>
      <c r="C116" s="177">
        <v>21106</v>
      </c>
      <c r="D116" s="178" t="s">
        <v>6731</v>
      </c>
      <c r="E116" s="178" t="s">
        <v>6732</v>
      </c>
    </row>
    <row r="117" spans="1:5">
      <c r="A117" s="170" t="s">
        <v>1563</v>
      </c>
      <c r="B117" s="170"/>
      <c r="C117" s="177">
        <v>21201</v>
      </c>
      <c r="D117" s="178" t="s">
        <v>5331</v>
      </c>
      <c r="E117" s="178" t="s">
        <v>5834</v>
      </c>
    </row>
    <row r="118" spans="1:5">
      <c r="A118" s="170" t="s">
        <v>1569</v>
      </c>
      <c r="B118" s="170"/>
      <c r="C118" s="177">
        <v>21202</v>
      </c>
      <c r="D118" s="178" t="s">
        <v>1151</v>
      </c>
      <c r="E118" s="178" t="s">
        <v>6733</v>
      </c>
    </row>
    <row r="119" spans="1:5">
      <c r="A119" s="170" t="s">
        <v>1579</v>
      </c>
      <c r="B119" s="170"/>
      <c r="C119" s="177">
        <v>21205</v>
      </c>
      <c r="D119" s="178" t="s">
        <v>1641</v>
      </c>
      <c r="E119" s="178" t="s">
        <v>6734</v>
      </c>
    </row>
    <row r="120" spans="1:5">
      <c r="A120" s="170" t="s">
        <v>1585</v>
      </c>
      <c r="B120" s="170"/>
      <c r="C120" s="177">
        <v>21204</v>
      </c>
      <c r="D120" s="178" t="s">
        <v>1705</v>
      </c>
      <c r="E120" s="178" t="s">
        <v>2885</v>
      </c>
    </row>
    <row r="121" spans="1:5">
      <c r="A121" s="170" t="s">
        <v>1595</v>
      </c>
      <c r="B121" s="170"/>
      <c r="C121" s="177">
        <v>21207</v>
      </c>
      <c r="D121" s="178" t="s">
        <v>875</v>
      </c>
      <c r="E121" s="178" t="s">
        <v>6735</v>
      </c>
    </row>
    <row r="122" spans="1:5">
      <c r="A122" s="170" t="s">
        <v>1600</v>
      </c>
      <c r="B122" s="170"/>
      <c r="C122" s="177">
        <v>21208</v>
      </c>
      <c r="D122" s="178" t="s">
        <v>5937</v>
      </c>
      <c r="E122" s="178" t="s">
        <v>6736</v>
      </c>
    </row>
    <row r="123" spans="1:5">
      <c r="A123" s="170" t="s">
        <v>1610</v>
      </c>
      <c r="B123" s="170"/>
      <c r="C123" s="177">
        <v>21209</v>
      </c>
      <c r="D123" s="178" t="s">
        <v>4349</v>
      </c>
      <c r="E123" s="178" t="s">
        <v>6737</v>
      </c>
    </row>
    <row r="124" spans="1:5">
      <c r="A124" s="170" t="s">
        <v>1616</v>
      </c>
      <c r="B124" s="170"/>
      <c r="C124" s="177">
        <v>21206</v>
      </c>
      <c r="D124" s="178" t="s">
        <v>3070</v>
      </c>
      <c r="E124" s="178" t="s">
        <v>6738</v>
      </c>
    </row>
    <row r="125" spans="1:5">
      <c r="A125" s="170" t="s">
        <v>1625</v>
      </c>
      <c r="B125" s="170"/>
      <c r="C125" s="177">
        <v>21301</v>
      </c>
      <c r="D125" s="178" t="s">
        <v>3201</v>
      </c>
      <c r="E125" s="178" t="s">
        <v>6739</v>
      </c>
    </row>
    <row r="126" spans="1:5">
      <c r="A126" s="170" t="s">
        <v>1631</v>
      </c>
      <c r="B126" s="170"/>
      <c r="C126" s="177">
        <v>21302</v>
      </c>
      <c r="D126" s="178" t="s">
        <v>2144</v>
      </c>
      <c r="E126" s="178" t="s">
        <v>3645</v>
      </c>
    </row>
    <row r="127" spans="1:5">
      <c r="A127" s="170" t="s">
        <v>1642</v>
      </c>
      <c r="B127" s="170"/>
      <c r="C127" s="177">
        <v>21305</v>
      </c>
      <c r="D127" s="178" t="s">
        <v>518</v>
      </c>
      <c r="E127" s="178" t="s">
        <v>6740</v>
      </c>
    </row>
    <row r="128" spans="1:5">
      <c r="A128" s="170" t="s">
        <v>1647</v>
      </c>
      <c r="B128" s="170"/>
      <c r="C128" s="177">
        <v>21304</v>
      </c>
      <c r="D128" s="178" t="s">
        <v>1073</v>
      </c>
      <c r="E128" s="178" t="s">
        <v>6741</v>
      </c>
    </row>
    <row r="129" spans="1:5">
      <c r="A129" s="170" t="s">
        <v>1657</v>
      </c>
      <c r="B129" s="170"/>
      <c r="C129" s="177">
        <v>21307</v>
      </c>
      <c r="D129" s="178" t="s">
        <v>1371</v>
      </c>
      <c r="E129" s="178" t="s">
        <v>2890</v>
      </c>
    </row>
    <row r="130" spans="1:5">
      <c r="A130" s="170" t="s">
        <v>1663</v>
      </c>
      <c r="B130" s="170"/>
      <c r="C130" s="177">
        <v>21308</v>
      </c>
      <c r="D130" s="178" t="s">
        <v>1341</v>
      </c>
      <c r="E130" s="178" t="s">
        <v>5652</v>
      </c>
    </row>
    <row r="131" spans="1:5">
      <c r="A131" s="170" t="s">
        <v>1674</v>
      </c>
      <c r="B131" s="170"/>
      <c r="C131" s="177">
        <v>21309</v>
      </c>
      <c r="D131" s="178" t="s">
        <v>391</v>
      </c>
      <c r="E131" s="178" t="s">
        <v>6742</v>
      </c>
    </row>
    <row r="132" spans="1:5">
      <c r="A132" s="170" t="s">
        <v>1680</v>
      </c>
      <c r="B132" s="170"/>
      <c r="C132" s="177">
        <v>21306</v>
      </c>
      <c r="D132" s="178" t="s">
        <v>1818</v>
      </c>
      <c r="E132" s="178" t="s">
        <v>6743</v>
      </c>
    </row>
    <row r="133" spans="1:5">
      <c r="A133" s="170" t="s">
        <v>1690</v>
      </c>
      <c r="C133" s="177">
        <v>21001</v>
      </c>
      <c r="D133" s="178" t="s">
        <v>3629</v>
      </c>
      <c r="E133" s="178" t="s">
        <v>6744</v>
      </c>
    </row>
    <row r="134" spans="1:5">
      <c r="A134" s="170" t="s">
        <v>1706</v>
      </c>
      <c r="B134" s="170"/>
      <c r="C134" s="177">
        <v>21002</v>
      </c>
      <c r="D134" s="178" t="s">
        <v>3445</v>
      </c>
      <c r="E134" s="178" t="s">
        <v>6745</v>
      </c>
    </row>
    <row r="135" spans="1:5">
      <c r="A135" s="170" t="s">
        <v>1721</v>
      </c>
      <c r="B135" s="170"/>
      <c r="C135" s="177">
        <v>20048</v>
      </c>
      <c r="D135" s="178" t="s">
        <v>2587</v>
      </c>
      <c r="E135" s="178" t="s">
        <v>6746</v>
      </c>
    </row>
    <row r="136" spans="1:5">
      <c r="A136" s="170" t="s">
        <v>1765</v>
      </c>
      <c r="B136" s="170"/>
      <c r="C136" s="177">
        <v>22001</v>
      </c>
      <c r="D136" s="178" t="s">
        <v>3947</v>
      </c>
      <c r="E136" s="178" t="s">
        <v>6747</v>
      </c>
    </row>
    <row r="137" spans="1:5">
      <c r="A137" s="170" t="s">
        <v>1781</v>
      </c>
      <c r="B137" s="170"/>
      <c r="C137" s="177">
        <v>22002</v>
      </c>
      <c r="D137" s="178" t="s">
        <v>4463</v>
      </c>
      <c r="E137" s="178" t="s">
        <v>6748</v>
      </c>
    </row>
    <row r="138" spans="1:5">
      <c r="A138" s="170" t="s">
        <v>1797</v>
      </c>
      <c r="B138" s="170"/>
      <c r="C138" s="177">
        <v>22101</v>
      </c>
      <c r="D138" s="178" t="s">
        <v>4000</v>
      </c>
      <c r="E138" s="178" t="s">
        <v>6749</v>
      </c>
    </row>
    <row r="139" spans="1:5">
      <c r="A139" s="170" t="s">
        <v>1803</v>
      </c>
      <c r="B139" s="170"/>
      <c r="C139" s="177">
        <v>22102</v>
      </c>
      <c r="D139" s="178" t="s">
        <v>2890</v>
      </c>
      <c r="E139" s="178" t="s">
        <v>2085</v>
      </c>
    </row>
    <row r="140" spans="1:5">
      <c r="A140" s="170" t="s">
        <v>1814</v>
      </c>
      <c r="B140" s="170"/>
      <c r="C140" s="177">
        <v>22105</v>
      </c>
      <c r="D140" s="178" t="s">
        <v>1245</v>
      </c>
      <c r="E140" s="178" t="s">
        <v>6750</v>
      </c>
    </row>
    <row r="141" spans="1:5">
      <c r="A141" s="170" t="s">
        <v>1819</v>
      </c>
      <c r="B141" s="170"/>
      <c r="C141" s="177">
        <v>22104</v>
      </c>
      <c r="D141" s="178" t="s">
        <v>1297</v>
      </c>
      <c r="E141" s="178" t="s">
        <v>6751</v>
      </c>
    </row>
    <row r="142" spans="1:5">
      <c r="A142" s="170" t="s">
        <v>1829</v>
      </c>
      <c r="B142" s="170"/>
      <c r="C142" s="177">
        <v>22107</v>
      </c>
      <c r="D142" s="178" t="s">
        <v>5404</v>
      </c>
      <c r="E142" s="178" t="s">
        <v>6752</v>
      </c>
    </row>
    <row r="143" spans="1:5">
      <c r="A143" s="170" t="s">
        <v>1834</v>
      </c>
      <c r="B143" s="170"/>
      <c r="C143" s="177">
        <v>22110</v>
      </c>
      <c r="D143" s="178" t="s">
        <v>5652</v>
      </c>
      <c r="E143" s="178" t="s">
        <v>6753</v>
      </c>
    </row>
    <row r="144" spans="1:5">
      <c r="A144" s="170" t="s">
        <v>1845</v>
      </c>
      <c r="B144" s="170"/>
      <c r="C144" s="177">
        <v>22109</v>
      </c>
      <c r="D144" s="178" t="s">
        <v>3571</v>
      </c>
      <c r="E144" s="178" t="s">
        <v>6754</v>
      </c>
    </row>
    <row r="145" spans="1:5">
      <c r="A145" s="170" t="s">
        <v>1851</v>
      </c>
      <c r="B145" s="170"/>
      <c r="C145" s="177">
        <v>22108</v>
      </c>
      <c r="D145" s="178" t="s">
        <v>4732</v>
      </c>
      <c r="E145" s="178" t="s">
        <v>6755</v>
      </c>
    </row>
    <row r="146" spans="1:5">
      <c r="A146" s="170" t="s">
        <v>1862</v>
      </c>
      <c r="B146" s="170"/>
      <c r="C146" s="177">
        <v>22201</v>
      </c>
      <c r="D146" s="178" t="s">
        <v>3220</v>
      </c>
      <c r="E146" s="178" t="s">
        <v>6756</v>
      </c>
    </row>
    <row r="147" spans="1:5">
      <c r="A147" s="170" t="s">
        <v>1868</v>
      </c>
      <c r="B147" s="170"/>
      <c r="C147" s="177">
        <v>22208</v>
      </c>
      <c r="D147" s="178" t="s">
        <v>4452</v>
      </c>
      <c r="E147" s="178" t="s">
        <v>6757</v>
      </c>
    </row>
    <row r="148" spans="1:5">
      <c r="A148" s="170" t="s">
        <v>1879</v>
      </c>
      <c r="B148" s="170"/>
      <c r="C148" s="177">
        <v>22205</v>
      </c>
      <c r="D148" s="178" t="s">
        <v>4655</v>
      </c>
      <c r="E148" s="178" t="s">
        <v>6758</v>
      </c>
    </row>
    <row r="149" spans="1:5">
      <c r="A149" s="170" t="s">
        <v>1885</v>
      </c>
      <c r="B149" s="170"/>
      <c r="C149" s="177">
        <v>22204</v>
      </c>
      <c r="D149" s="178" t="s">
        <v>3776</v>
      </c>
      <c r="E149" s="178" t="s">
        <v>6759</v>
      </c>
    </row>
    <row r="150" spans="1:5">
      <c r="A150" s="170" t="s">
        <v>1896</v>
      </c>
      <c r="B150" s="170"/>
      <c r="C150" s="177">
        <v>22202</v>
      </c>
      <c r="D150" s="178" t="s">
        <v>647</v>
      </c>
      <c r="E150" s="178" t="s">
        <v>6760</v>
      </c>
    </row>
    <row r="151" spans="1:5">
      <c r="A151" s="170" t="s">
        <v>1901</v>
      </c>
      <c r="B151" s="170"/>
      <c r="C151" s="177">
        <v>22210</v>
      </c>
      <c r="D151" s="178" t="s">
        <v>296</v>
      </c>
      <c r="E151" s="178" t="s">
        <v>6761</v>
      </c>
    </row>
    <row r="152" spans="1:5">
      <c r="A152" s="170" t="s">
        <v>1910</v>
      </c>
      <c r="B152" s="170"/>
      <c r="C152" s="177">
        <v>22209</v>
      </c>
      <c r="D152" s="178" t="s">
        <v>5427</v>
      </c>
      <c r="E152" s="178" t="s">
        <v>6762</v>
      </c>
    </row>
    <row r="153" spans="1:5">
      <c r="A153" s="170" t="s">
        <v>1916</v>
      </c>
      <c r="B153" s="170"/>
      <c r="C153" s="177">
        <v>22207</v>
      </c>
      <c r="D153" s="178" t="s">
        <v>3566</v>
      </c>
      <c r="E153" s="178" t="s">
        <v>6763</v>
      </c>
    </row>
    <row r="154" spans="1:5">
      <c r="A154" s="170" t="s">
        <v>1927</v>
      </c>
      <c r="B154" s="170"/>
      <c r="C154" s="177">
        <v>22301</v>
      </c>
      <c r="D154" s="178" t="s">
        <v>2685</v>
      </c>
      <c r="E154" s="178" t="s">
        <v>6764</v>
      </c>
    </row>
    <row r="155" spans="1:8">
      <c r="A155" s="170" t="s">
        <v>1933</v>
      </c>
      <c r="B155" s="170"/>
      <c r="C155" s="177">
        <v>22302</v>
      </c>
      <c r="D155" s="178" t="s">
        <v>2910</v>
      </c>
      <c r="E155" s="178" t="s">
        <v>5611</v>
      </c>
      <c r="H155" s="192"/>
    </row>
    <row r="156" spans="1:8">
      <c r="A156" s="170" t="s">
        <v>1944</v>
      </c>
      <c r="B156" s="170"/>
      <c r="C156" s="177">
        <v>22305</v>
      </c>
      <c r="D156" s="178" t="s">
        <v>5160</v>
      </c>
      <c r="E156" s="178" t="s">
        <v>6765</v>
      </c>
      <c r="H156" s="192"/>
    </row>
    <row r="157" spans="1:5">
      <c r="A157" s="170" t="s">
        <v>1950</v>
      </c>
      <c r="B157" s="170"/>
      <c r="C157" s="177">
        <v>22304</v>
      </c>
      <c r="D157" s="178" t="s">
        <v>833</v>
      </c>
      <c r="E157" s="178" t="s">
        <v>3566</v>
      </c>
    </row>
    <row r="158" spans="1:5">
      <c r="A158" s="170" t="s">
        <v>1961</v>
      </c>
      <c r="B158" s="170"/>
      <c r="C158" s="177">
        <v>22310</v>
      </c>
      <c r="D158" s="178" t="s">
        <v>368</v>
      </c>
      <c r="E158" s="178" t="s">
        <v>6766</v>
      </c>
    </row>
    <row r="159" spans="1:5">
      <c r="A159" s="170" t="s">
        <v>1966</v>
      </c>
      <c r="B159" s="170"/>
      <c r="C159" s="177">
        <v>22307</v>
      </c>
      <c r="D159" s="178" t="s">
        <v>1630</v>
      </c>
      <c r="E159" s="178" t="s">
        <v>6767</v>
      </c>
    </row>
    <row r="160" spans="1:5">
      <c r="A160" s="170" t="s">
        <v>1976</v>
      </c>
      <c r="B160" s="170"/>
      <c r="C160" s="177">
        <v>22309</v>
      </c>
      <c r="D160" s="178" t="s">
        <v>3137</v>
      </c>
      <c r="E160" s="178" t="s">
        <v>356</v>
      </c>
    </row>
    <row r="161" spans="1:5">
      <c r="A161" s="170" t="s">
        <v>1981</v>
      </c>
      <c r="B161" s="170"/>
      <c r="C161" s="177">
        <v>22308</v>
      </c>
      <c r="D161" s="178" t="s">
        <v>6048</v>
      </c>
      <c r="E161" s="178" t="s">
        <v>6768</v>
      </c>
    </row>
    <row r="162" spans="1:5">
      <c r="A162" s="193" t="s">
        <v>1992</v>
      </c>
      <c r="B162" s="193"/>
      <c r="C162" s="177">
        <v>22103</v>
      </c>
      <c r="D162" s="194" t="s">
        <v>2100</v>
      </c>
      <c r="E162" s="194" t="s">
        <v>6769</v>
      </c>
    </row>
    <row r="163" spans="1:5">
      <c r="A163" s="195" t="s">
        <v>2008</v>
      </c>
      <c r="B163" s="195"/>
      <c r="C163" s="177">
        <v>23105</v>
      </c>
      <c r="D163" s="196" t="s">
        <v>2638</v>
      </c>
      <c r="E163" s="196" t="s">
        <v>6770</v>
      </c>
    </row>
    <row r="164" spans="1:5">
      <c r="A164" s="195" t="s">
        <v>2014</v>
      </c>
      <c r="B164" s="195"/>
      <c r="C164" s="177">
        <v>23104</v>
      </c>
      <c r="D164" s="196" t="s">
        <v>1890</v>
      </c>
      <c r="E164" s="196" t="s">
        <v>6771</v>
      </c>
    </row>
    <row r="165" spans="1:5">
      <c r="A165" s="196" t="s">
        <v>2020</v>
      </c>
      <c r="B165" s="197"/>
      <c r="C165" s="177">
        <v>23103</v>
      </c>
      <c r="D165" s="196" t="s">
        <v>5840</v>
      </c>
      <c r="E165" s="196" t="s">
        <v>6772</v>
      </c>
    </row>
    <row r="166" spans="1:5">
      <c r="A166" s="196" t="s">
        <v>2026</v>
      </c>
      <c r="B166" s="195"/>
      <c r="C166" s="177">
        <v>23101</v>
      </c>
      <c r="D166" s="196" t="s">
        <v>738</v>
      </c>
      <c r="E166" s="196" t="s">
        <v>6773</v>
      </c>
    </row>
    <row r="167" spans="1:5">
      <c r="A167" s="196" t="s">
        <v>2031</v>
      </c>
      <c r="B167" s="195"/>
      <c r="C167" s="177">
        <v>23102</v>
      </c>
      <c r="D167" s="196" t="s">
        <v>4282</v>
      </c>
      <c r="E167" s="196" t="s">
        <v>6774</v>
      </c>
    </row>
    <row r="168" spans="1:5">
      <c r="A168" s="198" t="s">
        <v>2039</v>
      </c>
      <c r="B168" s="198"/>
      <c r="C168" s="177">
        <v>23107</v>
      </c>
      <c r="D168" s="199" t="s">
        <v>356</v>
      </c>
      <c r="E168" s="199" t="s">
        <v>759</v>
      </c>
    </row>
    <row r="169" spans="1:5">
      <c r="A169" s="170" t="s">
        <v>2044</v>
      </c>
      <c r="B169" s="170"/>
      <c r="C169" s="177">
        <v>23108</v>
      </c>
      <c r="D169" s="178" t="s">
        <v>3921</v>
      </c>
      <c r="E169" s="178" t="s">
        <v>6775</v>
      </c>
    </row>
    <row r="170" spans="1:5">
      <c r="A170" s="170" t="s">
        <v>2055</v>
      </c>
      <c r="B170" s="170"/>
      <c r="C170" s="177">
        <v>23002</v>
      </c>
      <c r="D170" s="178" t="s">
        <v>408</v>
      </c>
      <c r="E170" s="178" t="s">
        <v>907</v>
      </c>
    </row>
    <row r="171" spans="1:5">
      <c r="A171" s="170" t="s">
        <v>2070</v>
      </c>
      <c r="B171" s="170"/>
      <c r="C171" s="177">
        <v>23001</v>
      </c>
      <c r="D171" s="178" t="s">
        <v>5674</v>
      </c>
      <c r="E171" s="178" t="s">
        <v>6776</v>
      </c>
    </row>
    <row r="172" spans="1:5">
      <c r="A172" s="170" t="s">
        <v>2145</v>
      </c>
      <c r="B172" s="170"/>
      <c r="C172" s="177">
        <v>52303</v>
      </c>
      <c r="D172" s="178" t="s">
        <v>5834</v>
      </c>
      <c r="E172" s="178" t="s">
        <v>6777</v>
      </c>
    </row>
    <row r="173" spans="1:5">
      <c r="A173" s="170" t="s">
        <v>2151</v>
      </c>
      <c r="B173" s="170"/>
      <c r="C173" s="177">
        <v>52103</v>
      </c>
      <c r="D173" s="178" t="s">
        <v>3815</v>
      </c>
      <c r="E173" s="178" t="s">
        <v>6778</v>
      </c>
    </row>
    <row r="174" spans="1:5">
      <c r="A174" s="170" t="s">
        <v>2162</v>
      </c>
      <c r="B174" s="170"/>
      <c r="C174" s="177">
        <v>52313</v>
      </c>
      <c r="D174" s="178" t="s">
        <v>3762</v>
      </c>
      <c r="E174" s="178" t="s">
        <v>6779</v>
      </c>
    </row>
    <row r="175" spans="1:5">
      <c r="A175" s="170" t="s">
        <v>2167</v>
      </c>
      <c r="B175" s="170"/>
      <c r="C175" s="177">
        <v>52312</v>
      </c>
      <c r="D175" s="178" t="s">
        <v>1048</v>
      </c>
      <c r="E175" s="178" t="s">
        <v>6780</v>
      </c>
    </row>
    <row r="176" spans="1:5">
      <c r="A176" s="170" t="s">
        <v>2178</v>
      </c>
      <c r="B176" s="170"/>
      <c r="C176" s="177">
        <v>52308</v>
      </c>
      <c r="D176" s="178" t="s">
        <v>397</v>
      </c>
      <c r="E176" s="178" t="s">
        <v>6781</v>
      </c>
    </row>
    <row r="177" spans="1:5">
      <c r="A177" s="170" t="s">
        <v>2184</v>
      </c>
      <c r="B177" s="170"/>
      <c r="C177" s="177">
        <v>52310</v>
      </c>
      <c r="D177" s="178" t="s">
        <v>4180</v>
      </c>
      <c r="E177" s="178" t="s">
        <v>3109</v>
      </c>
    </row>
    <row r="178" spans="1:5">
      <c r="A178" s="170" t="s">
        <v>2195</v>
      </c>
      <c r="B178" s="170"/>
      <c r="C178" s="177">
        <v>52311</v>
      </c>
      <c r="D178" s="178" t="s">
        <v>3897</v>
      </c>
      <c r="E178" s="178" t="s">
        <v>6782</v>
      </c>
    </row>
    <row r="179" spans="1:5">
      <c r="A179" s="170" t="s">
        <v>2200</v>
      </c>
      <c r="B179" s="170"/>
      <c r="C179" s="177">
        <v>52105</v>
      </c>
      <c r="D179" s="178" t="s">
        <v>4994</v>
      </c>
      <c r="E179" s="178" t="s">
        <v>6783</v>
      </c>
    </row>
    <row r="180" spans="1:5">
      <c r="A180" s="170" t="s">
        <v>2211</v>
      </c>
      <c r="B180" s="170"/>
      <c r="C180" s="177">
        <v>52309</v>
      </c>
      <c r="D180" s="178" t="s">
        <v>1477</v>
      </c>
      <c r="E180" s="178" t="s">
        <v>6784</v>
      </c>
    </row>
    <row r="181" spans="1:5">
      <c r="A181" s="170" t="s">
        <v>2216</v>
      </c>
      <c r="B181" s="170"/>
      <c r="C181" s="177">
        <v>52307</v>
      </c>
      <c r="D181" s="178" t="s">
        <v>950</v>
      </c>
      <c r="E181" s="178" t="s">
        <v>6785</v>
      </c>
    </row>
    <row r="182" spans="1:5">
      <c r="A182" s="170" t="s">
        <v>2227</v>
      </c>
      <c r="B182" s="170"/>
      <c r="C182" s="177">
        <v>52104</v>
      </c>
      <c r="D182" s="178" t="s">
        <v>4115</v>
      </c>
      <c r="E182" s="178" t="s">
        <v>6786</v>
      </c>
    </row>
    <row r="183" spans="1:5">
      <c r="A183" s="170" t="s">
        <v>2233</v>
      </c>
      <c r="B183" s="170"/>
      <c r="C183" s="177">
        <v>52205</v>
      </c>
      <c r="D183" s="178" t="s">
        <v>2095</v>
      </c>
      <c r="E183" s="178" t="s">
        <v>6787</v>
      </c>
    </row>
    <row r="184" spans="1:5">
      <c r="A184" s="170" t="s">
        <v>2243</v>
      </c>
      <c r="B184" s="170"/>
      <c r="C184" s="177">
        <v>52203</v>
      </c>
      <c r="D184" s="178" t="s">
        <v>1381</v>
      </c>
      <c r="E184" s="178" t="s">
        <v>6788</v>
      </c>
    </row>
    <row r="185" spans="1:5">
      <c r="A185" s="170" t="s">
        <v>2249</v>
      </c>
      <c r="B185" s="170"/>
      <c r="C185" s="177">
        <v>52204</v>
      </c>
      <c r="D185" s="178" t="s">
        <v>759</v>
      </c>
      <c r="E185" s="178" t="s">
        <v>6789</v>
      </c>
    </row>
    <row r="186" spans="1:5">
      <c r="A186" s="170" t="s">
        <v>2259</v>
      </c>
      <c r="B186" s="170"/>
      <c r="C186" s="177">
        <v>52401</v>
      </c>
      <c r="D186" s="178" t="s">
        <v>4143</v>
      </c>
      <c r="E186" s="178" t="s">
        <v>6790</v>
      </c>
    </row>
    <row r="187" spans="1:5">
      <c r="A187" s="170" t="s">
        <v>2265</v>
      </c>
      <c r="B187" s="170"/>
      <c r="C187" s="177">
        <v>52415</v>
      </c>
      <c r="D187" s="178" t="s">
        <v>6791</v>
      </c>
      <c r="E187" s="178" t="s">
        <v>6792</v>
      </c>
    </row>
    <row r="188" spans="1:5">
      <c r="A188" s="170" t="s">
        <v>2274</v>
      </c>
      <c r="B188" s="170"/>
      <c r="C188" s="177">
        <v>52455</v>
      </c>
      <c r="D188" s="178" t="s">
        <v>479</v>
      </c>
      <c r="E188" s="178" t="s">
        <v>3540</v>
      </c>
    </row>
    <row r="189" spans="1:5">
      <c r="A189" s="170" t="s">
        <v>2280</v>
      </c>
      <c r="B189" s="170"/>
      <c r="C189" s="177">
        <v>52445</v>
      </c>
      <c r="D189" s="178" t="s">
        <v>3109</v>
      </c>
      <c r="E189" s="178" t="s">
        <v>6793</v>
      </c>
    </row>
    <row r="190" spans="1:5">
      <c r="A190" s="170" t="s">
        <v>2291</v>
      </c>
      <c r="B190" s="170"/>
      <c r="C190" s="177">
        <v>52402</v>
      </c>
      <c r="D190" s="178" t="s">
        <v>5506</v>
      </c>
      <c r="E190" s="178" t="s">
        <v>1352</v>
      </c>
    </row>
    <row r="191" spans="1:5">
      <c r="A191" s="170" t="s">
        <v>2297</v>
      </c>
      <c r="B191" s="170"/>
      <c r="C191" s="177">
        <v>52405</v>
      </c>
      <c r="D191" s="178" t="s">
        <v>4727</v>
      </c>
      <c r="E191" s="178" t="s">
        <v>6794</v>
      </c>
    </row>
    <row r="192" spans="1:5">
      <c r="A192" s="170" t="s">
        <v>2308</v>
      </c>
      <c r="B192" s="170"/>
      <c r="C192" s="177">
        <v>52425</v>
      </c>
      <c r="D192" s="178" t="s">
        <v>2885</v>
      </c>
      <c r="E192" s="178" t="s">
        <v>479</v>
      </c>
    </row>
    <row r="193" spans="1:5">
      <c r="A193" s="170" t="s">
        <v>2314</v>
      </c>
      <c r="B193" s="170"/>
      <c r="C193" s="177">
        <v>52435</v>
      </c>
      <c r="D193" s="178" t="s">
        <v>1656</v>
      </c>
      <c r="E193" s="178" t="s">
        <v>6795</v>
      </c>
    </row>
    <row r="194" spans="1:5">
      <c r="A194" s="170" t="s">
        <v>2323</v>
      </c>
      <c r="B194" s="170"/>
      <c r="C194" s="177">
        <v>52501</v>
      </c>
      <c r="D194" s="178" t="s">
        <v>3047</v>
      </c>
      <c r="E194" s="178" t="s">
        <v>6796</v>
      </c>
    </row>
    <row r="195" spans="1:5">
      <c r="A195" s="170" t="s">
        <v>2329</v>
      </c>
      <c r="B195" s="170"/>
      <c r="C195" s="177">
        <v>52508</v>
      </c>
      <c r="D195" s="178" t="s">
        <v>1053</v>
      </c>
      <c r="E195" s="178" t="s">
        <v>6722</v>
      </c>
    </row>
    <row r="196" spans="1:5">
      <c r="A196" s="170" t="s">
        <v>2339</v>
      </c>
      <c r="B196" s="170"/>
      <c r="C196" s="177">
        <v>52507</v>
      </c>
      <c r="D196" s="178" t="s">
        <v>1436</v>
      </c>
      <c r="E196" s="178" t="s">
        <v>6797</v>
      </c>
    </row>
    <row r="197" spans="1:5">
      <c r="A197" s="170" t="s">
        <v>2345</v>
      </c>
      <c r="B197" s="170"/>
      <c r="C197" s="177">
        <v>52509</v>
      </c>
      <c r="D197" s="178" t="s">
        <v>1921</v>
      </c>
      <c r="E197" s="178" t="s">
        <v>6798</v>
      </c>
    </row>
    <row r="198" spans="1:5">
      <c r="A198" s="170" t="s">
        <v>2356</v>
      </c>
      <c r="B198" s="170"/>
      <c r="C198" s="177">
        <v>52601</v>
      </c>
      <c r="D198" s="178" t="s">
        <v>2194</v>
      </c>
      <c r="E198" s="178" t="s">
        <v>1641</v>
      </c>
    </row>
    <row r="199" spans="1:5">
      <c r="A199" s="170" t="s">
        <v>2361</v>
      </c>
      <c r="B199" s="170"/>
      <c r="C199" s="177">
        <v>52607</v>
      </c>
      <c r="D199" s="178" t="s">
        <v>4747</v>
      </c>
      <c r="E199" s="178" t="s">
        <v>4282</v>
      </c>
    </row>
    <row r="200" spans="1:5">
      <c r="A200" s="170" t="s">
        <v>2371</v>
      </c>
      <c r="B200" s="170"/>
      <c r="C200" s="177" t="s">
        <v>6799</v>
      </c>
      <c r="D200" s="178" t="s">
        <v>1003</v>
      </c>
      <c r="E200" s="178" t="s">
        <v>6731</v>
      </c>
    </row>
    <row r="201" spans="1:5">
      <c r="A201" s="170" t="s">
        <v>2376</v>
      </c>
      <c r="B201" s="170"/>
      <c r="C201" s="177" t="s">
        <v>6800</v>
      </c>
      <c r="D201" s="178" t="s">
        <v>301</v>
      </c>
      <c r="E201" s="178" t="s">
        <v>1371</v>
      </c>
    </row>
    <row r="202" spans="1:5">
      <c r="A202" s="170" t="s">
        <v>2386</v>
      </c>
      <c r="B202" s="170"/>
      <c r="C202" s="177" t="s">
        <v>6801</v>
      </c>
      <c r="D202" s="178" t="s">
        <v>6802</v>
      </c>
      <c r="E202" s="178" t="s">
        <v>6803</v>
      </c>
    </row>
    <row r="203" spans="1:5">
      <c r="A203" s="170" t="s">
        <v>2392</v>
      </c>
      <c r="B203" s="170"/>
      <c r="C203" s="177" t="s">
        <v>6804</v>
      </c>
      <c r="D203" s="178" t="s">
        <v>6805</v>
      </c>
      <c r="E203" s="178" t="s">
        <v>6806</v>
      </c>
    </row>
    <row r="204" spans="1:5">
      <c r="A204" s="170" t="s">
        <v>2403</v>
      </c>
      <c r="B204" s="170"/>
      <c r="C204" s="177" t="s">
        <v>6807</v>
      </c>
      <c r="D204" s="178" t="s">
        <v>6808</v>
      </c>
      <c r="E204" s="178" t="s">
        <v>6809</v>
      </c>
    </row>
    <row r="205" spans="1:5">
      <c r="A205" s="170" t="s">
        <v>2408</v>
      </c>
      <c r="B205" s="170"/>
      <c r="C205" s="177" t="s">
        <v>6810</v>
      </c>
      <c r="D205" s="178" t="s">
        <v>6811</v>
      </c>
      <c r="E205" s="178" t="s">
        <v>6812</v>
      </c>
    </row>
    <row r="206" spans="1:5">
      <c r="A206" s="170" t="s">
        <v>2418</v>
      </c>
      <c r="B206" s="170"/>
      <c r="C206" s="177" t="s">
        <v>6813</v>
      </c>
      <c r="D206" s="178" t="s">
        <v>6814</v>
      </c>
      <c r="E206" s="178" t="s">
        <v>6815</v>
      </c>
    </row>
    <row r="207" spans="1:5">
      <c r="A207" s="170" t="s">
        <v>2424</v>
      </c>
      <c r="B207" s="170"/>
      <c r="C207" s="177" t="s">
        <v>6816</v>
      </c>
      <c r="D207" s="178" t="s">
        <v>6817</v>
      </c>
      <c r="E207" s="178" t="s">
        <v>6818</v>
      </c>
    </row>
    <row r="208" spans="1:5">
      <c r="A208" s="170" t="s">
        <v>2434</v>
      </c>
      <c r="B208" s="170"/>
      <c r="C208" s="177">
        <v>52002</v>
      </c>
      <c r="D208" s="178" t="s">
        <v>6819</v>
      </c>
      <c r="E208" s="178" t="s">
        <v>6820</v>
      </c>
    </row>
    <row r="209" spans="1:5">
      <c r="A209" s="170" t="s">
        <v>2449</v>
      </c>
      <c r="B209" s="170"/>
      <c r="C209" s="177">
        <v>52001</v>
      </c>
      <c r="D209" s="178" t="s">
        <v>6821</v>
      </c>
      <c r="E209" s="178" t="s">
        <v>6822</v>
      </c>
    </row>
    <row r="210" spans="1:5">
      <c r="A210" s="170" t="s">
        <v>2493</v>
      </c>
      <c r="B210" s="170"/>
      <c r="C210" s="177">
        <v>53001</v>
      </c>
      <c r="D210" s="178" t="s">
        <v>6823</v>
      </c>
      <c r="E210" s="178" t="s">
        <v>6824</v>
      </c>
    </row>
    <row r="211" spans="1:5">
      <c r="A211" s="170" t="s">
        <v>2509</v>
      </c>
      <c r="B211" s="170"/>
      <c r="C211" s="177">
        <v>53201</v>
      </c>
      <c r="D211" s="178" t="s">
        <v>6825</v>
      </c>
      <c r="E211" s="178" t="s">
        <v>6826</v>
      </c>
    </row>
    <row r="212" spans="1:5">
      <c r="A212" s="170" t="s">
        <v>2523</v>
      </c>
      <c r="B212" s="170"/>
      <c r="C212" s="177">
        <v>53501</v>
      </c>
      <c r="D212" s="178" t="s">
        <v>6827</v>
      </c>
      <c r="E212" s="178" t="s">
        <v>6828</v>
      </c>
    </row>
    <row r="213" spans="1:5">
      <c r="A213" s="170" t="s">
        <v>2538</v>
      </c>
      <c r="B213" s="170"/>
      <c r="C213" s="177">
        <v>53312</v>
      </c>
      <c r="D213" s="178" t="s">
        <v>6829</v>
      </c>
      <c r="E213" s="178" t="s">
        <v>4143</v>
      </c>
    </row>
    <row r="214" spans="1:5">
      <c r="A214" s="170" t="s">
        <v>2544</v>
      </c>
      <c r="B214" s="170"/>
      <c r="C214" s="177">
        <v>53207</v>
      </c>
      <c r="D214" s="178" t="s">
        <v>6830</v>
      </c>
      <c r="E214" s="178" t="s">
        <v>6831</v>
      </c>
    </row>
    <row r="215" spans="1:5">
      <c r="A215" s="170" t="s">
        <v>2555</v>
      </c>
      <c r="B215" s="170"/>
      <c r="C215" s="177">
        <v>53507</v>
      </c>
      <c r="D215" s="178" t="s">
        <v>6832</v>
      </c>
      <c r="E215" s="178" t="s">
        <v>6833</v>
      </c>
    </row>
    <row r="216" spans="1:5">
      <c r="A216" s="170" t="s">
        <v>2571</v>
      </c>
      <c r="B216" s="170"/>
      <c r="C216" s="177">
        <v>53509</v>
      </c>
      <c r="D216" s="178" t="s">
        <v>6834</v>
      </c>
      <c r="E216" s="178" t="s">
        <v>3634</v>
      </c>
    </row>
    <row r="217" spans="1:5">
      <c r="A217" s="170" t="s">
        <v>2577</v>
      </c>
      <c r="B217" s="170"/>
      <c r="C217" s="177">
        <v>53508</v>
      </c>
      <c r="D217" s="178" t="s">
        <v>6835</v>
      </c>
      <c r="E217" s="178" t="s">
        <v>6836</v>
      </c>
    </row>
    <row r="218" spans="1:5">
      <c r="A218" s="170" t="s">
        <v>2588</v>
      </c>
      <c r="B218" s="170"/>
      <c r="C218" s="177">
        <v>53209</v>
      </c>
      <c r="D218" s="178" t="s">
        <v>6837</v>
      </c>
      <c r="E218" s="178" t="s">
        <v>6838</v>
      </c>
    </row>
    <row r="219" spans="1:5">
      <c r="A219" s="170" t="s">
        <v>2593</v>
      </c>
      <c r="B219" s="170"/>
      <c r="C219" s="177">
        <v>53502</v>
      </c>
      <c r="D219" s="178" t="s">
        <v>6839</v>
      </c>
      <c r="E219" s="178" t="s">
        <v>6840</v>
      </c>
    </row>
    <row r="220" spans="1:5">
      <c r="A220" s="170" t="s">
        <v>2603</v>
      </c>
      <c r="B220" s="170"/>
      <c r="C220" s="177">
        <v>53307</v>
      </c>
      <c r="D220" s="178" t="s">
        <v>6841</v>
      </c>
      <c r="E220" s="178" t="s">
        <v>6842</v>
      </c>
    </row>
    <row r="221" spans="1:5">
      <c r="A221" s="170" t="s">
        <v>2608</v>
      </c>
      <c r="B221" s="170"/>
      <c r="C221" s="177">
        <v>53408</v>
      </c>
      <c r="D221" s="178" t="s">
        <v>6843</v>
      </c>
      <c r="E221" s="178" t="s">
        <v>6844</v>
      </c>
    </row>
    <row r="222" spans="1:5">
      <c r="A222" s="170" t="s">
        <v>2618</v>
      </c>
      <c r="B222" s="170"/>
      <c r="C222" s="177">
        <v>53313</v>
      </c>
      <c r="D222" s="178" t="s">
        <v>6845</v>
      </c>
      <c r="E222" s="178" t="s">
        <v>6846</v>
      </c>
    </row>
    <row r="223" spans="1:5">
      <c r="A223" s="170" t="s">
        <v>2623</v>
      </c>
      <c r="B223" s="170"/>
      <c r="C223" s="177">
        <v>53107</v>
      </c>
      <c r="D223" s="178" t="s">
        <v>6847</v>
      </c>
      <c r="E223" s="178" t="s">
        <v>6848</v>
      </c>
    </row>
    <row r="224" spans="1:5">
      <c r="A224" s="170" t="s">
        <v>2633</v>
      </c>
      <c r="B224" s="170"/>
      <c r="C224" s="177">
        <v>53407</v>
      </c>
      <c r="D224" s="178" t="s">
        <v>6849</v>
      </c>
      <c r="E224" s="178" t="s">
        <v>6850</v>
      </c>
    </row>
    <row r="225" spans="1:5">
      <c r="A225" s="170" t="s">
        <v>2648</v>
      </c>
      <c r="B225" s="170"/>
      <c r="C225" s="177">
        <v>52801</v>
      </c>
      <c r="D225" s="178" t="s">
        <v>6851</v>
      </c>
      <c r="E225" s="178" t="s">
        <v>6852</v>
      </c>
    </row>
    <row r="226" spans="1:5">
      <c r="A226" s="170" t="s">
        <v>2691</v>
      </c>
      <c r="B226" s="170"/>
      <c r="C226" s="177">
        <v>53409</v>
      </c>
      <c r="D226" s="178" t="s">
        <v>6853</v>
      </c>
      <c r="E226" s="178" t="s">
        <v>6854</v>
      </c>
    </row>
    <row r="227" spans="1:5">
      <c r="A227" s="170" t="s">
        <v>2696</v>
      </c>
      <c r="B227" s="170"/>
      <c r="C227" s="177">
        <v>53310</v>
      </c>
      <c r="D227" s="178" t="s">
        <v>6855</v>
      </c>
      <c r="E227" s="178" t="s">
        <v>3897</v>
      </c>
    </row>
    <row r="228" spans="1:5">
      <c r="A228" s="170" t="s">
        <v>2706</v>
      </c>
      <c r="B228" s="170"/>
      <c r="C228" s="177">
        <v>53308</v>
      </c>
      <c r="D228" s="178" t="s">
        <v>6856</v>
      </c>
      <c r="E228" s="178" t="s">
        <v>6857</v>
      </c>
    </row>
    <row r="229" spans="1:5">
      <c r="A229" s="170" t="s">
        <v>2712</v>
      </c>
      <c r="B229" s="170"/>
      <c r="C229" s="177">
        <v>53208</v>
      </c>
      <c r="D229" s="178" t="s">
        <v>6858</v>
      </c>
      <c r="E229" s="178" t="s">
        <v>6859</v>
      </c>
    </row>
    <row r="230" spans="1:5">
      <c r="A230" s="170" t="s">
        <v>2723</v>
      </c>
      <c r="B230" s="170"/>
      <c r="C230" s="177">
        <v>53102</v>
      </c>
      <c r="D230" s="178" t="s">
        <v>6860</v>
      </c>
      <c r="E230" s="178" t="s">
        <v>6861</v>
      </c>
    </row>
    <row r="231" spans="1:5">
      <c r="A231" s="170" t="s">
        <v>2729</v>
      </c>
      <c r="B231" s="170"/>
      <c r="C231" s="177">
        <v>53108</v>
      </c>
      <c r="D231" s="178" t="s">
        <v>6862</v>
      </c>
      <c r="E231" s="178" t="s">
        <v>6863</v>
      </c>
    </row>
    <row r="232" spans="1:5">
      <c r="A232" s="170" t="s">
        <v>2740</v>
      </c>
      <c r="B232" s="170"/>
      <c r="C232" s="177">
        <v>53101</v>
      </c>
      <c r="D232" s="178" t="s">
        <v>6864</v>
      </c>
      <c r="E232" s="178" t="s">
        <v>1341</v>
      </c>
    </row>
    <row r="233" spans="1:5">
      <c r="A233" s="170" t="s">
        <v>2746</v>
      </c>
      <c r="B233" s="170"/>
      <c r="C233" s="177">
        <v>53302</v>
      </c>
      <c r="D233" s="178" t="s">
        <v>6865</v>
      </c>
      <c r="E233" s="178" t="s">
        <v>518</v>
      </c>
    </row>
    <row r="234" spans="1:5">
      <c r="A234" s="170" t="s">
        <v>2756</v>
      </c>
      <c r="B234" s="170"/>
      <c r="C234" s="177">
        <v>53301</v>
      </c>
      <c r="D234" s="178" t="s">
        <v>6866</v>
      </c>
      <c r="E234" s="178" t="s">
        <v>6867</v>
      </c>
    </row>
    <row r="235" spans="1:5">
      <c r="A235" s="170" t="s">
        <v>2761</v>
      </c>
      <c r="B235" s="170"/>
      <c r="C235" s="177">
        <v>53311</v>
      </c>
      <c r="D235" s="178" t="s">
        <v>6868</v>
      </c>
      <c r="E235" s="178" t="s">
        <v>6869</v>
      </c>
    </row>
    <row r="236" spans="1:5">
      <c r="A236" s="170" t="s">
        <v>2770</v>
      </c>
      <c r="B236" s="170"/>
      <c r="C236" s="177">
        <v>53401</v>
      </c>
      <c r="D236" s="178" t="s">
        <v>6870</v>
      </c>
      <c r="E236" s="178" t="s">
        <v>6871</v>
      </c>
    </row>
    <row r="237" spans="1:5">
      <c r="A237" s="170" t="s">
        <v>2785</v>
      </c>
      <c r="B237" s="170"/>
      <c r="C237" s="177">
        <v>53002</v>
      </c>
      <c r="D237" s="178" t="s">
        <v>6872</v>
      </c>
      <c r="E237" s="178" t="s">
        <v>6873</v>
      </c>
    </row>
    <row r="238" spans="1:5">
      <c r="A238" s="170" t="s">
        <v>3284</v>
      </c>
      <c r="B238" s="170"/>
      <c r="C238" s="177" t="s">
        <v>6874</v>
      </c>
      <c r="D238" s="178" t="s">
        <v>6875</v>
      </c>
      <c r="E238" s="178" t="s">
        <v>6876</v>
      </c>
    </row>
    <row r="239" spans="1:5">
      <c r="A239" s="170" t="s">
        <v>3288</v>
      </c>
      <c r="B239" s="170"/>
      <c r="C239" s="177" t="s">
        <v>6877</v>
      </c>
      <c r="D239" s="178" t="s">
        <v>6878</v>
      </c>
      <c r="E239" s="178" t="s">
        <v>6879</v>
      </c>
    </row>
    <row r="240" spans="1:5">
      <c r="A240" s="170" t="s">
        <v>3297</v>
      </c>
      <c r="B240" s="170"/>
      <c r="C240" s="177" t="s">
        <v>6880</v>
      </c>
      <c r="D240" s="178" t="s">
        <v>6881</v>
      </c>
      <c r="E240" s="178" t="s">
        <v>6882</v>
      </c>
    </row>
    <row r="241" spans="1:5">
      <c r="A241" s="170" t="s">
        <v>3302</v>
      </c>
      <c r="B241" s="170"/>
      <c r="C241" s="177" t="s">
        <v>6883</v>
      </c>
      <c r="D241" s="178" t="s">
        <v>6884</v>
      </c>
      <c r="E241" s="178" t="s">
        <v>6885</v>
      </c>
    </row>
    <row r="242" spans="1:5">
      <c r="A242" s="170" t="s">
        <v>3311</v>
      </c>
      <c r="B242" s="170"/>
      <c r="C242" s="177" t="s">
        <v>6886</v>
      </c>
      <c r="D242" s="178" t="s">
        <v>6887</v>
      </c>
      <c r="E242" s="178" t="s">
        <v>6888</v>
      </c>
    </row>
    <row r="243" spans="1:5">
      <c r="A243" s="170" t="s">
        <v>3316</v>
      </c>
      <c r="B243" s="170"/>
      <c r="C243" s="177" t="s">
        <v>6889</v>
      </c>
      <c r="D243" s="178" t="s">
        <v>6890</v>
      </c>
      <c r="E243" s="178" t="s">
        <v>6650</v>
      </c>
    </row>
    <row r="244" spans="1:5">
      <c r="A244" s="170" t="s">
        <v>3325</v>
      </c>
      <c r="B244" s="170"/>
      <c r="C244" s="177" t="s">
        <v>6891</v>
      </c>
      <c r="D244" s="178" t="s">
        <v>6892</v>
      </c>
      <c r="E244" s="178" t="s">
        <v>6893</v>
      </c>
    </row>
    <row r="245" spans="1:5">
      <c r="A245" s="170" t="s">
        <v>3329</v>
      </c>
      <c r="B245" s="170"/>
      <c r="C245" s="177" t="s">
        <v>6894</v>
      </c>
      <c r="D245" s="178" t="s">
        <v>6895</v>
      </c>
      <c r="E245" s="178" t="s">
        <v>6896</v>
      </c>
    </row>
    <row r="246" spans="1:5">
      <c r="A246" s="170" t="s">
        <v>3338</v>
      </c>
      <c r="B246" s="170"/>
      <c r="C246" s="177" t="s">
        <v>6897</v>
      </c>
      <c r="D246" s="178" t="s">
        <v>6898</v>
      </c>
      <c r="E246" s="178" t="s">
        <v>6899</v>
      </c>
    </row>
    <row r="247" spans="1:5">
      <c r="A247" s="170" t="s">
        <v>3342</v>
      </c>
      <c r="B247" s="170"/>
      <c r="C247" s="177" t="s">
        <v>6900</v>
      </c>
      <c r="D247" s="178" t="s">
        <v>6901</v>
      </c>
      <c r="E247" s="178" t="s">
        <v>6902</v>
      </c>
    </row>
    <row r="248" spans="1:5">
      <c r="A248" s="170" t="s">
        <v>3352</v>
      </c>
      <c r="B248" s="170"/>
      <c r="C248" s="177" t="s">
        <v>6903</v>
      </c>
      <c r="D248" s="178" t="s">
        <v>6904</v>
      </c>
      <c r="E248" s="178" t="s">
        <v>6905</v>
      </c>
    </row>
    <row r="249" spans="1:5">
      <c r="A249" s="170" t="s">
        <v>3356</v>
      </c>
      <c r="B249" s="170"/>
      <c r="C249" s="177" t="s">
        <v>6906</v>
      </c>
      <c r="D249" s="178" t="s">
        <v>6907</v>
      </c>
      <c r="E249" s="178" t="s">
        <v>6908</v>
      </c>
    </row>
    <row r="250" spans="1:5">
      <c r="A250" s="170" t="s">
        <v>3536</v>
      </c>
      <c r="B250" s="170"/>
      <c r="C250" s="177">
        <v>51401</v>
      </c>
      <c r="D250" s="178" t="s">
        <v>6909</v>
      </c>
      <c r="E250" s="178" t="s">
        <v>6910</v>
      </c>
    </row>
    <row r="251" spans="1:5">
      <c r="A251" s="170" t="s">
        <v>3541</v>
      </c>
      <c r="B251" s="170"/>
      <c r="C251" s="177">
        <v>51203</v>
      </c>
      <c r="D251" s="178" t="s">
        <v>6911</v>
      </c>
      <c r="E251" s="178" t="s">
        <v>6912</v>
      </c>
    </row>
    <row r="252" spans="1:5">
      <c r="A252" s="170" t="s">
        <v>3556</v>
      </c>
      <c r="B252" s="170"/>
      <c r="C252" s="177">
        <v>51407</v>
      </c>
      <c r="D252" s="178" t="s">
        <v>6913</v>
      </c>
      <c r="E252" s="178" t="s">
        <v>6914</v>
      </c>
    </row>
    <row r="253" spans="1:5">
      <c r="A253" s="170" t="s">
        <v>3561</v>
      </c>
      <c r="B253" s="170"/>
      <c r="C253" s="177">
        <v>51501</v>
      </c>
      <c r="D253" s="178" t="s">
        <v>6915</v>
      </c>
      <c r="E253" s="178" t="s">
        <v>6916</v>
      </c>
    </row>
    <row r="254" spans="1:5">
      <c r="A254" s="170" t="s">
        <v>3581</v>
      </c>
      <c r="B254" s="170"/>
      <c r="C254" s="177">
        <v>51105</v>
      </c>
      <c r="D254" s="178" t="s">
        <v>6917</v>
      </c>
      <c r="E254" s="178" t="s">
        <v>6918</v>
      </c>
    </row>
    <row r="255" spans="1:5">
      <c r="A255" s="170" t="s">
        <v>3591</v>
      </c>
      <c r="B255" s="170"/>
      <c r="C255" s="177">
        <v>51108</v>
      </c>
      <c r="D255" s="178" t="s">
        <v>6919</v>
      </c>
      <c r="E255" s="178" t="s">
        <v>6920</v>
      </c>
    </row>
    <row r="256" spans="1:5">
      <c r="A256" s="170" t="s">
        <v>3619</v>
      </c>
      <c r="B256" s="170"/>
      <c r="C256" s="177">
        <v>51305</v>
      </c>
      <c r="D256" s="178" t="s">
        <v>6921</v>
      </c>
      <c r="E256" s="178" t="s">
        <v>6922</v>
      </c>
    </row>
    <row r="257" spans="1:5">
      <c r="A257" s="170" t="s">
        <v>3624</v>
      </c>
      <c r="B257" s="170"/>
      <c r="C257" s="177">
        <v>51207</v>
      </c>
      <c r="D257" s="178" t="s">
        <v>6923</v>
      </c>
      <c r="E257" s="178" t="s">
        <v>6924</v>
      </c>
    </row>
    <row r="258" spans="1:5">
      <c r="A258" s="200" t="s">
        <v>3640</v>
      </c>
      <c r="B258" s="200"/>
      <c r="C258" s="177">
        <v>51307</v>
      </c>
      <c r="D258" s="201" t="s">
        <v>6925</v>
      </c>
      <c r="E258" s="201" t="s">
        <v>5937</v>
      </c>
    </row>
    <row r="259" spans="1:5">
      <c r="A259" s="200" t="s">
        <v>3646</v>
      </c>
      <c r="B259" s="200"/>
      <c r="C259" s="177">
        <v>51308</v>
      </c>
      <c r="D259" s="201" t="s">
        <v>6926</v>
      </c>
      <c r="E259" s="201" t="s">
        <v>6927</v>
      </c>
    </row>
    <row r="260" spans="1:5">
      <c r="A260" s="201" t="s">
        <v>3660</v>
      </c>
      <c r="B260" s="200"/>
      <c r="C260" s="177">
        <v>51001</v>
      </c>
      <c r="D260" s="201" t="s">
        <v>6928</v>
      </c>
      <c r="E260" s="201" t="s">
        <v>3411</v>
      </c>
    </row>
    <row r="261" spans="1:5">
      <c r="A261" s="201" t="s">
        <v>3681</v>
      </c>
      <c r="B261" s="200"/>
      <c r="C261" s="177">
        <v>51002</v>
      </c>
      <c r="D261" s="201" t="s">
        <v>6929</v>
      </c>
      <c r="E261" s="201" t="s">
        <v>6930</v>
      </c>
    </row>
    <row r="262" spans="1:5">
      <c r="A262" s="200" t="s">
        <v>3806</v>
      </c>
      <c r="B262" s="200"/>
      <c r="C262" s="177">
        <v>51205</v>
      </c>
      <c r="D262" s="201" t="s">
        <v>6931</v>
      </c>
      <c r="E262" s="201" t="s">
        <v>6932</v>
      </c>
    </row>
    <row r="263" spans="1:5">
      <c r="A263" s="200" t="s">
        <v>3826</v>
      </c>
      <c r="B263" s="200"/>
      <c r="C263" s="177">
        <v>51208</v>
      </c>
      <c r="D263" s="201" t="s">
        <v>6933</v>
      </c>
      <c r="E263" s="201" t="s">
        <v>6934</v>
      </c>
    </row>
    <row r="264" spans="1:5">
      <c r="A264" s="170" t="s">
        <v>3832</v>
      </c>
      <c r="B264" s="170"/>
      <c r="C264" s="177">
        <v>51303</v>
      </c>
      <c r="D264" s="178" t="s">
        <v>6935</v>
      </c>
      <c r="E264" s="178" t="s">
        <v>6936</v>
      </c>
    </row>
    <row r="265" spans="1:5">
      <c r="A265" s="170" t="s">
        <v>3847</v>
      </c>
      <c r="B265" s="170"/>
      <c r="C265" s="177">
        <v>51107</v>
      </c>
      <c r="D265" s="178" t="s">
        <v>6937</v>
      </c>
      <c r="E265" s="178" t="s">
        <v>6938</v>
      </c>
    </row>
    <row r="266" spans="1:5">
      <c r="A266" s="170" t="s">
        <v>3853</v>
      </c>
      <c r="B266" s="170"/>
      <c r="C266" s="177">
        <v>51103</v>
      </c>
      <c r="D266" s="178" t="s">
        <v>6939</v>
      </c>
      <c r="E266" s="178" t="s">
        <v>6940</v>
      </c>
    </row>
    <row r="267" spans="1:5">
      <c r="A267" s="170" t="s">
        <v>3867</v>
      </c>
      <c r="B267" s="170"/>
      <c r="C267" s="177">
        <v>51505</v>
      </c>
      <c r="D267" s="178" t="s">
        <v>6941</v>
      </c>
      <c r="E267" s="178" t="s">
        <v>5331</v>
      </c>
    </row>
    <row r="268" spans="1:5">
      <c r="A268" s="170" t="s">
        <v>3872</v>
      </c>
      <c r="B268" s="170"/>
      <c r="C268" s="177">
        <v>51515</v>
      </c>
      <c r="D268" s="178" t="s">
        <v>6942</v>
      </c>
      <c r="E268" s="178" t="s">
        <v>2144</v>
      </c>
    </row>
    <row r="269" spans="1:5">
      <c r="A269" s="170" t="s">
        <v>3887</v>
      </c>
      <c r="B269" s="170"/>
      <c r="C269" s="177">
        <v>51405</v>
      </c>
      <c r="D269" s="178" t="s">
        <v>6943</v>
      </c>
      <c r="E269" s="178" t="s">
        <v>5125</v>
      </c>
    </row>
    <row r="270" spans="1:5">
      <c r="A270" s="170" t="s">
        <v>3892</v>
      </c>
      <c r="B270" s="170"/>
      <c r="C270" s="177">
        <v>51408</v>
      </c>
      <c r="D270" s="178" t="s">
        <v>6944</v>
      </c>
      <c r="E270" s="178" t="s">
        <v>6945</v>
      </c>
    </row>
    <row r="271" spans="1:5">
      <c r="A271" s="170" t="s">
        <v>4350</v>
      </c>
      <c r="B271" s="170"/>
      <c r="C271" s="177">
        <v>55001</v>
      </c>
      <c r="D271" s="178" t="s">
        <v>6946</v>
      </c>
      <c r="E271" s="178" t="s">
        <v>1090</v>
      </c>
    </row>
    <row r="272" spans="1:5">
      <c r="A272" s="170" t="s">
        <v>4366</v>
      </c>
      <c r="B272" s="170"/>
      <c r="C272" s="177">
        <v>55625</v>
      </c>
      <c r="D272" s="178" t="s">
        <v>6947</v>
      </c>
      <c r="E272" s="178" t="s">
        <v>6948</v>
      </c>
    </row>
    <row r="273" spans="1:5">
      <c r="A273" s="170" t="s">
        <v>4372</v>
      </c>
      <c r="B273" s="170"/>
      <c r="C273" s="177">
        <v>55501</v>
      </c>
      <c r="D273" s="178" t="s">
        <v>6949</v>
      </c>
      <c r="E273" s="178" t="s">
        <v>4446</v>
      </c>
    </row>
    <row r="274" spans="1:5">
      <c r="A274" s="170" t="s">
        <v>4382</v>
      </c>
      <c r="B274" s="170"/>
      <c r="C274" s="177">
        <v>55315</v>
      </c>
      <c r="D274" s="178" t="s">
        <v>6950</v>
      </c>
      <c r="E274" s="178" t="s">
        <v>6951</v>
      </c>
    </row>
    <row r="275" spans="1:5">
      <c r="A275" s="170" t="s">
        <v>4388</v>
      </c>
      <c r="B275" s="170"/>
      <c r="C275" s="177">
        <v>55415</v>
      </c>
      <c r="D275" s="178" t="s">
        <v>6952</v>
      </c>
      <c r="E275" s="178" t="s">
        <v>4702</v>
      </c>
    </row>
    <row r="276" spans="1:5">
      <c r="A276" s="170" t="s">
        <v>4399</v>
      </c>
      <c r="B276" s="170"/>
      <c r="C276" s="177" t="s">
        <v>6953</v>
      </c>
      <c r="D276" s="178" t="s">
        <v>6954</v>
      </c>
      <c r="E276" s="178" t="s">
        <v>3201</v>
      </c>
    </row>
    <row r="277" spans="1:5">
      <c r="A277" s="170" t="s">
        <v>4405</v>
      </c>
      <c r="B277" s="170"/>
      <c r="C277" s="177" t="s">
        <v>6955</v>
      </c>
      <c r="D277" s="178" t="s">
        <v>6956</v>
      </c>
      <c r="E277" s="178" t="s">
        <v>6957</v>
      </c>
    </row>
    <row r="278" spans="1:5">
      <c r="A278" s="170" t="s">
        <v>4414</v>
      </c>
      <c r="B278" s="170"/>
      <c r="C278" s="177">
        <v>55201</v>
      </c>
      <c r="D278" s="178" t="s">
        <v>6958</v>
      </c>
      <c r="E278" s="178" t="s">
        <v>6959</v>
      </c>
    </row>
    <row r="279" spans="1:5">
      <c r="A279" s="170" t="s">
        <v>4419</v>
      </c>
      <c r="B279" s="170"/>
      <c r="C279" s="177">
        <v>55305</v>
      </c>
      <c r="D279" s="178" t="s">
        <v>6960</v>
      </c>
      <c r="E279" s="178" t="s">
        <v>6961</v>
      </c>
    </row>
    <row r="280" spans="1:5">
      <c r="A280" s="170" t="s">
        <v>4430</v>
      </c>
      <c r="B280" s="170"/>
      <c r="C280" s="177">
        <v>55405</v>
      </c>
      <c r="D280" s="178" t="s">
        <v>6962</v>
      </c>
      <c r="E280" s="178" t="s">
        <v>6963</v>
      </c>
    </row>
    <row r="281" spans="1:5">
      <c r="A281" s="200" t="s">
        <v>4436</v>
      </c>
      <c r="B281" s="200"/>
      <c r="C281" s="177">
        <v>55205</v>
      </c>
      <c r="D281" s="201" t="s">
        <v>6964</v>
      </c>
      <c r="E281" s="201" t="s">
        <v>6965</v>
      </c>
    </row>
    <row r="282" spans="1:5">
      <c r="A282" s="200" t="s">
        <v>4447</v>
      </c>
      <c r="B282" s="200"/>
      <c r="C282" s="177">
        <v>55401</v>
      </c>
      <c r="D282" s="201" t="s">
        <v>6966</v>
      </c>
      <c r="E282" s="201" t="s">
        <v>6967</v>
      </c>
    </row>
    <row r="283" spans="1:5">
      <c r="A283" s="200" t="s">
        <v>4453</v>
      </c>
      <c r="B283" s="200"/>
      <c r="C283" s="177">
        <v>55665</v>
      </c>
      <c r="D283" s="201" t="s">
        <v>6968</v>
      </c>
      <c r="E283" s="201" t="s">
        <v>6969</v>
      </c>
    </row>
    <row r="284" spans="1:5">
      <c r="A284" s="200" t="s">
        <v>4464</v>
      </c>
      <c r="B284" s="200"/>
      <c r="C284" s="177">
        <v>55202</v>
      </c>
      <c r="D284" s="201" t="s">
        <v>6970</v>
      </c>
      <c r="E284" s="201" t="s">
        <v>6971</v>
      </c>
    </row>
    <row r="285" spans="1:5">
      <c r="A285" s="200" t="s">
        <v>4470</v>
      </c>
      <c r="B285" s="200"/>
      <c r="C285" s="177">
        <v>55655</v>
      </c>
      <c r="D285" s="201" t="s">
        <v>6972</v>
      </c>
      <c r="E285" s="201" t="s">
        <v>6973</v>
      </c>
    </row>
    <row r="286" spans="1:5">
      <c r="A286" s="200" t="s">
        <v>4481</v>
      </c>
      <c r="B286" s="200"/>
      <c r="C286" s="177">
        <v>55115</v>
      </c>
      <c r="D286" s="201" t="s">
        <v>6974</v>
      </c>
      <c r="E286" s="201" t="s">
        <v>6975</v>
      </c>
    </row>
    <row r="287" spans="1:5">
      <c r="A287" s="200" t="s">
        <v>4486</v>
      </c>
      <c r="B287" s="200"/>
      <c r="C287" s="177">
        <v>55215</v>
      </c>
      <c r="D287" s="201" t="s">
        <v>6976</v>
      </c>
      <c r="E287" s="201" t="s">
        <v>6977</v>
      </c>
    </row>
    <row r="288" spans="1:5">
      <c r="A288" s="200" t="s">
        <v>4496</v>
      </c>
      <c r="B288" s="200"/>
      <c r="C288" s="177">
        <v>55125</v>
      </c>
      <c r="D288" s="201" t="s">
        <v>6978</v>
      </c>
      <c r="E288" s="201" t="s">
        <v>6979</v>
      </c>
    </row>
    <row r="289" spans="1:5">
      <c r="A289" s="170" t="s">
        <v>4503</v>
      </c>
      <c r="B289" s="170"/>
      <c r="C289" s="177">
        <v>55325</v>
      </c>
      <c r="D289" s="178" t="s">
        <v>6980</v>
      </c>
      <c r="E289" s="178" t="s">
        <v>6981</v>
      </c>
    </row>
    <row r="290" spans="1:5">
      <c r="A290" s="170" t="s">
        <v>4525</v>
      </c>
      <c r="B290" s="170"/>
      <c r="C290" s="177">
        <v>54207</v>
      </c>
      <c r="D290" s="178" t="s">
        <v>6982</v>
      </c>
      <c r="E290" s="178" t="s">
        <v>6983</v>
      </c>
    </row>
    <row r="291" spans="1:5">
      <c r="A291" s="170" t="s">
        <v>4539</v>
      </c>
      <c r="B291" s="170"/>
      <c r="C291" s="177">
        <v>54111</v>
      </c>
      <c r="D291" s="178" t="s">
        <v>6984</v>
      </c>
      <c r="E291" s="178" t="s">
        <v>386</v>
      </c>
    </row>
    <row r="292" spans="1:5">
      <c r="A292" s="170" t="s">
        <v>4554</v>
      </c>
      <c r="B292" s="170"/>
      <c r="C292" s="177">
        <v>55601</v>
      </c>
      <c r="D292" s="178" t="s">
        <v>6985</v>
      </c>
      <c r="E292" s="178" t="s">
        <v>6986</v>
      </c>
    </row>
    <row r="293" spans="1:5">
      <c r="A293" s="170" t="s">
        <v>4559</v>
      </c>
      <c r="B293" s="170"/>
      <c r="C293" s="177">
        <v>55105</v>
      </c>
      <c r="D293" s="178" t="s">
        <v>6987</v>
      </c>
      <c r="E293" s="178" t="s">
        <v>6988</v>
      </c>
    </row>
    <row r="294" spans="1:5">
      <c r="A294" s="170" t="s">
        <v>4569</v>
      </c>
      <c r="B294" s="170"/>
      <c r="C294" s="177">
        <v>55335</v>
      </c>
      <c r="D294" s="178" t="s">
        <v>6989</v>
      </c>
      <c r="E294" s="178" t="s">
        <v>6990</v>
      </c>
    </row>
    <row r="295" spans="1:5">
      <c r="A295" s="170" t="s">
        <v>4575</v>
      </c>
      <c r="B295" s="170"/>
      <c r="C295" s="177">
        <v>55302</v>
      </c>
      <c r="D295" s="178" t="s">
        <v>6991</v>
      </c>
      <c r="E295" s="178" t="s">
        <v>6992</v>
      </c>
    </row>
    <row r="296" spans="1:5">
      <c r="A296" s="170" t="s">
        <v>4586</v>
      </c>
      <c r="B296" s="170"/>
      <c r="C296" s="177">
        <v>55675</v>
      </c>
      <c r="D296" s="178" t="s">
        <v>6993</v>
      </c>
      <c r="E296" s="178" t="s">
        <v>6994</v>
      </c>
    </row>
    <row r="297" spans="1:5">
      <c r="A297" s="170" t="s">
        <v>4592</v>
      </c>
      <c r="B297" s="170"/>
      <c r="C297" s="177">
        <v>55645</v>
      </c>
      <c r="D297" s="178" t="s">
        <v>6995</v>
      </c>
      <c r="E297" s="178" t="s">
        <v>6996</v>
      </c>
    </row>
    <row r="298" spans="1:5">
      <c r="A298" s="170" t="s">
        <v>4602</v>
      </c>
      <c r="B298" s="170"/>
      <c r="C298" s="177">
        <v>55101</v>
      </c>
      <c r="D298" s="178" t="s">
        <v>6997</v>
      </c>
      <c r="E298" s="178" t="s">
        <v>6998</v>
      </c>
    </row>
    <row r="299" spans="1:5">
      <c r="A299" s="170" t="s">
        <v>4607</v>
      </c>
      <c r="B299" s="170"/>
      <c r="C299" s="177">
        <v>55605</v>
      </c>
      <c r="D299" s="178" t="s">
        <v>6999</v>
      </c>
      <c r="E299" s="178" t="s">
        <v>7000</v>
      </c>
    </row>
    <row r="300" spans="1:5">
      <c r="A300" s="170" t="s">
        <v>4619</v>
      </c>
      <c r="B300" s="170"/>
      <c r="C300" s="177">
        <v>55602</v>
      </c>
      <c r="D300" s="178" t="s">
        <v>7001</v>
      </c>
      <c r="E300" s="178" t="s">
        <v>7002</v>
      </c>
    </row>
    <row r="301" spans="1:5">
      <c r="A301" s="170" t="s">
        <v>4624</v>
      </c>
      <c r="B301" s="170"/>
      <c r="C301" s="177">
        <v>55615</v>
      </c>
      <c r="D301" s="178" t="s">
        <v>7003</v>
      </c>
      <c r="E301" s="178" t="s">
        <v>7004</v>
      </c>
    </row>
    <row r="302" spans="1:5">
      <c r="A302" s="170" t="s">
        <v>4634</v>
      </c>
      <c r="B302" s="170"/>
      <c r="C302" s="177">
        <v>55505</v>
      </c>
      <c r="D302" s="178" t="s">
        <v>7005</v>
      </c>
      <c r="E302" s="178" t="s">
        <v>4585</v>
      </c>
    </row>
    <row r="303" spans="1:5">
      <c r="A303" s="170" t="s">
        <v>4640</v>
      </c>
      <c r="B303" s="170"/>
      <c r="C303" s="177">
        <v>55301</v>
      </c>
      <c r="D303" s="178" t="s">
        <v>7006</v>
      </c>
      <c r="E303" s="178" t="s">
        <v>7007</v>
      </c>
    </row>
    <row r="304" spans="1:5">
      <c r="A304" s="170" t="s">
        <v>4651</v>
      </c>
      <c r="B304" s="170"/>
      <c r="C304" s="177">
        <v>55002</v>
      </c>
      <c r="D304" s="178" t="s">
        <v>7008</v>
      </c>
      <c r="E304" s="178" t="s">
        <v>7009</v>
      </c>
    </row>
    <row r="305" spans="1:5">
      <c r="A305" s="170" t="s">
        <v>4691</v>
      </c>
      <c r="B305" s="170"/>
      <c r="C305" s="177">
        <v>50001</v>
      </c>
      <c r="D305" s="178" t="s">
        <v>7010</v>
      </c>
      <c r="E305" s="178" t="s">
        <v>2790</v>
      </c>
    </row>
    <row r="306" spans="1:5">
      <c r="A306" s="170" t="s">
        <v>4707</v>
      </c>
      <c r="B306" s="170"/>
      <c r="C306" s="177">
        <v>500041</v>
      </c>
      <c r="D306" s="178" t="s">
        <v>7011</v>
      </c>
      <c r="E306" s="178" t="s">
        <v>7012</v>
      </c>
    </row>
    <row r="307" spans="1:5">
      <c r="A307" s="170" t="s">
        <v>4722</v>
      </c>
      <c r="B307" s="170"/>
      <c r="C307" s="177">
        <v>50003</v>
      </c>
      <c r="D307" s="178" t="s">
        <v>7013</v>
      </c>
      <c r="E307" s="178" t="s">
        <v>7014</v>
      </c>
    </row>
    <row r="308" spans="1:5">
      <c r="A308" s="170" t="s">
        <v>4737</v>
      </c>
      <c r="B308" s="170"/>
      <c r="C308" s="177">
        <v>54002</v>
      </c>
      <c r="D308" s="178" t="s">
        <v>7015</v>
      </c>
      <c r="E308" s="178" t="s">
        <v>7016</v>
      </c>
    </row>
    <row r="309" spans="1:5">
      <c r="A309" s="170" t="s">
        <v>4753</v>
      </c>
      <c r="B309" s="170"/>
      <c r="C309" s="177">
        <v>54106</v>
      </c>
      <c r="D309" s="178" t="s">
        <v>7017</v>
      </c>
      <c r="E309" s="178" t="s">
        <v>7018</v>
      </c>
    </row>
    <row r="310" spans="1:5">
      <c r="A310" s="170" t="s">
        <v>4759</v>
      </c>
      <c r="B310" s="170"/>
      <c r="C310" s="177">
        <v>54136</v>
      </c>
      <c r="D310" s="178" t="s">
        <v>7019</v>
      </c>
      <c r="E310" s="178" t="s">
        <v>7020</v>
      </c>
    </row>
    <row r="311" spans="1:5">
      <c r="A311" s="170" t="s">
        <v>4770</v>
      </c>
      <c r="B311" s="170"/>
      <c r="C311" s="177">
        <v>54401</v>
      </c>
      <c r="D311" s="178" t="s">
        <v>7021</v>
      </c>
      <c r="E311" s="178" t="s">
        <v>7022</v>
      </c>
    </row>
    <row r="312" spans="1:5">
      <c r="A312" s="170" t="s">
        <v>4777</v>
      </c>
      <c r="B312" s="170"/>
      <c r="C312" s="177">
        <v>54406</v>
      </c>
      <c r="D312" s="178" t="s">
        <v>7023</v>
      </c>
      <c r="E312" s="178" t="s">
        <v>7024</v>
      </c>
    </row>
    <row r="313" spans="1:5">
      <c r="A313" s="170" t="s">
        <v>4785</v>
      </c>
      <c r="B313" s="170"/>
      <c r="C313" s="177">
        <v>54206</v>
      </c>
      <c r="D313" s="178" t="s">
        <v>7025</v>
      </c>
      <c r="E313" s="178" t="s">
        <v>7026</v>
      </c>
    </row>
    <row r="314" spans="1:5">
      <c r="A314" s="170" t="s">
        <v>4796</v>
      </c>
      <c r="B314" s="170"/>
      <c r="C314" s="177">
        <v>54205</v>
      </c>
      <c r="D314" s="178" t="s">
        <v>7027</v>
      </c>
      <c r="E314" s="178" t="s">
        <v>7028</v>
      </c>
    </row>
    <row r="315" spans="1:5">
      <c r="A315" s="170" t="s">
        <v>4800</v>
      </c>
      <c r="B315" s="170"/>
      <c r="C315" s="177">
        <v>54407</v>
      </c>
      <c r="D315" s="178" t="s">
        <v>7029</v>
      </c>
      <c r="E315" s="178" t="s">
        <v>7030</v>
      </c>
    </row>
    <row r="316" spans="1:5">
      <c r="A316" s="170" t="s">
        <v>4806</v>
      </c>
      <c r="B316" s="170"/>
      <c r="C316" s="177">
        <v>54408</v>
      </c>
      <c r="D316" s="178" t="s">
        <v>7031</v>
      </c>
      <c r="E316" s="178" t="s">
        <v>7032</v>
      </c>
    </row>
    <row r="317" spans="1:5">
      <c r="A317" s="170" t="s">
        <v>4816</v>
      </c>
      <c r="B317" s="170"/>
      <c r="C317" s="177">
        <v>54108</v>
      </c>
      <c r="D317" s="178" t="s">
        <v>7033</v>
      </c>
      <c r="E317" s="178" t="s">
        <v>2671</v>
      </c>
    </row>
    <row r="318" spans="1:5">
      <c r="A318" s="170" t="s">
        <v>4832</v>
      </c>
      <c r="B318" s="170"/>
      <c r="C318" s="177">
        <v>54109</v>
      </c>
      <c r="D318" s="178" t="s">
        <v>7034</v>
      </c>
      <c r="E318" s="178" t="s">
        <v>7035</v>
      </c>
    </row>
    <row r="319" spans="1:5">
      <c r="A319" s="170" t="s">
        <v>4847</v>
      </c>
      <c r="B319" s="170"/>
      <c r="C319" s="177">
        <v>54201</v>
      </c>
      <c r="D319" s="178" t="s">
        <v>7036</v>
      </c>
      <c r="E319" s="178" t="s">
        <v>7037</v>
      </c>
    </row>
    <row r="320" spans="1:5">
      <c r="A320" s="170" t="s">
        <v>4862</v>
      </c>
      <c r="B320" s="170"/>
      <c r="C320" s="177">
        <v>54301</v>
      </c>
      <c r="D320" s="178" t="s">
        <v>7038</v>
      </c>
      <c r="E320" s="178" t="s">
        <v>5878</v>
      </c>
    </row>
    <row r="321" spans="1:5">
      <c r="A321" s="170" t="s">
        <v>4876</v>
      </c>
      <c r="B321" s="170"/>
      <c r="C321" s="177" t="s">
        <v>7039</v>
      </c>
      <c r="D321" s="178" t="s">
        <v>7040</v>
      </c>
      <c r="E321" s="178" t="s">
        <v>7041</v>
      </c>
    </row>
    <row r="322" spans="1:5">
      <c r="A322" s="170" t="s">
        <v>4890</v>
      </c>
      <c r="B322" s="170"/>
      <c r="C322" s="177">
        <v>54110</v>
      </c>
      <c r="D322" s="178" t="s">
        <v>7042</v>
      </c>
      <c r="E322" s="178" t="s">
        <v>7043</v>
      </c>
    </row>
    <row r="323" spans="1:5">
      <c r="A323" s="170" t="s">
        <v>4905</v>
      </c>
      <c r="B323" s="170"/>
      <c r="C323" s="177">
        <v>54305</v>
      </c>
      <c r="D323" s="178" t="s">
        <v>7044</v>
      </c>
      <c r="E323" s="178" t="s">
        <v>7045</v>
      </c>
    </row>
    <row r="324" spans="1:5">
      <c r="A324" s="170" t="s">
        <v>4912</v>
      </c>
      <c r="B324" s="170"/>
      <c r="C324" s="177">
        <v>54306</v>
      </c>
      <c r="D324" s="178" t="s">
        <v>7046</v>
      </c>
      <c r="E324" s="178" t="s">
        <v>7047</v>
      </c>
    </row>
    <row r="325" spans="1:5">
      <c r="A325" s="170" t="s">
        <v>4922</v>
      </c>
      <c r="B325" s="170"/>
      <c r="C325" s="177">
        <v>54116</v>
      </c>
      <c r="D325" s="178" t="s">
        <v>7048</v>
      </c>
      <c r="E325" s="178" t="s">
        <v>7049</v>
      </c>
    </row>
    <row r="326" spans="1:5">
      <c r="A326" s="170" t="s">
        <v>4928</v>
      </c>
      <c r="B326" s="170"/>
      <c r="C326" s="177">
        <v>54146</v>
      </c>
      <c r="D326" s="178" t="s">
        <v>7050</v>
      </c>
      <c r="E326" s="178" t="s">
        <v>7051</v>
      </c>
    </row>
    <row r="327" spans="1:5">
      <c r="A327" s="170" t="s">
        <v>4939</v>
      </c>
      <c r="B327" s="170"/>
      <c r="C327" s="177">
        <v>54126</v>
      </c>
      <c r="D327" s="178" t="s">
        <v>7052</v>
      </c>
      <c r="E327" s="178" t="s">
        <v>7053</v>
      </c>
    </row>
    <row r="328" spans="1:5">
      <c r="A328" s="170" t="s">
        <v>4945</v>
      </c>
      <c r="B328" s="170"/>
      <c r="C328" s="177">
        <v>54316</v>
      </c>
      <c r="D328" s="178" t="s">
        <v>7054</v>
      </c>
      <c r="E328" s="178" t="s">
        <v>7055</v>
      </c>
    </row>
    <row r="329" spans="1:5">
      <c r="A329" s="170" t="s">
        <v>4954</v>
      </c>
      <c r="B329" s="170"/>
      <c r="C329" s="177">
        <v>54001</v>
      </c>
      <c r="D329" s="178" t="s">
        <v>7056</v>
      </c>
      <c r="E329" s="178" t="s">
        <v>7057</v>
      </c>
    </row>
    <row r="330" spans="1:5">
      <c r="A330" s="170" t="s">
        <v>4969</v>
      </c>
      <c r="B330" s="170"/>
      <c r="C330" s="177">
        <v>500048</v>
      </c>
      <c r="D330" s="178" t="s">
        <v>7058</v>
      </c>
      <c r="E330" s="178" t="s">
        <v>7059</v>
      </c>
    </row>
    <row r="331" spans="1:5">
      <c r="A331" s="170" t="s">
        <v>4984</v>
      </c>
      <c r="B331" s="170"/>
      <c r="C331" s="177">
        <v>50002</v>
      </c>
      <c r="D331" s="178" t="s">
        <v>7060</v>
      </c>
      <c r="E331" s="178" t="s">
        <v>7061</v>
      </c>
    </row>
    <row r="332" spans="1:5">
      <c r="A332" s="170" t="s">
        <v>5055</v>
      </c>
      <c r="B332" s="170"/>
      <c r="C332" s="177">
        <v>23109</v>
      </c>
      <c r="D332" s="178" t="s">
        <v>7062</v>
      </c>
      <c r="E332" s="178" t="s">
        <v>7063</v>
      </c>
    </row>
    <row r="333" spans="1:5">
      <c r="A333" s="170" t="s">
        <v>5061</v>
      </c>
      <c r="B333" s="170"/>
      <c r="C333" s="177">
        <v>23106</v>
      </c>
      <c r="D333" s="178" t="s">
        <v>7064</v>
      </c>
      <c r="E333" s="178" t="s">
        <v>7065</v>
      </c>
    </row>
    <row r="334" spans="1:5">
      <c r="A334" s="170" t="s">
        <v>5071</v>
      </c>
      <c r="B334" s="170"/>
      <c r="C334" s="177">
        <v>23201</v>
      </c>
      <c r="D334" s="178" t="s">
        <v>7066</v>
      </c>
      <c r="E334" s="178" t="s">
        <v>950</v>
      </c>
    </row>
    <row r="335" spans="1:5">
      <c r="A335" s="170" t="s">
        <v>5077</v>
      </c>
      <c r="B335" s="170"/>
      <c r="C335" s="177">
        <v>23202</v>
      </c>
      <c r="D335" s="178" t="s">
        <v>7067</v>
      </c>
      <c r="E335" s="178" t="s">
        <v>7068</v>
      </c>
    </row>
    <row r="336" spans="1:5">
      <c r="A336" s="170" t="s">
        <v>5088</v>
      </c>
      <c r="B336" s="170"/>
      <c r="C336" s="177">
        <v>23205</v>
      </c>
      <c r="D336" s="178" t="s">
        <v>7069</v>
      </c>
      <c r="E336" s="178" t="s">
        <v>7070</v>
      </c>
    </row>
    <row r="337" spans="1:5">
      <c r="A337" s="170" t="s">
        <v>5094</v>
      </c>
      <c r="B337" s="170"/>
      <c r="C337" s="177">
        <v>23204</v>
      </c>
      <c r="D337" s="178" t="s">
        <v>7071</v>
      </c>
      <c r="E337" s="178" t="s">
        <v>7072</v>
      </c>
    </row>
    <row r="338" spans="1:5">
      <c r="A338" s="170" t="s">
        <v>5105</v>
      </c>
      <c r="B338" s="170"/>
      <c r="C338" s="177">
        <v>23207</v>
      </c>
      <c r="D338" s="178" t="s">
        <v>7073</v>
      </c>
      <c r="E338" s="178" t="s">
        <v>7074</v>
      </c>
    </row>
    <row r="339" spans="1:5">
      <c r="A339" s="170" t="s">
        <v>5110</v>
      </c>
      <c r="B339" s="170"/>
      <c r="C339" s="177">
        <v>23208</v>
      </c>
      <c r="D339" s="178" t="s">
        <v>7075</v>
      </c>
      <c r="E339" s="178" t="s">
        <v>7076</v>
      </c>
    </row>
    <row r="340" spans="1:5">
      <c r="A340" s="170" t="s">
        <v>5120</v>
      </c>
      <c r="B340" s="170"/>
      <c r="C340" s="177">
        <v>23209</v>
      </c>
      <c r="D340" s="178" t="s">
        <v>7077</v>
      </c>
      <c r="E340" s="178" t="s">
        <v>7078</v>
      </c>
    </row>
    <row r="341" spans="1:5">
      <c r="A341" s="170" t="s">
        <v>5126</v>
      </c>
      <c r="B341" s="170"/>
      <c r="C341" s="177">
        <v>23206</v>
      </c>
      <c r="D341" s="178" t="s">
        <v>7079</v>
      </c>
      <c r="E341" s="178" t="s">
        <v>3596</v>
      </c>
    </row>
    <row r="342" spans="1:5">
      <c r="A342" s="170" t="s">
        <v>5135</v>
      </c>
      <c r="B342" s="170"/>
      <c r="C342" s="177">
        <v>23301</v>
      </c>
      <c r="D342" s="178" t="s">
        <v>7080</v>
      </c>
      <c r="E342" s="178" t="s">
        <v>4904</v>
      </c>
    </row>
    <row r="343" spans="1:5">
      <c r="A343" s="170" t="s">
        <v>5140</v>
      </c>
      <c r="B343" s="170"/>
      <c r="C343" s="177">
        <v>23302</v>
      </c>
      <c r="D343" s="178" t="s">
        <v>7081</v>
      </c>
      <c r="E343" s="178" t="s">
        <v>7082</v>
      </c>
    </row>
    <row r="344" spans="1:5">
      <c r="A344" s="170" t="s">
        <v>5150</v>
      </c>
      <c r="B344" s="170"/>
      <c r="C344" s="177">
        <v>23305</v>
      </c>
      <c r="D344" s="178" t="s">
        <v>7083</v>
      </c>
      <c r="E344" s="178" t="s">
        <v>6791</v>
      </c>
    </row>
    <row r="345" spans="1:5">
      <c r="A345" s="170" t="s">
        <v>5155</v>
      </c>
      <c r="B345" s="170"/>
      <c r="C345" s="177">
        <v>23304</v>
      </c>
      <c r="D345" s="178" t="s">
        <v>7084</v>
      </c>
      <c r="E345" s="178" t="s">
        <v>7085</v>
      </c>
    </row>
    <row r="346" spans="1:5">
      <c r="A346" s="170" t="s">
        <v>5166</v>
      </c>
      <c r="B346" s="170"/>
      <c r="C346" s="177">
        <v>23307</v>
      </c>
      <c r="D346" s="178" t="s">
        <v>7086</v>
      </c>
      <c r="E346" s="178" t="s">
        <v>7087</v>
      </c>
    </row>
    <row r="347" spans="1:5">
      <c r="A347" s="170" t="s">
        <v>5172</v>
      </c>
      <c r="B347" s="170"/>
      <c r="C347" s="177">
        <v>23308</v>
      </c>
      <c r="D347" s="178" t="s">
        <v>7088</v>
      </c>
      <c r="E347" s="178" t="s">
        <v>7089</v>
      </c>
    </row>
    <row r="348" spans="1:5">
      <c r="A348" s="170" t="s">
        <v>5183</v>
      </c>
      <c r="B348" s="170"/>
      <c r="C348" s="177">
        <v>23306</v>
      </c>
      <c r="D348" s="178" t="s">
        <v>7090</v>
      </c>
      <c r="E348" s="178" t="s">
        <v>7091</v>
      </c>
    </row>
    <row r="349" spans="1:5">
      <c r="A349" s="170" t="s">
        <v>5189</v>
      </c>
      <c r="B349" s="170"/>
      <c r="C349" s="177">
        <v>23203</v>
      </c>
      <c r="D349" s="178" t="s">
        <v>7092</v>
      </c>
      <c r="E349" s="178" t="s">
        <v>7093</v>
      </c>
    </row>
    <row r="350" spans="1:5">
      <c r="A350" s="170" t="s">
        <v>5198</v>
      </c>
      <c r="B350" s="170"/>
      <c r="C350" s="177">
        <v>24104</v>
      </c>
      <c r="D350" s="178" t="s">
        <v>7094</v>
      </c>
      <c r="E350" s="178" t="s">
        <v>7095</v>
      </c>
    </row>
    <row r="351" spans="1:5">
      <c r="A351" s="170" t="s">
        <v>5213</v>
      </c>
      <c r="B351" s="170"/>
      <c r="C351" s="177">
        <v>24204</v>
      </c>
      <c r="D351" s="178" t="s">
        <v>7096</v>
      </c>
      <c r="E351" s="178" t="s">
        <v>7097</v>
      </c>
    </row>
    <row r="352" spans="1:5">
      <c r="A352" s="170" t="s">
        <v>5219</v>
      </c>
      <c r="B352" s="170"/>
      <c r="C352" s="177">
        <v>24205</v>
      </c>
      <c r="D352" s="178" t="s">
        <v>7098</v>
      </c>
      <c r="E352" s="178" t="s">
        <v>7099</v>
      </c>
    </row>
    <row r="353" spans="1:5">
      <c r="A353" s="170" t="s">
        <v>5228</v>
      </c>
      <c r="B353" s="170"/>
      <c r="C353" s="177">
        <v>24305</v>
      </c>
      <c r="D353" s="178" t="s">
        <v>7100</v>
      </c>
      <c r="E353" s="178" t="s">
        <v>7101</v>
      </c>
    </row>
    <row r="354" spans="1:5">
      <c r="A354" s="170" t="s">
        <v>5234</v>
      </c>
      <c r="B354" s="170"/>
      <c r="C354" s="177">
        <v>24304</v>
      </c>
      <c r="D354" s="178" t="s">
        <v>7102</v>
      </c>
      <c r="E354" s="178" t="s">
        <v>7103</v>
      </c>
    </row>
    <row r="355" spans="1:5">
      <c r="A355" s="170" t="s">
        <v>5244</v>
      </c>
      <c r="B355" s="170"/>
      <c r="C355" s="177">
        <v>24405</v>
      </c>
      <c r="D355" s="178" t="s">
        <v>7104</v>
      </c>
      <c r="E355" s="178" t="s">
        <v>7105</v>
      </c>
    </row>
    <row r="356" spans="1:5">
      <c r="A356" s="170" t="s">
        <v>5250</v>
      </c>
      <c r="B356" s="170"/>
      <c r="C356" s="177">
        <v>24404</v>
      </c>
      <c r="D356" s="178" t="s">
        <v>7106</v>
      </c>
      <c r="E356" s="178" t="s">
        <v>1477</v>
      </c>
    </row>
    <row r="357" spans="1:5">
      <c r="A357" s="170" t="s">
        <v>5261</v>
      </c>
      <c r="B357" s="170"/>
      <c r="C357" s="177">
        <v>24107</v>
      </c>
      <c r="D357" s="178" t="s">
        <v>7107</v>
      </c>
      <c r="E357" s="178" t="s">
        <v>7108</v>
      </c>
    </row>
    <row r="358" spans="1:5">
      <c r="A358" s="170" t="s">
        <v>5267</v>
      </c>
      <c r="B358" s="170"/>
      <c r="C358" s="177">
        <v>24207</v>
      </c>
      <c r="D358" s="178" t="s">
        <v>7109</v>
      </c>
      <c r="E358" s="178" t="s">
        <v>7110</v>
      </c>
    </row>
    <row r="359" spans="1:5">
      <c r="A359" s="170" t="s">
        <v>5277</v>
      </c>
      <c r="B359" s="170"/>
      <c r="C359" s="177">
        <v>24307</v>
      </c>
      <c r="D359" s="178" t="s">
        <v>7111</v>
      </c>
      <c r="E359" s="178" t="s">
        <v>7112</v>
      </c>
    </row>
    <row r="360" spans="1:5">
      <c r="A360" s="170" t="s">
        <v>5283</v>
      </c>
      <c r="B360" s="170"/>
      <c r="C360" s="177">
        <v>24407</v>
      </c>
      <c r="D360" s="178" t="s">
        <v>7113</v>
      </c>
      <c r="E360" s="178" t="s">
        <v>3571</v>
      </c>
    </row>
    <row r="361" spans="1:5">
      <c r="A361" s="170" t="s">
        <v>5293</v>
      </c>
      <c r="B361" s="170"/>
      <c r="C361" s="177">
        <v>24403</v>
      </c>
      <c r="D361" s="178" t="s">
        <v>7114</v>
      </c>
      <c r="E361" s="178" t="s">
        <v>7115</v>
      </c>
    </row>
    <row r="362" spans="1:5">
      <c r="A362" s="170" t="s">
        <v>5299</v>
      </c>
      <c r="B362" s="170"/>
      <c r="C362" s="177">
        <v>24101</v>
      </c>
      <c r="D362" s="178" t="s">
        <v>7116</v>
      </c>
      <c r="E362" s="178" t="s">
        <v>7117</v>
      </c>
    </row>
    <row r="363" spans="1:5">
      <c r="A363" s="170" t="s">
        <v>5309</v>
      </c>
      <c r="B363" s="170"/>
      <c r="C363" s="177">
        <v>24507</v>
      </c>
      <c r="D363" s="178" t="s">
        <v>7118</v>
      </c>
      <c r="E363" s="178" t="s">
        <v>7119</v>
      </c>
    </row>
    <row r="364" spans="1:5">
      <c r="A364" s="170" t="s">
        <v>5315</v>
      </c>
      <c r="B364" s="170"/>
      <c r="C364" s="177">
        <v>24508</v>
      </c>
      <c r="D364" s="178" t="s">
        <v>7120</v>
      </c>
      <c r="E364" s="178" t="s">
        <v>5506</v>
      </c>
    </row>
    <row r="365" spans="1:5">
      <c r="A365" s="170" t="s">
        <v>5326</v>
      </c>
      <c r="B365" s="170"/>
      <c r="C365" s="177">
        <v>24503</v>
      </c>
      <c r="D365" s="178" t="s">
        <v>7121</v>
      </c>
      <c r="E365" s="178" t="s">
        <v>7122</v>
      </c>
    </row>
    <row r="366" spans="1:5">
      <c r="A366" s="170" t="s">
        <v>5340</v>
      </c>
      <c r="B366" s="170"/>
      <c r="C366" s="177">
        <v>24002</v>
      </c>
      <c r="D366" s="178" t="s">
        <v>7123</v>
      </c>
      <c r="E366" s="178" t="s">
        <v>7124</v>
      </c>
    </row>
    <row r="367" spans="1:5">
      <c r="A367" s="170" t="s">
        <v>5356</v>
      </c>
      <c r="B367" s="170"/>
      <c r="C367" s="177">
        <v>24001</v>
      </c>
      <c r="D367" s="178" t="s">
        <v>7125</v>
      </c>
      <c r="E367" s="178" t="s">
        <v>7126</v>
      </c>
    </row>
    <row r="368" spans="1:5">
      <c r="A368" s="170" t="s">
        <v>5399</v>
      </c>
      <c r="B368" s="170"/>
      <c r="C368" s="177">
        <v>25001</v>
      </c>
      <c r="D368" s="178" t="s">
        <v>7127</v>
      </c>
      <c r="E368" s="178" t="s">
        <v>7128</v>
      </c>
    </row>
    <row r="369" spans="1:5">
      <c r="A369" s="170" t="s">
        <v>5414</v>
      </c>
      <c r="B369" s="170"/>
      <c r="C369" s="177">
        <v>25002</v>
      </c>
      <c r="D369" s="178" t="s">
        <v>7129</v>
      </c>
      <c r="E369" s="178" t="s">
        <v>7130</v>
      </c>
    </row>
    <row r="370" spans="1:5">
      <c r="A370" s="170" t="s">
        <v>5428</v>
      </c>
      <c r="B370" s="170"/>
      <c r="C370" s="177">
        <v>25107</v>
      </c>
      <c r="D370" s="178" t="s">
        <v>7131</v>
      </c>
      <c r="E370" s="178" t="s">
        <v>7132</v>
      </c>
    </row>
    <row r="371" spans="1:5">
      <c r="A371" s="170" t="s">
        <v>5435</v>
      </c>
      <c r="B371" s="170"/>
      <c r="C371" s="177">
        <v>25207</v>
      </c>
      <c r="D371" s="178" t="s">
        <v>7133</v>
      </c>
      <c r="E371" s="178" t="s">
        <v>3445</v>
      </c>
    </row>
    <row r="372" spans="1:5">
      <c r="A372" s="170" t="s">
        <v>5446</v>
      </c>
      <c r="B372" s="170"/>
      <c r="C372" s="177">
        <v>25108</v>
      </c>
      <c r="D372" s="178" t="s">
        <v>7134</v>
      </c>
      <c r="E372" s="178" t="s">
        <v>1921</v>
      </c>
    </row>
    <row r="373" spans="1:5">
      <c r="A373" s="170" t="s">
        <v>5451</v>
      </c>
      <c r="B373" s="170"/>
      <c r="C373" s="177">
        <v>25109</v>
      </c>
      <c r="D373" s="178" t="s">
        <v>7135</v>
      </c>
      <c r="E373" s="178" t="s">
        <v>7136</v>
      </c>
    </row>
    <row r="374" spans="1:5">
      <c r="A374" s="170" t="s">
        <v>5462</v>
      </c>
      <c r="B374" s="170"/>
      <c r="C374" s="177">
        <v>25105</v>
      </c>
      <c r="D374" s="178" t="s">
        <v>7137</v>
      </c>
      <c r="E374" s="178" t="s">
        <v>7138</v>
      </c>
    </row>
    <row r="375" spans="1:5">
      <c r="A375" s="170" t="s">
        <v>5468</v>
      </c>
      <c r="B375" s="170"/>
      <c r="C375" s="177">
        <v>25104</v>
      </c>
      <c r="D375" s="178" t="s">
        <v>7139</v>
      </c>
      <c r="E375" s="178" t="s">
        <v>4115</v>
      </c>
    </row>
    <row r="376" spans="1:5">
      <c r="A376" s="170" t="s">
        <v>5479</v>
      </c>
      <c r="B376" s="170"/>
      <c r="C376" s="177">
        <v>25201</v>
      </c>
      <c r="D376" s="178" t="s">
        <v>7140</v>
      </c>
      <c r="E376" s="178" t="s">
        <v>4263</v>
      </c>
    </row>
    <row r="377" spans="1:5">
      <c r="A377" s="170" t="s">
        <v>5485</v>
      </c>
      <c r="B377" s="170"/>
      <c r="C377" s="177">
        <v>25204</v>
      </c>
      <c r="D377" s="178" t="s">
        <v>7141</v>
      </c>
      <c r="E377" s="178" t="s">
        <v>7142</v>
      </c>
    </row>
    <row r="378" spans="1:5">
      <c r="A378" s="170" t="s">
        <v>5495</v>
      </c>
      <c r="B378" s="170"/>
      <c r="C378" s="177">
        <v>25208</v>
      </c>
      <c r="D378" s="178" t="s">
        <v>7143</v>
      </c>
      <c r="E378" s="178" t="s">
        <v>7144</v>
      </c>
    </row>
    <row r="379" spans="1:5">
      <c r="A379" s="170" t="s">
        <v>5501</v>
      </c>
      <c r="B379" s="170"/>
      <c r="C379" s="177">
        <v>25205</v>
      </c>
      <c r="D379" s="178" t="s">
        <v>7145</v>
      </c>
      <c r="E379" s="178" t="s">
        <v>7146</v>
      </c>
    </row>
    <row r="380" spans="1:5">
      <c r="A380" s="170" t="s">
        <v>5511</v>
      </c>
      <c r="B380" s="170"/>
      <c r="C380" s="177">
        <v>25304</v>
      </c>
      <c r="D380" s="178" t="s">
        <v>7147</v>
      </c>
      <c r="E380" s="178" t="s">
        <v>2433</v>
      </c>
    </row>
    <row r="381" spans="1:5">
      <c r="A381" s="170" t="s">
        <v>5517</v>
      </c>
      <c r="B381" s="170"/>
      <c r="C381" s="177">
        <v>25305</v>
      </c>
      <c r="D381" s="178" t="s">
        <v>7148</v>
      </c>
      <c r="E381" s="202" t="s">
        <v>7149</v>
      </c>
    </row>
    <row r="382" spans="1:5">
      <c r="A382" s="170" t="s">
        <v>5528</v>
      </c>
      <c r="B382" s="170"/>
      <c r="C382" s="177">
        <v>25307</v>
      </c>
      <c r="D382" s="178" t="s">
        <v>7150</v>
      </c>
      <c r="E382" s="202" t="s">
        <v>7151</v>
      </c>
    </row>
    <row r="383" spans="1:5">
      <c r="A383" s="170" t="s">
        <v>5533</v>
      </c>
      <c r="B383" s="170"/>
      <c r="C383" s="177">
        <v>25801</v>
      </c>
      <c r="D383" s="178" t="s">
        <v>7152</v>
      </c>
      <c r="E383" s="178" t="s">
        <v>7153</v>
      </c>
    </row>
    <row r="384" spans="1:5">
      <c r="A384" s="170" t="s">
        <v>5544</v>
      </c>
      <c r="B384" s="170"/>
      <c r="C384" s="177">
        <v>25501</v>
      </c>
      <c r="D384" s="178" t="s">
        <v>7154</v>
      </c>
      <c r="E384" s="178" t="s">
        <v>7155</v>
      </c>
    </row>
    <row r="385" spans="1:5">
      <c r="A385" s="170" t="s">
        <v>5549</v>
      </c>
      <c r="B385" s="170"/>
      <c r="C385" s="177">
        <v>25701</v>
      </c>
      <c r="D385" s="178" t="s">
        <v>7156</v>
      </c>
      <c r="E385" s="178" t="s">
        <v>7157</v>
      </c>
    </row>
    <row r="386" spans="1:5">
      <c r="A386" s="203" t="s">
        <v>5559</v>
      </c>
      <c r="B386" s="203"/>
      <c r="C386" s="177">
        <v>25203</v>
      </c>
      <c r="D386" s="204" t="s">
        <v>7158</v>
      </c>
      <c r="E386" s="204" t="s">
        <v>7159</v>
      </c>
    </row>
    <row r="387" spans="1:5">
      <c r="A387" s="203" t="s">
        <v>5565</v>
      </c>
      <c r="B387" s="203"/>
      <c r="C387" s="177">
        <v>25407</v>
      </c>
      <c r="D387" s="204" t="s">
        <v>7160</v>
      </c>
      <c r="E387" s="204" t="s">
        <v>5320</v>
      </c>
    </row>
    <row r="388" spans="1:5">
      <c r="A388" s="170" t="s">
        <v>5573</v>
      </c>
      <c r="B388" s="170"/>
      <c r="C388" s="177">
        <v>25806</v>
      </c>
      <c r="D388" s="178" t="s">
        <v>7161</v>
      </c>
      <c r="E388" s="178" t="s">
        <v>1890</v>
      </c>
    </row>
    <row r="389" spans="1:5">
      <c r="A389" s="170" t="s">
        <v>5579</v>
      </c>
      <c r="B389" s="170"/>
      <c r="C389" s="177">
        <v>25805</v>
      </c>
      <c r="D389" s="178" t="s">
        <v>7162</v>
      </c>
      <c r="E389" s="178" t="s">
        <v>7163</v>
      </c>
    </row>
    <row r="390" spans="1:5">
      <c r="A390" s="170" t="s">
        <v>5584</v>
      </c>
      <c r="B390" s="170"/>
      <c r="C390" s="177">
        <v>25807</v>
      </c>
      <c r="D390" s="178" t="s">
        <v>7164</v>
      </c>
      <c r="E390" s="178" t="s">
        <v>3976</v>
      </c>
    </row>
    <row r="391" spans="1:5">
      <c r="A391" s="170" t="s">
        <v>5589</v>
      </c>
      <c r="B391" s="170"/>
      <c r="C391" s="177">
        <v>25507</v>
      </c>
      <c r="D391" s="178" t="s">
        <v>7165</v>
      </c>
      <c r="E391" s="178" t="s">
        <v>7166</v>
      </c>
    </row>
    <row r="392" spans="1:5">
      <c r="A392" s="170" t="s">
        <v>5595</v>
      </c>
      <c r="B392" s="170"/>
      <c r="C392" s="177">
        <v>25510</v>
      </c>
      <c r="D392" s="178" t="s">
        <v>7167</v>
      </c>
      <c r="E392" s="178" t="s">
        <v>7168</v>
      </c>
    </row>
    <row r="393" spans="1:5">
      <c r="A393" s="170" t="s">
        <v>5606</v>
      </c>
      <c r="B393" s="170"/>
      <c r="C393" s="177">
        <v>25401</v>
      </c>
      <c r="D393" s="178" t="s">
        <v>7169</v>
      </c>
      <c r="E393" s="178" t="s">
        <v>391</v>
      </c>
    </row>
    <row r="394" spans="1:5">
      <c r="A394" s="170" t="s">
        <v>5612</v>
      </c>
      <c r="B394" s="170"/>
      <c r="C394" s="177">
        <v>24105</v>
      </c>
      <c r="D394" s="178" t="s">
        <v>7170</v>
      </c>
      <c r="E394" s="178" t="s">
        <v>7171</v>
      </c>
    </row>
    <row r="395" spans="1:5">
      <c r="A395" s="170" t="s">
        <v>5623</v>
      </c>
      <c r="B395" s="170"/>
      <c r="C395" s="177">
        <v>25402</v>
      </c>
      <c r="D395" s="178" t="s">
        <v>7172</v>
      </c>
      <c r="E395" s="178" t="s">
        <v>7173</v>
      </c>
    </row>
    <row r="396" spans="1:5">
      <c r="A396" s="170" t="s">
        <v>5628</v>
      </c>
      <c r="B396" s="170"/>
      <c r="C396" s="177">
        <v>25707</v>
      </c>
      <c r="D396" s="178" t="s">
        <v>7174</v>
      </c>
      <c r="E396" s="178" t="s">
        <v>7175</v>
      </c>
    </row>
    <row r="397" spans="1:5">
      <c r="A397" s="170" t="s">
        <v>5638</v>
      </c>
      <c r="B397" s="170"/>
      <c r="C397" s="177">
        <v>25405</v>
      </c>
      <c r="D397" s="178" t="s">
        <v>7176</v>
      </c>
      <c r="E397" s="178" t="s">
        <v>7177</v>
      </c>
    </row>
    <row r="398" spans="1:5">
      <c r="A398" s="170" t="s">
        <v>5643</v>
      </c>
      <c r="B398" s="170"/>
      <c r="C398" s="177">
        <v>25404</v>
      </c>
      <c r="D398" s="178" t="s">
        <v>7178</v>
      </c>
      <c r="E398" s="178" t="s">
        <v>7179</v>
      </c>
    </row>
    <row r="399" spans="1:5">
      <c r="A399" s="170" t="s">
        <v>5653</v>
      </c>
      <c r="B399" s="170"/>
      <c r="C399" s="177">
        <v>25601</v>
      </c>
      <c r="D399" s="178" t="s">
        <v>7180</v>
      </c>
      <c r="E399" s="178" t="s">
        <v>7181</v>
      </c>
    </row>
    <row r="400" spans="1:5">
      <c r="A400" s="170" t="s">
        <v>5659</v>
      </c>
      <c r="B400" s="170"/>
      <c r="C400" s="177">
        <v>25608</v>
      </c>
      <c r="D400" s="178" t="s">
        <v>7182</v>
      </c>
      <c r="E400" s="178" t="s">
        <v>7183</v>
      </c>
    </row>
    <row r="401" spans="1:5">
      <c r="A401" s="170" t="s">
        <v>5669</v>
      </c>
      <c r="B401" s="170"/>
      <c r="C401" s="177">
        <v>25602</v>
      </c>
      <c r="D401" s="178" t="s">
        <v>7184</v>
      </c>
      <c r="E401" s="178" t="s">
        <v>5840</v>
      </c>
    </row>
    <row r="402" spans="1:5">
      <c r="A402" s="170" t="s">
        <v>5675</v>
      </c>
      <c r="B402" s="170"/>
      <c r="C402" s="177">
        <v>25607</v>
      </c>
      <c r="D402" s="178" t="s">
        <v>7185</v>
      </c>
      <c r="E402" s="178" t="s">
        <v>7186</v>
      </c>
    </row>
    <row r="403" spans="1:5">
      <c r="A403" s="170" t="s">
        <v>5685</v>
      </c>
      <c r="B403" s="170"/>
      <c r="C403" s="177">
        <v>25702</v>
      </c>
      <c r="D403" s="178" t="s">
        <v>7187</v>
      </c>
      <c r="E403" s="178" t="s">
        <v>7188</v>
      </c>
    </row>
    <row r="404" spans="1:5">
      <c r="A404" s="170" t="s">
        <v>5691</v>
      </c>
      <c r="B404" s="170"/>
      <c r="C404" s="177">
        <v>25708</v>
      </c>
      <c r="D404" s="178" t="s">
        <v>7189</v>
      </c>
      <c r="E404" s="178" t="s">
        <v>3911</v>
      </c>
    </row>
    <row r="405" spans="1:5">
      <c r="A405" s="170" t="s">
        <v>5701</v>
      </c>
      <c r="B405" s="170"/>
      <c r="C405" s="177">
        <v>25504</v>
      </c>
      <c r="D405" s="178" t="s">
        <v>7190</v>
      </c>
      <c r="E405" s="178" t="s">
        <v>7191</v>
      </c>
    </row>
    <row r="406" spans="1:5">
      <c r="A406" s="170" t="s">
        <v>5707</v>
      </c>
      <c r="B406" s="170"/>
      <c r="C406" s="177">
        <v>25509</v>
      </c>
      <c r="D406" s="178" t="s">
        <v>7192</v>
      </c>
      <c r="E406" s="178" t="s">
        <v>7193</v>
      </c>
    </row>
    <row r="407" spans="1:5">
      <c r="A407" s="170" t="s">
        <v>5773</v>
      </c>
      <c r="B407" s="170"/>
      <c r="C407" s="177">
        <v>14001</v>
      </c>
      <c r="D407" s="178" t="s">
        <v>7194</v>
      </c>
      <c r="E407" s="178" t="s">
        <v>7195</v>
      </c>
    </row>
    <row r="408" spans="1:5">
      <c r="A408" s="170" t="s">
        <v>5789</v>
      </c>
      <c r="B408" s="170"/>
      <c r="C408" s="177">
        <v>14103</v>
      </c>
      <c r="D408" s="178" t="s">
        <v>7196</v>
      </c>
      <c r="E408" s="178" t="s">
        <v>7197</v>
      </c>
    </row>
    <row r="409" spans="1:5">
      <c r="A409" s="170" t="s">
        <v>5795</v>
      </c>
      <c r="B409" s="170"/>
      <c r="C409" s="177">
        <v>14105</v>
      </c>
      <c r="D409" s="178" t="s">
        <v>7198</v>
      </c>
      <c r="E409" s="178" t="s">
        <v>2995</v>
      </c>
    </row>
    <row r="410" spans="1:5">
      <c r="A410" s="170" t="s">
        <v>5805</v>
      </c>
      <c r="B410" s="170"/>
      <c r="C410" s="177">
        <v>14106</v>
      </c>
      <c r="D410" s="178" t="s">
        <v>7199</v>
      </c>
      <c r="E410" s="178" t="s">
        <v>7200</v>
      </c>
    </row>
    <row r="411" spans="1:5">
      <c r="A411" s="170" t="s">
        <v>5810</v>
      </c>
      <c r="B411" s="170"/>
      <c r="C411" s="177">
        <v>14107</v>
      </c>
      <c r="D411" s="178" t="s">
        <v>7201</v>
      </c>
      <c r="E411" s="178" t="s">
        <v>7202</v>
      </c>
    </row>
    <row r="412" spans="1:5">
      <c r="A412" s="170" t="s">
        <v>5820</v>
      </c>
      <c r="B412" s="170"/>
      <c r="C412" s="177">
        <v>14204</v>
      </c>
      <c r="D412" s="178" t="s">
        <v>7203</v>
      </c>
      <c r="E412" s="178" t="s">
        <v>7204</v>
      </c>
    </row>
    <row r="413" spans="1:5">
      <c r="A413" s="170" t="s">
        <v>5825</v>
      </c>
      <c r="B413" s="170"/>
      <c r="C413" s="177">
        <v>14206</v>
      </c>
      <c r="D413" s="178" t="s">
        <v>7205</v>
      </c>
      <c r="E413" s="178" t="s">
        <v>4520</v>
      </c>
    </row>
    <row r="414" spans="1:5">
      <c r="A414" s="170" t="s">
        <v>5835</v>
      </c>
      <c r="B414" s="170"/>
      <c r="C414" s="177">
        <v>14207</v>
      </c>
      <c r="D414" s="178" t="s">
        <v>7206</v>
      </c>
      <c r="E414" s="178" t="s">
        <v>7207</v>
      </c>
    </row>
    <row r="415" spans="1:5">
      <c r="A415" s="170" t="s">
        <v>5841</v>
      </c>
      <c r="B415" s="170"/>
      <c r="C415" s="177">
        <v>14208</v>
      </c>
      <c r="D415" s="178" t="s">
        <v>7208</v>
      </c>
      <c r="E415" s="178" t="s">
        <v>7209</v>
      </c>
    </row>
    <row r="416" spans="1:5">
      <c r="A416" s="170" t="s">
        <v>5852</v>
      </c>
      <c r="B416" s="170"/>
      <c r="C416" s="177">
        <v>14209</v>
      </c>
      <c r="D416" s="178" t="s">
        <v>7210</v>
      </c>
      <c r="E416" s="178" t="s">
        <v>7211</v>
      </c>
    </row>
    <row r="417" spans="1:5">
      <c r="A417" s="170" t="s">
        <v>5858</v>
      </c>
      <c r="B417" s="170"/>
      <c r="C417" s="177">
        <v>14210</v>
      </c>
      <c r="D417" s="178" t="s">
        <v>7212</v>
      </c>
      <c r="E417" s="178" t="s">
        <v>7213</v>
      </c>
    </row>
    <row r="418" spans="1:5">
      <c r="A418" s="170" t="s">
        <v>5868</v>
      </c>
      <c r="B418" s="170"/>
      <c r="C418" s="177">
        <v>14304</v>
      </c>
      <c r="D418" s="178" t="s">
        <v>7214</v>
      </c>
      <c r="E418" s="178" t="s">
        <v>7215</v>
      </c>
    </row>
    <row r="419" spans="1:5">
      <c r="A419" s="170" t="s">
        <v>5873</v>
      </c>
      <c r="B419" s="170"/>
      <c r="C419" s="177">
        <v>14308</v>
      </c>
      <c r="D419" s="178" t="s">
        <v>7216</v>
      </c>
      <c r="E419" s="178" t="s">
        <v>7217</v>
      </c>
    </row>
    <row r="420" spans="1:5">
      <c r="A420" s="170" t="s">
        <v>5884</v>
      </c>
      <c r="B420" s="170"/>
      <c r="C420" s="177">
        <v>14605</v>
      </c>
      <c r="D420" s="178" t="s">
        <v>7218</v>
      </c>
      <c r="E420" s="178" t="s">
        <v>7219</v>
      </c>
    </row>
    <row r="421" spans="1:5">
      <c r="A421" s="170" t="s">
        <v>5890</v>
      </c>
      <c r="B421" s="170"/>
      <c r="C421" s="177">
        <v>14307</v>
      </c>
      <c r="D421" s="178" t="s">
        <v>7220</v>
      </c>
      <c r="E421" s="178" t="s">
        <v>7221</v>
      </c>
    </row>
    <row r="422" spans="1:5">
      <c r="A422" s="170" t="s">
        <v>5900</v>
      </c>
      <c r="B422" s="170"/>
      <c r="C422" s="177">
        <v>14501</v>
      </c>
      <c r="D422" s="178" t="s">
        <v>7222</v>
      </c>
      <c r="E422" s="178" t="s">
        <v>7223</v>
      </c>
    </row>
    <row r="423" spans="1:5">
      <c r="A423" s="170" t="s">
        <v>5906</v>
      </c>
      <c r="B423" s="170"/>
      <c r="C423" s="177">
        <v>14507</v>
      </c>
      <c r="D423" s="178" t="s">
        <v>7224</v>
      </c>
      <c r="E423" s="178" t="s">
        <v>3762</v>
      </c>
    </row>
    <row r="424" spans="1:5">
      <c r="A424" s="170" t="s">
        <v>5917</v>
      </c>
      <c r="B424" s="170"/>
      <c r="C424" s="177">
        <v>14503</v>
      </c>
      <c r="D424" s="178" t="s">
        <v>7225</v>
      </c>
      <c r="E424" s="178" t="s">
        <v>7226</v>
      </c>
    </row>
    <row r="425" spans="1:5">
      <c r="A425" s="170" t="s">
        <v>5921</v>
      </c>
      <c r="B425" s="170"/>
      <c r="C425" s="177">
        <v>14505</v>
      </c>
      <c r="D425" s="178" t="s">
        <v>7227</v>
      </c>
      <c r="E425" s="178" t="s">
        <v>1151</v>
      </c>
    </row>
    <row r="426" spans="1:5">
      <c r="A426" s="170" t="s">
        <v>5938</v>
      </c>
      <c r="B426" s="170"/>
      <c r="C426" s="177">
        <v>14707</v>
      </c>
      <c r="D426" s="178" t="s">
        <v>7228</v>
      </c>
      <c r="E426" s="178" t="s">
        <v>7229</v>
      </c>
    </row>
    <row r="427" spans="1:5">
      <c r="A427" s="170" t="s">
        <v>5948</v>
      </c>
      <c r="B427" s="170"/>
      <c r="C427" s="177">
        <v>14504</v>
      </c>
      <c r="D427" s="178" t="s">
        <v>7230</v>
      </c>
      <c r="E427" s="178" t="s">
        <v>7231</v>
      </c>
    </row>
    <row r="428" spans="1:5">
      <c r="A428" s="170" t="s">
        <v>5953</v>
      </c>
      <c r="B428" s="170"/>
      <c r="C428" s="177">
        <v>14508</v>
      </c>
      <c r="D428" s="178" t="s">
        <v>7232</v>
      </c>
      <c r="E428" s="178" t="s">
        <v>7233</v>
      </c>
    </row>
    <row r="429" spans="1:5">
      <c r="A429" s="170" t="s">
        <v>5964</v>
      </c>
      <c r="B429" s="170"/>
      <c r="C429" s="177">
        <v>14705</v>
      </c>
      <c r="D429" s="178" t="s">
        <v>7234</v>
      </c>
      <c r="E429" s="178" t="s">
        <v>7235</v>
      </c>
    </row>
    <row r="430" spans="1:5">
      <c r="A430" s="170" t="s">
        <v>5969</v>
      </c>
      <c r="B430" s="170"/>
      <c r="C430" s="177">
        <v>14706</v>
      </c>
      <c r="D430" s="178" t="s">
        <v>7236</v>
      </c>
      <c r="E430" s="178" t="s">
        <v>7237</v>
      </c>
    </row>
    <row r="431" spans="1:5">
      <c r="A431" s="170" t="s">
        <v>5980</v>
      </c>
      <c r="B431" s="170"/>
      <c r="C431" s="177">
        <v>14601</v>
      </c>
      <c r="D431" s="178" t="s">
        <v>7238</v>
      </c>
      <c r="E431" s="178" t="s">
        <v>7239</v>
      </c>
    </row>
    <row r="432" spans="1:5">
      <c r="A432" s="170" t="s">
        <v>5985</v>
      </c>
      <c r="B432" s="170"/>
      <c r="C432" s="177">
        <v>14602</v>
      </c>
      <c r="D432" s="178" t="s">
        <v>7240</v>
      </c>
      <c r="E432" s="178" t="s">
        <v>7241</v>
      </c>
    </row>
    <row r="433" spans="1:5">
      <c r="A433" s="170" t="s">
        <v>5994</v>
      </c>
      <c r="B433" s="170"/>
      <c r="C433" s="177">
        <v>14301</v>
      </c>
      <c r="D433" s="178" t="s">
        <v>7242</v>
      </c>
      <c r="E433" s="178" t="s">
        <v>2745</v>
      </c>
    </row>
    <row r="434" spans="1:5">
      <c r="A434" s="170" t="s">
        <v>6000</v>
      </c>
      <c r="B434" s="170"/>
      <c r="C434" s="177">
        <v>14305</v>
      </c>
      <c r="D434" s="178" t="s">
        <v>7243</v>
      </c>
      <c r="E434" s="178" t="s">
        <v>4747</v>
      </c>
    </row>
    <row r="435" spans="1:5">
      <c r="A435" s="170" t="s">
        <v>6010</v>
      </c>
      <c r="B435" s="170"/>
      <c r="C435" s="177">
        <v>14203</v>
      </c>
      <c r="D435" s="178" t="s">
        <v>7244</v>
      </c>
      <c r="E435" s="178" t="s">
        <v>7245</v>
      </c>
    </row>
    <row r="436" spans="1:5">
      <c r="A436" s="170" t="s">
        <v>6016</v>
      </c>
      <c r="B436" s="170"/>
      <c r="C436" s="177">
        <v>14615</v>
      </c>
      <c r="D436" s="178" t="s">
        <v>7246</v>
      </c>
      <c r="E436" s="178" t="s">
        <v>7247</v>
      </c>
    </row>
    <row r="437" spans="1:5">
      <c r="A437" s="170" t="s">
        <v>6027</v>
      </c>
      <c r="B437" s="170"/>
      <c r="C437" s="177">
        <v>14108</v>
      </c>
      <c r="D437" s="178" t="s">
        <v>7248</v>
      </c>
      <c r="E437" s="178" t="s">
        <v>7249</v>
      </c>
    </row>
    <row r="438" spans="1:5">
      <c r="A438" s="170" t="s">
        <v>6033</v>
      </c>
      <c r="B438" s="170"/>
      <c r="C438" s="177">
        <v>14104</v>
      </c>
      <c r="D438" s="178" t="s">
        <v>7250</v>
      </c>
      <c r="E438" s="178" t="s">
        <v>7251</v>
      </c>
    </row>
    <row r="439" spans="1:5">
      <c r="A439" s="170" t="s">
        <v>6043</v>
      </c>
      <c r="B439" s="170"/>
      <c r="C439" s="177">
        <v>14109</v>
      </c>
      <c r="D439" s="178" t="s">
        <v>7252</v>
      </c>
      <c r="E439" s="178" t="s">
        <v>397</v>
      </c>
    </row>
    <row r="440" spans="1:5">
      <c r="A440" s="170" t="s">
        <v>6049</v>
      </c>
      <c r="B440" s="170"/>
      <c r="C440" s="177">
        <v>14111</v>
      </c>
      <c r="D440" s="178" t="s">
        <v>7253</v>
      </c>
      <c r="E440" s="178" t="s">
        <v>7254</v>
      </c>
    </row>
    <row r="441" spans="1:5">
      <c r="A441" s="170" t="s">
        <v>6061</v>
      </c>
      <c r="B441" s="170"/>
      <c r="C441" s="177">
        <v>14002</v>
      </c>
      <c r="D441" s="178" t="s">
        <v>7255</v>
      </c>
      <c r="E441" s="178" t="s">
        <v>7256</v>
      </c>
    </row>
    <row r="442" spans="1:5">
      <c r="A442" s="170" t="s">
        <v>6064</v>
      </c>
      <c r="B442" s="170"/>
      <c r="C442" s="177">
        <v>14205</v>
      </c>
      <c r="D442" s="178" t="s">
        <v>7257</v>
      </c>
      <c r="E442" s="178" t="s">
        <v>7258</v>
      </c>
    </row>
    <row r="443" spans="1:5">
      <c r="A443" s="170" t="s">
        <v>6069</v>
      </c>
      <c r="B443" s="170"/>
      <c r="C443" s="177">
        <v>14401</v>
      </c>
      <c r="D443" s="178" t="s">
        <v>7259</v>
      </c>
      <c r="E443" s="178" t="s">
        <v>738</v>
      </c>
    </row>
    <row r="444" spans="1:5">
      <c r="A444" s="170" t="s">
        <v>6073</v>
      </c>
      <c r="B444" s="170"/>
      <c r="C444" s="177">
        <v>14402</v>
      </c>
      <c r="D444" s="178" t="s">
        <v>7260</v>
      </c>
      <c r="E444" s="178" t="s">
        <v>7261</v>
      </c>
    </row>
    <row r="445" spans="1:5">
      <c r="A445" s="170" t="s">
        <v>6090</v>
      </c>
      <c r="B445" s="170"/>
      <c r="C445" s="177">
        <v>11001</v>
      </c>
      <c r="D445" s="178" t="s">
        <v>7262</v>
      </c>
      <c r="E445" s="178" t="s">
        <v>7263</v>
      </c>
    </row>
    <row r="446" spans="1:5">
      <c r="A446" s="170" t="s">
        <v>6097</v>
      </c>
      <c r="B446" s="170"/>
      <c r="C446" s="177">
        <v>11110</v>
      </c>
      <c r="D446" s="178" t="s">
        <v>7264</v>
      </c>
      <c r="E446" s="178" t="s">
        <v>7265</v>
      </c>
    </row>
    <row r="447" spans="1:5">
      <c r="A447" s="170" t="s">
        <v>6100</v>
      </c>
      <c r="B447" s="170"/>
      <c r="C447" s="177">
        <v>11106</v>
      </c>
      <c r="D447" s="178" t="s">
        <v>7266</v>
      </c>
      <c r="E447" s="178" t="s">
        <v>7267</v>
      </c>
    </row>
    <row r="448" spans="1:5">
      <c r="A448" s="170" t="s">
        <v>6105</v>
      </c>
      <c r="B448" s="170"/>
      <c r="C448" s="177">
        <v>11103</v>
      </c>
      <c r="D448" s="178" t="s">
        <v>7268</v>
      </c>
      <c r="E448" s="178" t="s">
        <v>2638</v>
      </c>
    </row>
    <row r="449" spans="1:5">
      <c r="A449" s="170" t="s">
        <v>6112</v>
      </c>
      <c r="B449" s="170"/>
      <c r="C449" s="177">
        <v>11108</v>
      </c>
      <c r="D449" s="178" t="s">
        <v>7269</v>
      </c>
      <c r="E449" s="178" t="s">
        <v>7270</v>
      </c>
    </row>
    <row r="450" spans="1:5">
      <c r="A450" s="170" t="s">
        <v>6115</v>
      </c>
      <c r="B450" s="170"/>
      <c r="C450" s="177">
        <v>11109</v>
      </c>
      <c r="D450" s="178" t="s">
        <v>7271</v>
      </c>
      <c r="E450" s="178" t="s">
        <v>7272</v>
      </c>
    </row>
    <row r="451" spans="1:5">
      <c r="A451" s="170" t="s">
        <v>6120</v>
      </c>
      <c r="B451" s="170"/>
      <c r="C451" s="177">
        <v>11201</v>
      </c>
      <c r="D451" s="178" t="s">
        <v>7273</v>
      </c>
      <c r="E451" s="178" t="s">
        <v>7274</v>
      </c>
    </row>
    <row r="452" spans="1:5">
      <c r="A452" s="170" t="s">
        <v>6123</v>
      </c>
      <c r="B452" s="170"/>
      <c r="C452" s="177">
        <v>11202</v>
      </c>
      <c r="D452" s="178" t="s">
        <v>7275</v>
      </c>
      <c r="E452" s="178" t="s">
        <v>7276</v>
      </c>
    </row>
    <row r="453" spans="1:5">
      <c r="A453" s="170" t="s">
        <v>6128</v>
      </c>
      <c r="B453" s="170"/>
      <c r="C453" s="177">
        <v>11204</v>
      </c>
      <c r="D453" s="178" t="s">
        <v>7277</v>
      </c>
      <c r="E453" s="178" t="s">
        <v>7278</v>
      </c>
    </row>
    <row r="454" spans="1:5">
      <c r="A454" s="170" t="s">
        <v>6131</v>
      </c>
      <c r="B454" s="170"/>
      <c r="C454" s="177">
        <v>11205</v>
      </c>
      <c r="D454" s="178" t="s">
        <v>7279</v>
      </c>
      <c r="E454" s="178" t="s">
        <v>7280</v>
      </c>
    </row>
    <row r="455" spans="1:5">
      <c r="A455" s="170" t="s">
        <v>6136</v>
      </c>
      <c r="B455" s="170"/>
      <c r="C455" s="177">
        <v>11208</v>
      </c>
      <c r="D455" s="178" t="s">
        <v>7281</v>
      </c>
      <c r="E455" s="178" t="s">
        <v>7282</v>
      </c>
    </row>
    <row r="456" spans="1:5">
      <c r="A456" s="170" t="s">
        <v>6139</v>
      </c>
      <c r="B456" s="170"/>
      <c r="C456" s="177">
        <v>11207</v>
      </c>
      <c r="D456" s="178" t="s">
        <v>7283</v>
      </c>
      <c r="E456" s="178" t="s">
        <v>7284</v>
      </c>
    </row>
    <row r="457" spans="1:5">
      <c r="A457" s="203" t="s">
        <v>6144</v>
      </c>
      <c r="B457" s="203"/>
      <c r="C457" s="177">
        <v>11209</v>
      </c>
      <c r="D457" s="204" t="s">
        <v>7285</v>
      </c>
      <c r="E457" s="204" t="s">
        <v>7286</v>
      </c>
    </row>
    <row r="458" spans="1:5">
      <c r="A458" s="170" t="s">
        <v>6147</v>
      </c>
      <c r="B458" s="170"/>
      <c r="C458" s="177">
        <v>11206</v>
      </c>
      <c r="D458" s="178" t="s">
        <v>7287</v>
      </c>
      <c r="E458" s="202" t="s">
        <v>7288</v>
      </c>
    </row>
    <row r="459" spans="1:5">
      <c r="A459" s="170" t="s">
        <v>6153</v>
      </c>
      <c r="B459" s="170"/>
      <c r="C459" s="177">
        <v>11301</v>
      </c>
      <c r="D459" s="178" t="s">
        <v>7289</v>
      </c>
      <c r="E459" s="202" t="s">
        <v>7290</v>
      </c>
    </row>
    <row r="460" spans="1:5">
      <c r="A460" s="170" t="s">
        <v>6156</v>
      </c>
      <c r="B460" s="170"/>
      <c r="C460" s="177">
        <v>11302</v>
      </c>
      <c r="D460" s="178" t="s">
        <v>7291</v>
      </c>
      <c r="E460" s="178" t="s">
        <v>7292</v>
      </c>
    </row>
    <row r="461" spans="1:5">
      <c r="A461" s="170" t="s">
        <v>6161</v>
      </c>
      <c r="B461" s="170"/>
      <c r="C461" s="177">
        <v>11308</v>
      </c>
      <c r="D461" s="178" t="s">
        <v>7293</v>
      </c>
      <c r="E461" s="178" t="s">
        <v>7294</v>
      </c>
    </row>
    <row r="462" spans="1:5">
      <c r="A462" s="170" t="s">
        <v>6164</v>
      </c>
      <c r="B462" s="170"/>
      <c r="C462" s="177">
        <v>11307</v>
      </c>
      <c r="D462" s="178" t="s">
        <v>7295</v>
      </c>
      <c r="E462" s="178" t="s">
        <v>7296</v>
      </c>
    </row>
    <row r="463" spans="1:5">
      <c r="A463" s="170" t="s">
        <v>6169</v>
      </c>
      <c r="B463" s="170"/>
      <c r="C463" s="177">
        <v>11002</v>
      </c>
      <c r="D463" s="178" t="s">
        <v>7297</v>
      </c>
      <c r="E463" s="178" t="s">
        <v>7298</v>
      </c>
    </row>
    <row r="464" spans="1:5">
      <c r="A464" s="170" t="s">
        <v>6176</v>
      </c>
      <c r="B464" s="170"/>
      <c r="C464" s="177">
        <v>14407</v>
      </c>
      <c r="D464" s="178" t="s">
        <v>7299</v>
      </c>
      <c r="E464" s="178" t="s">
        <v>7300</v>
      </c>
    </row>
    <row r="465" spans="1:5">
      <c r="A465" s="170" t="s">
        <v>6179</v>
      </c>
      <c r="B465" s="170"/>
      <c r="C465" s="177">
        <v>14405</v>
      </c>
      <c r="D465" s="178" t="s">
        <v>7301</v>
      </c>
      <c r="E465" s="178" t="s">
        <v>7302</v>
      </c>
    </row>
    <row r="466" spans="1:5">
      <c r="A466" s="170" t="s">
        <v>6184</v>
      </c>
      <c r="B466" s="170"/>
      <c r="C466" s="177">
        <v>11303</v>
      </c>
      <c r="D466" s="178" t="s">
        <v>7303</v>
      </c>
      <c r="E466" s="178" t="s">
        <v>7304</v>
      </c>
    </row>
    <row r="467" spans="1:5">
      <c r="A467" s="170" t="s">
        <v>6187</v>
      </c>
      <c r="B467" s="170"/>
      <c r="C467" s="177">
        <v>11309</v>
      </c>
      <c r="D467" s="178" t="s">
        <v>7305</v>
      </c>
      <c r="E467" s="178" t="s">
        <v>7306</v>
      </c>
    </row>
    <row r="468" spans="1:5">
      <c r="A468" s="170" t="s">
        <v>6192</v>
      </c>
      <c r="B468" s="170"/>
      <c r="C468" s="177">
        <v>11304</v>
      </c>
      <c r="D468" s="178" t="s">
        <v>7307</v>
      </c>
      <c r="E468" s="178" t="s">
        <v>7308</v>
      </c>
    </row>
    <row r="469" spans="1:5">
      <c r="A469" s="170" t="s">
        <v>6195</v>
      </c>
      <c r="B469" s="170"/>
      <c r="C469" s="177">
        <v>11305</v>
      </c>
      <c r="D469" s="178" t="s">
        <v>7309</v>
      </c>
      <c r="E469" s="178" t="s">
        <v>7310</v>
      </c>
    </row>
    <row r="470" spans="1:5">
      <c r="A470" s="170" t="s">
        <v>6200</v>
      </c>
      <c r="B470" s="170"/>
      <c r="C470" s="177">
        <v>11310</v>
      </c>
      <c r="D470" s="178" t="s">
        <v>7311</v>
      </c>
      <c r="E470" s="178" t="s">
        <v>7312</v>
      </c>
    </row>
    <row r="471" spans="1:5">
      <c r="A471" s="170" t="s">
        <v>6203</v>
      </c>
      <c r="B471" s="170"/>
      <c r="C471" s="177">
        <v>11306</v>
      </c>
      <c r="D471" s="178" t="s">
        <v>7313</v>
      </c>
      <c r="E471" s="178" t="s">
        <v>7314</v>
      </c>
    </row>
    <row r="472" spans="1:5">
      <c r="A472" s="170" t="s">
        <v>6208</v>
      </c>
      <c r="B472" s="170"/>
      <c r="C472" s="177">
        <v>11203</v>
      </c>
      <c r="D472" s="178" t="s">
        <v>7315</v>
      </c>
      <c r="E472" s="178" t="s">
        <v>7316</v>
      </c>
    </row>
    <row r="473" spans="1:5">
      <c r="A473" s="170" t="s">
        <v>6211</v>
      </c>
      <c r="B473" s="170"/>
      <c r="C473" s="177">
        <v>11210</v>
      </c>
      <c r="D473" s="178" t="s">
        <v>7317</v>
      </c>
      <c r="E473" s="178" t="s">
        <v>7318</v>
      </c>
    </row>
    <row r="474" spans="1:5">
      <c r="A474" s="170" t="s">
        <v>6216</v>
      </c>
      <c r="B474" s="170"/>
      <c r="C474" s="177">
        <v>11104</v>
      </c>
      <c r="D474" s="178" t="s">
        <v>7319</v>
      </c>
      <c r="E474" s="178" t="s">
        <v>7320</v>
      </c>
    </row>
    <row r="475" spans="1:5">
      <c r="A475" s="170" t="s">
        <v>6219</v>
      </c>
      <c r="B475" s="170"/>
      <c r="C475" s="177">
        <v>11105</v>
      </c>
      <c r="D475" s="178" t="s">
        <v>7321</v>
      </c>
      <c r="E475" s="178" t="s">
        <v>7322</v>
      </c>
    </row>
    <row r="476" spans="1:5">
      <c r="A476" s="170" t="s">
        <v>6224</v>
      </c>
      <c r="B476" s="170"/>
      <c r="C476" s="177">
        <v>11111</v>
      </c>
      <c r="D476" s="178" t="s">
        <v>7323</v>
      </c>
      <c r="E476" s="178" t="s">
        <v>7324</v>
      </c>
    </row>
    <row r="477" spans="1:5">
      <c r="A477" s="170" t="s">
        <v>6227</v>
      </c>
      <c r="B477" s="170"/>
      <c r="C477" s="177">
        <v>11107</v>
      </c>
      <c r="D477" s="178" t="s">
        <v>7325</v>
      </c>
      <c r="E477" s="178" t="s">
        <v>7326</v>
      </c>
    </row>
    <row r="478" spans="1:5">
      <c r="A478" s="170" t="s">
        <v>6232</v>
      </c>
      <c r="B478" s="170"/>
      <c r="C478" s="177">
        <v>11101</v>
      </c>
      <c r="D478" s="178" t="s">
        <v>7327</v>
      </c>
      <c r="E478" s="178" t="s">
        <v>7328</v>
      </c>
    </row>
    <row r="479" spans="1:5">
      <c r="A479" s="170" t="s">
        <v>6235</v>
      </c>
      <c r="B479" s="170"/>
      <c r="C479" s="177">
        <v>11102</v>
      </c>
      <c r="D479" s="178" t="s">
        <v>7329</v>
      </c>
      <c r="E479" s="178" t="s">
        <v>7330</v>
      </c>
    </row>
    <row r="480" spans="1:5">
      <c r="A480" s="170" t="s">
        <v>6240</v>
      </c>
      <c r="B480" s="170"/>
      <c r="C480" s="177">
        <v>10001</v>
      </c>
      <c r="D480" s="178" t="s">
        <v>7331</v>
      </c>
      <c r="E480" s="178" t="s">
        <v>7332</v>
      </c>
    </row>
    <row r="481" spans="1:5">
      <c r="A481" s="170" t="s">
        <v>6271</v>
      </c>
      <c r="B481" s="170"/>
      <c r="C481" s="177">
        <v>71001</v>
      </c>
      <c r="D481" s="178" t="s">
        <v>7333</v>
      </c>
      <c r="E481" s="178" t="s">
        <v>7334</v>
      </c>
    </row>
    <row r="482" spans="1:5">
      <c r="A482" s="170" t="s">
        <v>6278</v>
      </c>
      <c r="B482" s="170"/>
      <c r="C482" s="177">
        <v>71003</v>
      </c>
      <c r="D482" s="178" t="s">
        <v>7335</v>
      </c>
      <c r="E482" s="178" t="s">
        <v>4983</v>
      </c>
    </row>
    <row r="483" spans="1:5">
      <c r="A483" s="170" t="s">
        <v>6285</v>
      </c>
      <c r="B483" s="170"/>
      <c r="C483" s="177">
        <v>71004</v>
      </c>
      <c r="D483" s="178" t="s">
        <v>7336</v>
      </c>
      <c r="E483" s="178" t="s">
        <v>3738</v>
      </c>
    </row>
    <row r="484" spans="1:5">
      <c r="A484" s="170" t="s">
        <v>6292</v>
      </c>
      <c r="B484" s="170"/>
      <c r="C484" s="177">
        <v>71036</v>
      </c>
      <c r="D484" s="178" t="s">
        <v>7337</v>
      </c>
      <c r="E484" s="178" t="s">
        <v>7338</v>
      </c>
    </row>
    <row r="485" spans="1:5">
      <c r="A485" s="170" t="s">
        <v>6299</v>
      </c>
      <c r="B485" s="170"/>
      <c r="C485" s="177">
        <v>71037</v>
      </c>
      <c r="D485" s="178" t="s">
        <v>7339</v>
      </c>
      <c r="E485" s="178" t="s">
        <v>5712</v>
      </c>
    </row>
    <row r="486" spans="1:5">
      <c r="A486" s="170" t="s">
        <v>6306</v>
      </c>
      <c r="B486" s="170"/>
      <c r="C486" s="177">
        <v>71038</v>
      </c>
      <c r="D486" s="178" t="s">
        <v>7340</v>
      </c>
      <c r="E486" s="178" t="s">
        <v>7341</v>
      </c>
    </row>
    <row r="487" spans="1:5">
      <c r="A487" s="170" t="s">
        <v>6314</v>
      </c>
      <c r="B487" s="170"/>
      <c r="C487" s="177">
        <v>71043</v>
      </c>
      <c r="D487" s="178" t="s">
        <v>7342</v>
      </c>
      <c r="E487" s="178" t="s">
        <v>2661</v>
      </c>
    </row>
    <row r="488" spans="1:5">
      <c r="A488" s="170" t="s">
        <v>6321</v>
      </c>
      <c r="B488" s="170"/>
      <c r="C488" s="177">
        <v>71041</v>
      </c>
      <c r="D488" s="178" t="s">
        <v>7343</v>
      </c>
      <c r="E488" s="178" t="s">
        <v>7344</v>
      </c>
    </row>
    <row r="489" spans="1:5">
      <c r="A489" s="170" t="s">
        <v>6328</v>
      </c>
      <c r="B489" s="170"/>
      <c r="C489" s="177">
        <v>71042</v>
      </c>
      <c r="D489" s="178" t="s">
        <v>7345</v>
      </c>
      <c r="E489" s="178" t="s">
        <v>7346</v>
      </c>
    </row>
    <row r="490" spans="1:5">
      <c r="A490" s="170" t="s">
        <v>6335</v>
      </c>
      <c r="B490" s="170"/>
      <c r="C490" s="177">
        <v>71046</v>
      </c>
      <c r="D490" s="178" t="s">
        <v>7347</v>
      </c>
      <c r="E490" s="178" t="s">
        <v>1022</v>
      </c>
    </row>
    <row r="491" spans="1:5">
      <c r="A491" s="170" t="s">
        <v>6342</v>
      </c>
      <c r="B491" s="170"/>
      <c r="C491" s="177">
        <v>71048</v>
      </c>
      <c r="D491" s="178" t="s">
        <v>7348</v>
      </c>
      <c r="E491" s="178" t="s">
        <v>7349</v>
      </c>
    </row>
    <row r="492" spans="1:5">
      <c r="A492" s="170" t="s">
        <v>6349</v>
      </c>
      <c r="B492" s="170"/>
      <c r="C492" s="177">
        <v>71026</v>
      </c>
      <c r="D492" s="178" t="s">
        <v>7350</v>
      </c>
      <c r="E492" s="178" t="s">
        <v>7351</v>
      </c>
    </row>
    <row r="493" spans="1:5">
      <c r="A493" s="170" t="s">
        <v>6424</v>
      </c>
      <c r="B493" s="170"/>
      <c r="C493" s="177">
        <v>71061</v>
      </c>
      <c r="D493" s="178" t="s">
        <v>7352</v>
      </c>
      <c r="E493" s="178" t="s">
        <v>7353</v>
      </c>
    </row>
    <row r="494" spans="1:5">
      <c r="A494" s="170" t="s">
        <v>6431</v>
      </c>
      <c r="B494" s="170"/>
      <c r="C494" s="177">
        <v>71062</v>
      </c>
      <c r="D494" s="178" t="s">
        <v>7354</v>
      </c>
      <c r="E494" s="178" t="s">
        <v>1250</v>
      </c>
    </row>
    <row r="495" spans="1:5">
      <c r="A495" s="170" t="s">
        <v>6438</v>
      </c>
      <c r="B495" s="170"/>
      <c r="C495" s="177">
        <v>71063</v>
      </c>
      <c r="D495" s="178" t="s">
        <v>7355</v>
      </c>
      <c r="E495" s="178" t="s">
        <v>7356</v>
      </c>
    </row>
    <row r="496" spans="1:5">
      <c r="A496" s="203" t="s">
        <v>6445</v>
      </c>
      <c r="B496" s="203"/>
      <c r="C496" s="177">
        <v>80001</v>
      </c>
      <c r="D496" s="204" t="s">
        <v>7357</v>
      </c>
      <c r="E496" s="204" t="s">
        <v>7358</v>
      </c>
    </row>
    <row r="497" spans="1:5">
      <c r="A497" s="170" t="s">
        <v>6518</v>
      </c>
      <c r="B497" s="170"/>
      <c r="C497" s="177">
        <v>71072</v>
      </c>
      <c r="D497" s="178" t="s">
        <v>7359</v>
      </c>
      <c r="E497" s="178" t="s">
        <v>7360</v>
      </c>
    </row>
    <row r="498" spans="1:5">
      <c r="A498" s="170" t="s">
        <v>6525</v>
      </c>
      <c r="B498" s="170"/>
      <c r="C498" s="177">
        <v>71076</v>
      </c>
      <c r="D498" s="178" t="s">
        <v>7361</v>
      </c>
      <c r="E498" s="178" t="s">
        <v>7362</v>
      </c>
    </row>
    <row r="499" spans="1:5">
      <c r="A499" s="170" t="s">
        <v>6532</v>
      </c>
      <c r="B499" s="170"/>
      <c r="C499" s="177">
        <v>71013</v>
      </c>
      <c r="D499" s="178" t="s">
        <v>7363</v>
      </c>
      <c r="E499" s="178" t="s">
        <v>7364</v>
      </c>
    </row>
    <row r="500" spans="1:5">
      <c r="A500" s="170" t="s">
        <v>6539</v>
      </c>
      <c r="B500" s="170"/>
      <c r="C500" s="177">
        <v>710012</v>
      </c>
      <c r="D500" s="178" t="s">
        <v>7365</v>
      </c>
      <c r="E500" s="178" t="s">
        <v>7366</v>
      </c>
    </row>
    <row r="501" spans="1:5">
      <c r="A501" s="193" t="s">
        <v>6546</v>
      </c>
      <c r="B501" s="193"/>
      <c r="C501" s="177">
        <v>71011</v>
      </c>
      <c r="D501" s="194" t="s">
        <v>7367</v>
      </c>
      <c r="E501" s="194" t="s">
        <v>7368</v>
      </c>
    </row>
    <row r="502" spans="1:5">
      <c r="A502" s="196" t="s">
        <v>6352</v>
      </c>
      <c r="B502" s="196"/>
      <c r="C502" s="177">
        <v>71022</v>
      </c>
      <c r="D502" s="196" t="s">
        <v>7369</v>
      </c>
      <c r="E502" s="196" t="s">
        <v>7370</v>
      </c>
    </row>
    <row r="503" spans="1:5">
      <c r="A503" s="196" t="s">
        <v>6355</v>
      </c>
      <c r="B503" s="195"/>
      <c r="C503" s="177">
        <v>71023</v>
      </c>
      <c r="D503" s="196" t="s">
        <v>7371</v>
      </c>
      <c r="E503" s="196" t="s">
        <v>7372</v>
      </c>
    </row>
    <row r="504" spans="1:5">
      <c r="A504" s="196" t="s">
        <v>6358</v>
      </c>
      <c r="B504" s="195"/>
      <c r="C504" s="177">
        <v>71021</v>
      </c>
      <c r="D504" s="196" t="s">
        <v>7373</v>
      </c>
      <c r="E504" s="196" t="s">
        <v>7374</v>
      </c>
    </row>
    <row r="505" spans="1:5">
      <c r="A505" s="196" t="s">
        <v>6361</v>
      </c>
      <c r="B505" s="195"/>
      <c r="C505" s="177">
        <v>71034</v>
      </c>
      <c r="D505" s="196" t="s">
        <v>7375</v>
      </c>
      <c r="E505" s="196" t="s">
        <v>7376</v>
      </c>
    </row>
    <row r="506" spans="1:5">
      <c r="A506" s="196" t="s">
        <v>6364</v>
      </c>
      <c r="B506" s="195"/>
      <c r="C506" s="177">
        <v>71033</v>
      </c>
      <c r="D506" s="196" t="s">
        <v>7377</v>
      </c>
      <c r="E506" s="196" t="s">
        <v>7378</v>
      </c>
    </row>
    <row r="507" spans="1:5">
      <c r="A507" s="196" t="s">
        <v>6367</v>
      </c>
      <c r="B507" s="195"/>
      <c r="C507" s="177">
        <v>71032</v>
      </c>
      <c r="D507" s="196" t="s">
        <v>7379</v>
      </c>
      <c r="E507" s="196" t="s">
        <v>7380</v>
      </c>
    </row>
    <row r="508" spans="1:5">
      <c r="A508" s="196" t="s">
        <v>6370</v>
      </c>
      <c r="B508" s="196"/>
      <c r="C508" s="177">
        <v>71031</v>
      </c>
      <c r="D508" s="196" t="s">
        <v>7381</v>
      </c>
      <c r="E508" s="196" t="s">
        <v>7382</v>
      </c>
    </row>
    <row r="509" spans="1:5">
      <c r="A509" s="196" t="s">
        <v>6373</v>
      </c>
      <c r="B509" s="205"/>
      <c r="C509" s="177">
        <v>71002</v>
      </c>
      <c r="D509" s="196" t="s">
        <v>7383</v>
      </c>
      <c r="E509" s="196" t="s">
        <v>2717</v>
      </c>
    </row>
    <row r="510" spans="1:5">
      <c r="A510" s="201" t="s">
        <v>576</v>
      </c>
      <c r="B510" s="200"/>
      <c r="C510" s="177">
        <v>99940</v>
      </c>
      <c r="D510" s="201" t="s">
        <v>7384</v>
      </c>
      <c r="E510" s="201" t="s">
        <v>7385</v>
      </c>
    </row>
    <row r="511" spans="1:5">
      <c r="A511" s="201" t="s">
        <v>908</v>
      </c>
      <c r="B511" s="200"/>
      <c r="C511" s="177">
        <v>12310</v>
      </c>
      <c r="D511" s="201" t="s">
        <v>7386</v>
      </c>
      <c r="E511" s="201" t="s">
        <v>7387</v>
      </c>
    </row>
    <row r="512" spans="1:5">
      <c r="A512" s="201" t="s">
        <v>581</v>
      </c>
      <c r="B512" s="200"/>
      <c r="C512" s="177">
        <v>99941</v>
      </c>
      <c r="D512" s="201" t="s">
        <v>7388</v>
      </c>
      <c r="E512" s="201" t="s">
        <v>7389</v>
      </c>
    </row>
    <row r="513" spans="1:5">
      <c r="A513" s="170" t="s">
        <v>392</v>
      </c>
      <c r="B513" s="170"/>
      <c r="C513" s="177">
        <v>99948</v>
      </c>
      <c r="D513" s="178" t="s">
        <v>7390</v>
      </c>
      <c r="E513" s="178" t="s">
        <v>7391</v>
      </c>
    </row>
    <row r="514" spans="1:5">
      <c r="A514" s="170" t="s">
        <v>398</v>
      </c>
      <c r="B514" s="170"/>
      <c r="C514" s="177">
        <v>99949</v>
      </c>
      <c r="D514" s="178" t="s">
        <v>7392</v>
      </c>
      <c r="E514" s="178" t="s">
        <v>7393</v>
      </c>
    </row>
    <row r="515" spans="1:5">
      <c r="A515" s="170" t="s">
        <v>409</v>
      </c>
      <c r="B515" s="170"/>
      <c r="C515" s="177">
        <v>99950</v>
      </c>
      <c r="D515" s="178" t="s">
        <v>7394</v>
      </c>
      <c r="E515" s="178" t="s">
        <v>7395</v>
      </c>
    </row>
    <row r="516" spans="1:5">
      <c r="A516" s="170" t="s">
        <v>426</v>
      </c>
      <c r="B516" s="170"/>
      <c r="C516" s="177">
        <v>99951</v>
      </c>
      <c r="D516" s="178" t="s">
        <v>7396</v>
      </c>
      <c r="E516" s="178" t="s">
        <v>7397</v>
      </c>
    </row>
    <row r="517" spans="1:5">
      <c r="A517" s="170" t="s">
        <v>442</v>
      </c>
      <c r="B517" s="170"/>
      <c r="C517" s="177">
        <v>99952</v>
      </c>
      <c r="D517" s="178" t="s">
        <v>7398</v>
      </c>
      <c r="E517" s="178" t="s">
        <v>7399</v>
      </c>
    </row>
    <row r="518" spans="1:5">
      <c r="A518" s="170" t="s">
        <v>448</v>
      </c>
      <c r="B518" s="170"/>
      <c r="C518" s="177">
        <v>99953</v>
      </c>
      <c r="D518" s="178" t="s">
        <v>7400</v>
      </c>
      <c r="E518" s="178" t="s">
        <v>7401</v>
      </c>
    </row>
    <row r="519" spans="1:5">
      <c r="A519" s="170" t="s">
        <v>457</v>
      </c>
      <c r="B519" s="170"/>
      <c r="C519" s="177">
        <v>99954</v>
      </c>
      <c r="D519" s="178" t="s">
        <v>7402</v>
      </c>
      <c r="E519" s="178" t="s">
        <v>7403</v>
      </c>
    </row>
    <row r="520" spans="1:5">
      <c r="A520" s="170" t="s">
        <v>463</v>
      </c>
      <c r="B520" s="170"/>
      <c r="C520" s="177">
        <v>99955</v>
      </c>
      <c r="D520" s="178" t="s">
        <v>7404</v>
      </c>
      <c r="E520" s="178" t="s">
        <v>7405</v>
      </c>
    </row>
    <row r="521" spans="1:5">
      <c r="A521" s="170" t="s">
        <v>474</v>
      </c>
      <c r="B521" s="170"/>
      <c r="C521" s="177">
        <v>99956</v>
      </c>
      <c r="D521" s="178" t="s">
        <v>7406</v>
      </c>
      <c r="E521" s="178" t="s">
        <v>1818</v>
      </c>
    </row>
    <row r="522" spans="1:5">
      <c r="A522" s="170" t="s">
        <v>480</v>
      </c>
      <c r="B522" s="170"/>
      <c r="C522" s="177">
        <v>99957</v>
      </c>
      <c r="D522" s="178" t="s">
        <v>7407</v>
      </c>
      <c r="E522" s="178" t="s">
        <v>7408</v>
      </c>
    </row>
    <row r="523" spans="1:5">
      <c r="A523" s="170" t="s">
        <v>490</v>
      </c>
      <c r="B523" s="170"/>
      <c r="C523" s="177">
        <v>99958</v>
      </c>
      <c r="D523" s="178" t="s">
        <v>7409</v>
      </c>
      <c r="E523" s="178" t="s">
        <v>7410</v>
      </c>
    </row>
    <row r="524" spans="1:5">
      <c r="A524" s="170" t="s">
        <v>519</v>
      </c>
      <c r="B524" s="170"/>
      <c r="C524" s="177">
        <v>99946</v>
      </c>
      <c r="D524" s="178" t="s">
        <v>7411</v>
      </c>
      <c r="E524" s="178" t="s">
        <v>7412</v>
      </c>
    </row>
    <row r="525" spans="1:5">
      <c r="A525" s="170" t="s">
        <v>525</v>
      </c>
      <c r="B525" s="170"/>
      <c r="C525" s="177">
        <v>99947</v>
      </c>
      <c r="D525" s="178" t="s">
        <v>7413</v>
      </c>
      <c r="E525" s="178" t="s">
        <v>7414</v>
      </c>
    </row>
    <row r="526" spans="1:5">
      <c r="A526" s="170" t="s">
        <v>534</v>
      </c>
      <c r="B526" s="170"/>
      <c r="C526" s="177">
        <v>99944</v>
      </c>
      <c r="D526" s="178" t="s">
        <v>7415</v>
      </c>
      <c r="E526" s="178" t="s">
        <v>7416</v>
      </c>
    </row>
    <row r="527" spans="1:5">
      <c r="A527" s="170" t="s">
        <v>540</v>
      </c>
      <c r="B527" s="170"/>
      <c r="C527" s="177">
        <v>99945</v>
      </c>
      <c r="D527" s="178" t="s">
        <v>7417</v>
      </c>
      <c r="E527" s="178" t="s">
        <v>7418</v>
      </c>
    </row>
    <row r="528" spans="1:5">
      <c r="A528" s="170" t="s">
        <v>550</v>
      </c>
      <c r="B528" s="170"/>
      <c r="C528" s="177">
        <v>99942</v>
      </c>
      <c r="D528" s="178" t="s">
        <v>7419</v>
      </c>
      <c r="E528" s="178" t="s">
        <v>7420</v>
      </c>
    </row>
    <row r="529" spans="1:5">
      <c r="A529" s="193" t="s">
        <v>556</v>
      </c>
      <c r="B529" s="193"/>
      <c r="C529" s="177">
        <v>99943</v>
      </c>
      <c r="D529" s="194" t="s">
        <v>7421</v>
      </c>
      <c r="E529" s="194" t="s">
        <v>7422</v>
      </c>
    </row>
  </sheetData>
  <autoFilter xmlns:etc="http://www.wps.cn/officeDocument/2017/etCustomData" ref="A2:E531" etc:filterBottomFollowUsedRange="0">
    <extLst/>
  </autoFilter>
  <mergeCells count="1">
    <mergeCell ref="G1:I1"/>
  </mergeCells>
  <conditionalFormatting sqref="C188">
    <cfRule type="duplicateValues" dxfId="0" priority="117"/>
  </conditionalFormatting>
  <conditionalFormatting sqref="C189">
    <cfRule type="duplicateValues" dxfId="0" priority="118"/>
  </conditionalFormatting>
  <conditionalFormatting sqref="C190">
    <cfRule type="duplicateValues" dxfId="0" priority="115"/>
  </conditionalFormatting>
  <conditionalFormatting sqref="C191">
    <cfRule type="duplicateValues" dxfId="0" priority="116"/>
  </conditionalFormatting>
  <conditionalFormatting sqref="C195">
    <cfRule type="duplicateValues" dxfId="0" priority="114"/>
  </conditionalFormatting>
  <conditionalFormatting sqref="C196">
    <cfRule type="duplicateValues" dxfId="0" priority="112"/>
  </conditionalFormatting>
  <conditionalFormatting sqref="C197">
    <cfRule type="duplicateValues" dxfId="0" priority="113"/>
  </conditionalFormatting>
  <conditionalFormatting sqref="C198">
    <cfRule type="duplicateValues" dxfId="0" priority="110"/>
  </conditionalFormatting>
  <conditionalFormatting sqref="C199">
    <cfRule type="duplicateValues" dxfId="0" priority="111"/>
  </conditionalFormatting>
  <conditionalFormatting sqref="C226">
    <cfRule type="duplicateValues" dxfId="0" priority="109"/>
  </conditionalFormatting>
  <conditionalFormatting sqref="C271">
    <cfRule type="duplicateValues" dxfId="0" priority="108"/>
  </conditionalFormatting>
  <conditionalFormatting sqref="C290">
    <cfRule type="duplicateValues" dxfId="0" priority="104"/>
    <cfRule type="duplicateValues" dxfId="0" priority="105"/>
    <cfRule type="duplicateValues" dxfId="0" priority="106"/>
    <cfRule type="duplicateValues" dxfId="0" priority="107"/>
  </conditionalFormatting>
  <conditionalFormatting sqref="C291">
    <cfRule type="duplicateValues" dxfId="0" priority="100"/>
    <cfRule type="duplicateValues" dxfId="0" priority="101"/>
    <cfRule type="duplicateValues" dxfId="0" priority="102"/>
    <cfRule type="duplicateValues" dxfId="0" priority="103"/>
  </conditionalFormatting>
  <conditionalFormatting sqref="C305">
    <cfRule type="duplicateValues" dxfId="0" priority="99"/>
  </conditionalFormatting>
  <conditionalFormatting sqref="C311">
    <cfRule type="duplicateValues" dxfId="0" priority="91"/>
    <cfRule type="duplicateValues" dxfId="0" priority="92"/>
    <cfRule type="duplicateValues" dxfId="0" priority="93"/>
    <cfRule type="duplicateValues" dxfId="0" priority="94"/>
  </conditionalFormatting>
  <conditionalFormatting sqref="C312">
    <cfRule type="duplicateValues" dxfId="0" priority="95"/>
    <cfRule type="duplicateValues" dxfId="0" priority="96"/>
    <cfRule type="duplicateValues" dxfId="0" priority="97"/>
    <cfRule type="duplicateValues" dxfId="0" priority="98"/>
  </conditionalFormatting>
  <conditionalFormatting sqref="C313">
    <cfRule type="duplicateValues" dxfId="0" priority="87"/>
    <cfRule type="duplicateValues" dxfId="0" priority="88"/>
    <cfRule type="duplicateValues" dxfId="0" priority="89"/>
    <cfRule type="duplicateValues" dxfId="0" priority="90"/>
  </conditionalFormatting>
  <conditionalFormatting sqref="C314">
    <cfRule type="duplicateValues" dxfId="0" priority="75"/>
    <cfRule type="duplicateValues" dxfId="0" priority="76"/>
    <cfRule type="duplicateValues" dxfId="0" priority="77"/>
    <cfRule type="duplicateValues" dxfId="0" priority="78"/>
  </conditionalFormatting>
  <conditionalFormatting sqref="C315">
    <cfRule type="duplicateValues" dxfId="0" priority="79"/>
    <cfRule type="duplicateValues" dxfId="0" priority="80"/>
    <cfRule type="duplicateValues" dxfId="0" priority="81"/>
    <cfRule type="duplicateValues" dxfId="0" priority="82"/>
  </conditionalFormatting>
  <conditionalFormatting sqref="C316">
    <cfRule type="duplicateValues" dxfId="0" priority="83"/>
    <cfRule type="duplicateValues" dxfId="0" priority="84"/>
    <cfRule type="duplicateValues" dxfId="0" priority="85"/>
    <cfRule type="duplicateValues" dxfId="0" priority="86"/>
  </conditionalFormatting>
  <conditionalFormatting sqref="C317">
    <cfRule type="duplicateValues" dxfId="0" priority="71"/>
    <cfRule type="duplicateValues" dxfId="0" priority="72"/>
    <cfRule type="duplicateValues" dxfId="0" priority="73"/>
    <cfRule type="duplicateValues" dxfId="0" priority="74"/>
  </conditionalFormatting>
  <conditionalFormatting sqref="C318">
    <cfRule type="duplicateValues" dxfId="0" priority="67"/>
    <cfRule type="duplicateValues" dxfId="0" priority="68"/>
    <cfRule type="duplicateValues" dxfId="0" priority="69"/>
    <cfRule type="duplicateValues" dxfId="0" priority="70"/>
  </conditionalFormatting>
  <conditionalFormatting sqref="C319">
    <cfRule type="duplicateValues" dxfId="0" priority="63"/>
    <cfRule type="duplicateValues" dxfId="0" priority="64"/>
    <cfRule type="duplicateValues" dxfId="0" priority="65"/>
    <cfRule type="duplicateValues" dxfId="0" priority="66"/>
  </conditionalFormatting>
  <conditionalFormatting sqref="C320">
    <cfRule type="duplicateValues" dxfId="0" priority="59"/>
    <cfRule type="duplicateValues" dxfId="0" priority="60"/>
    <cfRule type="duplicateValues" dxfId="0" priority="61"/>
    <cfRule type="duplicateValues" dxfId="0" priority="62"/>
  </conditionalFormatting>
  <conditionalFormatting sqref="C322">
    <cfRule type="duplicateValues" dxfId="0" priority="55"/>
    <cfRule type="duplicateValues" dxfId="0" priority="56"/>
    <cfRule type="duplicateValues" dxfId="0" priority="57"/>
    <cfRule type="duplicateValues" dxfId="0" priority="58"/>
  </conditionalFormatting>
  <conditionalFormatting sqref="C323">
    <cfRule type="duplicateValues" dxfId="0" priority="47"/>
    <cfRule type="duplicateValues" dxfId="0" priority="48"/>
    <cfRule type="duplicateValues" dxfId="0" priority="49"/>
    <cfRule type="duplicateValues" dxfId="0" priority="50"/>
  </conditionalFormatting>
  <conditionalFormatting sqref="C324">
    <cfRule type="duplicateValues" dxfId="0" priority="51"/>
    <cfRule type="duplicateValues" dxfId="0" priority="52"/>
    <cfRule type="duplicateValues" dxfId="0" priority="53"/>
    <cfRule type="duplicateValues" dxfId="0" priority="54"/>
  </conditionalFormatting>
  <conditionalFormatting sqref="C325">
    <cfRule type="duplicateValues" dxfId="0" priority="39"/>
    <cfRule type="duplicateValues" dxfId="0" priority="40"/>
    <cfRule type="duplicateValues" dxfId="0" priority="41"/>
    <cfRule type="duplicateValues" dxfId="0" priority="42"/>
  </conditionalFormatting>
  <conditionalFormatting sqref="C326">
    <cfRule type="duplicateValues" dxfId="0" priority="43"/>
    <cfRule type="duplicateValues" dxfId="0" priority="44"/>
    <cfRule type="duplicateValues" dxfId="0" priority="45"/>
    <cfRule type="duplicateValues" dxfId="0" priority="46"/>
  </conditionalFormatting>
  <conditionalFormatting sqref="J7:J16">
    <cfRule type="cellIs" dxfId="6" priority="1" operator="equal">
      <formula>"global1"</formula>
    </cfRule>
    <cfRule type="cellIs" dxfId="7" priority="2" operator="equal">
      <formula>"#N/A"</formula>
    </cfRule>
    <cfRule type="cellIs" dxfId="3" priority="3" operator="equal">
      <formula>0</formula>
    </cfRule>
    <cfRule type="cellIs" dxfId="4" priority="4" operator="equal">
      <formula>1</formula>
    </cfRule>
    <cfRule type="cellIs" dxfId="5" priority="5" operator="equal">
      <formula>2</formula>
    </cfRule>
    <cfRule type="cellIs" dxfId="8" priority="6" operator="equal">
      <formula>4</formula>
    </cfRule>
  </conditionalFormatting>
  <conditionalFormatting sqref="D3:D162 D168:D501">
    <cfRule type="cellIs" dxfId="6" priority="21" operator="equal">
      <formula>"global1"</formula>
    </cfRule>
    <cfRule type="cellIs" dxfId="7" priority="22" operator="equal">
      <formula>"#N/A"</formula>
    </cfRule>
    <cfRule type="cellIs" dxfId="3" priority="23" operator="equal">
      <formula>0</formula>
    </cfRule>
    <cfRule type="cellIs" dxfId="4" priority="24" operator="equal">
      <formula>1</formula>
    </cfRule>
    <cfRule type="cellIs" dxfId="5" priority="25" operator="equal">
      <formula>2</formula>
    </cfRule>
    <cfRule type="cellIs" dxfId="8" priority="26" operator="equal">
      <formula>4</formula>
    </cfRule>
  </conditionalFormatting>
  <conditionalFormatting sqref="D513:D529 D511">
    <cfRule type="cellIs" dxfId="6" priority="7" operator="equal">
      <formula>"global1"</formula>
    </cfRule>
    <cfRule type="cellIs" dxfId="7" priority="8" operator="equal">
      <formula>"#N/A"</formula>
    </cfRule>
    <cfRule type="cellIs" dxfId="3" priority="9" operator="equal">
      <formula>0</formula>
    </cfRule>
    <cfRule type="cellIs" dxfId="4" priority="10" operator="equal">
      <formula>1</formula>
    </cfRule>
    <cfRule type="cellIs" dxfId="5" priority="11" operator="equal">
      <formula>2</formula>
    </cfRule>
    <cfRule type="cellIs" dxfId="8" priority="12" operator="equal">
      <formula>4</formula>
    </cfRule>
  </conditionalFormatting>
  <printOptions horizontalCentered="1" verticalCentered="1"/>
  <pageMargins left="0.708661417322835" right="0.708661417322835" top="0.748031496062992" bottom="0.748031496062992" header="0.31496062992126" footer="0.31496062992126"/>
  <pageSetup paperSize="9" scale="47"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9"/>
  <sheetViews>
    <sheetView workbookViewId="0">
      <selection activeCell="A1" sqref="A1:A159"/>
    </sheetView>
  </sheetViews>
  <sheetFormatPr defaultColWidth="9" defaultRowHeight="14.5"/>
  <sheetData>
    <row r="1" spans="1:1">
      <c r="A1">
        <v>1001</v>
      </c>
    </row>
    <row r="2" spans="1:1">
      <c r="A2">
        <v>1002</v>
      </c>
    </row>
    <row r="3" spans="1:1">
      <c r="A3">
        <v>1003</v>
      </c>
    </row>
    <row r="4" spans="1:1">
      <c r="A4">
        <v>1004</v>
      </c>
    </row>
    <row r="5" spans="1:1">
      <c r="A5">
        <v>1005</v>
      </c>
    </row>
    <row r="6" spans="1:1">
      <c r="A6">
        <v>1006</v>
      </c>
    </row>
    <row r="7" spans="1:1">
      <c r="A7">
        <v>1007</v>
      </c>
    </row>
    <row r="8" spans="1:1">
      <c r="A8">
        <v>1008</v>
      </c>
    </row>
    <row r="9" spans="1:1">
      <c r="A9">
        <v>1009</v>
      </c>
    </row>
    <row r="10" spans="1:1">
      <c r="A10">
        <v>1010</v>
      </c>
    </row>
    <row r="11" spans="1:1">
      <c r="A11">
        <v>1011</v>
      </c>
    </row>
    <row r="12" spans="1:1">
      <c r="A12">
        <v>1012</v>
      </c>
    </row>
    <row r="13" spans="1:1">
      <c r="A13">
        <v>1013</v>
      </c>
    </row>
    <row r="14" spans="1:1">
      <c r="A14">
        <v>1014</v>
      </c>
    </row>
    <row r="15" spans="1:1">
      <c r="A15">
        <v>1015</v>
      </c>
    </row>
    <row r="16" spans="1:1">
      <c r="A16">
        <v>1016</v>
      </c>
    </row>
    <row r="17" spans="1:1">
      <c r="A17">
        <v>1017</v>
      </c>
    </row>
    <row r="18" spans="1:1">
      <c r="A18">
        <v>1018</v>
      </c>
    </row>
    <row r="19" spans="1:1">
      <c r="A19">
        <v>1019</v>
      </c>
    </row>
    <row r="20" spans="1:1">
      <c r="A20">
        <v>1020</v>
      </c>
    </row>
    <row r="21" spans="1:1">
      <c r="A21">
        <v>1021</v>
      </c>
    </row>
    <row r="22" spans="1:1">
      <c r="A22">
        <v>1022</v>
      </c>
    </row>
    <row r="23" spans="1:1">
      <c r="A23">
        <v>1023</v>
      </c>
    </row>
    <row r="24" spans="1:1">
      <c r="A24">
        <v>1024</v>
      </c>
    </row>
    <row r="25" spans="1:1">
      <c r="A25">
        <v>1025</v>
      </c>
    </row>
    <row r="26" spans="1:1">
      <c r="A26">
        <v>1026</v>
      </c>
    </row>
    <row r="27" spans="1:1">
      <c r="A27">
        <v>1027</v>
      </c>
    </row>
    <row r="28" spans="1:1">
      <c r="A28">
        <v>1028</v>
      </c>
    </row>
    <row r="29" spans="1:1">
      <c r="A29">
        <v>1029</v>
      </c>
    </row>
    <row r="30" spans="1:1">
      <c r="A30">
        <v>1030</v>
      </c>
    </row>
    <row r="31" spans="1:1">
      <c r="A31">
        <v>1031</v>
      </c>
    </row>
    <row r="32" spans="1:1">
      <c r="A32">
        <v>1032</v>
      </c>
    </row>
    <row r="33" spans="1:1">
      <c r="A33">
        <v>1033</v>
      </c>
    </row>
    <row r="34" spans="1:1">
      <c r="A34">
        <v>1034</v>
      </c>
    </row>
    <row r="35" spans="1:1">
      <c r="A35">
        <v>1035</v>
      </c>
    </row>
    <row r="36" spans="1:1">
      <c r="A36">
        <v>1036</v>
      </c>
    </row>
    <row r="37" spans="1:1">
      <c r="A37">
        <v>1037</v>
      </c>
    </row>
    <row r="38" spans="1:1">
      <c r="A38">
        <v>1038</v>
      </c>
    </row>
    <row r="39" spans="1:1">
      <c r="A39">
        <v>1039</v>
      </c>
    </row>
    <row r="40" spans="1:1">
      <c r="A40">
        <v>1040</v>
      </c>
    </row>
    <row r="41" spans="1:1">
      <c r="A41">
        <v>1041</v>
      </c>
    </row>
    <row r="42" spans="1:1">
      <c r="A42">
        <v>1042</v>
      </c>
    </row>
    <row r="43" spans="1:1">
      <c r="A43">
        <v>1043</v>
      </c>
    </row>
    <row r="44" spans="1:1">
      <c r="A44">
        <v>1044</v>
      </c>
    </row>
    <row r="45" spans="1:1">
      <c r="A45">
        <v>1045</v>
      </c>
    </row>
    <row r="46" spans="1:1">
      <c r="A46">
        <v>1046</v>
      </c>
    </row>
    <row r="47" spans="1:1">
      <c r="A47">
        <v>1047</v>
      </c>
    </row>
    <row r="48" spans="1:1">
      <c r="A48">
        <v>1048</v>
      </c>
    </row>
    <row r="49" spans="1:1">
      <c r="A49">
        <v>1049</v>
      </c>
    </row>
    <row r="50" spans="1:1">
      <c r="A50">
        <v>1050</v>
      </c>
    </row>
    <row r="51" spans="1:1">
      <c r="A51">
        <v>1051</v>
      </c>
    </row>
    <row r="52" spans="1:1">
      <c r="A52">
        <v>1052</v>
      </c>
    </row>
    <row r="53" spans="1:1">
      <c r="A53">
        <v>1053</v>
      </c>
    </row>
    <row r="54" spans="1:1">
      <c r="A54">
        <v>1054</v>
      </c>
    </row>
    <row r="55" spans="1:1">
      <c r="A55">
        <v>1055</v>
      </c>
    </row>
    <row r="56" spans="1:1">
      <c r="A56">
        <v>1056</v>
      </c>
    </row>
    <row r="57" spans="1:1">
      <c r="A57">
        <v>1057</v>
      </c>
    </row>
    <row r="58" spans="1:1">
      <c r="A58">
        <v>1058</v>
      </c>
    </row>
    <row r="59" spans="1:1">
      <c r="A59">
        <v>1059</v>
      </c>
    </row>
    <row r="60" spans="1:1">
      <c r="A60">
        <v>1060</v>
      </c>
    </row>
    <row r="61" spans="1:1">
      <c r="A61">
        <v>1061</v>
      </c>
    </row>
    <row r="62" spans="1:1">
      <c r="A62">
        <v>1062</v>
      </c>
    </row>
    <row r="63" spans="1:1">
      <c r="A63">
        <v>1063</v>
      </c>
    </row>
    <row r="64" spans="1:1">
      <c r="A64">
        <v>1064</v>
      </c>
    </row>
    <row r="65" spans="1:1">
      <c r="A65">
        <v>1065</v>
      </c>
    </row>
    <row r="66" spans="1:1">
      <c r="A66">
        <v>1066</v>
      </c>
    </row>
    <row r="67" spans="1:1">
      <c r="A67">
        <v>1067</v>
      </c>
    </row>
    <row r="68" spans="1:1">
      <c r="A68">
        <v>1068</v>
      </c>
    </row>
    <row r="69" spans="1:1">
      <c r="A69">
        <v>1069</v>
      </c>
    </row>
    <row r="70" spans="1:1">
      <c r="A70">
        <v>1070</v>
      </c>
    </row>
    <row r="71" spans="1:1">
      <c r="A71">
        <v>1071</v>
      </c>
    </row>
    <row r="72" spans="1:1">
      <c r="A72">
        <v>1072</v>
      </c>
    </row>
    <row r="73" spans="1:1">
      <c r="A73">
        <v>1073</v>
      </c>
    </row>
    <row r="74" spans="1:1">
      <c r="A74">
        <v>1074</v>
      </c>
    </row>
    <row r="75" spans="1:1">
      <c r="A75">
        <v>1075</v>
      </c>
    </row>
    <row r="76" spans="1:1">
      <c r="A76">
        <v>1076</v>
      </c>
    </row>
    <row r="77" spans="1:1">
      <c r="A77">
        <v>1077</v>
      </c>
    </row>
    <row r="78" spans="1:1">
      <c r="A78">
        <v>1078</v>
      </c>
    </row>
    <row r="79" spans="1:1">
      <c r="A79">
        <v>1079</v>
      </c>
    </row>
    <row r="80" spans="1:1">
      <c r="A80">
        <v>1080</v>
      </c>
    </row>
    <row r="81" spans="1:1">
      <c r="A81">
        <v>1081</v>
      </c>
    </row>
    <row r="82" spans="1:1">
      <c r="A82">
        <v>1082</v>
      </c>
    </row>
    <row r="83" spans="1:1">
      <c r="A83">
        <v>1083</v>
      </c>
    </row>
    <row r="84" spans="1:1">
      <c r="A84">
        <v>1084</v>
      </c>
    </row>
    <row r="85" spans="1:1">
      <c r="A85">
        <v>1085</v>
      </c>
    </row>
    <row r="86" spans="1:1">
      <c r="A86">
        <v>1086</v>
      </c>
    </row>
    <row r="87" spans="1:1">
      <c r="A87">
        <v>1087</v>
      </c>
    </row>
    <row r="88" spans="1:1">
      <c r="A88">
        <v>1088</v>
      </c>
    </row>
    <row r="89" spans="1:1">
      <c r="A89">
        <v>1089</v>
      </c>
    </row>
    <row r="90" spans="1:1">
      <c r="A90">
        <v>1090</v>
      </c>
    </row>
    <row r="91" spans="1:1">
      <c r="A91">
        <v>1091</v>
      </c>
    </row>
    <row r="92" spans="1:1">
      <c r="A92">
        <v>1092</v>
      </c>
    </row>
    <row r="93" spans="1:1">
      <c r="A93">
        <v>1093</v>
      </c>
    </row>
    <row r="94" spans="1:1">
      <c r="A94">
        <v>1094</v>
      </c>
    </row>
    <row r="95" spans="1:1">
      <c r="A95">
        <v>1095</v>
      </c>
    </row>
    <row r="96" spans="1:1">
      <c r="A96">
        <v>1096</v>
      </c>
    </row>
    <row r="97" spans="1:1">
      <c r="A97">
        <v>1097</v>
      </c>
    </row>
    <row r="98" spans="1:1">
      <c r="A98">
        <v>1098</v>
      </c>
    </row>
    <row r="99" spans="1:1">
      <c r="A99">
        <v>1099</v>
      </c>
    </row>
    <row r="100" spans="1:1">
      <c r="A100">
        <v>1100</v>
      </c>
    </row>
    <row r="101" spans="1:1">
      <c r="A101">
        <v>1101</v>
      </c>
    </row>
    <row r="102" spans="1:1">
      <c r="A102">
        <v>1102</v>
      </c>
    </row>
    <row r="103" spans="1:1">
      <c r="A103">
        <v>1103</v>
      </c>
    </row>
    <row r="104" spans="1:1">
      <c r="A104">
        <v>1104</v>
      </c>
    </row>
    <row r="105" spans="1:1">
      <c r="A105">
        <v>1105</v>
      </c>
    </row>
    <row r="106" spans="1:1">
      <c r="A106">
        <v>1106</v>
      </c>
    </row>
    <row r="107" spans="1:1">
      <c r="A107">
        <v>1107</v>
      </c>
    </row>
    <row r="108" spans="1:1">
      <c r="A108">
        <v>1108</v>
      </c>
    </row>
    <row r="109" spans="1:1">
      <c r="A109">
        <v>1109</v>
      </c>
    </row>
    <row r="110" spans="1:1">
      <c r="A110">
        <v>1110</v>
      </c>
    </row>
    <row r="111" spans="1:1">
      <c r="A111">
        <v>1111</v>
      </c>
    </row>
    <row r="112" spans="1:1">
      <c r="A112">
        <v>1112</v>
      </c>
    </row>
    <row r="113" spans="1:1">
      <c r="A113">
        <v>1113</v>
      </c>
    </row>
    <row r="114" spans="1:1">
      <c r="A114">
        <v>1114</v>
      </c>
    </row>
    <row r="115" spans="1:1">
      <c r="A115">
        <v>1115</v>
      </c>
    </row>
    <row r="116" spans="1:1">
      <c r="A116">
        <v>1116</v>
      </c>
    </row>
    <row r="117" spans="1:1">
      <c r="A117">
        <v>1117</v>
      </c>
    </row>
    <row r="118" spans="1:1">
      <c r="A118">
        <v>1118</v>
      </c>
    </row>
    <row r="119" spans="1:1">
      <c r="A119">
        <v>1119</v>
      </c>
    </row>
    <row r="120" spans="1:1">
      <c r="A120">
        <v>1120</v>
      </c>
    </row>
    <row r="121" spans="1:1">
      <c r="A121">
        <v>1121</v>
      </c>
    </row>
    <row r="122" spans="1:1">
      <c r="A122">
        <v>1122</v>
      </c>
    </row>
    <row r="123" spans="1:1">
      <c r="A123">
        <v>1123</v>
      </c>
    </row>
    <row r="124" spans="1:1">
      <c r="A124">
        <v>1124</v>
      </c>
    </row>
    <row r="125" spans="1:1">
      <c r="A125">
        <v>1125</v>
      </c>
    </row>
    <row r="126" spans="1:1">
      <c r="A126">
        <v>1126</v>
      </c>
    </row>
    <row r="127" spans="1:1">
      <c r="A127">
        <v>1127</v>
      </c>
    </row>
    <row r="128" spans="1:1">
      <c r="A128">
        <v>1128</v>
      </c>
    </row>
    <row r="129" spans="1:1">
      <c r="A129">
        <v>1129</v>
      </c>
    </row>
    <row r="130" spans="1:1">
      <c r="A130">
        <v>1130</v>
      </c>
    </row>
    <row r="131" spans="1:1">
      <c r="A131">
        <v>1131</v>
      </c>
    </row>
    <row r="132" spans="1:1">
      <c r="A132">
        <v>1132</v>
      </c>
    </row>
    <row r="133" spans="1:1">
      <c r="A133">
        <v>1133</v>
      </c>
    </row>
    <row r="134" spans="1:1">
      <c r="A134">
        <v>1134</v>
      </c>
    </row>
    <row r="135" spans="1:1">
      <c r="A135">
        <v>1135</v>
      </c>
    </row>
    <row r="136" spans="1:1">
      <c r="A136">
        <v>1136</v>
      </c>
    </row>
    <row r="137" spans="1:1">
      <c r="A137">
        <v>1137</v>
      </c>
    </row>
    <row r="138" spans="1:1">
      <c r="A138">
        <v>1138</v>
      </c>
    </row>
    <row r="139" spans="1:1">
      <c r="A139">
        <v>1139</v>
      </c>
    </row>
    <row r="140" spans="1:1">
      <c r="A140">
        <v>1140</v>
      </c>
    </row>
    <row r="141" spans="1:1">
      <c r="A141">
        <v>1141</v>
      </c>
    </row>
    <row r="142" spans="1:1">
      <c r="A142">
        <v>1142</v>
      </c>
    </row>
    <row r="143" spans="1:1">
      <c r="A143">
        <v>1143</v>
      </c>
    </row>
    <row r="144" spans="1:1">
      <c r="A144">
        <v>1144</v>
      </c>
    </row>
    <row r="145" spans="1:1">
      <c r="A145">
        <v>1145</v>
      </c>
    </row>
    <row r="146" spans="1:1">
      <c r="A146">
        <v>1146</v>
      </c>
    </row>
    <row r="147" spans="1:1">
      <c r="A147">
        <v>1147</v>
      </c>
    </row>
    <row r="148" spans="1:1">
      <c r="A148">
        <v>1148</v>
      </c>
    </row>
    <row r="149" spans="1:1">
      <c r="A149">
        <v>1149</v>
      </c>
    </row>
    <row r="150" spans="1:1">
      <c r="A150">
        <v>1150</v>
      </c>
    </row>
    <row r="151" spans="1:1">
      <c r="A151">
        <v>1151</v>
      </c>
    </row>
    <row r="152" spans="1:1">
      <c r="A152">
        <v>1152</v>
      </c>
    </row>
    <row r="153" spans="1:1">
      <c r="A153">
        <v>1153</v>
      </c>
    </row>
    <row r="154" spans="1:1">
      <c r="A154">
        <v>1154</v>
      </c>
    </row>
    <row r="155" spans="1:1">
      <c r="A155">
        <v>1155</v>
      </c>
    </row>
    <row r="156" spans="1:1">
      <c r="A156">
        <v>1156</v>
      </c>
    </row>
    <row r="157" spans="1:1">
      <c r="A157">
        <v>1157</v>
      </c>
    </row>
    <row r="158" spans="1:1">
      <c r="A158">
        <v>1158</v>
      </c>
    </row>
    <row r="159" spans="1:1">
      <c r="A159">
        <v>1159</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8"/>
  <sheetViews>
    <sheetView workbookViewId="0">
      <selection activeCell="H5" sqref="H5"/>
    </sheetView>
  </sheetViews>
  <sheetFormatPr defaultColWidth="9" defaultRowHeight="14.5" outlineLevelCol="4"/>
  <sheetData>
    <row r="1" spans="1:5">
      <c r="A1" s="170">
        <v>27</v>
      </c>
      <c r="B1" t="s">
        <v>7423</v>
      </c>
      <c r="C1">
        <v>101</v>
      </c>
      <c r="D1" t="s">
        <v>7423</v>
      </c>
      <c r="E1">
        <v>2</v>
      </c>
    </row>
    <row r="2" spans="1:5">
      <c r="A2" s="170">
        <v>27</v>
      </c>
      <c r="B2" t="s">
        <v>7423</v>
      </c>
      <c r="C2">
        <v>101</v>
      </c>
      <c r="D2" t="s">
        <v>7423</v>
      </c>
      <c r="E2">
        <v>3</v>
      </c>
    </row>
    <row r="3" spans="1:5">
      <c r="A3" s="170">
        <v>27</v>
      </c>
      <c r="B3" t="s">
        <v>7423</v>
      </c>
      <c r="C3">
        <v>102</v>
      </c>
      <c r="D3" t="s">
        <v>7423</v>
      </c>
      <c r="E3">
        <v>1</v>
      </c>
    </row>
    <row r="4" spans="1:5">
      <c r="A4" s="170">
        <v>27</v>
      </c>
      <c r="B4" t="s">
        <v>7423</v>
      </c>
      <c r="C4">
        <v>102</v>
      </c>
      <c r="D4" t="s">
        <v>7423</v>
      </c>
      <c r="E4">
        <v>3</v>
      </c>
    </row>
    <row r="5" spans="1:5">
      <c r="A5" s="170">
        <v>27</v>
      </c>
      <c r="B5" t="s">
        <v>7423</v>
      </c>
      <c r="C5">
        <v>103</v>
      </c>
      <c r="D5" t="s">
        <v>7423</v>
      </c>
      <c r="E5">
        <v>1</v>
      </c>
    </row>
    <row r="6" spans="1:5">
      <c r="A6" s="170">
        <v>27</v>
      </c>
      <c r="B6" t="s">
        <v>7423</v>
      </c>
      <c r="C6">
        <v>103</v>
      </c>
      <c r="D6" t="s">
        <v>7423</v>
      </c>
      <c r="E6">
        <v>3</v>
      </c>
    </row>
    <row r="7" spans="1:5">
      <c r="A7" s="170">
        <v>27</v>
      </c>
      <c r="B7" t="s">
        <v>7423</v>
      </c>
      <c r="C7">
        <v>104</v>
      </c>
      <c r="D7" t="s">
        <v>7423</v>
      </c>
      <c r="E7">
        <v>1</v>
      </c>
    </row>
    <row r="8" spans="1:5">
      <c r="A8" s="170">
        <v>27</v>
      </c>
      <c r="B8" t="s">
        <v>7423</v>
      </c>
      <c r="C8">
        <v>104</v>
      </c>
      <c r="D8" t="s">
        <v>7423</v>
      </c>
      <c r="E8">
        <v>2</v>
      </c>
    </row>
    <row r="9" spans="1:5">
      <c r="A9" s="170">
        <v>27</v>
      </c>
      <c r="B9" t="s">
        <v>7423</v>
      </c>
      <c r="C9">
        <v>104</v>
      </c>
      <c r="D9" t="s">
        <v>7423</v>
      </c>
      <c r="E9">
        <v>3</v>
      </c>
    </row>
    <row r="10" spans="1:5">
      <c r="A10" s="170">
        <v>27</v>
      </c>
      <c r="B10" t="s">
        <v>7423</v>
      </c>
      <c r="C10">
        <v>105</v>
      </c>
      <c r="D10" t="s">
        <v>7423</v>
      </c>
      <c r="E10">
        <v>1</v>
      </c>
    </row>
    <row r="11" spans="1:5">
      <c r="A11" s="170">
        <v>27</v>
      </c>
      <c r="B11" t="s">
        <v>7423</v>
      </c>
      <c r="C11">
        <v>105</v>
      </c>
      <c r="D11" t="s">
        <v>7423</v>
      </c>
      <c r="E11">
        <v>3</v>
      </c>
    </row>
    <row r="12" spans="1:5">
      <c r="A12" s="170">
        <v>27</v>
      </c>
      <c r="B12" t="s">
        <v>7423</v>
      </c>
      <c r="C12">
        <v>106</v>
      </c>
      <c r="D12" t="s">
        <v>7423</v>
      </c>
      <c r="E12">
        <v>2</v>
      </c>
    </row>
    <row r="13" spans="1:5">
      <c r="A13" s="170">
        <v>27</v>
      </c>
      <c r="B13" t="s">
        <v>7423</v>
      </c>
      <c r="C13">
        <v>106</v>
      </c>
      <c r="D13" t="s">
        <v>7423</v>
      </c>
      <c r="E13">
        <v>3</v>
      </c>
    </row>
    <row r="14" spans="1:5">
      <c r="A14" s="170">
        <v>27</v>
      </c>
      <c r="B14" t="s">
        <v>7423</v>
      </c>
      <c r="C14">
        <v>107</v>
      </c>
      <c r="D14" t="s">
        <v>7423</v>
      </c>
      <c r="E14">
        <v>1</v>
      </c>
    </row>
    <row r="15" spans="1:5">
      <c r="A15" s="170">
        <v>27</v>
      </c>
      <c r="B15" t="s">
        <v>7423</v>
      </c>
      <c r="C15">
        <v>107</v>
      </c>
      <c r="D15" t="s">
        <v>7423</v>
      </c>
      <c r="E15">
        <v>2</v>
      </c>
    </row>
    <row r="16" spans="1:5">
      <c r="A16" s="170">
        <v>27</v>
      </c>
      <c r="B16" t="s">
        <v>7423</v>
      </c>
      <c r="C16">
        <v>108</v>
      </c>
      <c r="D16" t="s">
        <v>7423</v>
      </c>
      <c r="E16">
        <v>2</v>
      </c>
    </row>
    <row r="17" spans="1:5">
      <c r="A17" s="170">
        <v>27</v>
      </c>
      <c r="B17" t="s">
        <v>7423</v>
      </c>
      <c r="C17">
        <v>108</v>
      </c>
      <c r="D17" t="s">
        <v>7423</v>
      </c>
      <c r="E17">
        <v>3</v>
      </c>
    </row>
    <row r="18" spans="1:5">
      <c r="A18" s="170">
        <v>27</v>
      </c>
      <c r="B18" t="s">
        <v>7423</v>
      </c>
      <c r="C18">
        <v>109</v>
      </c>
      <c r="D18" t="s">
        <v>7423</v>
      </c>
      <c r="E18">
        <v>1</v>
      </c>
    </row>
    <row r="19" spans="1:5">
      <c r="A19" s="170">
        <v>27</v>
      </c>
      <c r="B19" t="s">
        <v>7423</v>
      </c>
      <c r="C19">
        <v>109</v>
      </c>
      <c r="D19" t="s">
        <v>7423</v>
      </c>
      <c r="E19">
        <v>2</v>
      </c>
    </row>
    <row r="20" spans="1:5">
      <c r="A20" s="170">
        <v>27</v>
      </c>
      <c r="B20" t="s">
        <v>7423</v>
      </c>
      <c r="C20">
        <v>110</v>
      </c>
      <c r="D20" t="s">
        <v>7423</v>
      </c>
      <c r="E20">
        <v>1</v>
      </c>
    </row>
    <row r="21" spans="1:5">
      <c r="A21" s="170">
        <v>27</v>
      </c>
      <c r="B21" t="s">
        <v>7423</v>
      </c>
      <c r="C21">
        <v>110</v>
      </c>
      <c r="D21" t="s">
        <v>7423</v>
      </c>
      <c r="E21">
        <v>2</v>
      </c>
    </row>
    <row r="22" spans="1:5">
      <c r="A22" s="170">
        <v>27</v>
      </c>
      <c r="B22" t="s">
        <v>7423</v>
      </c>
      <c r="C22">
        <v>111</v>
      </c>
      <c r="D22" t="s">
        <v>7423</v>
      </c>
      <c r="E22">
        <v>1</v>
      </c>
    </row>
    <row r="23" spans="1:5">
      <c r="A23" s="170">
        <v>27</v>
      </c>
      <c r="B23" t="s">
        <v>7423</v>
      </c>
      <c r="C23">
        <v>111</v>
      </c>
      <c r="D23" t="s">
        <v>7423</v>
      </c>
      <c r="E23">
        <v>2</v>
      </c>
    </row>
    <row r="24" spans="1:5">
      <c r="A24" s="170">
        <v>27</v>
      </c>
      <c r="B24" t="s">
        <v>7423</v>
      </c>
      <c r="C24">
        <v>112</v>
      </c>
      <c r="D24" t="s">
        <v>7423</v>
      </c>
      <c r="E24">
        <v>1</v>
      </c>
    </row>
    <row r="25" spans="1:5">
      <c r="A25" s="170">
        <v>27</v>
      </c>
      <c r="B25" t="s">
        <v>7423</v>
      </c>
      <c r="C25">
        <v>112</v>
      </c>
      <c r="D25" t="s">
        <v>7423</v>
      </c>
      <c r="E25">
        <v>3</v>
      </c>
    </row>
    <row r="26" spans="1:5">
      <c r="A26" s="170">
        <v>27</v>
      </c>
      <c r="B26" t="s">
        <v>7423</v>
      </c>
      <c r="C26">
        <v>113</v>
      </c>
      <c r="D26" t="s">
        <v>7423</v>
      </c>
      <c r="E26">
        <v>1</v>
      </c>
    </row>
    <row r="27" spans="1:5">
      <c r="A27" s="170">
        <v>27</v>
      </c>
      <c r="B27" t="s">
        <v>7423</v>
      </c>
      <c r="C27">
        <v>113</v>
      </c>
      <c r="D27" t="s">
        <v>7423</v>
      </c>
      <c r="E27">
        <v>3</v>
      </c>
    </row>
    <row r="28" spans="1:5">
      <c r="A28" s="170">
        <v>27</v>
      </c>
      <c r="B28" t="s">
        <v>7423</v>
      </c>
      <c r="C28">
        <v>114</v>
      </c>
      <c r="D28" t="s">
        <v>7423</v>
      </c>
      <c r="E28">
        <v>2</v>
      </c>
    </row>
    <row r="29" spans="1:5">
      <c r="A29" s="170">
        <v>27</v>
      </c>
      <c r="B29" t="s">
        <v>7423</v>
      </c>
      <c r="C29">
        <v>114</v>
      </c>
      <c r="D29" t="s">
        <v>7423</v>
      </c>
      <c r="E29">
        <v>3</v>
      </c>
    </row>
    <row r="30" spans="1:5">
      <c r="A30" s="170">
        <v>27</v>
      </c>
      <c r="B30" t="s">
        <v>7423</v>
      </c>
      <c r="C30">
        <v>115</v>
      </c>
      <c r="D30" t="s">
        <v>7423</v>
      </c>
      <c r="E30">
        <v>1</v>
      </c>
    </row>
    <row r="31" spans="1:5">
      <c r="A31" s="170">
        <v>27</v>
      </c>
      <c r="B31" t="s">
        <v>7423</v>
      </c>
      <c r="C31">
        <v>115</v>
      </c>
      <c r="D31" t="s">
        <v>7423</v>
      </c>
      <c r="E31">
        <v>2</v>
      </c>
    </row>
    <row r="32" spans="1:5">
      <c r="A32" s="170">
        <v>27</v>
      </c>
      <c r="B32" t="s">
        <v>7423</v>
      </c>
      <c r="C32">
        <v>115</v>
      </c>
      <c r="D32" t="s">
        <v>7423</v>
      </c>
      <c r="E32">
        <v>3</v>
      </c>
    </row>
    <row r="33" spans="1:5">
      <c r="A33" s="170">
        <v>27</v>
      </c>
      <c r="B33" t="s">
        <v>7423</v>
      </c>
      <c r="C33">
        <v>116</v>
      </c>
      <c r="D33" t="s">
        <v>7423</v>
      </c>
      <c r="E33">
        <v>1</v>
      </c>
    </row>
    <row r="34" spans="1:5">
      <c r="A34" s="170">
        <v>27</v>
      </c>
      <c r="B34" t="s">
        <v>7423</v>
      </c>
      <c r="C34">
        <v>116</v>
      </c>
      <c r="D34" t="s">
        <v>7423</v>
      </c>
      <c r="E34">
        <v>3</v>
      </c>
    </row>
    <row r="35" spans="1:5">
      <c r="A35" s="170">
        <v>27</v>
      </c>
      <c r="B35" t="s">
        <v>7423</v>
      </c>
      <c r="C35">
        <v>117</v>
      </c>
      <c r="D35" t="s">
        <v>7423</v>
      </c>
      <c r="E35">
        <v>2</v>
      </c>
    </row>
    <row r="36" spans="1:5">
      <c r="A36" s="170">
        <v>27</v>
      </c>
      <c r="B36" t="s">
        <v>7423</v>
      </c>
      <c r="C36">
        <v>117</v>
      </c>
      <c r="D36" t="s">
        <v>7423</v>
      </c>
      <c r="E36">
        <v>3</v>
      </c>
    </row>
    <row r="37" spans="1:5">
      <c r="A37" s="170">
        <v>27</v>
      </c>
      <c r="B37" t="s">
        <v>7423</v>
      </c>
      <c r="C37">
        <v>118</v>
      </c>
      <c r="D37" t="s">
        <v>7423</v>
      </c>
      <c r="E37">
        <v>1</v>
      </c>
    </row>
    <row r="38" spans="1:5">
      <c r="A38" s="170">
        <v>27</v>
      </c>
      <c r="B38" t="s">
        <v>7423</v>
      </c>
      <c r="C38">
        <v>118</v>
      </c>
      <c r="D38" t="s">
        <v>7423</v>
      </c>
      <c r="E38">
        <v>2</v>
      </c>
    </row>
    <row r="39" spans="1:5">
      <c r="A39" s="170">
        <v>27</v>
      </c>
      <c r="B39" t="s">
        <v>7423</v>
      </c>
      <c r="C39">
        <v>118</v>
      </c>
      <c r="D39" t="s">
        <v>7423</v>
      </c>
      <c r="E39">
        <v>3</v>
      </c>
    </row>
    <row r="40" spans="1:5">
      <c r="A40" s="170">
        <v>27</v>
      </c>
      <c r="B40" t="s">
        <v>7423</v>
      </c>
      <c r="C40">
        <v>119</v>
      </c>
      <c r="D40" t="s">
        <v>7423</v>
      </c>
      <c r="E40">
        <v>1</v>
      </c>
    </row>
    <row r="41" spans="1:5">
      <c r="A41" s="170">
        <v>27</v>
      </c>
      <c r="B41" t="s">
        <v>7423</v>
      </c>
      <c r="C41">
        <v>119</v>
      </c>
      <c r="D41" t="s">
        <v>7423</v>
      </c>
      <c r="E41">
        <v>2</v>
      </c>
    </row>
    <row r="42" spans="1:5">
      <c r="A42" s="170">
        <v>27</v>
      </c>
      <c r="B42" t="s">
        <v>7423</v>
      </c>
      <c r="C42">
        <v>119</v>
      </c>
      <c r="D42" t="s">
        <v>7423</v>
      </c>
      <c r="E42">
        <v>3</v>
      </c>
    </row>
    <row r="43" spans="1:5">
      <c r="A43" s="170">
        <v>27</v>
      </c>
      <c r="B43" t="s">
        <v>7423</v>
      </c>
      <c r="C43">
        <v>120</v>
      </c>
      <c r="D43" t="s">
        <v>7423</v>
      </c>
      <c r="E43">
        <v>1</v>
      </c>
    </row>
    <row r="44" spans="1:5">
      <c r="A44" s="170">
        <v>27</v>
      </c>
      <c r="B44" t="s">
        <v>7423</v>
      </c>
      <c r="C44">
        <v>120</v>
      </c>
      <c r="D44" t="s">
        <v>7423</v>
      </c>
      <c r="E44">
        <v>3</v>
      </c>
    </row>
    <row r="45" spans="1:5">
      <c r="A45" s="170">
        <v>27</v>
      </c>
      <c r="B45" t="s">
        <v>7423</v>
      </c>
      <c r="C45">
        <v>201</v>
      </c>
      <c r="D45" t="s">
        <v>7423</v>
      </c>
      <c r="E45">
        <v>2</v>
      </c>
    </row>
    <row r="46" spans="1:5">
      <c r="A46" s="170">
        <v>27</v>
      </c>
      <c r="B46" t="s">
        <v>7423</v>
      </c>
      <c r="C46">
        <v>201</v>
      </c>
      <c r="D46" t="s">
        <v>7423</v>
      </c>
      <c r="E46">
        <v>3</v>
      </c>
    </row>
    <row r="47" spans="1:5">
      <c r="A47" s="170">
        <v>27</v>
      </c>
      <c r="B47" t="s">
        <v>7423</v>
      </c>
      <c r="C47">
        <v>202</v>
      </c>
      <c r="D47" t="s">
        <v>7423</v>
      </c>
      <c r="E47">
        <v>3</v>
      </c>
    </row>
    <row r="48" spans="1:5">
      <c r="A48" s="170">
        <v>27</v>
      </c>
      <c r="B48" t="s">
        <v>7423</v>
      </c>
      <c r="C48">
        <v>203</v>
      </c>
      <c r="D48" t="s">
        <v>7423</v>
      </c>
      <c r="E48">
        <v>1</v>
      </c>
    </row>
    <row r="49" spans="1:5">
      <c r="A49" s="170">
        <v>27</v>
      </c>
      <c r="B49" t="s">
        <v>7423</v>
      </c>
      <c r="C49">
        <v>203</v>
      </c>
      <c r="D49" t="s">
        <v>7423</v>
      </c>
      <c r="E49">
        <v>3</v>
      </c>
    </row>
    <row r="50" spans="1:5">
      <c r="A50" s="170">
        <v>27</v>
      </c>
      <c r="B50" t="s">
        <v>7423</v>
      </c>
      <c r="C50">
        <v>204</v>
      </c>
      <c r="D50" t="s">
        <v>7423</v>
      </c>
      <c r="E50">
        <v>1</v>
      </c>
    </row>
    <row r="51" spans="1:5">
      <c r="A51" s="170">
        <v>27</v>
      </c>
      <c r="B51" t="s">
        <v>7423</v>
      </c>
      <c r="C51">
        <v>204</v>
      </c>
      <c r="D51" t="s">
        <v>7423</v>
      </c>
      <c r="E51">
        <v>2</v>
      </c>
    </row>
    <row r="52" spans="1:5">
      <c r="A52" s="170">
        <v>27</v>
      </c>
      <c r="B52" t="s">
        <v>7423</v>
      </c>
      <c r="C52">
        <v>205</v>
      </c>
      <c r="D52" t="s">
        <v>7423</v>
      </c>
      <c r="E52">
        <v>2</v>
      </c>
    </row>
    <row r="53" spans="1:5">
      <c r="A53" s="170">
        <v>27</v>
      </c>
      <c r="B53" t="s">
        <v>7423</v>
      </c>
      <c r="C53">
        <v>206</v>
      </c>
      <c r="D53" t="s">
        <v>7423</v>
      </c>
      <c r="E53">
        <v>1</v>
      </c>
    </row>
    <row r="54" spans="1:5">
      <c r="A54" s="170">
        <v>27</v>
      </c>
      <c r="B54" t="s">
        <v>7423</v>
      </c>
      <c r="C54">
        <v>206</v>
      </c>
      <c r="D54" t="s">
        <v>7423</v>
      </c>
      <c r="E54">
        <v>3</v>
      </c>
    </row>
    <row r="55" spans="1:5">
      <c r="A55" s="170">
        <v>27</v>
      </c>
      <c r="B55" t="s">
        <v>7423</v>
      </c>
      <c r="C55">
        <v>207</v>
      </c>
      <c r="D55" t="s">
        <v>7423</v>
      </c>
      <c r="E55">
        <v>1</v>
      </c>
    </row>
    <row r="56" spans="1:5">
      <c r="A56" s="170">
        <v>27</v>
      </c>
      <c r="B56" t="s">
        <v>7423</v>
      </c>
      <c r="C56">
        <v>208</v>
      </c>
      <c r="D56" t="s">
        <v>7423</v>
      </c>
      <c r="E56">
        <v>2</v>
      </c>
    </row>
    <row r="57" spans="1:5">
      <c r="A57" s="170">
        <v>27</v>
      </c>
      <c r="B57" t="s">
        <v>7423</v>
      </c>
      <c r="C57">
        <v>208</v>
      </c>
      <c r="D57" t="s">
        <v>7423</v>
      </c>
      <c r="E57">
        <v>3</v>
      </c>
    </row>
    <row r="58" spans="1:5">
      <c r="A58" s="170">
        <v>27</v>
      </c>
      <c r="B58" t="s">
        <v>7423</v>
      </c>
      <c r="C58">
        <v>209</v>
      </c>
      <c r="D58" t="s">
        <v>7423</v>
      </c>
      <c r="E58">
        <v>1</v>
      </c>
    </row>
    <row r="59" spans="1:5">
      <c r="A59" s="170">
        <v>27</v>
      </c>
      <c r="B59" t="s">
        <v>7423</v>
      </c>
      <c r="C59">
        <v>209</v>
      </c>
      <c r="D59" t="s">
        <v>7423</v>
      </c>
      <c r="E59">
        <v>2</v>
      </c>
    </row>
    <row r="60" spans="1:5">
      <c r="A60" s="170">
        <v>27</v>
      </c>
      <c r="B60" t="s">
        <v>7423</v>
      </c>
      <c r="C60">
        <v>210</v>
      </c>
      <c r="D60" t="s">
        <v>7423</v>
      </c>
      <c r="E60">
        <v>2</v>
      </c>
    </row>
    <row r="61" spans="1:5">
      <c r="A61" s="170">
        <v>27</v>
      </c>
      <c r="B61" t="s">
        <v>7423</v>
      </c>
      <c r="C61">
        <v>210</v>
      </c>
      <c r="D61" t="s">
        <v>7423</v>
      </c>
      <c r="E61">
        <v>3</v>
      </c>
    </row>
    <row r="62" spans="1:5">
      <c r="A62" s="170">
        <v>27</v>
      </c>
      <c r="B62" t="s">
        <v>7423</v>
      </c>
      <c r="C62">
        <v>211</v>
      </c>
      <c r="D62" t="s">
        <v>7423</v>
      </c>
      <c r="E62">
        <v>1</v>
      </c>
    </row>
    <row r="63" spans="1:5">
      <c r="A63" s="170">
        <v>27</v>
      </c>
      <c r="B63" t="s">
        <v>7423</v>
      </c>
      <c r="C63">
        <v>211</v>
      </c>
      <c r="D63" t="s">
        <v>7423</v>
      </c>
      <c r="E63">
        <v>2</v>
      </c>
    </row>
    <row r="64" spans="1:5">
      <c r="A64" s="170">
        <v>27</v>
      </c>
      <c r="B64" t="s">
        <v>7423</v>
      </c>
      <c r="C64">
        <v>212</v>
      </c>
      <c r="D64" t="s">
        <v>7423</v>
      </c>
      <c r="E64">
        <v>1</v>
      </c>
    </row>
    <row r="65" spans="1:5">
      <c r="A65" s="170">
        <v>27</v>
      </c>
      <c r="B65" t="s">
        <v>7423</v>
      </c>
      <c r="C65">
        <v>212</v>
      </c>
      <c r="D65" t="s">
        <v>7423</v>
      </c>
      <c r="E65">
        <v>2</v>
      </c>
    </row>
    <row r="66" spans="1:5">
      <c r="A66" s="170">
        <v>27</v>
      </c>
      <c r="B66" t="s">
        <v>7423</v>
      </c>
      <c r="C66">
        <v>212</v>
      </c>
      <c r="D66" t="s">
        <v>7423</v>
      </c>
      <c r="E66">
        <v>3</v>
      </c>
    </row>
    <row r="67" spans="1:5">
      <c r="A67" s="170">
        <v>27</v>
      </c>
      <c r="B67" t="s">
        <v>7423</v>
      </c>
      <c r="C67">
        <v>213</v>
      </c>
      <c r="D67" t="s">
        <v>7423</v>
      </c>
      <c r="E67">
        <v>1</v>
      </c>
    </row>
    <row r="68" spans="1:5">
      <c r="A68" s="170">
        <v>27</v>
      </c>
      <c r="B68" t="s">
        <v>7423</v>
      </c>
      <c r="C68">
        <v>213</v>
      </c>
      <c r="D68" t="s">
        <v>7423</v>
      </c>
      <c r="E68">
        <v>2</v>
      </c>
    </row>
    <row r="69" spans="1:5">
      <c r="A69" s="170">
        <v>27</v>
      </c>
      <c r="B69" t="s">
        <v>7423</v>
      </c>
      <c r="C69">
        <v>214</v>
      </c>
      <c r="D69" t="s">
        <v>7423</v>
      </c>
      <c r="E69">
        <v>1</v>
      </c>
    </row>
    <row r="70" spans="1:5">
      <c r="A70" s="170">
        <v>27</v>
      </c>
      <c r="B70" t="s">
        <v>7423</v>
      </c>
      <c r="C70">
        <v>214</v>
      </c>
      <c r="D70" t="s">
        <v>7423</v>
      </c>
      <c r="E70">
        <v>3</v>
      </c>
    </row>
    <row r="71" spans="1:5">
      <c r="A71" s="170">
        <v>27</v>
      </c>
      <c r="B71" t="s">
        <v>7423</v>
      </c>
      <c r="C71">
        <v>215</v>
      </c>
      <c r="D71" t="s">
        <v>7423</v>
      </c>
      <c r="E71">
        <v>1</v>
      </c>
    </row>
    <row r="72" spans="1:5">
      <c r="A72" s="170">
        <v>27</v>
      </c>
      <c r="B72" t="s">
        <v>7423</v>
      </c>
      <c r="C72">
        <v>215</v>
      </c>
      <c r="D72" t="s">
        <v>7423</v>
      </c>
      <c r="E72">
        <v>2</v>
      </c>
    </row>
    <row r="73" spans="1:5">
      <c r="A73" s="170">
        <v>27</v>
      </c>
      <c r="B73" t="s">
        <v>7423</v>
      </c>
      <c r="C73">
        <v>215</v>
      </c>
      <c r="D73" t="s">
        <v>7423</v>
      </c>
      <c r="E73">
        <v>3</v>
      </c>
    </row>
    <row r="74" spans="1:5">
      <c r="A74" s="170">
        <v>27</v>
      </c>
      <c r="B74" t="s">
        <v>7423</v>
      </c>
      <c r="C74">
        <v>216</v>
      </c>
      <c r="D74" t="s">
        <v>7423</v>
      </c>
      <c r="E74">
        <v>2</v>
      </c>
    </row>
    <row r="75" spans="1:5">
      <c r="A75" s="170">
        <v>27</v>
      </c>
      <c r="B75" t="s">
        <v>7423</v>
      </c>
      <c r="C75">
        <v>216</v>
      </c>
      <c r="D75" t="s">
        <v>7423</v>
      </c>
      <c r="E75">
        <v>3</v>
      </c>
    </row>
    <row r="76" spans="1:5">
      <c r="A76" s="170">
        <v>27</v>
      </c>
      <c r="B76" t="s">
        <v>7423</v>
      </c>
      <c r="C76">
        <v>217</v>
      </c>
      <c r="D76" t="s">
        <v>7423</v>
      </c>
      <c r="E76">
        <v>1</v>
      </c>
    </row>
    <row r="77" spans="1:5">
      <c r="A77" s="170">
        <v>27</v>
      </c>
      <c r="B77" t="s">
        <v>7423</v>
      </c>
      <c r="C77">
        <v>217</v>
      </c>
      <c r="D77" t="s">
        <v>7423</v>
      </c>
      <c r="E77">
        <v>3</v>
      </c>
    </row>
    <row r="78" spans="1:5">
      <c r="A78" s="170">
        <v>27</v>
      </c>
      <c r="B78" t="s">
        <v>7423</v>
      </c>
      <c r="C78">
        <v>218</v>
      </c>
      <c r="D78" t="s">
        <v>7423</v>
      </c>
      <c r="E78">
        <v>2</v>
      </c>
    </row>
    <row r="79" spans="1:5">
      <c r="A79" s="170">
        <v>27</v>
      </c>
      <c r="B79" t="s">
        <v>7423</v>
      </c>
      <c r="C79">
        <v>218</v>
      </c>
      <c r="D79" t="s">
        <v>7423</v>
      </c>
      <c r="E79">
        <v>3</v>
      </c>
    </row>
    <row r="80" spans="1:5">
      <c r="A80" s="170">
        <v>27</v>
      </c>
      <c r="B80" t="s">
        <v>7423</v>
      </c>
      <c r="C80">
        <v>219</v>
      </c>
      <c r="D80" t="s">
        <v>7423</v>
      </c>
      <c r="E80">
        <v>1</v>
      </c>
    </row>
    <row r="81" spans="1:5">
      <c r="A81" s="170">
        <v>27</v>
      </c>
      <c r="B81" t="s">
        <v>7423</v>
      </c>
      <c r="C81">
        <v>219</v>
      </c>
      <c r="D81" t="s">
        <v>7423</v>
      </c>
      <c r="E81">
        <v>2</v>
      </c>
    </row>
    <row r="82" spans="1:5">
      <c r="A82" s="170">
        <v>27</v>
      </c>
      <c r="B82" t="s">
        <v>7423</v>
      </c>
      <c r="C82">
        <v>220</v>
      </c>
      <c r="D82" t="s">
        <v>7423</v>
      </c>
      <c r="E82">
        <v>1</v>
      </c>
    </row>
    <row r="83" spans="1:5">
      <c r="A83" s="170">
        <v>27</v>
      </c>
      <c r="B83" t="s">
        <v>7423</v>
      </c>
      <c r="C83">
        <v>220</v>
      </c>
      <c r="D83" t="s">
        <v>7423</v>
      </c>
      <c r="E83">
        <v>3</v>
      </c>
    </row>
    <row r="84" spans="1:5">
      <c r="A84" s="170">
        <v>28</v>
      </c>
      <c r="B84" t="s">
        <v>7423</v>
      </c>
      <c r="C84">
        <v>101</v>
      </c>
      <c r="D84" t="s">
        <v>7423</v>
      </c>
      <c r="E84">
        <v>1</v>
      </c>
    </row>
    <row r="85" spans="1:5">
      <c r="A85" s="170">
        <v>28</v>
      </c>
      <c r="B85" t="s">
        <v>7423</v>
      </c>
      <c r="C85">
        <v>101</v>
      </c>
      <c r="D85" t="s">
        <v>7423</v>
      </c>
      <c r="E85">
        <v>2</v>
      </c>
    </row>
    <row r="86" spans="1:5">
      <c r="A86" s="170">
        <v>28</v>
      </c>
      <c r="B86" t="s">
        <v>7423</v>
      </c>
      <c r="C86">
        <v>101</v>
      </c>
      <c r="D86" t="s">
        <v>7423</v>
      </c>
      <c r="E86">
        <v>3</v>
      </c>
    </row>
    <row r="87" spans="1:5">
      <c r="A87" s="170">
        <v>28</v>
      </c>
      <c r="B87" t="s">
        <v>7423</v>
      </c>
      <c r="C87">
        <v>102</v>
      </c>
      <c r="D87" t="s">
        <v>7423</v>
      </c>
      <c r="E87">
        <v>1</v>
      </c>
    </row>
    <row r="88" spans="1:5">
      <c r="A88" s="170">
        <v>28</v>
      </c>
      <c r="B88" t="s">
        <v>7423</v>
      </c>
      <c r="C88">
        <v>102</v>
      </c>
      <c r="D88" t="s">
        <v>7423</v>
      </c>
      <c r="E88">
        <v>2</v>
      </c>
    </row>
    <row r="89" spans="1:5">
      <c r="A89" s="170">
        <v>28</v>
      </c>
      <c r="B89" t="s">
        <v>7423</v>
      </c>
      <c r="C89">
        <v>102</v>
      </c>
      <c r="D89" t="s">
        <v>7423</v>
      </c>
      <c r="E89">
        <v>3</v>
      </c>
    </row>
    <row r="90" spans="1:5">
      <c r="A90" s="170">
        <v>28</v>
      </c>
      <c r="B90" t="s">
        <v>7423</v>
      </c>
      <c r="C90">
        <v>103</v>
      </c>
      <c r="D90" t="s">
        <v>7423</v>
      </c>
      <c r="E90">
        <v>1</v>
      </c>
    </row>
    <row r="91" spans="1:5">
      <c r="A91" s="170">
        <v>28</v>
      </c>
      <c r="B91" t="s">
        <v>7423</v>
      </c>
      <c r="C91">
        <v>103</v>
      </c>
      <c r="D91" t="s">
        <v>7423</v>
      </c>
      <c r="E91">
        <v>2</v>
      </c>
    </row>
    <row r="92" spans="1:5">
      <c r="A92" s="170">
        <v>28</v>
      </c>
      <c r="B92" t="s">
        <v>7423</v>
      </c>
      <c r="C92">
        <v>103</v>
      </c>
      <c r="D92" t="s">
        <v>7423</v>
      </c>
      <c r="E92">
        <v>3</v>
      </c>
    </row>
    <row r="93" spans="1:5">
      <c r="A93" s="170">
        <v>28</v>
      </c>
      <c r="B93" t="s">
        <v>7423</v>
      </c>
      <c r="C93">
        <v>104</v>
      </c>
      <c r="D93" t="s">
        <v>7423</v>
      </c>
      <c r="E93">
        <v>1</v>
      </c>
    </row>
    <row r="94" spans="1:5">
      <c r="A94" s="170">
        <v>28</v>
      </c>
      <c r="B94" t="s">
        <v>7423</v>
      </c>
      <c r="C94">
        <v>104</v>
      </c>
      <c r="D94" t="s">
        <v>7423</v>
      </c>
      <c r="E94">
        <v>2</v>
      </c>
    </row>
    <row r="95" spans="1:5">
      <c r="A95" s="170">
        <v>28</v>
      </c>
      <c r="B95" t="s">
        <v>7423</v>
      </c>
      <c r="C95">
        <v>104</v>
      </c>
      <c r="D95" t="s">
        <v>7423</v>
      </c>
      <c r="E95">
        <v>3</v>
      </c>
    </row>
    <row r="96" spans="1:5">
      <c r="A96" s="170">
        <v>28</v>
      </c>
      <c r="B96" t="s">
        <v>7423</v>
      </c>
      <c r="C96">
        <v>105</v>
      </c>
      <c r="D96" t="s">
        <v>7423</v>
      </c>
      <c r="E96">
        <v>1</v>
      </c>
    </row>
    <row r="97" spans="1:5">
      <c r="A97" s="170">
        <v>28</v>
      </c>
      <c r="B97" t="s">
        <v>7423</v>
      </c>
      <c r="C97">
        <v>105</v>
      </c>
      <c r="D97" t="s">
        <v>7423</v>
      </c>
      <c r="E97">
        <v>2</v>
      </c>
    </row>
    <row r="98" spans="1:5">
      <c r="A98" s="170">
        <v>28</v>
      </c>
      <c r="B98" t="s">
        <v>7423</v>
      </c>
      <c r="C98">
        <v>105</v>
      </c>
      <c r="D98" t="s">
        <v>7423</v>
      </c>
      <c r="E98">
        <v>3</v>
      </c>
    </row>
    <row r="99" spans="1:5">
      <c r="A99" s="170">
        <v>28</v>
      </c>
      <c r="B99" t="s">
        <v>7423</v>
      </c>
      <c r="C99">
        <v>106</v>
      </c>
      <c r="D99" t="s">
        <v>7423</v>
      </c>
      <c r="E99">
        <v>1</v>
      </c>
    </row>
    <row r="100" spans="1:5">
      <c r="A100" s="170">
        <v>28</v>
      </c>
      <c r="B100" t="s">
        <v>7423</v>
      </c>
      <c r="C100">
        <v>106</v>
      </c>
      <c r="D100" t="s">
        <v>7423</v>
      </c>
      <c r="E100">
        <v>2</v>
      </c>
    </row>
    <row r="101" spans="1:5">
      <c r="A101" s="170">
        <v>28</v>
      </c>
      <c r="B101" t="s">
        <v>7423</v>
      </c>
      <c r="C101">
        <v>106</v>
      </c>
      <c r="D101" t="s">
        <v>7423</v>
      </c>
      <c r="E101">
        <v>3</v>
      </c>
    </row>
    <row r="102" spans="1:5">
      <c r="A102" s="170">
        <v>28</v>
      </c>
      <c r="B102" t="s">
        <v>7423</v>
      </c>
      <c r="C102">
        <v>107</v>
      </c>
      <c r="D102" t="s">
        <v>7423</v>
      </c>
      <c r="E102">
        <v>1</v>
      </c>
    </row>
    <row r="103" spans="1:5">
      <c r="A103" s="170">
        <v>28</v>
      </c>
      <c r="B103" t="s">
        <v>7423</v>
      </c>
      <c r="C103">
        <v>107</v>
      </c>
      <c r="D103" t="s">
        <v>7423</v>
      </c>
      <c r="E103">
        <v>2</v>
      </c>
    </row>
    <row r="104" spans="1:5">
      <c r="A104" s="170">
        <v>28</v>
      </c>
      <c r="B104" t="s">
        <v>7423</v>
      </c>
      <c r="C104">
        <v>107</v>
      </c>
      <c r="D104" t="s">
        <v>7423</v>
      </c>
      <c r="E104">
        <v>3</v>
      </c>
    </row>
    <row r="105" spans="1:5">
      <c r="A105" s="170">
        <v>28</v>
      </c>
      <c r="B105" t="s">
        <v>7423</v>
      </c>
      <c r="C105">
        <v>108</v>
      </c>
      <c r="D105" t="s">
        <v>7423</v>
      </c>
      <c r="E105">
        <v>1</v>
      </c>
    </row>
    <row r="106" spans="1:5">
      <c r="A106" s="170">
        <v>28</v>
      </c>
      <c r="B106" t="s">
        <v>7423</v>
      </c>
      <c r="C106">
        <v>108</v>
      </c>
      <c r="D106" t="s">
        <v>7423</v>
      </c>
      <c r="E106">
        <v>2</v>
      </c>
    </row>
    <row r="107" spans="1:5">
      <c r="A107" s="170">
        <v>28</v>
      </c>
      <c r="B107" t="s">
        <v>7423</v>
      </c>
      <c r="C107">
        <v>109</v>
      </c>
      <c r="D107" t="s">
        <v>7423</v>
      </c>
      <c r="E107">
        <v>1</v>
      </c>
    </row>
    <row r="108" spans="1:5">
      <c r="A108" s="170">
        <v>28</v>
      </c>
      <c r="B108" t="s">
        <v>7423</v>
      </c>
      <c r="C108">
        <v>109</v>
      </c>
      <c r="D108" t="s">
        <v>7423</v>
      </c>
      <c r="E108">
        <v>2</v>
      </c>
    </row>
    <row r="109" spans="1:5">
      <c r="A109" s="170">
        <v>28</v>
      </c>
      <c r="B109" t="s">
        <v>7423</v>
      </c>
      <c r="C109">
        <v>110</v>
      </c>
      <c r="D109" t="s">
        <v>7423</v>
      </c>
      <c r="E109">
        <v>1</v>
      </c>
    </row>
    <row r="110" spans="1:5">
      <c r="A110" s="170">
        <v>28</v>
      </c>
      <c r="B110" t="s">
        <v>7423</v>
      </c>
      <c r="C110">
        <v>110</v>
      </c>
      <c r="D110" t="s">
        <v>7423</v>
      </c>
      <c r="E110">
        <v>2</v>
      </c>
    </row>
    <row r="111" spans="1:5">
      <c r="A111" s="170">
        <v>28</v>
      </c>
      <c r="B111" t="s">
        <v>7423</v>
      </c>
      <c r="C111">
        <v>110</v>
      </c>
      <c r="D111" t="s">
        <v>7423</v>
      </c>
      <c r="E111">
        <v>3</v>
      </c>
    </row>
    <row r="112" spans="1:5">
      <c r="A112" s="170">
        <v>28</v>
      </c>
      <c r="B112" t="s">
        <v>7423</v>
      </c>
      <c r="C112">
        <v>111</v>
      </c>
      <c r="D112" t="s">
        <v>7423</v>
      </c>
      <c r="E112">
        <v>1</v>
      </c>
    </row>
    <row r="113" spans="1:5">
      <c r="A113" s="170">
        <v>28</v>
      </c>
      <c r="B113" t="s">
        <v>7423</v>
      </c>
      <c r="C113">
        <v>111</v>
      </c>
      <c r="D113" t="s">
        <v>7423</v>
      </c>
      <c r="E113">
        <v>2</v>
      </c>
    </row>
    <row r="114" spans="1:5">
      <c r="A114" s="170">
        <v>28</v>
      </c>
      <c r="B114" t="s">
        <v>7423</v>
      </c>
      <c r="C114">
        <v>111</v>
      </c>
      <c r="D114" t="s">
        <v>7423</v>
      </c>
      <c r="E114">
        <v>3</v>
      </c>
    </row>
    <row r="115" spans="1:5">
      <c r="A115" s="170">
        <v>28</v>
      </c>
      <c r="B115" t="s">
        <v>7423</v>
      </c>
      <c r="C115">
        <v>112</v>
      </c>
      <c r="D115" t="s">
        <v>7423</v>
      </c>
      <c r="E115">
        <v>1</v>
      </c>
    </row>
    <row r="116" spans="1:5">
      <c r="A116" s="170">
        <v>28</v>
      </c>
      <c r="B116" t="s">
        <v>7423</v>
      </c>
      <c r="C116">
        <v>112</v>
      </c>
      <c r="D116" t="s">
        <v>7423</v>
      </c>
      <c r="E116">
        <v>2</v>
      </c>
    </row>
    <row r="117" spans="1:5">
      <c r="A117" s="170">
        <v>28</v>
      </c>
      <c r="B117" t="s">
        <v>7423</v>
      </c>
      <c r="C117">
        <v>112</v>
      </c>
      <c r="D117" t="s">
        <v>7423</v>
      </c>
      <c r="E117">
        <v>3</v>
      </c>
    </row>
    <row r="118" spans="1:5">
      <c r="A118" s="170">
        <v>28</v>
      </c>
      <c r="B118" t="s">
        <v>7423</v>
      </c>
      <c r="C118">
        <v>113</v>
      </c>
      <c r="D118" t="s">
        <v>7423</v>
      </c>
      <c r="E118">
        <v>1</v>
      </c>
    </row>
    <row r="119" spans="1:5">
      <c r="A119" s="170">
        <v>28</v>
      </c>
      <c r="B119" t="s">
        <v>7423</v>
      </c>
      <c r="C119">
        <v>113</v>
      </c>
      <c r="D119" t="s">
        <v>7423</v>
      </c>
      <c r="E119">
        <v>2</v>
      </c>
    </row>
    <row r="120" spans="1:5">
      <c r="A120" s="170">
        <v>28</v>
      </c>
      <c r="B120" t="s">
        <v>7423</v>
      </c>
      <c r="C120">
        <v>113</v>
      </c>
      <c r="D120" t="s">
        <v>7423</v>
      </c>
      <c r="E120">
        <v>3</v>
      </c>
    </row>
    <row r="121" spans="1:5">
      <c r="A121" s="170">
        <v>28</v>
      </c>
      <c r="B121" t="s">
        <v>7423</v>
      </c>
      <c r="C121">
        <v>114</v>
      </c>
      <c r="D121" t="s">
        <v>7423</v>
      </c>
      <c r="E121">
        <v>1</v>
      </c>
    </row>
    <row r="122" spans="1:5">
      <c r="A122" s="170">
        <v>28</v>
      </c>
      <c r="B122" t="s">
        <v>7423</v>
      </c>
      <c r="C122">
        <v>114</v>
      </c>
      <c r="D122" t="s">
        <v>7423</v>
      </c>
      <c r="E122">
        <v>2</v>
      </c>
    </row>
    <row r="123" spans="1:5">
      <c r="A123" s="170">
        <v>28</v>
      </c>
      <c r="B123" t="s">
        <v>7423</v>
      </c>
      <c r="C123">
        <v>115</v>
      </c>
      <c r="D123" t="s">
        <v>7423</v>
      </c>
      <c r="E123">
        <v>1</v>
      </c>
    </row>
    <row r="124" spans="1:5">
      <c r="A124" s="170">
        <v>28</v>
      </c>
      <c r="B124" t="s">
        <v>7423</v>
      </c>
      <c r="C124">
        <v>115</v>
      </c>
      <c r="D124" t="s">
        <v>7423</v>
      </c>
      <c r="E124">
        <v>2</v>
      </c>
    </row>
    <row r="125" spans="1:5">
      <c r="A125" s="170">
        <v>28</v>
      </c>
      <c r="B125" t="s">
        <v>7423</v>
      </c>
      <c r="C125">
        <v>116</v>
      </c>
      <c r="D125" t="s">
        <v>7423</v>
      </c>
      <c r="E125">
        <v>1</v>
      </c>
    </row>
    <row r="126" spans="1:5">
      <c r="A126" s="170">
        <v>28</v>
      </c>
      <c r="B126" t="s">
        <v>7423</v>
      </c>
      <c r="C126">
        <v>116</v>
      </c>
      <c r="D126" t="s">
        <v>7423</v>
      </c>
      <c r="E126">
        <v>2</v>
      </c>
    </row>
    <row r="127" spans="1:5">
      <c r="A127" s="170">
        <v>28</v>
      </c>
      <c r="B127" t="s">
        <v>7423</v>
      </c>
      <c r="C127">
        <v>117</v>
      </c>
      <c r="D127" t="s">
        <v>7423</v>
      </c>
      <c r="E127">
        <v>1</v>
      </c>
    </row>
    <row r="128" spans="1:5">
      <c r="A128" s="170">
        <v>28</v>
      </c>
      <c r="B128" t="s">
        <v>7423</v>
      </c>
      <c r="C128">
        <v>117</v>
      </c>
      <c r="D128" t="s">
        <v>7423</v>
      </c>
      <c r="E128">
        <v>2</v>
      </c>
    </row>
    <row r="129" spans="1:5">
      <c r="A129" s="170">
        <v>28</v>
      </c>
      <c r="B129" t="s">
        <v>7423</v>
      </c>
      <c r="C129">
        <v>118</v>
      </c>
      <c r="D129" t="s">
        <v>7423</v>
      </c>
      <c r="E129">
        <v>1</v>
      </c>
    </row>
    <row r="130" spans="1:5">
      <c r="A130" s="170">
        <v>28</v>
      </c>
      <c r="B130" t="s">
        <v>7423</v>
      </c>
      <c r="C130">
        <v>118</v>
      </c>
      <c r="D130" t="s">
        <v>7423</v>
      </c>
      <c r="E130">
        <v>2</v>
      </c>
    </row>
    <row r="131" spans="1:5">
      <c r="A131" s="170">
        <v>28</v>
      </c>
      <c r="B131" t="s">
        <v>7423</v>
      </c>
      <c r="C131">
        <v>118</v>
      </c>
      <c r="D131" t="s">
        <v>7423</v>
      </c>
      <c r="E131">
        <v>3</v>
      </c>
    </row>
    <row r="132" spans="1:5">
      <c r="A132" s="170">
        <v>28</v>
      </c>
      <c r="B132" t="s">
        <v>7423</v>
      </c>
      <c r="C132">
        <v>119</v>
      </c>
      <c r="D132" t="s">
        <v>7423</v>
      </c>
      <c r="E132">
        <v>1</v>
      </c>
    </row>
    <row r="133" spans="1:5">
      <c r="A133" s="170">
        <v>28</v>
      </c>
      <c r="B133" t="s">
        <v>7423</v>
      </c>
      <c r="C133">
        <v>119</v>
      </c>
      <c r="D133" t="s">
        <v>7423</v>
      </c>
      <c r="E133">
        <v>2</v>
      </c>
    </row>
    <row r="134" spans="1:5">
      <c r="A134" s="170">
        <v>28</v>
      </c>
      <c r="B134" t="s">
        <v>7423</v>
      </c>
      <c r="C134">
        <v>119</v>
      </c>
      <c r="D134" t="s">
        <v>7423</v>
      </c>
      <c r="E134">
        <v>3</v>
      </c>
    </row>
    <row r="135" spans="1:5">
      <c r="A135" s="170">
        <v>28</v>
      </c>
      <c r="B135" t="s">
        <v>7423</v>
      </c>
      <c r="C135">
        <v>120</v>
      </c>
      <c r="D135" t="s">
        <v>7423</v>
      </c>
      <c r="E135">
        <v>1</v>
      </c>
    </row>
    <row r="136" spans="1:5">
      <c r="A136" s="170">
        <v>28</v>
      </c>
      <c r="B136" t="s">
        <v>7423</v>
      </c>
      <c r="C136">
        <v>120</v>
      </c>
      <c r="D136" t="s">
        <v>7423</v>
      </c>
      <c r="E136">
        <v>2</v>
      </c>
    </row>
    <row r="137" spans="1:5">
      <c r="A137" s="170">
        <v>28</v>
      </c>
      <c r="B137" t="s">
        <v>7423</v>
      </c>
      <c r="C137">
        <v>120</v>
      </c>
      <c r="D137" t="s">
        <v>7423</v>
      </c>
      <c r="E137">
        <v>3</v>
      </c>
    </row>
    <row r="138" spans="1:5">
      <c r="A138" s="170">
        <v>28</v>
      </c>
      <c r="B138" t="s">
        <v>7423</v>
      </c>
      <c r="C138">
        <v>201</v>
      </c>
      <c r="D138" t="s">
        <v>7423</v>
      </c>
      <c r="E138">
        <v>1</v>
      </c>
    </row>
    <row r="139" spans="1:5">
      <c r="A139" s="170">
        <v>28</v>
      </c>
      <c r="B139" t="s">
        <v>7423</v>
      </c>
      <c r="C139">
        <v>201</v>
      </c>
      <c r="D139" t="s">
        <v>7423</v>
      </c>
      <c r="E139">
        <v>2</v>
      </c>
    </row>
    <row r="140" spans="1:5">
      <c r="A140" s="170">
        <v>28</v>
      </c>
      <c r="B140" t="s">
        <v>7423</v>
      </c>
      <c r="C140">
        <v>201</v>
      </c>
      <c r="D140" t="s">
        <v>7423</v>
      </c>
      <c r="E140">
        <v>3</v>
      </c>
    </row>
    <row r="141" spans="1:5">
      <c r="A141" s="170">
        <v>28</v>
      </c>
      <c r="B141" t="s">
        <v>7423</v>
      </c>
      <c r="C141">
        <v>202</v>
      </c>
      <c r="D141" t="s">
        <v>7423</v>
      </c>
      <c r="E141">
        <v>1</v>
      </c>
    </row>
    <row r="142" spans="1:5">
      <c r="A142" s="170">
        <v>28</v>
      </c>
      <c r="B142" t="s">
        <v>7423</v>
      </c>
      <c r="C142">
        <v>202</v>
      </c>
      <c r="D142" t="s">
        <v>7423</v>
      </c>
      <c r="E142">
        <v>2</v>
      </c>
    </row>
    <row r="143" spans="1:5">
      <c r="A143" s="170">
        <v>28</v>
      </c>
      <c r="B143" t="s">
        <v>7423</v>
      </c>
      <c r="C143">
        <v>202</v>
      </c>
      <c r="D143" t="s">
        <v>7423</v>
      </c>
      <c r="E143">
        <v>3</v>
      </c>
    </row>
    <row r="144" spans="1:5">
      <c r="A144" s="170">
        <v>28</v>
      </c>
      <c r="B144" t="s">
        <v>7423</v>
      </c>
      <c r="C144">
        <v>203</v>
      </c>
      <c r="D144" t="s">
        <v>7423</v>
      </c>
      <c r="E144">
        <v>1</v>
      </c>
    </row>
    <row r="145" spans="1:5">
      <c r="A145" s="170">
        <v>28</v>
      </c>
      <c r="B145" t="s">
        <v>7423</v>
      </c>
      <c r="C145">
        <v>203</v>
      </c>
      <c r="D145" t="s">
        <v>7423</v>
      </c>
      <c r="E145">
        <v>2</v>
      </c>
    </row>
    <row r="146" spans="1:5">
      <c r="A146" s="170">
        <v>28</v>
      </c>
      <c r="B146" t="s">
        <v>7423</v>
      </c>
      <c r="C146">
        <v>203</v>
      </c>
      <c r="D146" t="s">
        <v>7423</v>
      </c>
      <c r="E146">
        <v>3</v>
      </c>
    </row>
    <row r="147" spans="1:5">
      <c r="A147" s="170">
        <v>28</v>
      </c>
      <c r="B147" t="s">
        <v>7423</v>
      </c>
      <c r="C147">
        <v>204</v>
      </c>
      <c r="D147" t="s">
        <v>7423</v>
      </c>
      <c r="E147">
        <v>1</v>
      </c>
    </row>
    <row r="148" spans="1:5">
      <c r="A148" s="170">
        <v>28</v>
      </c>
      <c r="B148" t="s">
        <v>7423</v>
      </c>
      <c r="C148">
        <v>204</v>
      </c>
      <c r="D148" t="s">
        <v>7423</v>
      </c>
      <c r="E148">
        <v>2</v>
      </c>
    </row>
    <row r="149" spans="1:5">
      <c r="A149" s="170">
        <v>28</v>
      </c>
      <c r="B149" t="s">
        <v>7423</v>
      </c>
      <c r="C149">
        <v>204</v>
      </c>
      <c r="D149" t="s">
        <v>7423</v>
      </c>
      <c r="E149">
        <v>3</v>
      </c>
    </row>
    <row r="150" spans="1:5">
      <c r="A150" s="170">
        <v>28</v>
      </c>
      <c r="B150" t="s">
        <v>7423</v>
      </c>
      <c r="C150">
        <v>205</v>
      </c>
      <c r="D150" t="s">
        <v>7423</v>
      </c>
      <c r="E150">
        <v>1</v>
      </c>
    </row>
    <row r="151" spans="1:5">
      <c r="A151" s="170">
        <v>28</v>
      </c>
      <c r="B151" t="s">
        <v>7423</v>
      </c>
      <c r="C151">
        <v>205</v>
      </c>
      <c r="D151" t="s">
        <v>7423</v>
      </c>
      <c r="E151">
        <v>2</v>
      </c>
    </row>
    <row r="152" spans="1:5">
      <c r="A152" s="170">
        <v>28</v>
      </c>
      <c r="B152" t="s">
        <v>7423</v>
      </c>
      <c r="C152">
        <v>206</v>
      </c>
      <c r="D152" t="s">
        <v>7423</v>
      </c>
      <c r="E152">
        <v>1</v>
      </c>
    </row>
    <row r="153" spans="1:5">
      <c r="A153" s="170">
        <v>28</v>
      </c>
      <c r="B153" t="s">
        <v>7423</v>
      </c>
      <c r="C153">
        <v>206</v>
      </c>
      <c r="D153" t="s">
        <v>7423</v>
      </c>
      <c r="E153">
        <v>2</v>
      </c>
    </row>
    <row r="154" spans="1:5">
      <c r="A154" s="170">
        <v>28</v>
      </c>
      <c r="B154" t="s">
        <v>7423</v>
      </c>
      <c r="C154">
        <v>207</v>
      </c>
      <c r="D154" t="s">
        <v>7423</v>
      </c>
      <c r="E154">
        <v>1</v>
      </c>
    </row>
    <row r="155" spans="1:5">
      <c r="A155" s="170">
        <v>28</v>
      </c>
      <c r="B155" t="s">
        <v>7423</v>
      </c>
      <c r="C155">
        <v>207</v>
      </c>
      <c r="D155" t="s">
        <v>7423</v>
      </c>
      <c r="E155">
        <v>2</v>
      </c>
    </row>
    <row r="156" spans="1:5">
      <c r="A156" s="170">
        <v>28</v>
      </c>
      <c r="B156" t="s">
        <v>7423</v>
      </c>
      <c r="C156">
        <v>208</v>
      </c>
      <c r="D156" t="s">
        <v>7423</v>
      </c>
      <c r="E156">
        <v>1</v>
      </c>
    </row>
    <row r="157" spans="1:5">
      <c r="A157" s="170">
        <v>28</v>
      </c>
      <c r="B157" t="s">
        <v>7423</v>
      </c>
      <c r="C157">
        <v>208</v>
      </c>
      <c r="D157" t="s">
        <v>7423</v>
      </c>
      <c r="E157">
        <v>2</v>
      </c>
    </row>
    <row r="158" spans="1:5">
      <c r="A158" s="170">
        <v>28</v>
      </c>
      <c r="B158" t="s">
        <v>7423</v>
      </c>
      <c r="C158">
        <v>208</v>
      </c>
      <c r="D158" t="s">
        <v>7423</v>
      </c>
      <c r="E158">
        <v>3</v>
      </c>
    </row>
    <row r="159" spans="1:5">
      <c r="A159" s="170">
        <v>28</v>
      </c>
      <c r="B159" t="s">
        <v>7423</v>
      </c>
      <c r="C159">
        <v>209</v>
      </c>
      <c r="D159" t="s">
        <v>7423</v>
      </c>
      <c r="E159">
        <v>1</v>
      </c>
    </row>
    <row r="160" spans="1:5">
      <c r="A160" s="170">
        <v>28</v>
      </c>
      <c r="B160" t="s">
        <v>7423</v>
      </c>
      <c r="C160">
        <v>209</v>
      </c>
      <c r="D160" t="s">
        <v>7423</v>
      </c>
      <c r="E160">
        <v>3</v>
      </c>
    </row>
    <row r="161" spans="1:5">
      <c r="A161" s="170">
        <v>28</v>
      </c>
      <c r="B161" t="s">
        <v>7423</v>
      </c>
      <c r="C161">
        <v>210</v>
      </c>
      <c r="D161" t="s">
        <v>7423</v>
      </c>
      <c r="E161">
        <v>1</v>
      </c>
    </row>
    <row r="162" spans="1:5">
      <c r="A162" s="170">
        <v>28</v>
      </c>
      <c r="B162" t="s">
        <v>7423</v>
      </c>
      <c r="C162">
        <v>210</v>
      </c>
      <c r="D162" t="s">
        <v>7423</v>
      </c>
      <c r="E162">
        <v>2</v>
      </c>
    </row>
    <row r="163" spans="1:5">
      <c r="A163" s="170">
        <v>28</v>
      </c>
      <c r="B163" t="s">
        <v>7423</v>
      </c>
      <c r="C163">
        <v>211</v>
      </c>
      <c r="D163" t="s">
        <v>7423</v>
      </c>
      <c r="E163">
        <v>1</v>
      </c>
    </row>
    <row r="164" spans="1:5">
      <c r="A164" s="170">
        <v>28</v>
      </c>
      <c r="B164" t="s">
        <v>7423</v>
      </c>
      <c r="C164">
        <v>211</v>
      </c>
      <c r="D164" t="s">
        <v>7423</v>
      </c>
      <c r="E164">
        <v>2</v>
      </c>
    </row>
    <row r="165" spans="1:5">
      <c r="A165" s="170">
        <v>28</v>
      </c>
      <c r="B165" t="s">
        <v>7423</v>
      </c>
      <c r="C165">
        <v>211</v>
      </c>
      <c r="D165" t="s">
        <v>7423</v>
      </c>
      <c r="E165">
        <v>3</v>
      </c>
    </row>
    <row r="166" spans="1:5">
      <c r="A166" s="170">
        <v>28</v>
      </c>
      <c r="B166" t="s">
        <v>7423</v>
      </c>
      <c r="C166">
        <v>212</v>
      </c>
      <c r="D166" t="s">
        <v>7423</v>
      </c>
      <c r="E166">
        <v>1</v>
      </c>
    </row>
    <row r="167" spans="1:5">
      <c r="A167" s="170">
        <v>28</v>
      </c>
      <c r="B167" t="s">
        <v>7423</v>
      </c>
      <c r="C167">
        <v>212</v>
      </c>
      <c r="D167" t="s">
        <v>7423</v>
      </c>
      <c r="E167">
        <v>2</v>
      </c>
    </row>
    <row r="168" spans="1:5">
      <c r="A168" s="170">
        <v>28</v>
      </c>
      <c r="B168" t="s">
        <v>7423</v>
      </c>
      <c r="C168">
        <v>213</v>
      </c>
      <c r="D168" t="s">
        <v>7423</v>
      </c>
      <c r="E168">
        <v>1</v>
      </c>
    </row>
    <row r="169" spans="1:5">
      <c r="A169" s="170">
        <v>28</v>
      </c>
      <c r="B169" t="s">
        <v>7423</v>
      </c>
      <c r="C169">
        <v>213</v>
      </c>
      <c r="D169" t="s">
        <v>7423</v>
      </c>
      <c r="E169">
        <v>2</v>
      </c>
    </row>
    <row r="170" spans="1:5">
      <c r="A170" s="170">
        <v>28</v>
      </c>
      <c r="B170" t="s">
        <v>7423</v>
      </c>
      <c r="C170">
        <v>213</v>
      </c>
      <c r="D170" t="s">
        <v>7423</v>
      </c>
      <c r="E170">
        <v>3</v>
      </c>
    </row>
    <row r="171" spans="1:5">
      <c r="A171" s="170">
        <v>28</v>
      </c>
      <c r="B171" t="s">
        <v>7423</v>
      </c>
      <c r="C171">
        <v>214</v>
      </c>
      <c r="D171" t="s">
        <v>7423</v>
      </c>
      <c r="E171">
        <v>1</v>
      </c>
    </row>
    <row r="172" spans="1:5">
      <c r="A172" s="170">
        <v>28</v>
      </c>
      <c r="B172" t="s">
        <v>7423</v>
      </c>
      <c r="C172">
        <v>214</v>
      </c>
      <c r="D172" t="s">
        <v>7423</v>
      </c>
      <c r="E172">
        <v>2</v>
      </c>
    </row>
    <row r="173" spans="1:5">
      <c r="A173" s="170">
        <v>28</v>
      </c>
      <c r="B173" t="s">
        <v>7423</v>
      </c>
      <c r="C173">
        <v>214</v>
      </c>
      <c r="D173" t="s">
        <v>7423</v>
      </c>
      <c r="E173">
        <v>3</v>
      </c>
    </row>
    <row r="174" spans="1:5">
      <c r="A174" s="170">
        <v>28</v>
      </c>
      <c r="B174" t="s">
        <v>7423</v>
      </c>
      <c r="C174">
        <v>215</v>
      </c>
      <c r="D174" t="s">
        <v>7423</v>
      </c>
      <c r="E174">
        <v>1</v>
      </c>
    </row>
    <row r="175" spans="1:5">
      <c r="A175" s="170">
        <v>28</v>
      </c>
      <c r="B175" t="s">
        <v>7423</v>
      </c>
      <c r="C175">
        <v>215</v>
      </c>
      <c r="D175" t="s">
        <v>7423</v>
      </c>
      <c r="E175">
        <v>2</v>
      </c>
    </row>
    <row r="176" spans="1:5">
      <c r="A176" s="170">
        <v>28</v>
      </c>
      <c r="B176" t="s">
        <v>7423</v>
      </c>
      <c r="C176">
        <v>215</v>
      </c>
      <c r="D176" t="s">
        <v>7423</v>
      </c>
      <c r="E176">
        <v>3</v>
      </c>
    </row>
    <row r="177" spans="1:5">
      <c r="A177" s="170">
        <v>28</v>
      </c>
      <c r="B177" t="s">
        <v>7423</v>
      </c>
      <c r="C177">
        <v>216</v>
      </c>
      <c r="D177" t="s">
        <v>7423</v>
      </c>
      <c r="E177">
        <v>1</v>
      </c>
    </row>
    <row r="178" spans="1:5">
      <c r="A178" s="170">
        <v>28</v>
      </c>
      <c r="B178" t="s">
        <v>7423</v>
      </c>
      <c r="C178">
        <v>216</v>
      </c>
      <c r="D178" t="s">
        <v>7423</v>
      </c>
      <c r="E178">
        <v>2</v>
      </c>
    </row>
    <row r="179" spans="1:5">
      <c r="A179" s="170">
        <v>28</v>
      </c>
      <c r="B179" t="s">
        <v>7423</v>
      </c>
      <c r="C179">
        <v>216</v>
      </c>
      <c r="D179" t="s">
        <v>7423</v>
      </c>
      <c r="E179">
        <v>3</v>
      </c>
    </row>
    <row r="180" spans="1:5">
      <c r="A180" s="170">
        <v>28</v>
      </c>
      <c r="B180" t="s">
        <v>7423</v>
      </c>
      <c r="C180">
        <v>217</v>
      </c>
      <c r="D180" t="s">
        <v>7423</v>
      </c>
      <c r="E180">
        <v>1</v>
      </c>
    </row>
    <row r="181" spans="1:5">
      <c r="A181" s="170">
        <v>28</v>
      </c>
      <c r="B181" t="s">
        <v>7423</v>
      </c>
      <c r="C181">
        <v>217</v>
      </c>
      <c r="D181" t="s">
        <v>7423</v>
      </c>
      <c r="E181">
        <v>2</v>
      </c>
    </row>
    <row r="182" spans="1:5">
      <c r="A182" s="170">
        <v>28</v>
      </c>
      <c r="B182" t="s">
        <v>7423</v>
      </c>
      <c r="C182">
        <v>217</v>
      </c>
      <c r="D182" t="s">
        <v>7423</v>
      </c>
      <c r="E182">
        <v>3</v>
      </c>
    </row>
    <row r="183" spans="1:5">
      <c r="A183" s="170">
        <v>28</v>
      </c>
      <c r="B183" t="s">
        <v>7423</v>
      </c>
      <c r="C183">
        <v>218</v>
      </c>
      <c r="D183" t="s">
        <v>7423</v>
      </c>
      <c r="E183">
        <v>1</v>
      </c>
    </row>
    <row r="184" spans="1:5">
      <c r="A184" s="170">
        <v>28</v>
      </c>
      <c r="B184" t="s">
        <v>7423</v>
      </c>
      <c r="C184">
        <v>218</v>
      </c>
      <c r="D184" t="s">
        <v>7423</v>
      </c>
      <c r="E184">
        <v>2</v>
      </c>
    </row>
    <row r="185" spans="1:5">
      <c r="A185" s="170">
        <v>28</v>
      </c>
      <c r="B185" t="s">
        <v>7423</v>
      </c>
      <c r="C185">
        <v>218</v>
      </c>
      <c r="D185" t="s">
        <v>7423</v>
      </c>
      <c r="E185">
        <v>3</v>
      </c>
    </row>
    <row r="186" spans="1:5">
      <c r="A186" s="170">
        <v>28</v>
      </c>
      <c r="B186" t="s">
        <v>7423</v>
      </c>
      <c r="C186">
        <v>219</v>
      </c>
      <c r="D186" t="s">
        <v>7423</v>
      </c>
      <c r="E186">
        <v>1</v>
      </c>
    </row>
    <row r="187" spans="1:5">
      <c r="A187" s="170">
        <v>28</v>
      </c>
      <c r="B187" t="s">
        <v>7423</v>
      </c>
      <c r="C187">
        <v>219</v>
      </c>
      <c r="D187" t="s">
        <v>7423</v>
      </c>
      <c r="E187">
        <v>2</v>
      </c>
    </row>
    <row r="188" spans="1:5">
      <c r="A188" s="170">
        <v>28</v>
      </c>
      <c r="B188" t="s">
        <v>7423</v>
      </c>
      <c r="C188">
        <v>220</v>
      </c>
      <c r="D188" t="s">
        <v>7423</v>
      </c>
      <c r="E188">
        <v>1</v>
      </c>
    </row>
    <row r="189" spans="1:5">
      <c r="A189" s="170">
        <v>28</v>
      </c>
      <c r="B189" t="s">
        <v>7423</v>
      </c>
      <c r="C189">
        <v>220</v>
      </c>
      <c r="D189" t="s">
        <v>7423</v>
      </c>
      <c r="E189">
        <v>2</v>
      </c>
    </row>
    <row r="190" spans="1:5">
      <c r="A190" s="170">
        <v>29</v>
      </c>
      <c r="B190" t="s">
        <v>7423</v>
      </c>
      <c r="C190">
        <v>101</v>
      </c>
      <c r="D190" t="s">
        <v>7423</v>
      </c>
      <c r="E190">
        <v>1</v>
      </c>
    </row>
    <row r="191" spans="1:5">
      <c r="A191" s="170">
        <v>29</v>
      </c>
      <c r="B191" t="s">
        <v>7423</v>
      </c>
      <c r="C191">
        <v>101</v>
      </c>
      <c r="D191" t="s">
        <v>7423</v>
      </c>
      <c r="E191">
        <v>2</v>
      </c>
    </row>
    <row r="192" spans="1:5">
      <c r="A192" s="170">
        <v>29</v>
      </c>
      <c r="B192" t="s">
        <v>7423</v>
      </c>
      <c r="C192">
        <v>102</v>
      </c>
      <c r="D192" t="s">
        <v>7423</v>
      </c>
      <c r="E192">
        <v>1</v>
      </c>
    </row>
    <row r="193" spans="1:5">
      <c r="A193" s="170">
        <v>29</v>
      </c>
      <c r="B193" t="s">
        <v>7423</v>
      </c>
      <c r="C193">
        <v>102</v>
      </c>
      <c r="D193" t="s">
        <v>7423</v>
      </c>
      <c r="E193">
        <v>2</v>
      </c>
    </row>
    <row r="194" spans="1:5">
      <c r="A194" s="170">
        <v>29</v>
      </c>
      <c r="B194" t="s">
        <v>7423</v>
      </c>
      <c r="C194">
        <v>103</v>
      </c>
      <c r="D194" t="s">
        <v>7423</v>
      </c>
      <c r="E194">
        <v>1</v>
      </c>
    </row>
    <row r="195" spans="1:5">
      <c r="A195" s="170">
        <v>29</v>
      </c>
      <c r="B195" t="s">
        <v>7423</v>
      </c>
      <c r="C195">
        <v>103</v>
      </c>
      <c r="D195" t="s">
        <v>7423</v>
      </c>
      <c r="E195">
        <v>2</v>
      </c>
    </row>
    <row r="196" spans="1:5">
      <c r="A196" s="170">
        <v>29</v>
      </c>
      <c r="B196" t="s">
        <v>7423</v>
      </c>
      <c r="C196">
        <v>103</v>
      </c>
      <c r="D196" t="s">
        <v>7423</v>
      </c>
      <c r="E196">
        <v>3</v>
      </c>
    </row>
    <row r="197" spans="1:5">
      <c r="A197" s="170">
        <v>29</v>
      </c>
      <c r="B197" t="s">
        <v>7423</v>
      </c>
      <c r="C197">
        <v>104</v>
      </c>
      <c r="D197" t="s">
        <v>7423</v>
      </c>
      <c r="E197">
        <v>1</v>
      </c>
    </row>
    <row r="198" spans="1:5">
      <c r="A198" s="170">
        <v>29</v>
      </c>
      <c r="B198" t="s">
        <v>7423</v>
      </c>
      <c r="C198">
        <v>104</v>
      </c>
      <c r="D198" t="s">
        <v>7423</v>
      </c>
      <c r="E198">
        <v>2</v>
      </c>
    </row>
    <row r="199" spans="1:5">
      <c r="A199" s="170">
        <v>29</v>
      </c>
      <c r="B199" t="s">
        <v>7423</v>
      </c>
      <c r="C199">
        <v>104</v>
      </c>
      <c r="D199" t="s">
        <v>7423</v>
      </c>
      <c r="E199">
        <v>3</v>
      </c>
    </row>
    <row r="200" spans="1:5">
      <c r="A200" s="170">
        <v>29</v>
      </c>
      <c r="B200" t="s">
        <v>7423</v>
      </c>
      <c r="C200">
        <v>105</v>
      </c>
      <c r="D200" t="s">
        <v>7423</v>
      </c>
      <c r="E200">
        <v>1</v>
      </c>
    </row>
    <row r="201" spans="1:5">
      <c r="A201" s="170">
        <v>29</v>
      </c>
      <c r="B201" t="s">
        <v>7423</v>
      </c>
      <c r="C201">
        <v>105</v>
      </c>
      <c r="D201" t="s">
        <v>7423</v>
      </c>
      <c r="E201">
        <v>2</v>
      </c>
    </row>
    <row r="202" spans="1:5">
      <c r="A202" s="170">
        <v>29</v>
      </c>
      <c r="B202" t="s">
        <v>7423</v>
      </c>
      <c r="C202">
        <v>105</v>
      </c>
      <c r="D202" t="s">
        <v>7423</v>
      </c>
      <c r="E202">
        <v>3</v>
      </c>
    </row>
    <row r="203" spans="1:5">
      <c r="A203" s="170">
        <v>29</v>
      </c>
      <c r="B203" t="s">
        <v>7423</v>
      </c>
      <c r="C203">
        <v>106</v>
      </c>
      <c r="D203" t="s">
        <v>7423</v>
      </c>
      <c r="E203">
        <v>1</v>
      </c>
    </row>
    <row r="204" spans="1:5">
      <c r="A204" s="170">
        <v>29</v>
      </c>
      <c r="B204" t="s">
        <v>7423</v>
      </c>
      <c r="C204">
        <v>106</v>
      </c>
      <c r="D204" t="s">
        <v>7423</v>
      </c>
      <c r="E204">
        <v>2</v>
      </c>
    </row>
    <row r="205" spans="1:5">
      <c r="A205" s="170">
        <v>29</v>
      </c>
      <c r="B205" t="s">
        <v>7423</v>
      </c>
      <c r="C205">
        <v>106</v>
      </c>
      <c r="D205" t="s">
        <v>7423</v>
      </c>
      <c r="E205">
        <v>3</v>
      </c>
    </row>
    <row r="206" spans="1:5">
      <c r="A206" s="170">
        <v>29</v>
      </c>
      <c r="B206" t="s">
        <v>7423</v>
      </c>
      <c r="C206">
        <v>107</v>
      </c>
      <c r="D206" t="s">
        <v>7423</v>
      </c>
      <c r="E206">
        <v>1</v>
      </c>
    </row>
    <row r="207" spans="1:5">
      <c r="A207" s="170">
        <v>29</v>
      </c>
      <c r="B207" t="s">
        <v>7423</v>
      </c>
      <c r="C207">
        <v>107</v>
      </c>
      <c r="D207" t="s">
        <v>7423</v>
      </c>
      <c r="E207">
        <v>2</v>
      </c>
    </row>
    <row r="208" spans="1:5">
      <c r="A208" s="170">
        <v>29</v>
      </c>
      <c r="B208" t="s">
        <v>7423</v>
      </c>
      <c r="C208">
        <v>107</v>
      </c>
      <c r="D208" t="s">
        <v>7423</v>
      </c>
      <c r="E208">
        <v>3</v>
      </c>
    </row>
    <row r="209" spans="1:5">
      <c r="A209" s="170">
        <v>29</v>
      </c>
      <c r="B209" t="s">
        <v>7423</v>
      </c>
      <c r="C209">
        <v>108</v>
      </c>
      <c r="D209" t="s">
        <v>7423</v>
      </c>
      <c r="E209">
        <v>1</v>
      </c>
    </row>
    <row r="210" spans="1:5">
      <c r="A210" s="170">
        <v>29</v>
      </c>
      <c r="B210" t="s">
        <v>7423</v>
      </c>
      <c r="C210">
        <v>108</v>
      </c>
      <c r="D210" t="s">
        <v>7423</v>
      </c>
      <c r="E210">
        <v>2</v>
      </c>
    </row>
    <row r="211" spans="1:5">
      <c r="A211" s="170">
        <v>29</v>
      </c>
      <c r="B211" t="s">
        <v>7423</v>
      </c>
      <c r="C211">
        <v>108</v>
      </c>
      <c r="D211" t="s">
        <v>7423</v>
      </c>
      <c r="E211">
        <v>3</v>
      </c>
    </row>
    <row r="212" spans="1:5">
      <c r="A212" s="170">
        <v>29</v>
      </c>
      <c r="B212" t="s">
        <v>7423</v>
      </c>
      <c r="C212">
        <v>109</v>
      </c>
      <c r="D212" t="s">
        <v>7423</v>
      </c>
      <c r="E212">
        <v>1</v>
      </c>
    </row>
    <row r="213" spans="1:5">
      <c r="A213" s="170">
        <v>29</v>
      </c>
      <c r="B213" t="s">
        <v>7423</v>
      </c>
      <c r="C213">
        <v>109</v>
      </c>
      <c r="D213" t="s">
        <v>7423</v>
      </c>
      <c r="E213">
        <v>2</v>
      </c>
    </row>
    <row r="214" spans="1:5">
      <c r="A214" s="170">
        <v>29</v>
      </c>
      <c r="B214" t="s">
        <v>7423</v>
      </c>
      <c r="C214">
        <v>109</v>
      </c>
      <c r="D214" t="s">
        <v>7423</v>
      </c>
      <c r="E214">
        <v>3</v>
      </c>
    </row>
    <row r="215" spans="1:5">
      <c r="A215" s="170">
        <v>29</v>
      </c>
      <c r="B215" t="s">
        <v>7423</v>
      </c>
      <c r="C215">
        <v>110</v>
      </c>
      <c r="D215" t="s">
        <v>7423</v>
      </c>
      <c r="E215">
        <v>1</v>
      </c>
    </row>
    <row r="216" spans="1:5">
      <c r="A216" s="170">
        <v>29</v>
      </c>
      <c r="B216" t="s">
        <v>7423</v>
      </c>
      <c r="C216">
        <v>110</v>
      </c>
      <c r="D216" t="s">
        <v>7423</v>
      </c>
      <c r="E216">
        <v>2</v>
      </c>
    </row>
    <row r="217" spans="1:5">
      <c r="A217" s="170">
        <v>29</v>
      </c>
      <c r="B217" t="s">
        <v>7423</v>
      </c>
      <c r="C217">
        <v>110</v>
      </c>
      <c r="D217" t="s">
        <v>7423</v>
      </c>
      <c r="E217">
        <v>3</v>
      </c>
    </row>
    <row r="218" spans="1:5">
      <c r="A218" s="170">
        <v>29</v>
      </c>
      <c r="B218" t="s">
        <v>7423</v>
      </c>
      <c r="C218">
        <v>111</v>
      </c>
      <c r="D218" t="s">
        <v>7423</v>
      </c>
      <c r="E218">
        <v>1</v>
      </c>
    </row>
    <row r="219" spans="1:5">
      <c r="A219" s="170">
        <v>29</v>
      </c>
      <c r="B219" t="s">
        <v>7423</v>
      </c>
      <c r="C219">
        <v>111</v>
      </c>
      <c r="D219" t="s">
        <v>7423</v>
      </c>
      <c r="E219">
        <v>2</v>
      </c>
    </row>
    <row r="220" spans="1:5">
      <c r="A220" s="170">
        <v>29</v>
      </c>
      <c r="B220" t="s">
        <v>7423</v>
      </c>
      <c r="C220">
        <v>111</v>
      </c>
      <c r="D220" t="s">
        <v>7423</v>
      </c>
      <c r="E220">
        <v>3</v>
      </c>
    </row>
    <row r="221" spans="1:5">
      <c r="A221" s="170">
        <v>29</v>
      </c>
      <c r="B221" t="s">
        <v>7423</v>
      </c>
      <c r="C221">
        <v>112</v>
      </c>
      <c r="D221" t="s">
        <v>7423</v>
      </c>
      <c r="E221">
        <v>1</v>
      </c>
    </row>
    <row r="222" spans="1:5">
      <c r="A222" s="170">
        <v>29</v>
      </c>
      <c r="B222" t="s">
        <v>7423</v>
      </c>
      <c r="C222">
        <v>112</v>
      </c>
      <c r="D222" t="s">
        <v>7423</v>
      </c>
      <c r="E222">
        <v>2</v>
      </c>
    </row>
    <row r="223" spans="1:5">
      <c r="A223" s="170">
        <v>29</v>
      </c>
      <c r="B223" t="s">
        <v>7423</v>
      </c>
      <c r="C223">
        <v>112</v>
      </c>
      <c r="D223" t="s">
        <v>7423</v>
      </c>
      <c r="E223">
        <v>3</v>
      </c>
    </row>
    <row r="224" spans="1:5">
      <c r="A224" s="170">
        <v>29</v>
      </c>
      <c r="B224" t="s">
        <v>7423</v>
      </c>
      <c r="C224">
        <v>113</v>
      </c>
      <c r="D224" t="s">
        <v>7423</v>
      </c>
      <c r="E224">
        <v>1</v>
      </c>
    </row>
    <row r="225" spans="1:5">
      <c r="A225" s="170">
        <v>29</v>
      </c>
      <c r="B225" t="s">
        <v>7423</v>
      </c>
      <c r="C225">
        <v>113</v>
      </c>
      <c r="D225" t="s">
        <v>7423</v>
      </c>
      <c r="E225">
        <v>2</v>
      </c>
    </row>
    <row r="226" spans="1:5">
      <c r="A226" s="170">
        <v>29</v>
      </c>
      <c r="B226" t="s">
        <v>7423</v>
      </c>
      <c r="C226">
        <v>113</v>
      </c>
      <c r="D226" t="s">
        <v>7423</v>
      </c>
      <c r="E226">
        <v>3</v>
      </c>
    </row>
    <row r="227" spans="1:5">
      <c r="A227" s="170">
        <v>29</v>
      </c>
      <c r="B227" t="s">
        <v>7423</v>
      </c>
      <c r="C227">
        <v>114</v>
      </c>
      <c r="D227" t="s">
        <v>7423</v>
      </c>
      <c r="E227">
        <v>1</v>
      </c>
    </row>
    <row r="228" spans="1:5">
      <c r="A228" s="170">
        <v>29</v>
      </c>
      <c r="B228" t="s">
        <v>7423</v>
      </c>
      <c r="C228">
        <v>114</v>
      </c>
      <c r="D228" t="s">
        <v>7423</v>
      </c>
      <c r="E228">
        <v>2</v>
      </c>
    </row>
    <row r="229" spans="1:5">
      <c r="A229" s="170">
        <v>29</v>
      </c>
      <c r="B229" t="s">
        <v>7423</v>
      </c>
      <c r="C229">
        <v>114</v>
      </c>
      <c r="D229" t="s">
        <v>7423</v>
      </c>
      <c r="E229">
        <v>3</v>
      </c>
    </row>
    <row r="230" spans="1:5">
      <c r="A230" s="170">
        <v>29</v>
      </c>
      <c r="B230" t="s">
        <v>7423</v>
      </c>
      <c r="C230">
        <v>115</v>
      </c>
      <c r="D230" t="s">
        <v>7423</v>
      </c>
      <c r="E230">
        <v>1</v>
      </c>
    </row>
    <row r="231" spans="1:5">
      <c r="A231" s="170">
        <v>29</v>
      </c>
      <c r="B231" t="s">
        <v>7423</v>
      </c>
      <c r="C231">
        <v>115</v>
      </c>
      <c r="D231" t="s">
        <v>7423</v>
      </c>
      <c r="E231">
        <v>2</v>
      </c>
    </row>
    <row r="232" spans="1:5">
      <c r="A232" s="170">
        <v>29</v>
      </c>
      <c r="B232" t="s">
        <v>7423</v>
      </c>
      <c r="C232">
        <v>115</v>
      </c>
      <c r="D232" t="s">
        <v>7423</v>
      </c>
      <c r="E232">
        <v>3</v>
      </c>
    </row>
    <row r="233" spans="1:5">
      <c r="A233" s="170">
        <v>29</v>
      </c>
      <c r="B233" t="s">
        <v>7423</v>
      </c>
      <c r="C233">
        <v>117</v>
      </c>
      <c r="D233" t="s">
        <v>7423</v>
      </c>
      <c r="E233">
        <v>1</v>
      </c>
    </row>
    <row r="234" spans="1:5">
      <c r="A234" s="170">
        <v>29</v>
      </c>
      <c r="B234" t="s">
        <v>7423</v>
      </c>
      <c r="C234">
        <v>117</v>
      </c>
      <c r="D234" t="s">
        <v>7423</v>
      </c>
      <c r="E234">
        <v>2</v>
      </c>
    </row>
    <row r="235" spans="1:5">
      <c r="A235" s="170">
        <v>29</v>
      </c>
      <c r="B235" t="s">
        <v>7423</v>
      </c>
      <c r="C235">
        <v>117</v>
      </c>
      <c r="D235" t="s">
        <v>7423</v>
      </c>
      <c r="E235">
        <v>3</v>
      </c>
    </row>
    <row r="236" spans="1:5">
      <c r="A236" s="170">
        <v>29</v>
      </c>
      <c r="B236" t="s">
        <v>7423</v>
      </c>
      <c r="C236">
        <v>118</v>
      </c>
      <c r="D236" t="s">
        <v>7423</v>
      </c>
      <c r="E236">
        <v>1</v>
      </c>
    </row>
    <row r="237" spans="1:5">
      <c r="A237" s="170">
        <v>29</v>
      </c>
      <c r="B237" t="s">
        <v>7423</v>
      </c>
      <c r="C237">
        <v>118</v>
      </c>
      <c r="D237" t="s">
        <v>7423</v>
      </c>
      <c r="E237">
        <v>2</v>
      </c>
    </row>
    <row r="238" spans="1:5">
      <c r="A238" s="170">
        <v>29</v>
      </c>
      <c r="B238" t="s">
        <v>7423</v>
      </c>
      <c r="C238">
        <v>118</v>
      </c>
      <c r="D238" t="s">
        <v>7423</v>
      </c>
      <c r="E238">
        <v>3</v>
      </c>
    </row>
    <row r="239" spans="1:5">
      <c r="A239" s="170">
        <v>29</v>
      </c>
      <c r="B239" t="s">
        <v>7423</v>
      </c>
      <c r="C239">
        <v>119</v>
      </c>
      <c r="D239" t="s">
        <v>7423</v>
      </c>
      <c r="E239">
        <v>1</v>
      </c>
    </row>
    <row r="240" spans="1:5">
      <c r="A240" s="170">
        <v>29</v>
      </c>
      <c r="B240" t="s">
        <v>7423</v>
      </c>
      <c r="C240">
        <v>119</v>
      </c>
      <c r="D240" t="s">
        <v>7423</v>
      </c>
      <c r="E240">
        <v>2</v>
      </c>
    </row>
    <row r="241" spans="1:5">
      <c r="A241" s="170">
        <v>29</v>
      </c>
      <c r="B241" t="s">
        <v>7423</v>
      </c>
      <c r="C241">
        <v>119</v>
      </c>
      <c r="D241" t="s">
        <v>7423</v>
      </c>
      <c r="E241">
        <v>3</v>
      </c>
    </row>
    <row r="242" spans="1:5">
      <c r="A242" s="170">
        <v>29</v>
      </c>
      <c r="B242" t="s">
        <v>7423</v>
      </c>
      <c r="C242">
        <v>120</v>
      </c>
      <c r="D242" t="s">
        <v>7423</v>
      </c>
      <c r="E242">
        <v>1</v>
      </c>
    </row>
    <row r="243" spans="1:5">
      <c r="A243" s="170">
        <v>29</v>
      </c>
      <c r="B243" t="s">
        <v>7423</v>
      </c>
      <c r="C243">
        <v>120</v>
      </c>
      <c r="D243" t="s">
        <v>7423</v>
      </c>
      <c r="E243">
        <v>2</v>
      </c>
    </row>
    <row r="244" spans="1:5">
      <c r="A244" s="170">
        <v>29</v>
      </c>
      <c r="B244" t="s">
        <v>7423</v>
      </c>
      <c r="C244">
        <v>120</v>
      </c>
      <c r="D244" t="s">
        <v>7423</v>
      </c>
      <c r="E244">
        <v>3</v>
      </c>
    </row>
    <row r="245" spans="1:5">
      <c r="A245" s="170">
        <v>29</v>
      </c>
      <c r="B245" t="s">
        <v>7423</v>
      </c>
      <c r="C245">
        <v>201</v>
      </c>
      <c r="D245" t="s">
        <v>7423</v>
      </c>
      <c r="E245">
        <v>1</v>
      </c>
    </row>
    <row r="246" spans="1:5">
      <c r="A246" s="170">
        <v>29</v>
      </c>
      <c r="B246" t="s">
        <v>7423</v>
      </c>
      <c r="C246">
        <v>201</v>
      </c>
      <c r="D246" t="s">
        <v>7423</v>
      </c>
      <c r="E246">
        <v>2</v>
      </c>
    </row>
    <row r="247" spans="1:5">
      <c r="A247" s="170">
        <v>29</v>
      </c>
      <c r="B247" t="s">
        <v>7423</v>
      </c>
      <c r="C247">
        <v>202</v>
      </c>
      <c r="D247" t="s">
        <v>7423</v>
      </c>
      <c r="E247">
        <v>1</v>
      </c>
    </row>
    <row r="248" spans="1:5">
      <c r="A248" s="170">
        <v>29</v>
      </c>
      <c r="B248" t="s">
        <v>7423</v>
      </c>
      <c r="C248">
        <v>202</v>
      </c>
      <c r="D248" t="s">
        <v>7423</v>
      </c>
      <c r="E248">
        <v>2</v>
      </c>
    </row>
    <row r="249" spans="1:5">
      <c r="A249" s="170">
        <v>29</v>
      </c>
      <c r="B249" t="s">
        <v>7423</v>
      </c>
      <c r="C249">
        <v>203</v>
      </c>
      <c r="D249" t="s">
        <v>7423</v>
      </c>
      <c r="E249">
        <v>1</v>
      </c>
    </row>
    <row r="250" spans="1:5">
      <c r="A250" s="170">
        <v>29</v>
      </c>
      <c r="B250" t="s">
        <v>7423</v>
      </c>
      <c r="C250">
        <v>203</v>
      </c>
      <c r="D250" t="s">
        <v>7423</v>
      </c>
      <c r="E250">
        <v>2</v>
      </c>
    </row>
    <row r="251" spans="1:5">
      <c r="A251" s="170">
        <v>29</v>
      </c>
      <c r="B251" t="s">
        <v>7423</v>
      </c>
      <c r="C251">
        <v>204</v>
      </c>
      <c r="D251" t="s">
        <v>7423</v>
      </c>
      <c r="E251">
        <v>1</v>
      </c>
    </row>
    <row r="252" spans="1:5">
      <c r="A252" s="170">
        <v>29</v>
      </c>
      <c r="B252" t="s">
        <v>7423</v>
      </c>
      <c r="C252">
        <v>205</v>
      </c>
      <c r="D252" t="s">
        <v>7423</v>
      </c>
      <c r="E252">
        <v>1</v>
      </c>
    </row>
    <row r="253" spans="1:5">
      <c r="A253" s="170">
        <v>29</v>
      </c>
      <c r="B253" t="s">
        <v>7423</v>
      </c>
      <c r="C253">
        <v>205</v>
      </c>
      <c r="D253" t="s">
        <v>7423</v>
      </c>
      <c r="E253">
        <v>2</v>
      </c>
    </row>
    <row r="254" spans="1:5">
      <c r="A254" s="170">
        <v>29</v>
      </c>
      <c r="B254" t="s">
        <v>7423</v>
      </c>
      <c r="C254">
        <v>206</v>
      </c>
      <c r="D254" t="s">
        <v>7423</v>
      </c>
      <c r="E254">
        <v>1</v>
      </c>
    </row>
    <row r="255" spans="1:5">
      <c r="A255" s="170">
        <v>29</v>
      </c>
      <c r="B255" t="s">
        <v>7423</v>
      </c>
      <c r="C255">
        <v>206</v>
      </c>
      <c r="D255" t="s">
        <v>7423</v>
      </c>
      <c r="E255">
        <v>2</v>
      </c>
    </row>
    <row r="256" spans="1:5">
      <c r="A256" s="170">
        <v>29</v>
      </c>
      <c r="B256" t="s">
        <v>7423</v>
      </c>
      <c r="C256">
        <v>207</v>
      </c>
      <c r="D256" t="s">
        <v>7423</v>
      </c>
      <c r="E256">
        <v>1</v>
      </c>
    </row>
    <row r="257" spans="1:5">
      <c r="A257" s="170">
        <v>29</v>
      </c>
      <c r="B257" t="s">
        <v>7423</v>
      </c>
      <c r="C257">
        <v>207</v>
      </c>
      <c r="D257" t="s">
        <v>7423</v>
      </c>
      <c r="E257">
        <v>2</v>
      </c>
    </row>
    <row r="258" spans="1:5">
      <c r="A258" s="170">
        <v>29</v>
      </c>
      <c r="B258" t="s">
        <v>7423</v>
      </c>
      <c r="C258">
        <v>207</v>
      </c>
      <c r="D258" t="s">
        <v>7423</v>
      </c>
      <c r="E258">
        <v>3</v>
      </c>
    </row>
    <row r="259" spans="1:5">
      <c r="A259" s="170">
        <v>29</v>
      </c>
      <c r="B259" t="s">
        <v>7423</v>
      </c>
      <c r="C259">
        <v>208</v>
      </c>
      <c r="D259" t="s">
        <v>7423</v>
      </c>
      <c r="E259">
        <v>1</v>
      </c>
    </row>
    <row r="260" spans="1:5">
      <c r="A260" s="170">
        <v>29</v>
      </c>
      <c r="B260" t="s">
        <v>7423</v>
      </c>
      <c r="C260">
        <v>208</v>
      </c>
      <c r="D260" t="s">
        <v>7423</v>
      </c>
      <c r="E260">
        <v>2</v>
      </c>
    </row>
    <row r="261" spans="1:5">
      <c r="A261" s="170">
        <v>29</v>
      </c>
      <c r="B261" t="s">
        <v>7423</v>
      </c>
      <c r="C261">
        <v>208</v>
      </c>
      <c r="D261" t="s">
        <v>7423</v>
      </c>
      <c r="E261">
        <v>3</v>
      </c>
    </row>
    <row r="262" spans="1:5">
      <c r="A262" s="170">
        <v>29</v>
      </c>
      <c r="B262" t="s">
        <v>7423</v>
      </c>
      <c r="C262">
        <v>209</v>
      </c>
      <c r="D262" t="s">
        <v>7423</v>
      </c>
      <c r="E262">
        <v>1</v>
      </c>
    </row>
    <row r="263" spans="1:5">
      <c r="A263" s="170">
        <v>29</v>
      </c>
      <c r="B263" t="s">
        <v>7423</v>
      </c>
      <c r="C263">
        <v>209</v>
      </c>
      <c r="D263" t="s">
        <v>7423</v>
      </c>
      <c r="E263">
        <v>2</v>
      </c>
    </row>
    <row r="264" spans="1:5">
      <c r="A264" s="170">
        <v>29</v>
      </c>
      <c r="B264" t="s">
        <v>7423</v>
      </c>
      <c r="C264">
        <v>209</v>
      </c>
      <c r="D264" t="s">
        <v>7423</v>
      </c>
      <c r="E264">
        <v>3</v>
      </c>
    </row>
    <row r="265" spans="1:5">
      <c r="A265" s="170">
        <v>29</v>
      </c>
      <c r="B265" t="s">
        <v>7423</v>
      </c>
      <c r="C265">
        <v>210</v>
      </c>
      <c r="D265" t="s">
        <v>7423</v>
      </c>
      <c r="E265">
        <v>1</v>
      </c>
    </row>
    <row r="266" spans="1:5">
      <c r="A266" s="170">
        <v>29</v>
      </c>
      <c r="B266" t="s">
        <v>7423</v>
      </c>
      <c r="C266">
        <v>210</v>
      </c>
      <c r="D266" t="s">
        <v>7423</v>
      </c>
      <c r="E266">
        <v>2</v>
      </c>
    </row>
    <row r="267" spans="1:5">
      <c r="A267" s="170">
        <v>29</v>
      </c>
      <c r="B267" t="s">
        <v>7423</v>
      </c>
      <c r="C267">
        <v>210</v>
      </c>
      <c r="D267" t="s">
        <v>7423</v>
      </c>
      <c r="E267">
        <v>3</v>
      </c>
    </row>
    <row r="268" spans="1:5">
      <c r="A268" s="170">
        <v>29</v>
      </c>
      <c r="B268" t="s">
        <v>7423</v>
      </c>
      <c r="C268">
        <v>211</v>
      </c>
      <c r="D268" t="s">
        <v>7423</v>
      </c>
      <c r="E268">
        <v>1</v>
      </c>
    </row>
    <row r="269" spans="1:5">
      <c r="A269" s="170">
        <v>29</v>
      </c>
      <c r="B269" t="s">
        <v>7423</v>
      </c>
      <c r="C269">
        <v>211</v>
      </c>
      <c r="D269" t="s">
        <v>7423</v>
      </c>
      <c r="E269">
        <v>2</v>
      </c>
    </row>
    <row r="270" spans="1:5">
      <c r="A270" s="170">
        <v>29</v>
      </c>
      <c r="B270" t="s">
        <v>7423</v>
      </c>
      <c r="C270">
        <v>211</v>
      </c>
      <c r="D270" t="s">
        <v>7423</v>
      </c>
      <c r="E270">
        <v>3</v>
      </c>
    </row>
    <row r="271" spans="1:5">
      <c r="A271" s="170">
        <v>29</v>
      </c>
      <c r="B271" t="s">
        <v>7423</v>
      </c>
      <c r="C271">
        <v>212</v>
      </c>
      <c r="D271" t="s">
        <v>7423</v>
      </c>
      <c r="E271">
        <v>1</v>
      </c>
    </row>
    <row r="272" spans="1:5">
      <c r="A272" s="170">
        <v>29</v>
      </c>
      <c r="B272" t="s">
        <v>7423</v>
      </c>
      <c r="C272">
        <v>212</v>
      </c>
      <c r="D272" t="s">
        <v>7423</v>
      </c>
      <c r="E272">
        <v>2</v>
      </c>
    </row>
    <row r="273" spans="1:5">
      <c r="A273" s="170">
        <v>29</v>
      </c>
      <c r="B273" t="s">
        <v>7423</v>
      </c>
      <c r="C273">
        <v>212</v>
      </c>
      <c r="D273" t="s">
        <v>7423</v>
      </c>
      <c r="E273">
        <v>3</v>
      </c>
    </row>
    <row r="274" spans="1:5">
      <c r="A274" s="170">
        <v>29</v>
      </c>
      <c r="B274" t="s">
        <v>7423</v>
      </c>
      <c r="C274">
        <v>213</v>
      </c>
      <c r="D274" t="s">
        <v>7423</v>
      </c>
      <c r="E274">
        <v>1</v>
      </c>
    </row>
    <row r="275" spans="1:5">
      <c r="A275" s="170">
        <v>29</v>
      </c>
      <c r="B275" t="s">
        <v>7423</v>
      </c>
      <c r="C275">
        <v>213</v>
      </c>
      <c r="D275" t="s">
        <v>7423</v>
      </c>
      <c r="E275">
        <v>2</v>
      </c>
    </row>
    <row r="276" spans="1:5">
      <c r="A276" s="170">
        <v>29</v>
      </c>
      <c r="B276" t="s">
        <v>7423</v>
      </c>
      <c r="C276">
        <v>213</v>
      </c>
      <c r="D276" t="s">
        <v>7423</v>
      </c>
      <c r="E276">
        <v>3</v>
      </c>
    </row>
    <row r="277" spans="1:5">
      <c r="A277" s="170">
        <v>29</v>
      </c>
      <c r="B277" t="s">
        <v>7423</v>
      </c>
      <c r="C277">
        <v>214</v>
      </c>
      <c r="D277" t="s">
        <v>7423</v>
      </c>
      <c r="E277">
        <v>1</v>
      </c>
    </row>
    <row r="278" spans="1:5">
      <c r="A278" s="170">
        <v>29</v>
      </c>
      <c r="B278" t="s">
        <v>7423</v>
      </c>
      <c r="C278">
        <v>214</v>
      </c>
      <c r="D278" t="s">
        <v>7423</v>
      </c>
      <c r="E278">
        <v>2</v>
      </c>
    </row>
    <row r="279" spans="1:5">
      <c r="A279" s="170">
        <v>29</v>
      </c>
      <c r="B279" t="s">
        <v>7423</v>
      </c>
      <c r="C279">
        <v>214</v>
      </c>
      <c r="D279" t="s">
        <v>7423</v>
      </c>
      <c r="E279">
        <v>3</v>
      </c>
    </row>
    <row r="280" spans="1:5">
      <c r="A280" s="170">
        <v>29</v>
      </c>
      <c r="B280" t="s">
        <v>7423</v>
      </c>
      <c r="C280">
        <v>215</v>
      </c>
      <c r="D280" t="s">
        <v>7423</v>
      </c>
      <c r="E280">
        <v>1</v>
      </c>
    </row>
    <row r="281" spans="1:5">
      <c r="A281" s="170">
        <v>29</v>
      </c>
      <c r="B281" t="s">
        <v>7423</v>
      </c>
      <c r="C281">
        <v>215</v>
      </c>
      <c r="D281" t="s">
        <v>7423</v>
      </c>
      <c r="E281">
        <v>2</v>
      </c>
    </row>
    <row r="282" spans="1:5">
      <c r="A282" s="170">
        <v>29</v>
      </c>
      <c r="B282" t="s">
        <v>7423</v>
      </c>
      <c r="C282">
        <v>215</v>
      </c>
      <c r="D282" t="s">
        <v>7423</v>
      </c>
      <c r="E282">
        <v>3</v>
      </c>
    </row>
    <row r="283" spans="1:5">
      <c r="A283" s="170">
        <v>29</v>
      </c>
      <c r="B283" t="s">
        <v>7423</v>
      </c>
      <c r="C283">
        <v>216</v>
      </c>
      <c r="D283" t="s">
        <v>7423</v>
      </c>
      <c r="E283">
        <v>1</v>
      </c>
    </row>
    <row r="284" spans="1:5">
      <c r="A284" s="170">
        <v>29</v>
      </c>
      <c r="B284" t="s">
        <v>7423</v>
      </c>
      <c r="C284">
        <v>216</v>
      </c>
      <c r="D284" t="s">
        <v>7423</v>
      </c>
      <c r="E284">
        <v>2</v>
      </c>
    </row>
    <row r="285" spans="1:5">
      <c r="A285" s="170">
        <v>29</v>
      </c>
      <c r="B285" t="s">
        <v>7423</v>
      </c>
      <c r="C285">
        <v>216</v>
      </c>
      <c r="D285" t="s">
        <v>7423</v>
      </c>
      <c r="E285">
        <v>3</v>
      </c>
    </row>
    <row r="286" spans="1:5">
      <c r="A286" s="170">
        <v>29</v>
      </c>
      <c r="B286" t="s">
        <v>7423</v>
      </c>
      <c r="C286">
        <v>217</v>
      </c>
      <c r="D286" t="s">
        <v>7423</v>
      </c>
      <c r="E286">
        <v>1</v>
      </c>
    </row>
    <row r="287" spans="1:5">
      <c r="A287" s="170">
        <v>29</v>
      </c>
      <c r="B287" t="s">
        <v>7423</v>
      </c>
      <c r="C287">
        <v>217</v>
      </c>
      <c r="D287" t="s">
        <v>7423</v>
      </c>
      <c r="E287">
        <v>2</v>
      </c>
    </row>
    <row r="288" spans="1:5">
      <c r="A288" s="170">
        <v>29</v>
      </c>
      <c r="B288" t="s">
        <v>7423</v>
      </c>
      <c r="C288">
        <v>218</v>
      </c>
      <c r="D288" t="s">
        <v>7423</v>
      </c>
      <c r="E288">
        <v>1</v>
      </c>
    </row>
    <row r="289" spans="1:5">
      <c r="A289" s="170">
        <v>29</v>
      </c>
      <c r="B289" t="s">
        <v>7423</v>
      </c>
      <c r="C289">
        <v>218</v>
      </c>
      <c r="D289" t="s">
        <v>7423</v>
      </c>
      <c r="E289">
        <v>2</v>
      </c>
    </row>
    <row r="290" spans="1:5">
      <c r="A290" s="170">
        <v>29</v>
      </c>
      <c r="B290" t="s">
        <v>7423</v>
      </c>
      <c r="C290">
        <v>219</v>
      </c>
      <c r="D290" t="s">
        <v>7423</v>
      </c>
      <c r="E290">
        <v>1</v>
      </c>
    </row>
    <row r="291" spans="1:5">
      <c r="A291" s="170">
        <v>29</v>
      </c>
      <c r="B291" t="s">
        <v>7423</v>
      </c>
      <c r="C291">
        <v>219</v>
      </c>
      <c r="D291" t="s">
        <v>7423</v>
      </c>
      <c r="E291">
        <v>2</v>
      </c>
    </row>
    <row r="292" spans="1:5">
      <c r="A292" s="170">
        <v>29</v>
      </c>
      <c r="B292" t="s">
        <v>7423</v>
      </c>
      <c r="C292">
        <v>220</v>
      </c>
      <c r="D292" t="s">
        <v>7423</v>
      </c>
      <c r="E292">
        <v>1</v>
      </c>
    </row>
    <row r="293" spans="1:5">
      <c r="A293" s="170">
        <v>29</v>
      </c>
      <c r="B293" t="s">
        <v>7423</v>
      </c>
      <c r="C293">
        <v>220</v>
      </c>
      <c r="D293" t="s">
        <v>7423</v>
      </c>
      <c r="E293">
        <v>2</v>
      </c>
    </row>
    <row r="294" spans="1:5">
      <c r="A294" s="170">
        <v>30</v>
      </c>
      <c r="B294" t="s">
        <v>7423</v>
      </c>
      <c r="C294">
        <v>101</v>
      </c>
      <c r="D294" t="s">
        <v>7423</v>
      </c>
      <c r="E294">
        <v>1</v>
      </c>
    </row>
    <row r="295" spans="1:5">
      <c r="A295" s="170">
        <v>30</v>
      </c>
      <c r="B295" t="s">
        <v>7423</v>
      </c>
      <c r="C295">
        <v>101</v>
      </c>
      <c r="D295" t="s">
        <v>7423</v>
      </c>
      <c r="E295">
        <v>2</v>
      </c>
    </row>
    <row r="296" spans="1:5">
      <c r="A296" s="170">
        <v>30</v>
      </c>
      <c r="B296" t="s">
        <v>7423</v>
      </c>
      <c r="C296">
        <v>102</v>
      </c>
      <c r="D296" t="s">
        <v>7423</v>
      </c>
      <c r="E296">
        <v>1</v>
      </c>
    </row>
    <row r="297" spans="1:5">
      <c r="A297" s="170">
        <v>30</v>
      </c>
      <c r="B297" t="s">
        <v>7423</v>
      </c>
      <c r="C297">
        <v>102</v>
      </c>
      <c r="D297" t="s">
        <v>7423</v>
      </c>
      <c r="E297">
        <v>2</v>
      </c>
    </row>
    <row r="298" spans="1:5">
      <c r="A298" s="170">
        <v>30</v>
      </c>
      <c r="B298" t="s">
        <v>7423</v>
      </c>
      <c r="C298">
        <v>102</v>
      </c>
      <c r="D298" t="s">
        <v>7423</v>
      </c>
      <c r="E298">
        <v>3</v>
      </c>
    </row>
    <row r="299" spans="1:5">
      <c r="A299" s="170">
        <v>30</v>
      </c>
      <c r="B299" t="s">
        <v>7423</v>
      </c>
      <c r="C299">
        <v>103</v>
      </c>
      <c r="D299" t="s">
        <v>7423</v>
      </c>
      <c r="E299">
        <v>1</v>
      </c>
    </row>
    <row r="300" spans="1:5">
      <c r="A300" s="170">
        <v>30</v>
      </c>
      <c r="B300" t="s">
        <v>7423</v>
      </c>
      <c r="C300">
        <v>103</v>
      </c>
      <c r="D300" t="s">
        <v>7423</v>
      </c>
      <c r="E300">
        <v>2</v>
      </c>
    </row>
    <row r="301" spans="1:5">
      <c r="A301" s="170">
        <v>30</v>
      </c>
      <c r="B301" t="s">
        <v>7423</v>
      </c>
      <c r="C301">
        <v>103</v>
      </c>
      <c r="D301" t="s">
        <v>7423</v>
      </c>
      <c r="E301">
        <v>3</v>
      </c>
    </row>
    <row r="302" spans="1:5">
      <c r="A302" s="170">
        <v>30</v>
      </c>
      <c r="B302" t="s">
        <v>7423</v>
      </c>
      <c r="C302">
        <v>104</v>
      </c>
      <c r="D302" t="s">
        <v>7423</v>
      </c>
      <c r="E302">
        <v>1</v>
      </c>
    </row>
    <row r="303" spans="1:5">
      <c r="A303" s="170">
        <v>30</v>
      </c>
      <c r="B303" t="s">
        <v>7423</v>
      </c>
      <c r="C303">
        <v>104</v>
      </c>
      <c r="D303" t="s">
        <v>7423</v>
      </c>
      <c r="E303">
        <v>2</v>
      </c>
    </row>
    <row r="304" spans="1:5">
      <c r="A304" s="170">
        <v>30</v>
      </c>
      <c r="B304" t="s">
        <v>7423</v>
      </c>
      <c r="C304">
        <v>104</v>
      </c>
      <c r="D304" t="s">
        <v>7423</v>
      </c>
      <c r="E304">
        <v>3</v>
      </c>
    </row>
    <row r="305" spans="1:5">
      <c r="A305" s="170">
        <v>30</v>
      </c>
      <c r="B305" t="s">
        <v>7423</v>
      </c>
      <c r="C305">
        <v>105</v>
      </c>
      <c r="D305" t="s">
        <v>7423</v>
      </c>
      <c r="E305">
        <v>1</v>
      </c>
    </row>
    <row r="306" spans="1:5">
      <c r="A306" s="170">
        <v>30</v>
      </c>
      <c r="B306" t="s">
        <v>7423</v>
      </c>
      <c r="C306">
        <v>105</v>
      </c>
      <c r="D306" t="s">
        <v>7423</v>
      </c>
      <c r="E306">
        <v>2</v>
      </c>
    </row>
    <row r="307" spans="1:5">
      <c r="A307" s="170">
        <v>30</v>
      </c>
      <c r="B307" t="s">
        <v>7423</v>
      </c>
      <c r="C307">
        <v>105</v>
      </c>
      <c r="D307" t="s">
        <v>7423</v>
      </c>
      <c r="E307">
        <v>3</v>
      </c>
    </row>
    <row r="308" spans="1:5">
      <c r="A308" s="170">
        <v>30</v>
      </c>
      <c r="B308" t="s">
        <v>7423</v>
      </c>
      <c r="C308">
        <v>106</v>
      </c>
      <c r="D308" t="s">
        <v>7423</v>
      </c>
      <c r="E308">
        <v>1</v>
      </c>
    </row>
    <row r="309" spans="1:5">
      <c r="A309" s="170">
        <v>30</v>
      </c>
      <c r="B309" t="s">
        <v>7423</v>
      </c>
      <c r="C309">
        <v>106</v>
      </c>
      <c r="D309" t="s">
        <v>7423</v>
      </c>
      <c r="E309">
        <v>2</v>
      </c>
    </row>
    <row r="310" spans="1:5">
      <c r="A310" s="170">
        <v>30</v>
      </c>
      <c r="B310" t="s">
        <v>7423</v>
      </c>
      <c r="C310">
        <v>106</v>
      </c>
      <c r="D310" t="s">
        <v>7423</v>
      </c>
      <c r="E310">
        <v>3</v>
      </c>
    </row>
    <row r="311" spans="1:5">
      <c r="A311" s="170">
        <v>30</v>
      </c>
      <c r="B311" t="s">
        <v>7423</v>
      </c>
      <c r="C311">
        <v>107</v>
      </c>
      <c r="D311" t="s">
        <v>7423</v>
      </c>
      <c r="E311">
        <v>1</v>
      </c>
    </row>
    <row r="312" spans="1:5">
      <c r="A312" s="170">
        <v>30</v>
      </c>
      <c r="B312" t="s">
        <v>7423</v>
      </c>
      <c r="C312">
        <v>107</v>
      </c>
      <c r="D312" t="s">
        <v>7423</v>
      </c>
      <c r="E312">
        <v>2</v>
      </c>
    </row>
    <row r="313" spans="1:5">
      <c r="A313" s="170">
        <v>30</v>
      </c>
      <c r="B313" t="s">
        <v>7423</v>
      </c>
      <c r="C313">
        <v>107</v>
      </c>
      <c r="D313" t="s">
        <v>7423</v>
      </c>
      <c r="E313">
        <v>3</v>
      </c>
    </row>
    <row r="314" spans="1:5">
      <c r="A314" s="170">
        <v>30</v>
      </c>
      <c r="B314" t="s">
        <v>7423</v>
      </c>
      <c r="C314">
        <v>108</v>
      </c>
      <c r="D314" t="s">
        <v>7423</v>
      </c>
      <c r="E314">
        <v>1</v>
      </c>
    </row>
    <row r="315" spans="1:5">
      <c r="A315" s="170">
        <v>30</v>
      </c>
      <c r="B315" t="s">
        <v>7423</v>
      </c>
      <c r="C315">
        <v>108</v>
      </c>
      <c r="D315" t="s">
        <v>7423</v>
      </c>
      <c r="E315">
        <v>2</v>
      </c>
    </row>
    <row r="316" spans="1:5">
      <c r="A316" s="170">
        <v>30</v>
      </c>
      <c r="B316" t="s">
        <v>7423</v>
      </c>
      <c r="C316">
        <v>108</v>
      </c>
      <c r="D316" t="s">
        <v>7423</v>
      </c>
      <c r="E316">
        <v>3</v>
      </c>
    </row>
    <row r="317" spans="1:5">
      <c r="A317" s="170">
        <v>30</v>
      </c>
      <c r="B317" t="s">
        <v>7423</v>
      </c>
      <c r="C317">
        <v>109</v>
      </c>
      <c r="D317" t="s">
        <v>7423</v>
      </c>
      <c r="E317">
        <v>1</v>
      </c>
    </row>
    <row r="318" spans="1:5">
      <c r="A318" s="170">
        <v>30</v>
      </c>
      <c r="B318" t="s">
        <v>7423</v>
      </c>
      <c r="C318">
        <v>109</v>
      </c>
      <c r="D318" t="s">
        <v>7423</v>
      </c>
      <c r="E318">
        <v>2</v>
      </c>
    </row>
    <row r="319" spans="1:5">
      <c r="A319" s="170">
        <v>30</v>
      </c>
      <c r="B319" t="s">
        <v>7423</v>
      </c>
      <c r="C319">
        <v>109</v>
      </c>
      <c r="D319" t="s">
        <v>7423</v>
      </c>
      <c r="E319">
        <v>3</v>
      </c>
    </row>
    <row r="320" spans="1:5">
      <c r="A320" s="170">
        <v>30</v>
      </c>
      <c r="B320" t="s">
        <v>7423</v>
      </c>
      <c r="C320">
        <v>110</v>
      </c>
      <c r="D320" t="s">
        <v>7423</v>
      </c>
      <c r="E320">
        <v>1</v>
      </c>
    </row>
    <row r="321" spans="1:5">
      <c r="A321" s="170">
        <v>30</v>
      </c>
      <c r="B321" t="s">
        <v>7423</v>
      </c>
      <c r="C321">
        <v>110</v>
      </c>
      <c r="D321" t="s">
        <v>7423</v>
      </c>
      <c r="E321">
        <v>2</v>
      </c>
    </row>
    <row r="322" spans="1:5">
      <c r="A322" s="170">
        <v>30</v>
      </c>
      <c r="B322" t="s">
        <v>7423</v>
      </c>
      <c r="C322">
        <v>110</v>
      </c>
      <c r="D322" t="s">
        <v>7423</v>
      </c>
      <c r="E322">
        <v>3</v>
      </c>
    </row>
    <row r="323" spans="1:5">
      <c r="A323" s="170">
        <v>30</v>
      </c>
      <c r="B323" t="s">
        <v>7423</v>
      </c>
      <c r="C323">
        <v>111</v>
      </c>
      <c r="D323" t="s">
        <v>7423</v>
      </c>
      <c r="E323">
        <v>1</v>
      </c>
    </row>
    <row r="324" spans="1:5">
      <c r="A324" s="170">
        <v>30</v>
      </c>
      <c r="B324" t="s">
        <v>7423</v>
      </c>
      <c r="C324">
        <v>111</v>
      </c>
      <c r="D324" t="s">
        <v>7423</v>
      </c>
      <c r="E324">
        <v>2</v>
      </c>
    </row>
    <row r="325" spans="1:5">
      <c r="A325" s="170">
        <v>30</v>
      </c>
      <c r="B325" t="s">
        <v>7423</v>
      </c>
      <c r="C325">
        <v>111</v>
      </c>
      <c r="D325" t="s">
        <v>7423</v>
      </c>
      <c r="E325">
        <v>3</v>
      </c>
    </row>
    <row r="326" spans="1:5">
      <c r="A326" s="170">
        <v>30</v>
      </c>
      <c r="B326" t="s">
        <v>7423</v>
      </c>
      <c r="C326">
        <v>112</v>
      </c>
      <c r="D326" t="s">
        <v>7423</v>
      </c>
      <c r="E326">
        <v>1</v>
      </c>
    </row>
    <row r="327" spans="1:5">
      <c r="A327" s="170">
        <v>30</v>
      </c>
      <c r="B327" t="s">
        <v>7423</v>
      </c>
      <c r="C327">
        <v>112</v>
      </c>
      <c r="D327" t="s">
        <v>7423</v>
      </c>
      <c r="E327">
        <v>3</v>
      </c>
    </row>
    <row r="328" spans="1:5">
      <c r="A328" s="170">
        <v>30</v>
      </c>
      <c r="B328" t="s">
        <v>7423</v>
      </c>
      <c r="C328">
        <v>113</v>
      </c>
      <c r="D328" t="s">
        <v>7423</v>
      </c>
      <c r="E328">
        <v>1</v>
      </c>
    </row>
    <row r="329" spans="1:5">
      <c r="A329" s="170">
        <v>30</v>
      </c>
      <c r="B329" t="s">
        <v>7423</v>
      </c>
      <c r="C329">
        <v>113</v>
      </c>
      <c r="D329" t="s">
        <v>7423</v>
      </c>
      <c r="E329">
        <v>2</v>
      </c>
    </row>
    <row r="330" spans="1:5">
      <c r="A330" s="170">
        <v>30</v>
      </c>
      <c r="B330" t="s">
        <v>7423</v>
      </c>
      <c r="C330">
        <v>113</v>
      </c>
      <c r="D330" t="s">
        <v>7423</v>
      </c>
      <c r="E330">
        <v>3</v>
      </c>
    </row>
    <row r="331" spans="1:5">
      <c r="A331" s="170">
        <v>30</v>
      </c>
      <c r="B331" t="s">
        <v>7423</v>
      </c>
      <c r="C331">
        <v>114</v>
      </c>
      <c r="D331" t="s">
        <v>7423</v>
      </c>
      <c r="E331">
        <v>1</v>
      </c>
    </row>
    <row r="332" spans="1:5">
      <c r="A332" s="170">
        <v>30</v>
      </c>
      <c r="B332" t="s">
        <v>7423</v>
      </c>
      <c r="C332">
        <v>114</v>
      </c>
      <c r="D332" t="s">
        <v>7423</v>
      </c>
      <c r="E332">
        <v>2</v>
      </c>
    </row>
    <row r="333" spans="1:5">
      <c r="A333" s="170">
        <v>30</v>
      </c>
      <c r="B333" t="s">
        <v>7423</v>
      </c>
      <c r="C333">
        <v>114</v>
      </c>
      <c r="D333" t="s">
        <v>7423</v>
      </c>
      <c r="E333">
        <v>3</v>
      </c>
    </row>
    <row r="334" spans="1:5">
      <c r="A334" s="170">
        <v>30</v>
      </c>
      <c r="B334" t="s">
        <v>7423</v>
      </c>
      <c r="C334">
        <v>115</v>
      </c>
      <c r="D334" t="s">
        <v>7423</v>
      </c>
      <c r="E334">
        <v>1</v>
      </c>
    </row>
    <row r="335" spans="1:5">
      <c r="A335" s="170">
        <v>30</v>
      </c>
      <c r="B335" t="s">
        <v>7423</v>
      </c>
      <c r="C335">
        <v>115</v>
      </c>
      <c r="D335" t="s">
        <v>7423</v>
      </c>
      <c r="E335">
        <v>2</v>
      </c>
    </row>
    <row r="336" spans="1:5">
      <c r="A336" s="170">
        <v>30</v>
      </c>
      <c r="B336" t="s">
        <v>7423</v>
      </c>
      <c r="C336">
        <v>115</v>
      </c>
      <c r="D336" t="s">
        <v>7423</v>
      </c>
      <c r="E336">
        <v>3</v>
      </c>
    </row>
    <row r="337" spans="1:5">
      <c r="A337" s="170">
        <v>30</v>
      </c>
      <c r="B337" t="s">
        <v>7423</v>
      </c>
      <c r="C337">
        <v>116</v>
      </c>
      <c r="D337" t="s">
        <v>7423</v>
      </c>
      <c r="E337">
        <v>1</v>
      </c>
    </row>
    <row r="338" spans="1:5">
      <c r="A338" s="170">
        <v>30</v>
      </c>
      <c r="B338" t="s">
        <v>7423</v>
      </c>
      <c r="C338">
        <v>116</v>
      </c>
      <c r="D338" t="s">
        <v>7423</v>
      </c>
      <c r="E338">
        <v>2</v>
      </c>
    </row>
    <row r="339" spans="1:5">
      <c r="A339" s="170">
        <v>30</v>
      </c>
      <c r="B339" t="s">
        <v>7423</v>
      </c>
      <c r="C339">
        <v>116</v>
      </c>
      <c r="D339" t="s">
        <v>7423</v>
      </c>
      <c r="E339">
        <v>3</v>
      </c>
    </row>
    <row r="340" spans="1:5">
      <c r="A340" s="170">
        <v>30</v>
      </c>
      <c r="B340" t="s">
        <v>7423</v>
      </c>
      <c r="C340">
        <v>117</v>
      </c>
      <c r="D340" t="s">
        <v>7423</v>
      </c>
      <c r="E340">
        <v>1</v>
      </c>
    </row>
    <row r="341" spans="1:5">
      <c r="A341" s="170">
        <v>30</v>
      </c>
      <c r="B341" t="s">
        <v>7423</v>
      </c>
      <c r="C341">
        <v>117</v>
      </c>
      <c r="D341" t="s">
        <v>7423</v>
      </c>
      <c r="E341">
        <v>2</v>
      </c>
    </row>
    <row r="342" spans="1:5">
      <c r="A342" s="170">
        <v>30</v>
      </c>
      <c r="B342" t="s">
        <v>7423</v>
      </c>
      <c r="C342">
        <v>117</v>
      </c>
      <c r="D342" t="s">
        <v>7423</v>
      </c>
      <c r="E342">
        <v>3</v>
      </c>
    </row>
    <row r="343" spans="1:5">
      <c r="A343" s="170">
        <v>30</v>
      </c>
      <c r="B343" t="s">
        <v>7423</v>
      </c>
      <c r="C343">
        <v>118</v>
      </c>
      <c r="D343" t="s">
        <v>7423</v>
      </c>
      <c r="E343">
        <v>1</v>
      </c>
    </row>
    <row r="344" spans="1:5">
      <c r="A344" s="170">
        <v>30</v>
      </c>
      <c r="B344" t="s">
        <v>7423</v>
      </c>
      <c r="C344">
        <v>118</v>
      </c>
      <c r="D344" t="s">
        <v>7423</v>
      </c>
      <c r="E344">
        <v>2</v>
      </c>
    </row>
    <row r="345" spans="1:5">
      <c r="A345" s="170">
        <v>30</v>
      </c>
      <c r="B345" t="s">
        <v>7423</v>
      </c>
      <c r="C345">
        <v>118</v>
      </c>
      <c r="D345" t="s">
        <v>7423</v>
      </c>
      <c r="E345">
        <v>3</v>
      </c>
    </row>
    <row r="346" spans="1:5">
      <c r="A346" s="170">
        <v>30</v>
      </c>
      <c r="B346" t="s">
        <v>7423</v>
      </c>
      <c r="C346">
        <v>119</v>
      </c>
      <c r="D346" t="s">
        <v>7423</v>
      </c>
      <c r="E346">
        <v>1</v>
      </c>
    </row>
    <row r="347" spans="1:5">
      <c r="A347" s="170">
        <v>30</v>
      </c>
      <c r="B347" t="s">
        <v>7423</v>
      </c>
      <c r="C347">
        <v>119</v>
      </c>
      <c r="D347" t="s">
        <v>7423</v>
      </c>
      <c r="E347">
        <v>2</v>
      </c>
    </row>
    <row r="348" spans="1:5">
      <c r="A348" s="170">
        <v>30</v>
      </c>
      <c r="B348" t="s">
        <v>7423</v>
      </c>
      <c r="C348">
        <v>120</v>
      </c>
      <c r="D348" t="s">
        <v>7423</v>
      </c>
      <c r="E348">
        <v>1</v>
      </c>
    </row>
    <row r="349" spans="1:5">
      <c r="A349" s="170">
        <v>30</v>
      </c>
      <c r="B349" t="s">
        <v>7423</v>
      </c>
      <c r="C349">
        <v>120</v>
      </c>
      <c r="D349" t="s">
        <v>7423</v>
      </c>
      <c r="E349">
        <v>2</v>
      </c>
    </row>
    <row r="350" spans="1:5">
      <c r="A350" s="170">
        <v>30</v>
      </c>
      <c r="B350" t="s">
        <v>7423</v>
      </c>
      <c r="C350">
        <v>201</v>
      </c>
      <c r="D350" t="s">
        <v>7423</v>
      </c>
      <c r="E350">
        <v>1</v>
      </c>
    </row>
    <row r="351" spans="1:5">
      <c r="A351" s="170">
        <v>30</v>
      </c>
      <c r="B351" t="s">
        <v>7423</v>
      </c>
      <c r="C351">
        <v>201</v>
      </c>
      <c r="D351" t="s">
        <v>7423</v>
      </c>
      <c r="E351">
        <v>2</v>
      </c>
    </row>
    <row r="352" spans="1:5">
      <c r="A352" s="170">
        <v>30</v>
      </c>
      <c r="B352" t="s">
        <v>7423</v>
      </c>
      <c r="C352">
        <v>201</v>
      </c>
      <c r="D352" t="s">
        <v>7423</v>
      </c>
      <c r="E352">
        <v>3</v>
      </c>
    </row>
    <row r="353" spans="1:5">
      <c r="A353" s="170">
        <v>30</v>
      </c>
      <c r="B353" t="s">
        <v>7423</v>
      </c>
      <c r="C353">
        <v>202</v>
      </c>
      <c r="D353" t="s">
        <v>7423</v>
      </c>
      <c r="E353">
        <v>1</v>
      </c>
    </row>
    <row r="354" spans="1:5">
      <c r="A354" s="170">
        <v>30</v>
      </c>
      <c r="B354" t="s">
        <v>7423</v>
      </c>
      <c r="C354">
        <v>202</v>
      </c>
      <c r="D354" t="s">
        <v>7423</v>
      </c>
      <c r="E354">
        <v>2</v>
      </c>
    </row>
    <row r="355" spans="1:5">
      <c r="A355" s="170">
        <v>30</v>
      </c>
      <c r="B355" t="s">
        <v>7423</v>
      </c>
      <c r="C355">
        <v>202</v>
      </c>
      <c r="D355" t="s">
        <v>7423</v>
      </c>
      <c r="E355">
        <v>3</v>
      </c>
    </row>
    <row r="356" spans="1:5">
      <c r="A356" s="170">
        <v>30</v>
      </c>
      <c r="B356" t="s">
        <v>7423</v>
      </c>
      <c r="C356">
        <v>203</v>
      </c>
      <c r="D356" t="s">
        <v>7423</v>
      </c>
      <c r="E356">
        <v>1</v>
      </c>
    </row>
    <row r="357" spans="1:5">
      <c r="A357" s="170">
        <v>30</v>
      </c>
      <c r="B357" t="s">
        <v>7423</v>
      </c>
      <c r="C357">
        <v>203</v>
      </c>
      <c r="D357" t="s">
        <v>7423</v>
      </c>
      <c r="E357">
        <v>2</v>
      </c>
    </row>
    <row r="358" spans="1:5">
      <c r="A358" s="170">
        <v>30</v>
      </c>
      <c r="B358" t="s">
        <v>7423</v>
      </c>
      <c r="C358">
        <v>203</v>
      </c>
      <c r="D358" t="s">
        <v>7423</v>
      </c>
      <c r="E358">
        <v>3</v>
      </c>
    </row>
    <row r="359" spans="1:5">
      <c r="A359" s="170">
        <v>30</v>
      </c>
      <c r="B359" t="s">
        <v>7423</v>
      </c>
      <c r="C359">
        <v>204</v>
      </c>
      <c r="D359" t="s">
        <v>7423</v>
      </c>
      <c r="E359">
        <v>1</v>
      </c>
    </row>
    <row r="360" spans="1:5">
      <c r="A360" s="170">
        <v>30</v>
      </c>
      <c r="B360" t="s">
        <v>7423</v>
      </c>
      <c r="C360">
        <v>204</v>
      </c>
      <c r="D360" t="s">
        <v>7423</v>
      </c>
      <c r="E360">
        <v>2</v>
      </c>
    </row>
    <row r="361" spans="1:5">
      <c r="A361" s="170">
        <v>30</v>
      </c>
      <c r="B361" t="s">
        <v>7423</v>
      </c>
      <c r="C361">
        <v>204</v>
      </c>
      <c r="D361" t="s">
        <v>7423</v>
      </c>
      <c r="E361">
        <v>3</v>
      </c>
    </row>
    <row r="362" spans="1:5">
      <c r="A362" s="170">
        <v>30</v>
      </c>
      <c r="B362" t="s">
        <v>7423</v>
      </c>
      <c r="C362">
        <v>205</v>
      </c>
      <c r="D362" t="s">
        <v>7423</v>
      </c>
      <c r="E362">
        <v>1</v>
      </c>
    </row>
    <row r="363" spans="1:5">
      <c r="A363" s="170">
        <v>30</v>
      </c>
      <c r="B363" t="s">
        <v>7423</v>
      </c>
      <c r="C363">
        <v>205</v>
      </c>
      <c r="D363" t="s">
        <v>7423</v>
      </c>
      <c r="E363">
        <v>2</v>
      </c>
    </row>
    <row r="364" spans="1:5">
      <c r="A364" s="170">
        <v>30</v>
      </c>
      <c r="B364" t="s">
        <v>7423</v>
      </c>
      <c r="C364">
        <v>205</v>
      </c>
      <c r="D364" t="s">
        <v>7423</v>
      </c>
      <c r="E364">
        <v>3</v>
      </c>
    </row>
    <row r="365" spans="1:5">
      <c r="A365" s="170">
        <v>30</v>
      </c>
      <c r="B365" t="s">
        <v>7423</v>
      </c>
      <c r="C365">
        <v>206</v>
      </c>
      <c r="D365" t="s">
        <v>7423</v>
      </c>
      <c r="E365">
        <v>1</v>
      </c>
    </row>
    <row r="366" spans="1:5">
      <c r="A366" s="170">
        <v>30</v>
      </c>
      <c r="B366" t="s">
        <v>7423</v>
      </c>
      <c r="C366">
        <v>206</v>
      </c>
      <c r="D366" t="s">
        <v>7423</v>
      </c>
      <c r="E366">
        <v>2</v>
      </c>
    </row>
    <row r="367" spans="1:5">
      <c r="A367" s="170">
        <v>30</v>
      </c>
      <c r="B367" t="s">
        <v>7423</v>
      </c>
      <c r="C367">
        <v>207</v>
      </c>
      <c r="D367" t="s">
        <v>7423</v>
      </c>
      <c r="E367">
        <v>1</v>
      </c>
    </row>
    <row r="368" spans="1:5">
      <c r="A368" s="170">
        <v>30</v>
      </c>
      <c r="B368" t="s">
        <v>7423</v>
      </c>
      <c r="C368">
        <v>207</v>
      </c>
      <c r="D368" t="s">
        <v>7423</v>
      </c>
      <c r="E368">
        <v>2</v>
      </c>
    </row>
    <row r="369" spans="1:5">
      <c r="A369" s="170">
        <v>30</v>
      </c>
      <c r="B369" t="s">
        <v>7423</v>
      </c>
      <c r="C369">
        <v>207</v>
      </c>
      <c r="D369" t="s">
        <v>7423</v>
      </c>
      <c r="E369">
        <v>3</v>
      </c>
    </row>
    <row r="370" spans="1:5">
      <c r="A370" s="170">
        <v>30</v>
      </c>
      <c r="B370" t="s">
        <v>7423</v>
      </c>
      <c r="C370">
        <v>208</v>
      </c>
      <c r="D370" t="s">
        <v>7423</v>
      </c>
      <c r="E370">
        <v>1</v>
      </c>
    </row>
    <row r="371" spans="1:5">
      <c r="A371" s="170">
        <v>30</v>
      </c>
      <c r="B371" t="s">
        <v>7423</v>
      </c>
      <c r="C371">
        <v>208</v>
      </c>
      <c r="D371" t="s">
        <v>7423</v>
      </c>
      <c r="E371">
        <v>2</v>
      </c>
    </row>
    <row r="372" spans="1:5">
      <c r="A372" s="170">
        <v>30</v>
      </c>
      <c r="B372" t="s">
        <v>7423</v>
      </c>
      <c r="C372">
        <v>209</v>
      </c>
      <c r="D372" t="s">
        <v>7423</v>
      </c>
      <c r="E372">
        <v>1</v>
      </c>
    </row>
    <row r="373" spans="1:5">
      <c r="A373" s="170">
        <v>30</v>
      </c>
      <c r="B373" t="s">
        <v>7423</v>
      </c>
      <c r="C373">
        <v>209</v>
      </c>
      <c r="D373" t="s">
        <v>7423</v>
      </c>
      <c r="E373">
        <v>2</v>
      </c>
    </row>
    <row r="374" spans="1:5">
      <c r="A374" s="170">
        <v>30</v>
      </c>
      <c r="B374" t="s">
        <v>7423</v>
      </c>
      <c r="C374">
        <v>209</v>
      </c>
      <c r="D374" t="s">
        <v>7423</v>
      </c>
      <c r="E374">
        <v>3</v>
      </c>
    </row>
    <row r="375" spans="1:5">
      <c r="A375" s="170">
        <v>30</v>
      </c>
      <c r="B375" t="s">
        <v>7423</v>
      </c>
      <c r="C375">
        <v>210</v>
      </c>
      <c r="D375" t="s">
        <v>7423</v>
      </c>
      <c r="E375">
        <v>1</v>
      </c>
    </row>
    <row r="376" spans="1:5">
      <c r="A376" s="170">
        <v>30</v>
      </c>
      <c r="B376" t="s">
        <v>7423</v>
      </c>
      <c r="C376">
        <v>210</v>
      </c>
      <c r="D376" t="s">
        <v>7423</v>
      </c>
      <c r="E376">
        <v>2</v>
      </c>
    </row>
    <row r="377" spans="1:5">
      <c r="A377" s="170">
        <v>30</v>
      </c>
      <c r="B377" t="s">
        <v>7423</v>
      </c>
      <c r="C377">
        <v>210</v>
      </c>
      <c r="D377" t="s">
        <v>7423</v>
      </c>
      <c r="E377">
        <v>3</v>
      </c>
    </row>
    <row r="378" spans="1:5">
      <c r="A378" s="170">
        <v>30</v>
      </c>
      <c r="B378" t="s">
        <v>7423</v>
      </c>
      <c r="C378">
        <v>211</v>
      </c>
      <c r="D378" t="s">
        <v>7423</v>
      </c>
      <c r="E378">
        <v>1</v>
      </c>
    </row>
    <row r="379" spans="1:5">
      <c r="A379" s="170">
        <v>30</v>
      </c>
      <c r="B379" t="s">
        <v>7423</v>
      </c>
      <c r="C379">
        <v>211</v>
      </c>
      <c r="D379" t="s">
        <v>7423</v>
      </c>
      <c r="E379">
        <v>2</v>
      </c>
    </row>
    <row r="380" spans="1:5">
      <c r="A380" s="170">
        <v>30</v>
      </c>
      <c r="B380" t="s">
        <v>7423</v>
      </c>
      <c r="C380">
        <v>211</v>
      </c>
      <c r="D380" t="s">
        <v>7423</v>
      </c>
      <c r="E380">
        <v>3</v>
      </c>
    </row>
    <row r="381" spans="1:5">
      <c r="A381" s="170">
        <v>30</v>
      </c>
      <c r="B381" t="s">
        <v>7423</v>
      </c>
      <c r="C381">
        <v>212</v>
      </c>
      <c r="D381" t="s">
        <v>7423</v>
      </c>
      <c r="E381">
        <v>1</v>
      </c>
    </row>
    <row r="382" spans="1:5">
      <c r="A382" s="170">
        <v>30</v>
      </c>
      <c r="B382" t="s">
        <v>7423</v>
      </c>
      <c r="C382">
        <v>212</v>
      </c>
      <c r="D382" t="s">
        <v>7423</v>
      </c>
      <c r="E382">
        <v>2</v>
      </c>
    </row>
    <row r="383" spans="1:5">
      <c r="A383" s="170">
        <v>30</v>
      </c>
      <c r="B383" t="s">
        <v>7423</v>
      </c>
      <c r="C383">
        <v>212</v>
      </c>
      <c r="D383" t="s">
        <v>7423</v>
      </c>
      <c r="E383">
        <v>3</v>
      </c>
    </row>
    <row r="384" spans="1:5">
      <c r="A384" s="170">
        <v>30</v>
      </c>
      <c r="B384" t="s">
        <v>7423</v>
      </c>
      <c r="C384">
        <v>213</v>
      </c>
      <c r="D384" t="s">
        <v>7423</v>
      </c>
      <c r="E384">
        <v>1</v>
      </c>
    </row>
    <row r="385" spans="1:5">
      <c r="A385" s="170">
        <v>30</v>
      </c>
      <c r="B385" t="s">
        <v>7423</v>
      </c>
      <c r="C385">
        <v>213</v>
      </c>
      <c r="D385" t="s">
        <v>7423</v>
      </c>
      <c r="E385">
        <v>2</v>
      </c>
    </row>
    <row r="386" spans="1:5">
      <c r="A386" s="170">
        <v>30</v>
      </c>
      <c r="B386" t="s">
        <v>7423</v>
      </c>
      <c r="C386">
        <v>213</v>
      </c>
      <c r="D386" t="s">
        <v>7423</v>
      </c>
      <c r="E386">
        <v>3</v>
      </c>
    </row>
    <row r="387" spans="1:5">
      <c r="A387" s="170">
        <v>30</v>
      </c>
      <c r="B387" t="s">
        <v>7423</v>
      </c>
      <c r="C387">
        <v>214</v>
      </c>
      <c r="D387" t="s">
        <v>7423</v>
      </c>
      <c r="E387">
        <v>1</v>
      </c>
    </row>
    <row r="388" spans="1:5">
      <c r="A388" s="170">
        <v>30</v>
      </c>
      <c r="B388" t="s">
        <v>7423</v>
      </c>
      <c r="C388">
        <v>214</v>
      </c>
      <c r="D388" t="s">
        <v>7423</v>
      </c>
      <c r="E388">
        <v>3</v>
      </c>
    </row>
    <row r="389" spans="1:5">
      <c r="A389" s="170">
        <v>30</v>
      </c>
      <c r="B389" t="s">
        <v>7423</v>
      </c>
      <c r="C389">
        <v>215</v>
      </c>
      <c r="D389" t="s">
        <v>7423</v>
      </c>
      <c r="E389">
        <v>1</v>
      </c>
    </row>
    <row r="390" spans="1:5">
      <c r="A390" s="170">
        <v>30</v>
      </c>
      <c r="B390" t="s">
        <v>7423</v>
      </c>
      <c r="C390">
        <v>215</v>
      </c>
      <c r="D390" t="s">
        <v>7423</v>
      </c>
      <c r="E390">
        <v>2</v>
      </c>
    </row>
    <row r="391" spans="1:5">
      <c r="A391" s="170">
        <v>30</v>
      </c>
      <c r="B391" t="s">
        <v>7423</v>
      </c>
      <c r="C391">
        <v>216</v>
      </c>
      <c r="D391" t="s">
        <v>7423</v>
      </c>
      <c r="E391">
        <v>1</v>
      </c>
    </row>
    <row r="392" spans="1:5">
      <c r="A392" s="170">
        <v>30</v>
      </c>
      <c r="B392" t="s">
        <v>7423</v>
      </c>
      <c r="C392">
        <v>216</v>
      </c>
      <c r="D392" t="s">
        <v>7423</v>
      </c>
      <c r="E392">
        <v>2</v>
      </c>
    </row>
    <row r="393" spans="1:5">
      <c r="A393" s="170">
        <v>30</v>
      </c>
      <c r="B393" t="s">
        <v>7423</v>
      </c>
      <c r="C393">
        <v>217</v>
      </c>
      <c r="D393" t="s">
        <v>7423</v>
      </c>
      <c r="E393">
        <v>1</v>
      </c>
    </row>
    <row r="394" spans="1:5">
      <c r="A394" s="170">
        <v>30</v>
      </c>
      <c r="B394" t="s">
        <v>7423</v>
      </c>
      <c r="C394">
        <v>217</v>
      </c>
      <c r="D394" t="s">
        <v>7423</v>
      </c>
      <c r="E394">
        <v>2</v>
      </c>
    </row>
    <row r="395" spans="1:5">
      <c r="A395" s="170">
        <v>30</v>
      </c>
      <c r="B395" t="s">
        <v>7423</v>
      </c>
      <c r="C395">
        <v>217</v>
      </c>
      <c r="D395" t="s">
        <v>7423</v>
      </c>
      <c r="E395">
        <v>3</v>
      </c>
    </row>
    <row r="396" spans="1:5">
      <c r="A396" s="170">
        <v>30</v>
      </c>
      <c r="B396" t="s">
        <v>7423</v>
      </c>
      <c r="C396">
        <v>218</v>
      </c>
      <c r="D396" t="s">
        <v>7423</v>
      </c>
      <c r="E396">
        <v>1</v>
      </c>
    </row>
    <row r="397" spans="1:5">
      <c r="A397" s="170">
        <v>30</v>
      </c>
      <c r="B397" t="s">
        <v>7423</v>
      </c>
      <c r="C397">
        <v>218</v>
      </c>
      <c r="D397" t="s">
        <v>7423</v>
      </c>
      <c r="E397">
        <v>2</v>
      </c>
    </row>
    <row r="398" spans="1:5">
      <c r="A398" s="170">
        <v>30</v>
      </c>
      <c r="B398" t="s">
        <v>7423</v>
      </c>
      <c r="C398">
        <v>218</v>
      </c>
      <c r="D398" t="s">
        <v>7423</v>
      </c>
      <c r="E398">
        <v>3</v>
      </c>
    </row>
    <row r="399" spans="1:5">
      <c r="A399" s="170">
        <v>30</v>
      </c>
      <c r="B399" t="s">
        <v>7423</v>
      </c>
      <c r="C399">
        <v>219</v>
      </c>
      <c r="D399" t="s">
        <v>7423</v>
      </c>
      <c r="E399">
        <v>1</v>
      </c>
    </row>
    <row r="400" spans="1:5">
      <c r="A400" s="170">
        <v>30</v>
      </c>
      <c r="B400" t="s">
        <v>7423</v>
      </c>
      <c r="C400">
        <v>219</v>
      </c>
      <c r="D400" t="s">
        <v>7423</v>
      </c>
      <c r="E400">
        <v>2</v>
      </c>
    </row>
    <row r="401" spans="1:5">
      <c r="A401" s="170">
        <v>30</v>
      </c>
      <c r="B401" t="s">
        <v>7423</v>
      </c>
      <c r="C401">
        <v>219</v>
      </c>
      <c r="D401" t="s">
        <v>7423</v>
      </c>
      <c r="E401">
        <v>3</v>
      </c>
    </row>
    <row r="402" spans="1:5">
      <c r="A402" s="170">
        <v>30</v>
      </c>
      <c r="B402" t="s">
        <v>7423</v>
      </c>
      <c r="C402">
        <v>220</v>
      </c>
      <c r="D402" t="s">
        <v>7423</v>
      </c>
      <c r="E402">
        <v>1</v>
      </c>
    </row>
    <row r="403" spans="1:5">
      <c r="A403" s="170">
        <v>30</v>
      </c>
      <c r="B403" t="s">
        <v>7423</v>
      </c>
      <c r="C403">
        <v>220</v>
      </c>
      <c r="D403" t="s">
        <v>7423</v>
      </c>
      <c r="E403">
        <v>2</v>
      </c>
    </row>
    <row r="404" spans="1:5">
      <c r="A404" s="170">
        <v>30</v>
      </c>
      <c r="B404" t="s">
        <v>7423</v>
      </c>
      <c r="C404">
        <v>220</v>
      </c>
      <c r="D404" t="s">
        <v>7423</v>
      </c>
      <c r="E404">
        <v>3</v>
      </c>
    </row>
    <row r="405" spans="1:5">
      <c r="A405" s="170">
        <v>31</v>
      </c>
      <c r="B405" t="s">
        <v>7423</v>
      </c>
      <c r="C405">
        <v>101</v>
      </c>
      <c r="D405" t="s">
        <v>7423</v>
      </c>
      <c r="E405">
        <v>1</v>
      </c>
    </row>
    <row r="406" spans="1:5">
      <c r="A406" s="170">
        <v>31</v>
      </c>
      <c r="B406" t="s">
        <v>7423</v>
      </c>
      <c r="C406">
        <v>101</v>
      </c>
      <c r="D406" t="s">
        <v>7423</v>
      </c>
      <c r="E406">
        <v>2</v>
      </c>
    </row>
    <row r="407" spans="1:5">
      <c r="A407" s="170">
        <v>31</v>
      </c>
      <c r="B407" t="s">
        <v>7423</v>
      </c>
      <c r="C407">
        <v>101</v>
      </c>
      <c r="D407" t="s">
        <v>7423</v>
      </c>
      <c r="E407">
        <v>3</v>
      </c>
    </row>
    <row r="408" spans="1:5">
      <c r="A408" s="170">
        <v>31</v>
      </c>
      <c r="B408" t="s">
        <v>7423</v>
      </c>
      <c r="C408">
        <v>102</v>
      </c>
      <c r="D408" t="s">
        <v>7423</v>
      </c>
      <c r="E408">
        <v>1</v>
      </c>
    </row>
    <row r="409" spans="1:5">
      <c r="A409" s="170">
        <v>31</v>
      </c>
      <c r="B409" t="s">
        <v>7423</v>
      </c>
      <c r="C409">
        <v>102</v>
      </c>
      <c r="D409" t="s">
        <v>7423</v>
      </c>
      <c r="E409">
        <v>2</v>
      </c>
    </row>
    <row r="410" spans="1:5">
      <c r="A410" s="170">
        <v>31</v>
      </c>
      <c r="B410" t="s">
        <v>7423</v>
      </c>
      <c r="C410">
        <v>102</v>
      </c>
      <c r="D410" t="s">
        <v>7423</v>
      </c>
      <c r="E410">
        <v>3</v>
      </c>
    </row>
    <row r="411" spans="1:5">
      <c r="A411" s="170">
        <v>31</v>
      </c>
      <c r="B411" t="s">
        <v>7423</v>
      </c>
      <c r="C411">
        <v>103</v>
      </c>
      <c r="D411" t="s">
        <v>7423</v>
      </c>
      <c r="E411">
        <v>1</v>
      </c>
    </row>
    <row r="412" spans="1:5">
      <c r="A412" s="170">
        <v>31</v>
      </c>
      <c r="B412" t="s">
        <v>7423</v>
      </c>
      <c r="C412">
        <v>103</v>
      </c>
      <c r="D412" t="s">
        <v>7423</v>
      </c>
      <c r="E412">
        <v>2</v>
      </c>
    </row>
    <row r="413" spans="1:5">
      <c r="A413" s="170">
        <v>31</v>
      </c>
      <c r="B413" t="s">
        <v>7423</v>
      </c>
      <c r="C413">
        <v>103</v>
      </c>
      <c r="D413" t="s">
        <v>7423</v>
      </c>
      <c r="E413">
        <v>3</v>
      </c>
    </row>
    <row r="414" spans="1:5">
      <c r="A414" s="170">
        <v>31</v>
      </c>
      <c r="B414" t="s">
        <v>7423</v>
      </c>
      <c r="C414">
        <v>104</v>
      </c>
      <c r="D414" t="s">
        <v>7423</v>
      </c>
      <c r="E414">
        <v>1</v>
      </c>
    </row>
    <row r="415" spans="1:5">
      <c r="A415" s="170">
        <v>31</v>
      </c>
      <c r="B415" t="s">
        <v>7423</v>
      </c>
      <c r="C415">
        <v>104</v>
      </c>
      <c r="D415" t="s">
        <v>7423</v>
      </c>
      <c r="E415">
        <v>2</v>
      </c>
    </row>
    <row r="416" spans="1:5">
      <c r="A416" s="170">
        <v>31</v>
      </c>
      <c r="B416" t="s">
        <v>7423</v>
      </c>
      <c r="C416">
        <v>104</v>
      </c>
      <c r="D416" t="s">
        <v>7423</v>
      </c>
      <c r="E416">
        <v>3</v>
      </c>
    </row>
    <row r="417" spans="1:5">
      <c r="A417" s="170">
        <v>31</v>
      </c>
      <c r="B417" t="s">
        <v>7423</v>
      </c>
      <c r="C417">
        <v>105</v>
      </c>
      <c r="D417" t="s">
        <v>7423</v>
      </c>
      <c r="E417">
        <v>1</v>
      </c>
    </row>
    <row r="418" spans="1:5">
      <c r="A418" s="170">
        <v>31</v>
      </c>
      <c r="B418" t="s">
        <v>7423</v>
      </c>
      <c r="C418">
        <v>105</v>
      </c>
      <c r="D418" t="s">
        <v>7423</v>
      </c>
      <c r="E418">
        <v>2</v>
      </c>
    </row>
    <row r="419" spans="1:5">
      <c r="A419" s="170">
        <v>31</v>
      </c>
      <c r="B419" t="s">
        <v>7423</v>
      </c>
      <c r="C419">
        <v>105</v>
      </c>
      <c r="D419" t="s">
        <v>7423</v>
      </c>
      <c r="E419">
        <v>3</v>
      </c>
    </row>
    <row r="420" spans="1:5">
      <c r="A420" s="170">
        <v>31</v>
      </c>
      <c r="B420" t="s">
        <v>7423</v>
      </c>
      <c r="C420">
        <v>106</v>
      </c>
      <c r="D420" t="s">
        <v>7423</v>
      </c>
      <c r="E420">
        <v>1</v>
      </c>
    </row>
    <row r="421" spans="1:5">
      <c r="A421" s="170">
        <v>31</v>
      </c>
      <c r="B421" t="s">
        <v>7423</v>
      </c>
      <c r="C421">
        <v>106</v>
      </c>
      <c r="D421" t="s">
        <v>7423</v>
      </c>
      <c r="E421">
        <v>2</v>
      </c>
    </row>
    <row r="422" spans="1:5">
      <c r="A422" s="170">
        <v>31</v>
      </c>
      <c r="B422" t="s">
        <v>7423</v>
      </c>
      <c r="C422">
        <v>106</v>
      </c>
      <c r="D422" t="s">
        <v>7423</v>
      </c>
      <c r="E422">
        <v>3</v>
      </c>
    </row>
    <row r="423" spans="1:5">
      <c r="A423" s="170">
        <v>31</v>
      </c>
      <c r="B423" t="s">
        <v>7423</v>
      </c>
      <c r="C423">
        <v>107</v>
      </c>
      <c r="D423" t="s">
        <v>7423</v>
      </c>
      <c r="E423">
        <v>1</v>
      </c>
    </row>
    <row r="424" spans="1:5">
      <c r="A424" s="170">
        <v>31</v>
      </c>
      <c r="B424" t="s">
        <v>7423</v>
      </c>
      <c r="C424">
        <v>107</v>
      </c>
      <c r="D424" t="s">
        <v>7423</v>
      </c>
      <c r="E424">
        <v>2</v>
      </c>
    </row>
    <row r="425" spans="1:5">
      <c r="A425" s="170">
        <v>31</v>
      </c>
      <c r="B425" t="s">
        <v>7423</v>
      </c>
      <c r="C425">
        <v>107</v>
      </c>
      <c r="D425" t="s">
        <v>7423</v>
      </c>
      <c r="E425">
        <v>3</v>
      </c>
    </row>
    <row r="426" spans="1:5">
      <c r="A426" s="170">
        <v>31</v>
      </c>
      <c r="B426" t="s">
        <v>7423</v>
      </c>
      <c r="C426">
        <v>108</v>
      </c>
      <c r="D426" t="s">
        <v>7423</v>
      </c>
      <c r="E426">
        <v>1</v>
      </c>
    </row>
    <row r="427" spans="1:5">
      <c r="A427" s="170">
        <v>31</v>
      </c>
      <c r="B427" t="s">
        <v>7423</v>
      </c>
      <c r="C427">
        <v>108</v>
      </c>
      <c r="D427" t="s">
        <v>7423</v>
      </c>
      <c r="E427">
        <v>2</v>
      </c>
    </row>
    <row r="428" spans="1:5">
      <c r="A428" s="170">
        <v>31</v>
      </c>
      <c r="B428" t="s">
        <v>7423</v>
      </c>
      <c r="C428">
        <v>108</v>
      </c>
      <c r="D428" t="s">
        <v>7423</v>
      </c>
      <c r="E428">
        <v>3</v>
      </c>
    </row>
    <row r="429" spans="1:5">
      <c r="A429" s="170">
        <v>31</v>
      </c>
      <c r="B429" t="s">
        <v>7423</v>
      </c>
      <c r="C429">
        <v>109</v>
      </c>
      <c r="D429" t="s">
        <v>7423</v>
      </c>
      <c r="E429">
        <v>1</v>
      </c>
    </row>
    <row r="430" spans="1:5">
      <c r="A430" s="170">
        <v>31</v>
      </c>
      <c r="B430" t="s">
        <v>7423</v>
      </c>
      <c r="C430">
        <v>109</v>
      </c>
      <c r="D430" t="s">
        <v>7423</v>
      </c>
      <c r="E430">
        <v>2</v>
      </c>
    </row>
    <row r="431" spans="1:5">
      <c r="A431" s="170">
        <v>31</v>
      </c>
      <c r="B431" t="s">
        <v>7423</v>
      </c>
      <c r="C431">
        <v>110</v>
      </c>
      <c r="D431" t="s">
        <v>7423</v>
      </c>
      <c r="E431">
        <v>1</v>
      </c>
    </row>
    <row r="432" spans="1:5">
      <c r="A432" s="170">
        <v>31</v>
      </c>
      <c r="B432" t="s">
        <v>7423</v>
      </c>
      <c r="C432">
        <v>110</v>
      </c>
      <c r="D432" t="s">
        <v>7423</v>
      </c>
      <c r="E432">
        <v>2</v>
      </c>
    </row>
    <row r="433" spans="1:5">
      <c r="A433" s="170">
        <v>31</v>
      </c>
      <c r="B433" t="s">
        <v>7423</v>
      </c>
      <c r="C433">
        <v>110</v>
      </c>
      <c r="D433" t="s">
        <v>7423</v>
      </c>
      <c r="E433">
        <v>3</v>
      </c>
    </row>
    <row r="434" spans="1:5">
      <c r="A434" s="170">
        <v>31</v>
      </c>
      <c r="B434" t="s">
        <v>7423</v>
      </c>
      <c r="C434">
        <v>111</v>
      </c>
      <c r="D434" t="s">
        <v>7423</v>
      </c>
      <c r="E434">
        <v>1</v>
      </c>
    </row>
    <row r="435" spans="1:5">
      <c r="A435" s="170">
        <v>31</v>
      </c>
      <c r="B435" t="s">
        <v>7423</v>
      </c>
      <c r="C435">
        <v>111</v>
      </c>
      <c r="D435" t="s">
        <v>7423</v>
      </c>
      <c r="E435">
        <v>2</v>
      </c>
    </row>
    <row r="436" spans="1:5">
      <c r="A436" s="170">
        <v>31</v>
      </c>
      <c r="B436" t="s">
        <v>7423</v>
      </c>
      <c r="C436">
        <v>112</v>
      </c>
      <c r="D436" t="s">
        <v>7423</v>
      </c>
      <c r="E436">
        <v>1</v>
      </c>
    </row>
    <row r="437" spans="1:5">
      <c r="A437" s="170">
        <v>31</v>
      </c>
      <c r="B437" t="s">
        <v>7423</v>
      </c>
      <c r="C437">
        <v>112</v>
      </c>
      <c r="D437" t="s">
        <v>7423</v>
      </c>
      <c r="E437">
        <v>2</v>
      </c>
    </row>
    <row r="438" spans="1:5">
      <c r="A438" s="170">
        <v>31</v>
      </c>
      <c r="B438" t="s">
        <v>7423</v>
      </c>
      <c r="C438">
        <v>113</v>
      </c>
      <c r="D438" t="s">
        <v>7423</v>
      </c>
      <c r="E438">
        <v>1</v>
      </c>
    </row>
    <row r="439" spans="1:5">
      <c r="A439" s="170">
        <v>31</v>
      </c>
      <c r="B439" t="s">
        <v>7423</v>
      </c>
      <c r="C439">
        <v>113</v>
      </c>
      <c r="D439" t="s">
        <v>7423</v>
      </c>
      <c r="E439">
        <v>2</v>
      </c>
    </row>
    <row r="440" spans="1:5">
      <c r="A440" s="170">
        <v>31</v>
      </c>
      <c r="B440" t="s">
        <v>7423</v>
      </c>
      <c r="C440">
        <v>113</v>
      </c>
      <c r="D440" t="s">
        <v>7423</v>
      </c>
      <c r="E440">
        <v>3</v>
      </c>
    </row>
    <row r="441" spans="1:5">
      <c r="A441" s="170">
        <v>31</v>
      </c>
      <c r="B441" t="s">
        <v>7423</v>
      </c>
      <c r="C441">
        <v>114</v>
      </c>
      <c r="D441" t="s">
        <v>7423</v>
      </c>
      <c r="E441">
        <v>1</v>
      </c>
    </row>
    <row r="442" spans="1:5">
      <c r="A442" s="170">
        <v>31</v>
      </c>
      <c r="B442" t="s">
        <v>7423</v>
      </c>
      <c r="C442">
        <v>114</v>
      </c>
      <c r="D442" t="s">
        <v>7423</v>
      </c>
      <c r="E442">
        <v>2</v>
      </c>
    </row>
    <row r="443" spans="1:5">
      <c r="A443" s="170">
        <v>31</v>
      </c>
      <c r="B443" t="s">
        <v>7423</v>
      </c>
      <c r="C443">
        <v>114</v>
      </c>
      <c r="D443" t="s">
        <v>7423</v>
      </c>
      <c r="E443">
        <v>3</v>
      </c>
    </row>
    <row r="444" spans="1:5">
      <c r="A444" s="170">
        <v>31</v>
      </c>
      <c r="B444" t="s">
        <v>7423</v>
      </c>
      <c r="C444">
        <v>115</v>
      </c>
      <c r="D444" t="s">
        <v>7423</v>
      </c>
      <c r="E444">
        <v>1</v>
      </c>
    </row>
    <row r="445" spans="1:5">
      <c r="A445" s="170">
        <v>31</v>
      </c>
      <c r="B445" t="s">
        <v>7423</v>
      </c>
      <c r="C445">
        <v>115</v>
      </c>
      <c r="D445" t="s">
        <v>7423</v>
      </c>
      <c r="E445">
        <v>2</v>
      </c>
    </row>
    <row r="446" spans="1:5">
      <c r="A446" s="170">
        <v>31</v>
      </c>
      <c r="B446" t="s">
        <v>7423</v>
      </c>
      <c r="C446">
        <v>115</v>
      </c>
      <c r="D446" t="s">
        <v>7423</v>
      </c>
      <c r="E446">
        <v>3</v>
      </c>
    </row>
    <row r="447" spans="1:5">
      <c r="A447" s="170">
        <v>31</v>
      </c>
      <c r="B447" t="s">
        <v>7423</v>
      </c>
      <c r="C447">
        <v>116</v>
      </c>
      <c r="D447" t="s">
        <v>7423</v>
      </c>
      <c r="E447">
        <v>1</v>
      </c>
    </row>
    <row r="448" spans="1:5">
      <c r="A448" s="170">
        <v>31</v>
      </c>
      <c r="B448" t="s">
        <v>7423</v>
      </c>
      <c r="C448">
        <v>116</v>
      </c>
      <c r="D448" t="s">
        <v>7423</v>
      </c>
      <c r="E448">
        <v>2</v>
      </c>
    </row>
    <row r="449" spans="1:5">
      <c r="A449" s="170">
        <v>31</v>
      </c>
      <c r="B449" t="s">
        <v>7423</v>
      </c>
      <c r="C449">
        <v>116</v>
      </c>
      <c r="D449" t="s">
        <v>7423</v>
      </c>
      <c r="E449">
        <v>3</v>
      </c>
    </row>
    <row r="450" spans="1:5">
      <c r="A450" s="170">
        <v>31</v>
      </c>
      <c r="B450" t="s">
        <v>7423</v>
      </c>
      <c r="C450">
        <v>117</v>
      </c>
      <c r="D450" t="s">
        <v>7423</v>
      </c>
      <c r="E450">
        <v>1</v>
      </c>
    </row>
    <row r="451" spans="1:5">
      <c r="A451" s="170">
        <v>31</v>
      </c>
      <c r="B451" t="s">
        <v>7423</v>
      </c>
      <c r="C451">
        <v>117</v>
      </c>
      <c r="D451" t="s">
        <v>7423</v>
      </c>
      <c r="E451">
        <v>2</v>
      </c>
    </row>
    <row r="452" spans="1:5">
      <c r="A452" s="170">
        <v>31</v>
      </c>
      <c r="B452" t="s">
        <v>7423</v>
      </c>
      <c r="C452">
        <v>118</v>
      </c>
      <c r="D452" t="s">
        <v>7423</v>
      </c>
      <c r="E452">
        <v>1</v>
      </c>
    </row>
    <row r="453" spans="1:5">
      <c r="A453" s="170">
        <v>31</v>
      </c>
      <c r="B453" t="s">
        <v>7423</v>
      </c>
      <c r="C453">
        <v>118</v>
      </c>
      <c r="D453" t="s">
        <v>7423</v>
      </c>
      <c r="E453">
        <v>2</v>
      </c>
    </row>
    <row r="454" spans="1:5">
      <c r="A454" s="170">
        <v>31</v>
      </c>
      <c r="B454" t="s">
        <v>7423</v>
      </c>
      <c r="C454">
        <v>118</v>
      </c>
      <c r="D454" t="s">
        <v>7423</v>
      </c>
      <c r="E454">
        <v>3</v>
      </c>
    </row>
    <row r="455" spans="1:5">
      <c r="A455" s="170">
        <v>31</v>
      </c>
      <c r="B455" t="s">
        <v>7423</v>
      </c>
      <c r="C455">
        <v>119</v>
      </c>
      <c r="D455" t="s">
        <v>7423</v>
      </c>
      <c r="E455">
        <v>1</v>
      </c>
    </row>
    <row r="456" spans="1:5">
      <c r="A456" s="170">
        <v>31</v>
      </c>
      <c r="B456" t="s">
        <v>7423</v>
      </c>
      <c r="C456">
        <v>119</v>
      </c>
      <c r="D456" t="s">
        <v>7423</v>
      </c>
      <c r="E456">
        <v>2</v>
      </c>
    </row>
    <row r="457" spans="1:5">
      <c r="A457" s="170">
        <v>31</v>
      </c>
      <c r="B457" t="s">
        <v>7423</v>
      </c>
      <c r="C457">
        <v>119</v>
      </c>
      <c r="D457" t="s">
        <v>7423</v>
      </c>
      <c r="E457">
        <v>3</v>
      </c>
    </row>
    <row r="458" spans="1:5">
      <c r="A458" s="170">
        <v>31</v>
      </c>
      <c r="B458" t="s">
        <v>7423</v>
      </c>
      <c r="C458">
        <v>120</v>
      </c>
      <c r="D458" t="s">
        <v>7423</v>
      </c>
      <c r="E458">
        <v>1</v>
      </c>
    </row>
    <row r="459" spans="1:5">
      <c r="A459" s="170">
        <v>31</v>
      </c>
      <c r="B459" t="s">
        <v>7423</v>
      </c>
      <c r="C459">
        <v>120</v>
      </c>
      <c r="D459" t="s">
        <v>7423</v>
      </c>
      <c r="E459">
        <v>2</v>
      </c>
    </row>
    <row r="460" spans="1:5">
      <c r="A460" s="170">
        <v>31</v>
      </c>
      <c r="B460" t="s">
        <v>7423</v>
      </c>
      <c r="C460">
        <v>120</v>
      </c>
      <c r="D460" t="s">
        <v>7423</v>
      </c>
      <c r="E460">
        <v>3</v>
      </c>
    </row>
    <row r="461" spans="1:5">
      <c r="A461" s="170">
        <v>31</v>
      </c>
      <c r="B461" t="s">
        <v>7423</v>
      </c>
      <c r="C461">
        <v>201</v>
      </c>
      <c r="D461" t="s">
        <v>7423</v>
      </c>
      <c r="E461">
        <v>1</v>
      </c>
    </row>
    <row r="462" spans="1:5">
      <c r="A462" s="170">
        <v>31</v>
      </c>
      <c r="B462" t="s">
        <v>7423</v>
      </c>
      <c r="C462">
        <v>201</v>
      </c>
      <c r="D462" t="s">
        <v>7423</v>
      </c>
      <c r="E462">
        <v>2</v>
      </c>
    </row>
    <row r="463" spans="1:5">
      <c r="A463" s="170">
        <v>31</v>
      </c>
      <c r="B463" t="s">
        <v>7423</v>
      </c>
      <c r="C463">
        <v>202</v>
      </c>
      <c r="D463" t="s">
        <v>7423</v>
      </c>
      <c r="E463">
        <v>1</v>
      </c>
    </row>
    <row r="464" spans="1:5">
      <c r="A464" s="170">
        <v>31</v>
      </c>
      <c r="B464" t="s">
        <v>7423</v>
      </c>
      <c r="C464">
        <v>202</v>
      </c>
      <c r="D464" t="s">
        <v>7423</v>
      </c>
      <c r="E464">
        <v>2</v>
      </c>
    </row>
    <row r="465" spans="1:5">
      <c r="A465" s="170">
        <v>31</v>
      </c>
      <c r="B465" t="s">
        <v>7423</v>
      </c>
      <c r="C465">
        <v>203</v>
      </c>
      <c r="D465" t="s">
        <v>7423</v>
      </c>
      <c r="E465">
        <v>1</v>
      </c>
    </row>
    <row r="466" spans="1:5">
      <c r="A466" s="170">
        <v>31</v>
      </c>
      <c r="B466" t="s">
        <v>7423</v>
      </c>
      <c r="C466">
        <v>203</v>
      </c>
      <c r="D466" t="s">
        <v>7423</v>
      </c>
      <c r="E466">
        <v>2</v>
      </c>
    </row>
    <row r="467" spans="1:5">
      <c r="A467" s="170">
        <v>31</v>
      </c>
      <c r="B467" t="s">
        <v>7423</v>
      </c>
      <c r="C467">
        <v>204</v>
      </c>
      <c r="D467" t="s">
        <v>7423</v>
      </c>
      <c r="E467">
        <v>1</v>
      </c>
    </row>
    <row r="468" spans="1:5">
      <c r="A468" s="170">
        <v>31</v>
      </c>
      <c r="B468" t="s">
        <v>7423</v>
      </c>
      <c r="C468">
        <v>204</v>
      </c>
      <c r="D468" t="s">
        <v>7423</v>
      </c>
      <c r="E468">
        <v>2</v>
      </c>
    </row>
    <row r="469" spans="1:5">
      <c r="A469" s="170">
        <v>31</v>
      </c>
      <c r="B469" t="s">
        <v>7423</v>
      </c>
      <c r="C469">
        <v>204</v>
      </c>
      <c r="D469" t="s">
        <v>7423</v>
      </c>
      <c r="E469">
        <v>3</v>
      </c>
    </row>
    <row r="470" spans="1:5">
      <c r="A470" s="170">
        <v>31</v>
      </c>
      <c r="B470" t="s">
        <v>7423</v>
      </c>
      <c r="C470">
        <v>205</v>
      </c>
      <c r="D470" t="s">
        <v>7423</v>
      </c>
      <c r="E470">
        <v>2</v>
      </c>
    </row>
    <row r="471" spans="1:5">
      <c r="A471" s="170">
        <v>31</v>
      </c>
      <c r="B471" t="s">
        <v>7423</v>
      </c>
      <c r="C471">
        <v>206</v>
      </c>
      <c r="D471" t="s">
        <v>7423</v>
      </c>
      <c r="E471">
        <v>1</v>
      </c>
    </row>
    <row r="472" spans="1:5">
      <c r="A472" s="170">
        <v>31</v>
      </c>
      <c r="B472" t="s">
        <v>7423</v>
      </c>
      <c r="C472">
        <v>206</v>
      </c>
      <c r="D472" t="s">
        <v>7423</v>
      </c>
      <c r="E472">
        <v>2</v>
      </c>
    </row>
    <row r="473" spans="1:5">
      <c r="A473" s="170">
        <v>31</v>
      </c>
      <c r="B473" t="s">
        <v>7423</v>
      </c>
      <c r="C473">
        <v>207</v>
      </c>
      <c r="D473" t="s">
        <v>7423</v>
      </c>
      <c r="E473">
        <v>1</v>
      </c>
    </row>
    <row r="474" spans="1:5">
      <c r="A474" s="170">
        <v>31</v>
      </c>
      <c r="B474" t="s">
        <v>7423</v>
      </c>
      <c r="C474">
        <v>207</v>
      </c>
      <c r="D474" t="s">
        <v>7423</v>
      </c>
      <c r="E474">
        <v>2</v>
      </c>
    </row>
    <row r="475" spans="1:5">
      <c r="A475" s="170">
        <v>31</v>
      </c>
      <c r="B475" t="s">
        <v>7423</v>
      </c>
      <c r="C475">
        <v>208</v>
      </c>
      <c r="D475" t="s">
        <v>7423</v>
      </c>
      <c r="E475">
        <v>1</v>
      </c>
    </row>
    <row r="476" spans="1:5">
      <c r="A476" s="170">
        <v>31</v>
      </c>
      <c r="B476" t="s">
        <v>7423</v>
      </c>
      <c r="C476">
        <v>208</v>
      </c>
      <c r="D476" t="s">
        <v>7423</v>
      </c>
      <c r="E476">
        <v>2</v>
      </c>
    </row>
    <row r="477" spans="1:5">
      <c r="A477" s="170">
        <v>31</v>
      </c>
      <c r="B477" t="s">
        <v>7423</v>
      </c>
      <c r="C477">
        <v>209</v>
      </c>
      <c r="D477" t="s">
        <v>7423</v>
      </c>
      <c r="E477">
        <v>1</v>
      </c>
    </row>
    <row r="478" spans="1:5">
      <c r="A478" s="170">
        <v>31</v>
      </c>
      <c r="B478" t="s">
        <v>7423</v>
      </c>
      <c r="C478">
        <v>210</v>
      </c>
      <c r="D478" t="s">
        <v>7423</v>
      </c>
      <c r="E478">
        <v>1</v>
      </c>
    </row>
    <row r="479" spans="1:5">
      <c r="A479" s="170">
        <v>31</v>
      </c>
      <c r="B479" t="s">
        <v>7423</v>
      </c>
      <c r="C479">
        <v>210</v>
      </c>
      <c r="D479" t="s">
        <v>7423</v>
      </c>
      <c r="E479">
        <v>2</v>
      </c>
    </row>
    <row r="480" spans="1:5">
      <c r="A480" s="170">
        <v>31</v>
      </c>
      <c r="B480" t="s">
        <v>7423</v>
      </c>
      <c r="C480">
        <v>211</v>
      </c>
      <c r="D480" t="s">
        <v>7423</v>
      </c>
      <c r="E480">
        <v>1</v>
      </c>
    </row>
    <row r="481" spans="1:5">
      <c r="A481" s="170">
        <v>31</v>
      </c>
      <c r="B481" t="s">
        <v>7423</v>
      </c>
      <c r="C481">
        <v>211</v>
      </c>
      <c r="D481" t="s">
        <v>7423</v>
      </c>
      <c r="E481">
        <v>2</v>
      </c>
    </row>
    <row r="482" spans="1:5">
      <c r="A482" s="170">
        <v>31</v>
      </c>
      <c r="B482" t="s">
        <v>7423</v>
      </c>
      <c r="C482">
        <v>212</v>
      </c>
      <c r="D482" t="s">
        <v>7423</v>
      </c>
      <c r="E482">
        <v>1</v>
      </c>
    </row>
    <row r="483" spans="1:5">
      <c r="A483" s="170">
        <v>31</v>
      </c>
      <c r="B483" t="s">
        <v>7423</v>
      </c>
      <c r="C483">
        <v>213</v>
      </c>
      <c r="D483" t="s">
        <v>7423</v>
      </c>
      <c r="E483">
        <v>1</v>
      </c>
    </row>
    <row r="484" spans="1:5">
      <c r="A484" s="170">
        <v>31</v>
      </c>
      <c r="B484" t="s">
        <v>7423</v>
      </c>
      <c r="C484">
        <v>213</v>
      </c>
      <c r="D484" t="s">
        <v>7423</v>
      </c>
      <c r="E484">
        <v>2</v>
      </c>
    </row>
    <row r="485" spans="1:5">
      <c r="A485" s="170">
        <v>31</v>
      </c>
      <c r="B485" t="s">
        <v>7423</v>
      </c>
      <c r="C485">
        <v>214</v>
      </c>
      <c r="D485" t="s">
        <v>7423</v>
      </c>
      <c r="E485">
        <v>1</v>
      </c>
    </row>
    <row r="486" spans="1:5">
      <c r="A486" s="170">
        <v>31</v>
      </c>
      <c r="B486" t="s">
        <v>7423</v>
      </c>
      <c r="C486">
        <v>214</v>
      </c>
      <c r="D486" t="s">
        <v>7423</v>
      </c>
      <c r="E486">
        <v>2</v>
      </c>
    </row>
    <row r="487" spans="1:5">
      <c r="A487" s="170">
        <v>31</v>
      </c>
      <c r="B487" t="s">
        <v>7423</v>
      </c>
      <c r="C487">
        <v>215</v>
      </c>
      <c r="D487" t="s">
        <v>7423</v>
      </c>
      <c r="E487">
        <v>1</v>
      </c>
    </row>
    <row r="488" spans="1:5">
      <c r="A488" s="170">
        <v>31</v>
      </c>
      <c r="B488" t="s">
        <v>7423</v>
      </c>
      <c r="C488">
        <v>215</v>
      </c>
      <c r="D488" t="s">
        <v>7423</v>
      </c>
      <c r="E488">
        <v>2</v>
      </c>
    </row>
    <row r="489" spans="1:5">
      <c r="A489" s="170">
        <v>31</v>
      </c>
      <c r="B489" t="s">
        <v>7423</v>
      </c>
      <c r="C489">
        <v>216</v>
      </c>
      <c r="D489" t="s">
        <v>7423</v>
      </c>
      <c r="E489">
        <v>2</v>
      </c>
    </row>
    <row r="490" spans="1:5">
      <c r="A490" s="170">
        <v>31</v>
      </c>
      <c r="B490" t="s">
        <v>7423</v>
      </c>
      <c r="C490">
        <v>216</v>
      </c>
      <c r="D490" t="s">
        <v>7423</v>
      </c>
      <c r="E490">
        <v>3</v>
      </c>
    </row>
    <row r="491" spans="1:5">
      <c r="A491" s="170">
        <v>31</v>
      </c>
      <c r="B491" t="s">
        <v>7423</v>
      </c>
      <c r="C491">
        <v>217</v>
      </c>
      <c r="D491" t="s">
        <v>7423</v>
      </c>
      <c r="E491">
        <v>1</v>
      </c>
    </row>
    <row r="492" spans="1:5">
      <c r="A492" s="170">
        <v>31</v>
      </c>
      <c r="B492" t="s">
        <v>7423</v>
      </c>
      <c r="C492">
        <v>217</v>
      </c>
      <c r="D492" t="s">
        <v>7423</v>
      </c>
      <c r="E492">
        <v>2</v>
      </c>
    </row>
    <row r="493" spans="1:5">
      <c r="A493" s="170">
        <v>31</v>
      </c>
      <c r="B493" t="s">
        <v>7423</v>
      </c>
      <c r="C493">
        <v>217</v>
      </c>
      <c r="D493" t="s">
        <v>7423</v>
      </c>
      <c r="E493">
        <v>3</v>
      </c>
    </row>
    <row r="494" spans="1:5">
      <c r="A494" s="170">
        <v>31</v>
      </c>
      <c r="B494" t="s">
        <v>7423</v>
      </c>
      <c r="C494">
        <v>218</v>
      </c>
      <c r="D494" t="s">
        <v>7423</v>
      </c>
      <c r="E494">
        <v>1</v>
      </c>
    </row>
    <row r="495" spans="1:5">
      <c r="A495" s="170">
        <v>31</v>
      </c>
      <c r="B495" t="s">
        <v>7423</v>
      </c>
      <c r="C495">
        <v>218</v>
      </c>
      <c r="D495" t="s">
        <v>7423</v>
      </c>
      <c r="E495">
        <v>2</v>
      </c>
    </row>
    <row r="496" spans="1:5">
      <c r="A496" s="170">
        <v>31</v>
      </c>
      <c r="B496" t="s">
        <v>7423</v>
      </c>
      <c r="C496">
        <v>218</v>
      </c>
      <c r="D496" t="s">
        <v>7423</v>
      </c>
      <c r="E496">
        <v>3</v>
      </c>
    </row>
    <row r="497" spans="1:5">
      <c r="A497" s="170">
        <v>31</v>
      </c>
      <c r="B497" t="s">
        <v>7423</v>
      </c>
      <c r="C497">
        <v>219</v>
      </c>
      <c r="D497" t="s">
        <v>7423</v>
      </c>
      <c r="E497">
        <v>1</v>
      </c>
    </row>
    <row r="498" spans="1:5">
      <c r="A498" s="170">
        <v>31</v>
      </c>
      <c r="B498" t="s">
        <v>7423</v>
      </c>
      <c r="C498">
        <v>219</v>
      </c>
      <c r="D498" t="s">
        <v>7423</v>
      </c>
      <c r="E498">
        <v>2</v>
      </c>
    </row>
    <row r="499" spans="1:5">
      <c r="A499" s="170">
        <v>31</v>
      </c>
      <c r="B499" t="s">
        <v>7423</v>
      </c>
      <c r="C499">
        <v>220</v>
      </c>
      <c r="D499" t="s">
        <v>7423</v>
      </c>
      <c r="E499">
        <v>1</v>
      </c>
    </row>
    <row r="500" spans="1:5">
      <c r="A500" s="170">
        <v>31</v>
      </c>
      <c r="B500" t="s">
        <v>7423</v>
      </c>
      <c r="C500">
        <v>220</v>
      </c>
      <c r="D500" t="s">
        <v>7423</v>
      </c>
      <c r="E500">
        <v>2</v>
      </c>
    </row>
    <row r="501" spans="1:5">
      <c r="A501" s="170">
        <v>32</v>
      </c>
      <c r="B501" t="s">
        <v>7423</v>
      </c>
      <c r="C501">
        <v>101</v>
      </c>
      <c r="D501" t="s">
        <v>7423</v>
      </c>
      <c r="E501">
        <v>1</v>
      </c>
    </row>
    <row r="502" spans="1:5">
      <c r="A502" s="170">
        <v>32</v>
      </c>
      <c r="B502" t="s">
        <v>7423</v>
      </c>
      <c r="C502">
        <v>101</v>
      </c>
      <c r="D502" t="s">
        <v>7423</v>
      </c>
      <c r="E502">
        <v>2</v>
      </c>
    </row>
    <row r="503" spans="1:5">
      <c r="A503" s="170">
        <v>32</v>
      </c>
      <c r="B503" t="s">
        <v>7423</v>
      </c>
      <c r="C503">
        <v>101</v>
      </c>
      <c r="D503" t="s">
        <v>7423</v>
      </c>
      <c r="E503">
        <v>3</v>
      </c>
    </row>
    <row r="504" spans="1:5">
      <c r="A504" s="170">
        <v>32</v>
      </c>
      <c r="B504" t="s">
        <v>7423</v>
      </c>
      <c r="C504">
        <v>101</v>
      </c>
      <c r="D504" t="s">
        <v>7423</v>
      </c>
      <c r="E504">
        <v>4</v>
      </c>
    </row>
    <row r="505" spans="1:5">
      <c r="A505" s="170">
        <v>32</v>
      </c>
      <c r="B505" t="s">
        <v>7423</v>
      </c>
      <c r="C505">
        <v>102</v>
      </c>
      <c r="D505" t="s">
        <v>7423</v>
      </c>
      <c r="E505">
        <v>1</v>
      </c>
    </row>
    <row r="506" spans="1:5">
      <c r="A506" s="170">
        <v>32</v>
      </c>
      <c r="B506" t="s">
        <v>7423</v>
      </c>
      <c r="C506">
        <v>102</v>
      </c>
      <c r="D506" t="s">
        <v>7423</v>
      </c>
      <c r="E506">
        <v>2</v>
      </c>
    </row>
    <row r="507" spans="1:5">
      <c r="A507" s="170">
        <v>32</v>
      </c>
      <c r="B507" t="s">
        <v>7423</v>
      </c>
      <c r="C507">
        <v>102</v>
      </c>
      <c r="D507" t="s">
        <v>7423</v>
      </c>
      <c r="E507">
        <v>3</v>
      </c>
    </row>
    <row r="508" spans="1:5">
      <c r="A508" s="170">
        <v>32</v>
      </c>
      <c r="B508" t="s">
        <v>7423</v>
      </c>
      <c r="C508">
        <v>102</v>
      </c>
      <c r="D508" t="s">
        <v>7423</v>
      </c>
      <c r="E508">
        <v>4</v>
      </c>
    </row>
    <row r="509" spans="1:5">
      <c r="A509" s="170">
        <v>32</v>
      </c>
      <c r="B509" t="s">
        <v>7423</v>
      </c>
      <c r="C509">
        <v>103</v>
      </c>
      <c r="D509" t="s">
        <v>7423</v>
      </c>
      <c r="E509">
        <v>1</v>
      </c>
    </row>
    <row r="510" spans="1:5">
      <c r="A510" s="170">
        <v>32</v>
      </c>
      <c r="B510" t="s">
        <v>7423</v>
      </c>
      <c r="C510">
        <v>103</v>
      </c>
      <c r="D510" t="s">
        <v>7423</v>
      </c>
      <c r="E510">
        <v>2</v>
      </c>
    </row>
    <row r="511" spans="1:5">
      <c r="A511" s="170">
        <v>32</v>
      </c>
      <c r="B511" t="s">
        <v>7423</v>
      </c>
      <c r="C511">
        <v>103</v>
      </c>
      <c r="D511" t="s">
        <v>7423</v>
      </c>
      <c r="E511">
        <v>3</v>
      </c>
    </row>
    <row r="512" spans="1:5">
      <c r="A512" s="170">
        <v>32</v>
      </c>
      <c r="B512" t="s">
        <v>7423</v>
      </c>
      <c r="C512">
        <v>103</v>
      </c>
      <c r="D512" t="s">
        <v>7423</v>
      </c>
      <c r="E512">
        <v>4</v>
      </c>
    </row>
    <row r="513" spans="1:5">
      <c r="A513" s="170">
        <v>32</v>
      </c>
      <c r="B513" t="s">
        <v>7423</v>
      </c>
      <c r="C513">
        <v>104</v>
      </c>
      <c r="D513" t="s">
        <v>7423</v>
      </c>
      <c r="E513">
        <v>3</v>
      </c>
    </row>
    <row r="514" spans="1:5">
      <c r="A514" s="170">
        <v>32</v>
      </c>
      <c r="B514" t="s">
        <v>7423</v>
      </c>
      <c r="C514">
        <v>105</v>
      </c>
      <c r="D514" t="s">
        <v>7423</v>
      </c>
      <c r="E514">
        <v>1</v>
      </c>
    </row>
    <row r="515" spans="1:5">
      <c r="A515" s="170">
        <v>32</v>
      </c>
      <c r="B515" t="s">
        <v>7423</v>
      </c>
      <c r="C515">
        <v>105</v>
      </c>
      <c r="D515" t="s">
        <v>7423</v>
      </c>
      <c r="E515">
        <v>2</v>
      </c>
    </row>
    <row r="516" spans="1:5">
      <c r="A516" s="170">
        <v>32</v>
      </c>
      <c r="B516" t="s">
        <v>7423</v>
      </c>
      <c r="C516">
        <v>106</v>
      </c>
      <c r="D516" t="s">
        <v>7423</v>
      </c>
      <c r="E516">
        <v>1</v>
      </c>
    </row>
    <row r="517" spans="1:5">
      <c r="A517" s="170">
        <v>32</v>
      </c>
      <c r="B517" t="s">
        <v>7423</v>
      </c>
      <c r="C517">
        <v>106</v>
      </c>
      <c r="D517" t="s">
        <v>7423</v>
      </c>
      <c r="E517">
        <v>2</v>
      </c>
    </row>
    <row r="518" spans="1:5">
      <c r="A518" s="170">
        <v>32</v>
      </c>
      <c r="B518" t="s">
        <v>7423</v>
      </c>
      <c r="C518">
        <v>106</v>
      </c>
      <c r="D518" t="s">
        <v>7423</v>
      </c>
      <c r="E518">
        <v>3</v>
      </c>
    </row>
    <row r="519" spans="1:5">
      <c r="A519" s="170">
        <v>32</v>
      </c>
      <c r="B519" t="s">
        <v>7423</v>
      </c>
      <c r="C519">
        <v>106</v>
      </c>
      <c r="D519" t="s">
        <v>7423</v>
      </c>
      <c r="E519">
        <v>4</v>
      </c>
    </row>
    <row r="520" spans="1:5">
      <c r="A520" s="170">
        <v>32</v>
      </c>
      <c r="B520" t="s">
        <v>7423</v>
      </c>
      <c r="C520">
        <v>107</v>
      </c>
      <c r="D520" t="s">
        <v>7423</v>
      </c>
      <c r="E520">
        <v>1</v>
      </c>
    </row>
    <row r="521" spans="1:5">
      <c r="A521" s="170">
        <v>32</v>
      </c>
      <c r="B521" t="s">
        <v>7423</v>
      </c>
      <c r="C521">
        <v>107</v>
      </c>
      <c r="D521" t="s">
        <v>7423</v>
      </c>
      <c r="E521">
        <v>2</v>
      </c>
    </row>
    <row r="522" spans="1:5">
      <c r="A522" s="170">
        <v>32</v>
      </c>
      <c r="B522" t="s">
        <v>7423</v>
      </c>
      <c r="C522">
        <v>107</v>
      </c>
      <c r="D522" t="s">
        <v>7423</v>
      </c>
      <c r="E522">
        <v>3</v>
      </c>
    </row>
    <row r="523" spans="1:5">
      <c r="A523" s="170">
        <v>32</v>
      </c>
      <c r="B523" t="s">
        <v>7423</v>
      </c>
      <c r="C523">
        <v>107</v>
      </c>
      <c r="D523" t="s">
        <v>7423</v>
      </c>
      <c r="E523">
        <v>4</v>
      </c>
    </row>
    <row r="524" spans="1:5">
      <c r="A524" s="170">
        <v>32</v>
      </c>
      <c r="B524" t="s">
        <v>7423</v>
      </c>
      <c r="C524">
        <v>108</v>
      </c>
      <c r="D524" t="s">
        <v>7423</v>
      </c>
      <c r="E524">
        <v>1</v>
      </c>
    </row>
    <row r="525" spans="1:5">
      <c r="A525" s="170">
        <v>32</v>
      </c>
      <c r="B525" t="s">
        <v>7423</v>
      </c>
      <c r="C525">
        <v>108</v>
      </c>
      <c r="D525" t="s">
        <v>7423</v>
      </c>
      <c r="E525">
        <v>2</v>
      </c>
    </row>
    <row r="526" spans="1:5">
      <c r="A526" s="170">
        <v>32</v>
      </c>
      <c r="B526" t="s">
        <v>7423</v>
      </c>
      <c r="C526">
        <v>108</v>
      </c>
      <c r="D526" t="s">
        <v>7423</v>
      </c>
      <c r="E526">
        <v>3</v>
      </c>
    </row>
    <row r="527" spans="1:5">
      <c r="A527" s="170">
        <v>32</v>
      </c>
      <c r="B527" t="s">
        <v>7423</v>
      </c>
      <c r="C527">
        <v>108</v>
      </c>
      <c r="D527" t="s">
        <v>7423</v>
      </c>
      <c r="E527">
        <v>4</v>
      </c>
    </row>
    <row r="528" spans="1:5">
      <c r="A528" s="170">
        <v>32</v>
      </c>
      <c r="B528" t="s">
        <v>7423</v>
      </c>
      <c r="C528">
        <v>109</v>
      </c>
      <c r="D528" t="s">
        <v>7423</v>
      </c>
      <c r="E528">
        <v>1</v>
      </c>
    </row>
    <row r="529" spans="1:5">
      <c r="A529" s="170">
        <v>32</v>
      </c>
      <c r="B529" t="s">
        <v>7423</v>
      </c>
      <c r="C529">
        <v>109</v>
      </c>
      <c r="D529" t="s">
        <v>7423</v>
      </c>
      <c r="E529">
        <v>2</v>
      </c>
    </row>
    <row r="530" spans="1:5">
      <c r="A530" s="170">
        <v>32</v>
      </c>
      <c r="B530" t="s">
        <v>7423</v>
      </c>
      <c r="C530">
        <v>109</v>
      </c>
      <c r="D530" t="s">
        <v>7423</v>
      </c>
      <c r="E530">
        <v>3</v>
      </c>
    </row>
    <row r="531" spans="1:5">
      <c r="A531" s="170">
        <v>32</v>
      </c>
      <c r="B531" t="s">
        <v>7423</v>
      </c>
      <c r="C531">
        <v>109</v>
      </c>
      <c r="D531" t="s">
        <v>7423</v>
      </c>
      <c r="E531">
        <v>4</v>
      </c>
    </row>
    <row r="532" spans="1:5">
      <c r="A532" s="170">
        <v>32</v>
      </c>
      <c r="B532" t="s">
        <v>7423</v>
      </c>
      <c r="C532">
        <v>110</v>
      </c>
      <c r="D532" t="s">
        <v>7423</v>
      </c>
      <c r="E532">
        <v>1</v>
      </c>
    </row>
    <row r="533" spans="1:5">
      <c r="A533" s="170">
        <v>32</v>
      </c>
      <c r="B533" t="s">
        <v>7423</v>
      </c>
      <c r="C533">
        <v>110</v>
      </c>
      <c r="D533" t="s">
        <v>7423</v>
      </c>
      <c r="E533">
        <v>2</v>
      </c>
    </row>
    <row r="534" spans="1:5">
      <c r="A534" s="170">
        <v>32</v>
      </c>
      <c r="B534" t="s">
        <v>7423</v>
      </c>
      <c r="C534">
        <v>110</v>
      </c>
      <c r="D534" t="s">
        <v>7423</v>
      </c>
      <c r="E534">
        <v>3</v>
      </c>
    </row>
    <row r="535" spans="1:5">
      <c r="A535" s="170">
        <v>32</v>
      </c>
      <c r="B535" t="s">
        <v>7423</v>
      </c>
      <c r="C535">
        <v>110</v>
      </c>
      <c r="D535" t="s">
        <v>7423</v>
      </c>
      <c r="E535">
        <v>4</v>
      </c>
    </row>
    <row r="536" spans="1:5">
      <c r="A536" s="170">
        <v>32</v>
      </c>
      <c r="B536" t="s">
        <v>7423</v>
      </c>
      <c r="C536">
        <v>111</v>
      </c>
      <c r="D536" t="s">
        <v>7423</v>
      </c>
      <c r="E536">
        <v>1</v>
      </c>
    </row>
    <row r="537" spans="1:5">
      <c r="A537" s="170">
        <v>32</v>
      </c>
      <c r="B537" t="s">
        <v>7423</v>
      </c>
      <c r="C537">
        <v>111</v>
      </c>
      <c r="D537" t="s">
        <v>7423</v>
      </c>
      <c r="E537">
        <v>2</v>
      </c>
    </row>
    <row r="538" spans="1:5">
      <c r="A538" s="170">
        <v>32</v>
      </c>
      <c r="B538" t="s">
        <v>7423</v>
      </c>
      <c r="C538">
        <v>111</v>
      </c>
      <c r="D538" t="s">
        <v>7423</v>
      </c>
      <c r="E538">
        <v>3</v>
      </c>
    </row>
    <row r="539" spans="1:5">
      <c r="A539" s="170">
        <v>32</v>
      </c>
      <c r="B539" t="s">
        <v>7423</v>
      </c>
      <c r="C539">
        <v>111</v>
      </c>
      <c r="D539" t="s">
        <v>7423</v>
      </c>
      <c r="E539">
        <v>4</v>
      </c>
    </row>
    <row r="540" spans="1:5">
      <c r="A540" s="170">
        <v>32</v>
      </c>
      <c r="B540" t="s">
        <v>7423</v>
      </c>
      <c r="C540">
        <v>112</v>
      </c>
      <c r="D540" t="s">
        <v>7423</v>
      </c>
      <c r="E540">
        <v>1</v>
      </c>
    </row>
    <row r="541" spans="1:5">
      <c r="A541" s="170">
        <v>32</v>
      </c>
      <c r="B541" t="s">
        <v>7423</v>
      </c>
      <c r="C541">
        <v>112</v>
      </c>
      <c r="D541" t="s">
        <v>7423</v>
      </c>
      <c r="E541">
        <v>2</v>
      </c>
    </row>
    <row r="542" spans="1:5">
      <c r="A542" s="170">
        <v>32</v>
      </c>
      <c r="B542" t="s">
        <v>7423</v>
      </c>
      <c r="C542">
        <v>112</v>
      </c>
      <c r="D542" t="s">
        <v>7423</v>
      </c>
      <c r="E542">
        <v>3</v>
      </c>
    </row>
    <row r="543" spans="1:5">
      <c r="A543" s="170">
        <v>32</v>
      </c>
      <c r="B543" t="s">
        <v>7423</v>
      </c>
      <c r="C543">
        <v>112</v>
      </c>
      <c r="D543" t="s">
        <v>7423</v>
      </c>
      <c r="E543">
        <v>4</v>
      </c>
    </row>
    <row r="544" spans="1:5">
      <c r="A544" s="170">
        <v>32</v>
      </c>
      <c r="B544" t="s">
        <v>7423</v>
      </c>
      <c r="C544">
        <v>113</v>
      </c>
      <c r="D544" t="s">
        <v>7423</v>
      </c>
      <c r="E544">
        <v>1</v>
      </c>
    </row>
    <row r="545" spans="1:5">
      <c r="A545" s="170">
        <v>32</v>
      </c>
      <c r="B545" t="s">
        <v>7423</v>
      </c>
      <c r="C545">
        <v>113</v>
      </c>
      <c r="D545" t="s">
        <v>7423</v>
      </c>
      <c r="E545">
        <v>2</v>
      </c>
    </row>
    <row r="546" spans="1:5">
      <c r="A546" s="170">
        <v>32</v>
      </c>
      <c r="B546" t="s">
        <v>7423</v>
      </c>
      <c r="C546">
        <v>113</v>
      </c>
      <c r="D546" t="s">
        <v>7423</v>
      </c>
      <c r="E546">
        <v>3</v>
      </c>
    </row>
    <row r="547" spans="1:5">
      <c r="A547" s="170">
        <v>32</v>
      </c>
      <c r="B547" t="s">
        <v>7423</v>
      </c>
      <c r="C547">
        <v>113</v>
      </c>
      <c r="D547" t="s">
        <v>7423</v>
      </c>
      <c r="E547">
        <v>4</v>
      </c>
    </row>
    <row r="548" spans="1:5">
      <c r="A548" s="170">
        <v>32</v>
      </c>
      <c r="B548" t="s">
        <v>7423</v>
      </c>
      <c r="C548">
        <v>114</v>
      </c>
      <c r="D548" t="s">
        <v>7423</v>
      </c>
      <c r="E548">
        <v>1</v>
      </c>
    </row>
    <row r="549" spans="1:5">
      <c r="A549" s="170">
        <v>32</v>
      </c>
      <c r="B549" t="s">
        <v>7423</v>
      </c>
      <c r="C549">
        <v>114</v>
      </c>
      <c r="D549" t="s">
        <v>7423</v>
      </c>
      <c r="E549">
        <v>2</v>
      </c>
    </row>
    <row r="550" spans="1:5">
      <c r="A550" s="170">
        <v>32</v>
      </c>
      <c r="B550" t="s">
        <v>7423</v>
      </c>
      <c r="C550">
        <v>114</v>
      </c>
      <c r="D550" t="s">
        <v>7423</v>
      </c>
      <c r="E550">
        <v>3</v>
      </c>
    </row>
    <row r="551" spans="1:5">
      <c r="A551" s="170">
        <v>32</v>
      </c>
      <c r="B551" t="s">
        <v>7423</v>
      </c>
      <c r="C551">
        <v>114</v>
      </c>
      <c r="D551" t="s">
        <v>7423</v>
      </c>
      <c r="E551">
        <v>4</v>
      </c>
    </row>
    <row r="552" spans="1:5">
      <c r="A552" s="170">
        <v>32</v>
      </c>
      <c r="B552" t="s">
        <v>7423</v>
      </c>
      <c r="C552">
        <v>115</v>
      </c>
      <c r="D552" t="s">
        <v>7423</v>
      </c>
      <c r="E552">
        <v>1</v>
      </c>
    </row>
    <row r="553" spans="1:5">
      <c r="A553" s="170">
        <v>32</v>
      </c>
      <c r="B553" t="s">
        <v>7423</v>
      </c>
      <c r="C553">
        <v>115</v>
      </c>
      <c r="D553" t="s">
        <v>7423</v>
      </c>
      <c r="E553">
        <v>2</v>
      </c>
    </row>
    <row r="554" spans="1:5">
      <c r="A554" s="170">
        <v>32</v>
      </c>
      <c r="B554" t="s">
        <v>7423</v>
      </c>
      <c r="C554">
        <v>115</v>
      </c>
      <c r="D554" t="s">
        <v>7423</v>
      </c>
      <c r="E554">
        <v>3</v>
      </c>
    </row>
    <row r="555" spans="1:5">
      <c r="A555" s="170">
        <v>32</v>
      </c>
      <c r="B555" t="s">
        <v>7423</v>
      </c>
      <c r="C555">
        <v>115</v>
      </c>
      <c r="D555" t="s">
        <v>7423</v>
      </c>
      <c r="E555">
        <v>4</v>
      </c>
    </row>
    <row r="556" spans="1:5">
      <c r="A556" s="170">
        <v>32</v>
      </c>
      <c r="B556" t="s">
        <v>7423</v>
      </c>
      <c r="C556">
        <v>116</v>
      </c>
      <c r="D556" t="s">
        <v>7423</v>
      </c>
      <c r="E556">
        <v>1</v>
      </c>
    </row>
    <row r="557" spans="1:5">
      <c r="A557" s="170">
        <v>32</v>
      </c>
      <c r="B557" t="s">
        <v>7423</v>
      </c>
      <c r="C557">
        <v>116</v>
      </c>
      <c r="D557" t="s">
        <v>7423</v>
      </c>
      <c r="E557">
        <v>2</v>
      </c>
    </row>
    <row r="558" spans="1:5">
      <c r="A558" s="170">
        <v>32</v>
      </c>
      <c r="B558" t="s">
        <v>7423</v>
      </c>
      <c r="C558">
        <v>118</v>
      </c>
      <c r="D558" t="s">
        <v>7423</v>
      </c>
      <c r="E558">
        <v>1</v>
      </c>
    </row>
    <row r="559" spans="1:5">
      <c r="A559" s="170">
        <v>32</v>
      </c>
      <c r="B559" t="s">
        <v>7423</v>
      </c>
      <c r="C559">
        <v>118</v>
      </c>
      <c r="D559" t="s">
        <v>7423</v>
      </c>
      <c r="E559">
        <v>2</v>
      </c>
    </row>
    <row r="560" spans="1:5">
      <c r="A560" s="170">
        <v>32</v>
      </c>
      <c r="B560" t="s">
        <v>7423</v>
      </c>
      <c r="C560">
        <v>118</v>
      </c>
      <c r="D560" t="s">
        <v>7423</v>
      </c>
      <c r="E560">
        <v>3</v>
      </c>
    </row>
    <row r="561" spans="1:5">
      <c r="A561" s="170">
        <v>32</v>
      </c>
      <c r="B561" t="s">
        <v>7423</v>
      </c>
      <c r="C561">
        <v>118</v>
      </c>
      <c r="D561" t="s">
        <v>7423</v>
      </c>
      <c r="E561">
        <v>4</v>
      </c>
    </row>
    <row r="562" spans="1:5">
      <c r="A562" s="170">
        <v>32</v>
      </c>
      <c r="B562" t="s">
        <v>7423</v>
      </c>
      <c r="C562">
        <v>119</v>
      </c>
      <c r="D562" t="s">
        <v>7423</v>
      </c>
      <c r="E562">
        <v>1</v>
      </c>
    </row>
    <row r="563" spans="1:5">
      <c r="A563" s="170">
        <v>32</v>
      </c>
      <c r="B563" t="s">
        <v>7423</v>
      </c>
      <c r="C563">
        <v>119</v>
      </c>
      <c r="D563" t="s">
        <v>7423</v>
      </c>
      <c r="E563">
        <v>2</v>
      </c>
    </row>
    <row r="564" spans="1:5">
      <c r="A564" s="170">
        <v>32</v>
      </c>
      <c r="B564" t="s">
        <v>7423</v>
      </c>
      <c r="C564">
        <v>119</v>
      </c>
      <c r="D564" t="s">
        <v>7423</v>
      </c>
      <c r="E564">
        <v>3</v>
      </c>
    </row>
    <row r="565" spans="1:5">
      <c r="A565" s="170">
        <v>32</v>
      </c>
      <c r="B565" t="s">
        <v>7423</v>
      </c>
      <c r="C565">
        <v>119</v>
      </c>
      <c r="D565" t="s">
        <v>7423</v>
      </c>
      <c r="E565">
        <v>4</v>
      </c>
    </row>
    <row r="566" spans="1:5">
      <c r="A566" s="170">
        <v>32</v>
      </c>
      <c r="B566" t="s">
        <v>7423</v>
      </c>
      <c r="C566">
        <v>120</v>
      </c>
      <c r="D566" t="s">
        <v>7423</v>
      </c>
      <c r="E566">
        <v>1</v>
      </c>
    </row>
    <row r="567" spans="1:5">
      <c r="A567" s="170">
        <v>32</v>
      </c>
      <c r="B567" t="s">
        <v>7423</v>
      </c>
      <c r="C567">
        <v>120</v>
      </c>
      <c r="D567" t="s">
        <v>7423</v>
      </c>
      <c r="E567">
        <v>2</v>
      </c>
    </row>
    <row r="568" spans="1:5">
      <c r="A568" s="170">
        <v>32</v>
      </c>
      <c r="B568" t="s">
        <v>7423</v>
      </c>
      <c r="C568">
        <v>120</v>
      </c>
      <c r="D568" t="s">
        <v>7423</v>
      </c>
      <c r="E568">
        <v>3</v>
      </c>
    </row>
    <row r="569" spans="1:5">
      <c r="A569" s="170">
        <v>32</v>
      </c>
      <c r="B569" t="s">
        <v>7423</v>
      </c>
      <c r="C569">
        <v>120</v>
      </c>
      <c r="D569" t="s">
        <v>7423</v>
      </c>
      <c r="E569">
        <v>4</v>
      </c>
    </row>
    <row r="570" spans="1:5">
      <c r="A570" s="170">
        <v>32</v>
      </c>
      <c r="B570" t="s">
        <v>7423</v>
      </c>
      <c r="C570">
        <v>201</v>
      </c>
      <c r="D570" t="s">
        <v>7423</v>
      </c>
      <c r="E570">
        <v>1</v>
      </c>
    </row>
    <row r="571" spans="1:5">
      <c r="A571" s="170">
        <v>32</v>
      </c>
      <c r="B571" t="s">
        <v>7423</v>
      </c>
      <c r="C571">
        <v>202</v>
      </c>
      <c r="D571" t="s">
        <v>7423</v>
      </c>
      <c r="E571">
        <v>1</v>
      </c>
    </row>
    <row r="572" spans="1:5">
      <c r="A572" s="170">
        <v>32</v>
      </c>
      <c r="B572" t="s">
        <v>7423</v>
      </c>
      <c r="C572">
        <v>203</v>
      </c>
      <c r="D572" t="s">
        <v>7423</v>
      </c>
      <c r="E572">
        <v>1</v>
      </c>
    </row>
    <row r="573" spans="1:5">
      <c r="A573" s="170">
        <v>32</v>
      </c>
      <c r="B573" t="s">
        <v>7423</v>
      </c>
      <c r="C573">
        <v>203</v>
      </c>
      <c r="D573" t="s">
        <v>7423</v>
      </c>
      <c r="E573">
        <v>2</v>
      </c>
    </row>
    <row r="574" spans="1:5">
      <c r="A574" s="170">
        <v>32</v>
      </c>
      <c r="B574" t="s">
        <v>7423</v>
      </c>
      <c r="C574">
        <v>203</v>
      </c>
      <c r="D574" t="s">
        <v>7423</v>
      </c>
      <c r="E574">
        <v>3</v>
      </c>
    </row>
    <row r="575" spans="1:5">
      <c r="A575" s="170">
        <v>32</v>
      </c>
      <c r="B575" t="s">
        <v>7423</v>
      </c>
      <c r="C575">
        <v>203</v>
      </c>
      <c r="D575" t="s">
        <v>7423</v>
      </c>
      <c r="E575">
        <v>4</v>
      </c>
    </row>
    <row r="576" spans="1:5">
      <c r="A576" s="170">
        <v>32</v>
      </c>
      <c r="B576" t="s">
        <v>7423</v>
      </c>
      <c r="C576">
        <v>204</v>
      </c>
      <c r="D576" t="s">
        <v>7423</v>
      </c>
      <c r="E576">
        <v>1</v>
      </c>
    </row>
    <row r="577" spans="1:5">
      <c r="A577" s="170">
        <v>32</v>
      </c>
      <c r="B577" t="s">
        <v>7423</v>
      </c>
      <c r="C577">
        <v>204</v>
      </c>
      <c r="D577" t="s">
        <v>7423</v>
      </c>
      <c r="E577">
        <v>2</v>
      </c>
    </row>
    <row r="578" spans="1:5">
      <c r="A578" s="170">
        <v>32</v>
      </c>
      <c r="B578" t="s">
        <v>7423</v>
      </c>
      <c r="C578">
        <v>204</v>
      </c>
      <c r="D578" t="s">
        <v>7423</v>
      </c>
      <c r="E578">
        <v>3</v>
      </c>
    </row>
    <row r="579" spans="1:5">
      <c r="A579" s="170">
        <v>32</v>
      </c>
      <c r="B579" t="s">
        <v>7423</v>
      </c>
      <c r="C579">
        <v>204</v>
      </c>
      <c r="D579" t="s">
        <v>7423</v>
      </c>
      <c r="E579">
        <v>4</v>
      </c>
    </row>
    <row r="580" spans="1:5">
      <c r="A580" s="170">
        <v>32</v>
      </c>
      <c r="B580" t="s">
        <v>7423</v>
      </c>
      <c r="C580">
        <v>205</v>
      </c>
      <c r="D580" t="s">
        <v>7423</v>
      </c>
      <c r="E580">
        <v>1</v>
      </c>
    </row>
    <row r="581" spans="1:5">
      <c r="A581" s="170">
        <v>32</v>
      </c>
      <c r="B581" t="s">
        <v>7423</v>
      </c>
      <c r="C581">
        <v>205</v>
      </c>
      <c r="D581" t="s">
        <v>7423</v>
      </c>
      <c r="E581">
        <v>2</v>
      </c>
    </row>
    <row r="582" spans="1:5">
      <c r="A582" s="170">
        <v>32</v>
      </c>
      <c r="B582" t="s">
        <v>7423</v>
      </c>
      <c r="C582">
        <v>205</v>
      </c>
      <c r="D582" t="s">
        <v>7423</v>
      </c>
      <c r="E582">
        <v>3</v>
      </c>
    </row>
    <row r="583" spans="1:5">
      <c r="A583" s="170">
        <v>32</v>
      </c>
      <c r="B583" t="s">
        <v>7423</v>
      </c>
      <c r="C583">
        <v>205</v>
      </c>
      <c r="D583" t="s">
        <v>7423</v>
      </c>
      <c r="E583">
        <v>4</v>
      </c>
    </row>
    <row r="584" spans="1:5">
      <c r="A584" s="170">
        <v>32</v>
      </c>
      <c r="B584" t="s">
        <v>7423</v>
      </c>
      <c r="C584">
        <v>206</v>
      </c>
      <c r="D584" t="s">
        <v>7423</v>
      </c>
      <c r="E584">
        <v>1</v>
      </c>
    </row>
    <row r="585" spans="1:5">
      <c r="A585" s="170">
        <v>32</v>
      </c>
      <c r="B585" t="s">
        <v>7423</v>
      </c>
      <c r="C585">
        <v>206</v>
      </c>
      <c r="D585" t="s">
        <v>7423</v>
      </c>
      <c r="E585">
        <v>2</v>
      </c>
    </row>
    <row r="586" spans="1:5">
      <c r="A586" s="170">
        <v>32</v>
      </c>
      <c r="B586" t="s">
        <v>7423</v>
      </c>
      <c r="C586">
        <v>206</v>
      </c>
      <c r="D586" t="s">
        <v>7423</v>
      </c>
      <c r="E586">
        <v>3</v>
      </c>
    </row>
    <row r="587" spans="1:5">
      <c r="A587" s="170">
        <v>32</v>
      </c>
      <c r="B587" t="s">
        <v>7423</v>
      </c>
      <c r="C587">
        <v>206</v>
      </c>
      <c r="D587" t="s">
        <v>7423</v>
      </c>
      <c r="E587">
        <v>4</v>
      </c>
    </row>
    <row r="588" spans="1:5">
      <c r="A588" s="170">
        <v>32</v>
      </c>
      <c r="B588" t="s">
        <v>7423</v>
      </c>
      <c r="C588">
        <v>207</v>
      </c>
      <c r="D588" t="s">
        <v>7423</v>
      </c>
      <c r="E588">
        <v>1</v>
      </c>
    </row>
    <row r="589" spans="1:5">
      <c r="A589" s="170">
        <v>32</v>
      </c>
      <c r="B589" t="s">
        <v>7423</v>
      </c>
      <c r="C589">
        <v>207</v>
      </c>
      <c r="D589" t="s">
        <v>7423</v>
      </c>
      <c r="E589">
        <v>2</v>
      </c>
    </row>
    <row r="590" spans="1:5">
      <c r="A590" s="170">
        <v>32</v>
      </c>
      <c r="B590" t="s">
        <v>7423</v>
      </c>
      <c r="C590">
        <v>207</v>
      </c>
      <c r="D590" t="s">
        <v>7423</v>
      </c>
      <c r="E590">
        <v>3</v>
      </c>
    </row>
    <row r="591" spans="1:5">
      <c r="A591" s="170">
        <v>32</v>
      </c>
      <c r="B591" t="s">
        <v>7423</v>
      </c>
      <c r="C591">
        <v>207</v>
      </c>
      <c r="D591" t="s">
        <v>7423</v>
      </c>
      <c r="E591">
        <v>4</v>
      </c>
    </row>
    <row r="592" spans="1:5">
      <c r="A592" s="170">
        <v>32</v>
      </c>
      <c r="B592" t="s">
        <v>7423</v>
      </c>
      <c r="C592">
        <v>208</v>
      </c>
      <c r="D592" t="s">
        <v>7423</v>
      </c>
      <c r="E592">
        <v>1</v>
      </c>
    </row>
    <row r="593" spans="1:5">
      <c r="A593" s="170">
        <v>32</v>
      </c>
      <c r="B593" t="s">
        <v>7423</v>
      </c>
      <c r="C593">
        <v>208</v>
      </c>
      <c r="D593" t="s">
        <v>7423</v>
      </c>
      <c r="E593">
        <v>2</v>
      </c>
    </row>
    <row r="594" spans="1:5">
      <c r="A594" s="170">
        <v>32</v>
      </c>
      <c r="B594" t="s">
        <v>7423</v>
      </c>
      <c r="C594">
        <v>208</v>
      </c>
      <c r="D594" t="s">
        <v>7423</v>
      </c>
      <c r="E594">
        <v>3</v>
      </c>
    </row>
    <row r="595" spans="1:5">
      <c r="A595" s="170">
        <v>32</v>
      </c>
      <c r="B595" t="s">
        <v>7423</v>
      </c>
      <c r="C595">
        <v>208</v>
      </c>
      <c r="D595" t="s">
        <v>7423</v>
      </c>
      <c r="E595">
        <v>4</v>
      </c>
    </row>
    <row r="596" spans="1:5">
      <c r="A596" s="170">
        <v>32</v>
      </c>
      <c r="B596" t="s">
        <v>7423</v>
      </c>
      <c r="C596">
        <v>209</v>
      </c>
      <c r="D596" t="s">
        <v>7423</v>
      </c>
      <c r="E596">
        <v>2</v>
      </c>
    </row>
    <row r="597" spans="1:5">
      <c r="A597" s="170">
        <v>32</v>
      </c>
      <c r="B597" t="s">
        <v>7423</v>
      </c>
      <c r="C597">
        <v>209</v>
      </c>
      <c r="D597" t="s">
        <v>7423</v>
      </c>
      <c r="E597">
        <v>3</v>
      </c>
    </row>
    <row r="598" spans="1:5">
      <c r="A598" s="170">
        <v>32</v>
      </c>
      <c r="B598" t="s">
        <v>7423</v>
      </c>
      <c r="C598">
        <v>209</v>
      </c>
      <c r="D598" t="s">
        <v>7423</v>
      </c>
      <c r="E598">
        <v>4</v>
      </c>
    </row>
    <row r="599" spans="1:5">
      <c r="A599" s="170">
        <v>32</v>
      </c>
      <c r="B599" t="s">
        <v>7423</v>
      </c>
      <c r="C599">
        <v>210</v>
      </c>
      <c r="D599" t="s">
        <v>7423</v>
      </c>
      <c r="E599">
        <v>1</v>
      </c>
    </row>
    <row r="600" spans="1:5">
      <c r="A600" s="170">
        <v>32</v>
      </c>
      <c r="B600" t="s">
        <v>7423</v>
      </c>
      <c r="C600">
        <v>210</v>
      </c>
      <c r="D600" t="s">
        <v>7423</v>
      </c>
      <c r="E600">
        <v>2</v>
      </c>
    </row>
    <row r="601" spans="1:5">
      <c r="A601" s="170">
        <v>32</v>
      </c>
      <c r="B601" t="s">
        <v>7423</v>
      </c>
      <c r="C601">
        <v>210</v>
      </c>
      <c r="D601" t="s">
        <v>7423</v>
      </c>
      <c r="E601">
        <v>3</v>
      </c>
    </row>
    <row r="602" spans="1:5">
      <c r="A602" s="170">
        <v>32</v>
      </c>
      <c r="B602" t="s">
        <v>7423</v>
      </c>
      <c r="C602">
        <v>211</v>
      </c>
      <c r="D602" t="s">
        <v>7423</v>
      </c>
      <c r="E602">
        <v>1</v>
      </c>
    </row>
    <row r="603" spans="1:5">
      <c r="A603" s="170">
        <v>32</v>
      </c>
      <c r="B603" t="s">
        <v>7423</v>
      </c>
      <c r="C603">
        <v>211</v>
      </c>
      <c r="D603" t="s">
        <v>7423</v>
      </c>
      <c r="E603">
        <v>2</v>
      </c>
    </row>
    <row r="604" spans="1:5">
      <c r="A604" s="170">
        <v>32</v>
      </c>
      <c r="B604" t="s">
        <v>7423</v>
      </c>
      <c r="C604">
        <v>211</v>
      </c>
      <c r="D604" t="s">
        <v>7423</v>
      </c>
      <c r="E604">
        <v>3</v>
      </c>
    </row>
    <row r="605" spans="1:5">
      <c r="A605" s="170">
        <v>32</v>
      </c>
      <c r="B605" t="s">
        <v>7423</v>
      </c>
      <c r="C605">
        <v>211</v>
      </c>
      <c r="D605" t="s">
        <v>7423</v>
      </c>
      <c r="E605">
        <v>4</v>
      </c>
    </row>
    <row r="606" spans="1:5">
      <c r="A606" s="170">
        <v>32</v>
      </c>
      <c r="B606" t="s">
        <v>7423</v>
      </c>
      <c r="C606">
        <v>212</v>
      </c>
      <c r="D606" t="s">
        <v>7423</v>
      </c>
      <c r="E606">
        <v>1</v>
      </c>
    </row>
    <row r="607" spans="1:5">
      <c r="A607" s="170">
        <v>32</v>
      </c>
      <c r="B607" t="s">
        <v>7423</v>
      </c>
      <c r="C607">
        <v>212</v>
      </c>
      <c r="D607" t="s">
        <v>7423</v>
      </c>
      <c r="E607">
        <v>2</v>
      </c>
    </row>
    <row r="608" spans="1:5">
      <c r="A608" s="170">
        <v>32</v>
      </c>
      <c r="B608" t="s">
        <v>7423</v>
      </c>
      <c r="C608">
        <v>212</v>
      </c>
      <c r="D608" t="s">
        <v>7423</v>
      </c>
      <c r="E608">
        <v>3</v>
      </c>
    </row>
    <row r="609" spans="1:5">
      <c r="A609" s="170">
        <v>32</v>
      </c>
      <c r="B609" t="s">
        <v>7423</v>
      </c>
      <c r="C609">
        <v>212</v>
      </c>
      <c r="D609" t="s">
        <v>7423</v>
      </c>
      <c r="E609">
        <v>4</v>
      </c>
    </row>
    <row r="610" spans="1:5">
      <c r="A610" s="170">
        <v>32</v>
      </c>
      <c r="B610" t="s">
        <v>7423</v>
      </c>
      <c r="C610">
        <v>213</v>
      </c>
      <c r="D610" t="s">
        <v>7423</v>
      </c>
      <c r="E610">
        <v>1</v>
      </c>
    </row>
    <row r="611" spans="1:5">
      <c r="A611" s="170">
        <v>32</v>
      </c>
      <c r="B611" t="s">
        <v>7423</v>
      </c>
      <c r="C611">
        <v>213</v>
      </c>
      <c r="D611" t="s">
        <v>7423</v>
      </c>
      <c r="E611">
        <v>2</v>
      </c>
    </row>
    <row r="612" spans="1:5">
      <c r="A612" s="170">
        <v>32</v>
      </c>
      <c r="B612" t="s">
        <v>7423</v>
      </c>
      <c r="C612">
        <v>213</v>
      </c>
      <c r="D612" t="s">
        <v>7423</v>
      </c>
      <c r="E612">
        <v>3</v>
      </c>
    </row>
    <row r="613" spans="1:5">
      <c r="A613" s="170">
        <v>32</v>
      </c>
      <c r="B613" t="s">
        <v>7423</v>
      </c>
      <c r="C613">
        <v>213</v>
      </c>
      <c r="D613" t="s">
        <v>7423</v>
      </c>
      <c r="E613">
        <v>4</v>
      </c>
    </row>
    <row r="614" spans="1:5">
      <c r="A614" s="170">
        <v>32</v>
      </c>
      <c r="B614" t="s">
        <v>7423</v>
      </c>
      <c r="C614">
        <v>214</v>
      </c>
      <c r="D614" t="s">
        <v>7423</v>
      </c>
      <c r="E614">
        <v>1</v>
      </c>
    </row>
    <row r="615" spans="1:5">
      <c r="A615" s="170">
        <v>32</v>
      </c>
      <c r="B615" t="s">
        <v>7423</v>
      </c>
      <c r="C615">
        <v>214</v>
      </c>
      <c r="D615" t="s">
        <v>7423</v>
      </c>
      <c r="E615">
        <v>2</v>
      </c>
    </row>
    <row r="616" spans="1:5">
      <c r="A616" s="170">
        <v>32</v>
      </c>
      <c r="B616" t="s">
        <v>7423</v>
      </c>
      <c r="C616">
        <v>214</v>
      </c>
      <c r="D616" t="s">
        <v>7423</v>
      </c>
      <c r="E616">
        <v>3</v>
      </c>
    </row>
    <row r="617" spans="1:5">
      <c r="A617" s="170">
        <v>32</v>
      </c>
      <c r="B617" t="s">
        <v>7423</v>
      </c>
      <c r="C617">
        <v>214</v>
      </c>
      <c r="D617" t="s">
        <v>7423</v>
      </c>
      <c r="E617">
        <v>4</v>
      </c>
    </row>
    <row r="618" spans="1:5">
      <c r="A618" s="170">
        <v>32</v>
      </c>
      <c r="B618" t="s">
        <v>7423</v>
      </c>
      <c r="C618">
        <v>215</v>
      </c>
      <c r="D618" t="s">
        <v>7423</v>
      </c>
      <c r="E618">
        <v>1</v>
      </c>
    </row>
    <row r="619" spans="1:5">
      <c r="A619" s="170">
        <v>32</v>
      </c>
      <c r="B619" t="s">
        <v>7423</v>
      </c>
      <c r="C619">
        <v>215</v>
      </c>
      <c r="D619" t="s">
        <v>7423</v>
      </c>
      <c r="E619">
        <v>2</v>
      </c>
    </row>
    <row r="620" spans="1:5">
      <c r="A620" s="170">
        <v>32</v>
      </c>
      <c r="B620" t="s">
        <v>7423</v>
      </c>
      <c r="C620">
        <v>215</v>
      </c>
      <c r="D620" t="s">
        <v>7423</v>
      </c>
      <c r="E620">
        <v>3</v>
      </c>
    </row>
    <row r="621" spans="1:5">
      <c r="A621" s="170">
        <v>32</v>
      </c>
      <c r="B621" t="s">
        <v>7423</v>
      </c>
      <c r="C621">
        <v>215</v>
      </c>
      <c r="D621" t="s">
        <v>7423</v>
      </c>
      <c r="E621">
        <v>4</v>
      </c>
    </row>
    <row r="622" spans="1:5">
      <c r="A622" s="170">
        <v>32</v>
      </c>
      <c r="B622" t="s">
        <v>7423</v>
      </c>
      <c r="C622">
        <v>216</v>
      </c>
      <c r="D622" t="s">
        <v>7423</v>
      </c>
      <c r="E622">
        <v>1</v>
      </c>
    </row>
    <row r="623" spans="1:5">
      <c r="A623" s="170">
        <v>32</v>
      </c>
      <c r="B623" t="s">
        <v>7423</v>
      </c>
      <c r="C623">
        <v>216</v>
      </c>
      <c r="D623" t="s">
        <v>7423</v>
      </c>
      <c r="E623">
        <v>2</v>
      </c>
    </row>
    <row r="624" spans="1:5">
      <c r="A624" s="170">
        <v>32</v>
      </c>
      <c r="B624" t="s">
        <v>7423</v>
      </c>
      <c r="C624">
        <v>216</v>
      </c>
      <c r="D624" t="s">
        <v>7423</v>
      </c>
      <c r="E624">
        <v>3</v>
      </c>
    </row>
    <row r="625" spans="1:5">
      <c r="A625" s="170">
        <v>32</v>
      </c>
      <c r="B625" t="s">
        <v>7423</v>
      </c>
      <c r="C625">
        <v>216</v>
      </c>
      <c r="D625" t="s">
        <v>7423</v>
      </c>
      <c r="E625">
        <v>4</v>
      </c>
    </row>
    <row r="626" spans="1:5">
      <c r="A626" s="170">
        <v>32</v>
      </c>
      <c r="B626" t="s">
        <v>7423</v>
      </c>
      <c r="C626">
        <v>217</v>
      </c>
      <c r="D626" t="s">
        <v>7423</v>
      </c>
      <c r="E626">
        <v>1</v>
      </c>
    </row>
    <row r="627" spans="1:5">
      <c r="A627" s="170">
        <v>32</v>
      </c>
      <c r="B627" t="s">
        <v>7423</v>
      </c>
      <c r="C627">
        <v>217</v>
      </c>
      <c r="D627" t="s">
        <v>7423</v>
      </c>
      <c r="E627">
        <v>2</v>
      </c>
    </row>
    <row r="628" spans="1:5">
      <c r="A628" s="170">
        <v>32</v>
      </c>
      <c r="B628" t="s">
        <v>7423</v>
      </c>
      <c r="C628">
        <v>217</v>
      </c>
      <c r="D628" t="s">
        <v>7423</v>
      </c>
      <c r="E628">
        <v>3</v>
      </c>
    </row>
    <row r="629" spans="1:5">
      <c r="A629" s="170">
        <v>32</v>
      </c>
      <c r="B629" t="s">
        <v>7423</v>
      </c>
      <c r="C629">
        <v>217</v>
      </c>
      <c r="D629" t="s">
        <v>7423</v>
      </c>
      <c r="E629">
        <v>4</v>
      </c>
    </row>
    <row r="630" spans="1:5">
      <c r="A630" s="170">
        <v>32</v>
      </c>
      <c r="B630" t="s">
        <v>7423</v>
      </c>
      <c r="C630">
        <v>218</v>
      </c>
      <c r="D630" t="s">
        <v>7423</v>
      </c>
      <c r="E630">
        <v>1</v>
      </c>
    </row>
    <row r="631" spans="1:5">
      <c r="A631" s="170">
        <v>32</v>
      </c>
      <c r="B631" t="s">
        <v>7423</v>
      </c>
      <c r="C631">
        <v>218</v>
      </c>
      <c r="D631" t="s">
        <v>7423</v>
      </c>
      <c r="E631">
        <v>2</v>
      </c>
    </row>
    <row r="632" spans="1:5">
      <c r="A632" s="170">
        <v>32</v>
      </c>
      <c r="B632" t="s">
        <v>7423</v>
      </c>
      <c r="C632">
        <v>218</v>
      </c>
      <c r="D632" t="s">
        <v>7423</v>
      </c>
      <c r="E632">
        <v>3</v>
      </c>
    </row>
    <row r="633" spans="1:5">
      <c r="A633" s="170">
        <v>32</v>
      </c>
      <c r="B633" t="s">
        <v>7423</v>
      </c>
      <c r="C633">
        <v>218</v>
      </c>
      <c r="D633" t="s">
        <v>7423</v>
      </c>
      <c r="E633">
        <v>4</v>
      </c>
    </row>
    <row r="634" spans="1:5">
      <c r="A634" s="170">
        <v>32</v>
      </c>
      <c r="B634" t="s">
        <v>7423</v>
      </c>
      <c r="C634">
        <v>219</v>
      </c>
      <c r="D634" t="s">
        <v>7423</v>
      </c>
      <c r="E634">
        <v>3</v>
      </c>
    </row>
    <row r="635" spans="1:5">
      <c r="A635" s="170">
        <v>32</v>
      </c>
      <c r="B635" t="s">
        <v>7423</v>
      </c>
      <c r="C635">
        <v>220</v>
      </c>
      <c r="D635" t="s">
        <v>7423</v>
      </c>
      <c r="E635">
        <v>1</v>
      </c>
    </row>
    <row r="636" spans="1:5">
      <c r="A636" s="170">
        <v>33</v>
      </c>
      <c r="B636" t="s">
        <v>7423</v>
      </c>
      <c r="C636">
        <v>101</v>
      </c>
      <c r="D636" t="s">
        <v>7423</v>
      </c>
      <c r="E636">
        <v>1</v>
      </c>
    </row>
    <row r="637" spans="1:5">
      <c r="A637" s="170">
        <v>33</v>
      </c>
      <c r="B637" t="s">
        <v>7423</v>
      </c>
      <c r="C637">
        <v>101</v>
      </c>
      <c r="D637" t="s">
        <v>7423</v>
      </c>
      <c r="E637">
        <v>2</v>
      </c>
    </row>
    <row r="638" spans="1:5">
      <c r="A638" s="170">
        <v>33</v>
      </c>
      <c r="B638" t="s">
        <v>7423</v>
      </c>
      <c r="C638">
        <v>102</v>
      </c>
      <c r="D638" t="s">
        <v>7423</v>
      </c>
      <c r="E638">
        <v>1</v>
      </c>
    </row>
    <row r="639" spans="1:5">
      <c r="A639" s="170">
        <v>33</v>
      </c>
      <c r="B639" t="s">
        <v>7423</v>
      </c>
      <c r="C639">
        <v>102</v>
      </c>
      <c r="D639" t="s">
        <v>7423</v>
      </c>
      <c r="E639">
        <v>2</v>
      </c>
    </row>
    <row r="640" spans="1:5">
      <c r="A640" s="170">
        <v>33</v>
      </c>
      <c r="B640" t="s">
        <v>7423</v>
      </c>
      <c r="C640">
        <v>103</v>
      </c>
      <c r="D640" t="s">
        <v>7423</v>
      </c>
      <c r="E640">
        <v>1</v>
      </c>
    </row>
    <row r="641" spans="1:5">
      <c r="A641" s="170">
        <v>33</v>
      </c>
      <c r="B641" t="s">
        <v>7423</v>
      </c>
      <c r="C641">
        <v>103</v>
      </c>
      <c r="D641" t="s">
        <v>7423</v>
      </c>
      <c r="E641">
        <v>2</v>
      </c>
    </row>
    <row r="642" spans="1:5">
      <c r="A642" s="170">
        <v>33</v>
      </c>
      <c r="B642" t="s">
        <v>7423</v>
      </c>
      <c r="C642">
        <v>104</v>
      </c>
      <c r="D642" t="s">
        <v>7423</v>
      </c>
      <c r="E642">
        <v>1</v>
      </c>
    </row>
    <row r="643" spans="1:5">
      <c r="A643" s="170">
        <v>33</v>
      </c>
      <c r="B643" t="s">
        <v>7423</v>
      </c>
      <c r="C643">
        <v>104</v>
      </c>
      <c r="D643" t="s">
        <v>7423</v>
      </c>
      <c r="E643">
        <v>2</v>
      </c>
    </row>
    <row r="644" spans="1:5">
      <c r="A644" s="170">
        <v>33</v>
      </c>
      <c r="B644" t="s">
        <v>7423</v>
      </c>
      <c r="C644">
        <v>105</v>
      </c>
      <c r="D644" t="s">
        <v>7423</v>
      </c>
      <c r="E644">
        <v>1</v>
      </c>
    </row>
    <row r="645" spans="1:5">
      <c r="A645" s="170">
        <v>33</v>
      </c>
      <c r="B645" t="s">
        <v>7423</v>
      </c>
      <c r="C645">
        <v>105</v>
      </c>
      <c r="D645" t="s">
        <v>7423</v>
      </c>
      <c r="E645">
        <v>2</v>
      </c>
    </row>
    <row r="646" spans="1:5">
      <c r="A646" s="170">
        <v>33</v>
      </c>
      <c r="B646" t="s">
        <v>7423</v>
      </c>
      <c r="C646">
        <v>105</v>
      </c>
      <c r="D646" t="s">
        <v>7423</v>
      </c>
      <c r="E646">
        <v>3</v>
      </c>
    </row>
    <row r="647" spans="1:5">
      <c r="A647" s="170">
        <v>33</v>
      </c>
      <c r="B647" t="s">
        <v>7423</v>
      </c>
      <c r="C647">
        <v>106</v>
      </c>
      <c r="D647" t="s">
        <v>7423</v>
      </c>
      <c r="E647">
        <v>1</v>
      </c>
    </row>
    <row r="648" spans="1:5">
      <c r="A648" s="170">
        <v>33</v>
      </c>
      <c r="B648" t="s">
        <v>7423</v>
      </c>
      <c r="C648">
        <v>106</v>
      </c>
      <c r="D648" t="s">
        <v>7423</v>
      </c>
      <c r="E648">
        <v>2</v>
      </c>
    </row>
    <row r="649" spans="1:5">
      <c r="A649" s="170">
        <v>33</v>
      </c>
      <c r="B649" t="s">
        <v>7423</v>
      </c>
      <c r="C649">
        <v>107</v>
      </c>
      <c r="D649" t="s">
        <v>7423</v>
      </c>
      <c r="E649">
        <v>1</v>
      </c>
    </row>
    <row r="650" spans="1:5">
      <c r="A650" s="170">
        <v>33</v>
      </c>
      <c r="B650" t="s">
        <v>7423</v>
      </c>
      <c r="C650">
        <v>107</v>
      </c>
      <c r="D650" t="s">
        <v>7423</v>
      </c>
      <c r="E650">
        <v>2</v>
      </c>
    </row>
    <row r="651" spans="1:5">
      <c r="A651" s="170">
        <v>33</v>
      </c>
      <c r="B651" t="s">
        <v>7423</v>
      </c>
      <c r="C651">
        <v>108</v>
      </c>
      <c r="D651" t="s">
        <v>7423</v>
      </c>
      <c r="E651">
        <v>1</v>
      </c>
    </row>
    <row r="652" spans="1:5">
      <c r="A652" s="170">
        <v>33</v>
      </c>
      <c r="B652" t="s">
        <v>7423</v>
      </c>
      <c r="C652">
        <v>108</v>
      </c>
      <c r="D652" t="s">
        <v>7423</v>
      </c>
      <c r="E652">
        <v>2</v>
      </c>
    </row>
    <row r="653" spans="1:5">
      <c r="A653" s="170">
        <v>33</v>
      </c>
      <c r="B653" t="s">
        <v>7423</v>
      </c>
      <c r="C653">
        <v>109</v>
      </c>
      <c r="D653" t="s">
        <v>7423</v>
      </c>
      <c r="E653">
        <v>1</v>
      </c>
    </row>
    <row r="654" spans="1:5">
      <c r="A654" s="170">
        <v>33</v>
      </c>
      <c r="B654" t="s">
        <v>7423</v>
      </c>
      <c r="C654">
        <v>110</v>
      </c>
      <c r="D654" t="s">
        <v>7423</v>
      </c>
      <c r="E654">
        <v>1</v>
      </c>
    </row>
    <row r="655" spans="1:5">
      <c r="A655" s="170">
        <v>33</v>
      </c>
      <c r="B655" t="s">
        <v>7423</v>
      </c>
      <c r="C655">
        <v>111</v>
      </c>
      <c r="D655" t="s">
        <v>7423</v>
      </c>
      <c r="E655">
        <v>1</v>
      </c>
    </row>
    <row r="656" spans="1:5">
      <c r="A656" s="170">
        <v>33</v>
      </c>
      <c r="B656" t="s">
        <v>7423</v>
      </c>
      <c r="C656">
        <v>112</v>
      </c>
      <c r="D656" t="s">
        <v>7423</v>
      </c>
      <c r="E656">
        <v>1</v>
      </c>
    </row>
    <row r="657" spans="1:5">
      <c r="A657" s="170">
        <v>33</v>
      </c>
      <c r="B657" t="s">
        <v>7423</v>
      </c>
      <c r="C657">
        <v>113</v>
      </c>
      <c r="D657" t="s">
        <v>7423</v>
      </c>
      <c r="E657">
        <v>1</v>
      </c>
    </row>
    <row r="658" spans="1:5">
      <c r="A658" s="170">
        <v>33</v>
      </c>
      <c r="B658" t="s">
        <v>7423</v>
      </c>
      <c r="C658">
        <v>114</v>
      </c>
      <c r="D658" t="s">
        <v>7423</v>
      </c>
      <c r="E658">
        <v>1</v>
      </c>
    </row>
    <row r="659" spans="1:5">
      <c r="A659" s="170">
        <v>33</v>
      </c>
      <c r="B659" t="s">
        <v>7423</v>
      </c>
      <c r="C659">
        <v>114</v>
      </c>
      <c r="D659" t="s">
        <v>7423</v>
      </c>
      <c r="E659">
        <v>2</v>
      </c>
    </row>
    <row r="660" spans="1:5">
      <c r="A660" s="170">
        <v>33</v>
      </c>
      <c r="B660" t="s">
        <v>7423</v>
      </c>
      <c r="C660">
        <v>115</v>
      </c>
      <c r="D660" t="s">
        <v>7423</v>
      </c>
      <c r="E660">
        <v>2</v>
      </c>
    </row>
    <row r="661" spans="1:5">
      <c r="A661" s="170">
        <v>33</v>
      </c>
      <c r="B661" t="s">
        <v>7423</v>
      </c>
      <c r="C661">
        <v>115</v>
      </c>
      <c r="D661" t="s">
        <v>7423</v>
      </c>
      <c r="E661">
        <v>3</v>
      </c>
    </row>
    <row r="662" spans="1:5">
      <c r="A662" s="170">
        <v>33</v>
      </c>
      <c r="B662" t="s">
        <v>7423</v>
      </c>
      <c r="C662">
        <v>116</v>
      </c>
      <c r="D662" t="s">
        <v>7423</v>
      </c>
      <c r="E662">
        <v>1</v>
      </c>
    </row>
    <row r="663" spans="1:5">
      <c r="A663" s="170">
        <v>33</v>
      </c>
      <c r="B663" t="s">
        <v>7423</v>
      </c>
      <c r="C663">
        <v>116</v>
      </c>
      <c r="D663" t="s">
        <v>7423</v>
      </c>
      <c r="E663">
        <v>2</v>
      </c>
    </row>
    <row r="664" spans="1:5">
      <c r="A664" s="170">
        <v>33</v>
      </c>
      <c r="B664" t="s">
        <v>7423</v>
      </c>
      <c r="C664">
        <v>116</v>
      </c>
      <c r="D664" t="s">
        <v>7423</v>
      </c>
      <c r="E664">
        <v>3</v>
      </c>
    </row>
    <row r="665" spans="1:5">
      <c r="A665" s="170">
        <v>33</v>
      </c>
      <c r="B665" t="s">
        <v>7423</v>
      </c>
      <c r="C665">
        <v>117</v>
      </c>
      <c r="D665" t="s">
        <v>7423</v>
      </c>
      <c r="E665">
        <v>1</v>
      </c>
    </row>
    <row r="666" spans="1:5">
      <c r="A666" s="170">
        <v>33</v>
      </c>
      <c r="B666" t="s">
        <v>7423</v>
      </c>
      <c r="C666">
        <v>117</v>
      </c>
      <c r="D666" t="s">
        <v>7423</v>
      </c>
      <c r="E666">
        <v>2</v>
      </c>
    </row>
    <row r="667" spans="1:5">
      <c r="A667" s="170">
        <v>33</v>
      </c>
      <c r="B667" t="s">
        <v>7423</v>
      </c>
      <c r="C667">
        <v>117</v>
      </c>
      <c r="D667" t="s">
        <v>7423</v>
      </c>
      <c r="E667">
        <v>3</v>
      </c>
    </row>
    <row r="668" spans="1:5">
      <c r="A668" s="170">
        <v>33</v>
      </c>
      <c r="B668" t="s">
        <v>7423</v>
      </c>
      <c r="C668">
        <v>118</v>
      </c>
      <c r="D668" t="s">
        <v>7423</v>
      </c>
      <c r="E668">
        <v>2</v>
      </c>
    </row>
    <row r="669" spans="1:5">
      <c r="A669" s="170">
        <v>33</v>
      </c>
      <c r="B669" t="s">
        <v>7423</v>
      </c>
      <c r="C669">
        <v>118</v>
      </c>
      <c r="D669" t="s">
        <v>7423</v>
      </c>
      <c r="E669">
        <v>3</v>
      </c>
    </row>
    <row r="670" spans="1:5">
      <c r="A670" s="170">
        <v>33</v>
      </c>
      <c r="B670" t="s">
        <v>7423</v>
      </c>
      <c r="C670">
        <v>119</v>
      </c>
      <c r="D670" t="s">
        <v>7423</v>
      </c>
      <c r="E670">
        <v>1</v>
      </c>
    </row>
    <row r="671" spans="1:5">
      <c r="A671" s="170">
        <v>33</v>
      </c>
      <c r="B671" t="s">
        <v>7423</v>
      </c>
      <c r="C671">
        <v>119</v>
      </c>
      <c r="D671" t="s">
        <v>7423</v>
      </c>
      <c r="E671">
        <v>2</v>
      </c>
    </row>
    <row r="672" spans="1:5">
      <c r="A672" s="170">
        <v>33</v>
      </c>
      <c r="B672" t="s">
        <v>7423</v>
      </c>
      <c r="C672">
        <v>119</v>
      </c>
      <c r="D672" t="s">
        <v>7423</v>
      </c>
      <c r="E672">
        <v>3</v>
      </c>
    </row>
    <row r="673" spans="1:5">
      <c r="A673" s="170">
        <v>33</v>
      </c>
      <c r="B673" t="s">
        <v>7423</v>
      </c>
      <c r="C673">
        <v>120</v>
      </c>
      <c r="D673" t="s">
        <v>7423</v>
      </c>
      <c r="E673">
        <v>1</v>
      </c>
    </row>
    <row r="674" spans="1:5">
      <c r="A674" s="170">
        <v>33</v>
      </c>
      <c r="B674" t="s">
        <v>7423</v>
      </c>
      <c r="C674">
        <v>120</v>
      </c>
      <c r="D674" t="s">
        <v>7423</v>
      </c>
      <c r="E674">
        <v>2</v>
      </c>
    </row>
    <row r="675" spans="1:5">
      <c r="A675" s="170">
        <v>33</v>
      </c>
      <c r="B675" t="s">
        <v>7423</v>
      </c>
      <c r="C675">
        <v>201</v>
      </c>
      <c r="D675" t="s">
        <v>7423</v>
      </c>
      <c r="E675">
        <v>1</v>
      </c>
    </row>
    <row r="676" spans="1:5">
      <c r="A676" s="170">
        <v>33</v>
      </c>
      <c r="B676" t="s">
        <v>7423</v>
      </c>
      <c r="C676">
        <v>201</v>
      </c>
      <c r="D676" t="s">
        <v>7423</v>
      </c>
      <c r="E676">
        <v>2</v>
      </c>
    </row>
    <row r="677" spans="1:5">
      <c r="A677" s="170">
        <v>33</v>
      </c>
      <c r="B677" t="s">
        <v>7423</v>
      </c>
      <c r="C677">
        <v>202</v>
      </c>
      <c r="D677" t="s">
        <v>7423</v>
      </c>
      <c r="E677">
        <v>1</v>
      </c>
    </row>
    <row r="678" spans="1:5">
      <c r="A678" s="170">
        <v>33</v>
      </c>
      <c r="B678" t="s">
        <v>7423</v>
      </c>
      <c r="C678">
        <v>202</v>
      </c>
      <c r="D678" t="s">
        <v>7423</v>
      </c>
      <c r="E678">
        <v>2</v>
      </c>
    </row>
    <row r="679" spans="1:5">
      <c r="A679" s="170">
        <v>33</v>
      </c>
      <c r="B679" t="s">
        <v>7423</v>
      </c>
      <c r="C679">
        <v>203</v>
      </c>
      <c r="D679" t="s">
        <v>7423</v>
      </c>
      <c r="E679">
        <v>1</v>
      </c>
    </row>
    <row r="680" spans="1:5">
      <c r="A680" s="170">
        <v>33</v>
      </c>
      <c r="B680" t="s">
        <v>7423</v>
      </c>
      <c r="C680">
        <v>203</v>
      </c>
      <c r="D680" t="s">
        <v>7423</v>
      </c>
      <c r="E680">
        <v>2</v>
      </c>
    </row>
    <row r="681" spans="1:5">
      <c r="A681" s="170">
        <v>33</v>
      </c>
      <c r="B681" t="s">
        <v>7423</v>
      </c>
      <c r="C681">
        <v>204</v>
      </c>
      <c r="D681" t="s">
        <v>7423</v>
      </c>
      <c r="E681">
        <v>1</v>
      </c>
    </row>
    <row r="682" spans="1:5">
      <c r="A682" s="170">
        <v>33</v>
      </c>
      <c r="B682" t="s">
        <v>7423</v>
      </c>
      <c r="C682">
        <v>204</v>
      </c>
      <c r="D682" t="s">
        <v>7423</v>
      </c>
      <c r="E682">
        <v>2</v>
      </c>
    </row>
    <row r="683" spans="1:5">
      <c r="A683" s="170">
        <v>33</v>
      </c>
      <c r="B683" t="s">
        <v>7423</v>
      </c>
      <c r="C683">
        <v>204</v>
      </c>
      <c r="D683" t="s">
        <v>7423</v>
      </c>
      <c r="E683">
        <v>3</v>
      </c>
    </row>
    <row r="684" spans="1:5">
      <c r="A684" s="170">
        <v>33</v>
      </c>
      <c r="B684" t="s">
        <v>7423</v>
      </c>
      <c r="C684">
        <v>205</v>
      </c>
      <c r="D684" t="s">
        <v>7423</v>
      </c>
      <c r="E684">
        <v>1</v>
      </c>
    </row>
    <row r="685" spans="1:5">
      <c r="A685" s="170">
        <v>33</v>
      </c>
      <c r="B685" t="s">
        <v>7423</v>
      </c>
      <c r="C685">
        <v>205</v>
      </c>
      <c r="D685" t="s">
        <v>7423</v>
      </c>
      <c r="E685">
        <v>2</v>
      </c>
    </row>
    <row r="686" spans="1:5">
      <c r="A686" s="170">
        <v>33</v>
      </c>
      <c r="B686" t="s">
        <v>7423</v>
      </c>
      <c r="C686">
        <v>210</v>
      </c>
      <c r="D686" t="s">
        <v>7423</v>
      </c>
      <c r="E686">
        <v>1</v>
      </c>
    </row>
    <row r="687" spans="1:5">
      <c r="A687" s="170">
        <v>33</v>
      </c>
      <c r="B687" t="s">
        <v>7423</v>
      </c>
      <c r="C687">
        <v>211</v>
      </c>
      <c r="D687" t="s">
        <v>7423</v>
      </c>
      <c r="E687">
        <v>1</v>
      </c>
    </row>
    <row r="688" spans="1:5">
      <c r="A688" s="170">
        <v>33</v>
      </c>
      <c r="B688" t="s">
        <v>7423</v>
      </c>
      <c r="C688">
        <v>212</v>
      </c>
      <c r="D688" t="s">
        <v>7423</v>
      </c>
      <c r="E688">
        <v>1</v>
      </c>
    </row>
    <row r="689" spans="1:5">
      <c r="A689" s="170">
        <v>33</v>
      </c>
      <c r="B689" t="s">
        <v>7423</v>
      </c>
      <c r="C689">
        <v>213</v>
      </c>
      <c r="D689" t="s">
        <v>7423</v>
      </c>
      <c r="E689">
        <v>1</v>
      </c>
    </row>
    <row r="690" spans="1:5">
      <c r="A690" s="170">
        <v>33</v>
      </c>
      <c r="B690" t="s">
        <v>7423</v>
      </c>
      <c r="C690">
        <v>214</v>
      </c>
      <c r="D690" t="s">
        <v>7423</v>
      </c>
      <c r="E690">
        <v>1</v>
      </c>
    </row>
    <row r="691" spans="1:5">
      <c r="A691" s="170">
        <v>33</v>
      </c>
      <c r="B691" t="s">
        <v>7423</v>
      </c>
      <c r="C691">
        <v>215</v>
      </c>
      <c r="D691" t="s">
        <v>7423</v>
      </c>
      <c r="E691">
        <v>1</v>
      </c>
    </row>
    <row r="692" spans="1:5">
      <c r="A692" s="170">
        <v>33</v>
      </c>
      <c r="B692" t="s">
        <v>7423</v>
      </c>
      <c r="C692">
        <v>216</v>
      </c>
      <c r="D692" t="s">
        <v>7423</v>
      </c>
      <c r="E692">
        <v>1</v>
      </c>
    </row>
    <row r="693" spans="1:5">
      <c r="A693" s="170">
        <v>33</v>
      </c>
      <c r="B693" t="s">
        <v>7423</v>
      </c>
      <c r="C693">
        <v>217</v>
      </c>
      <c r="D693" t="s">
        <v>7423</v>
      </c>
      <c r="E693">
        <v>1</v>
      </c>
    </row>
    <row r="694" spans="1:5">
      <c r="A694" s="170">
        <v>33</v>
      </c>
      <c r="B694" t="s">
        <v>7423</v>
      </c>
      <c r="C694">
        <v>217</v>
      </c>
      <c r="D694" t="s">
        <v>7423</v>
      </c>
      <c r="E694">
        <v>2</v>
      </c>
    </row>
    <row r="695" spans="1:5">
      <c r="A695" s="170">
        <v>33</v>
      </c>
      <c r="B695" t="s">
        <v>7423</v>
      </c>
      <c r="C695">
        <v>217</v>
      </c>
      <c r="D695" t="s">
        <v>7423</v>
      </c>
      <c r="E695">
        <v>3</v>
      </c>
    </row>
    <row r="696" spans="1:5">
      <c r="A696" s="170">
        <v>33</v>
      </c>
      <c r="B696" t="s">
        <v>7423</v>
      </c>
      <c r="C696">
        <v>218</v>
      </c>
      <c r="D696" t="s">
        <v>7423</v>
      </c>
      <c r="E696">
        <v>1</v>
      </c>
    </row>
    <row r="697" spans="1:5">
      <c r="A697" s="170">
        <v>33</v>
      </c>
      <c r="B697" t="s">
        <v>7423</v>
      </c>
      <c r="C697">
        <v>218</v>
      </c>
      <c r="D697" t="s">
        <v>7423</v>
      </c>
      <c r="E697">
        <v>2</v>
      </c>
    </row>
    <row r="698" spans="1:5">
      <c r="A698" s="170">
        <v>33</v>
      </c>
      <c r="B698" t="s">
        <v>7423</v>
      </c>
      <c r="C698">
        <v>219</v>
      </c>
      <c r="D698" t="s">
        <v>7423</v>
      </c>
      <c r="E698">
        <v>1</v>
      </c>
    </row>
    <row r="699" spans="1:5">
      <c r="A699" s="170">
        <v>33</v>
      </c>
      <c r="B699" t="s">
        <v>7423</v>
      </c>
      <c r="C699">
        <v>219</v>
      </c>
      <c r="D699" t="s">
        <v>7423</v>
      </c>
      <c r="E699">
        <v>2</v>
      </c>
    </row>
    <row r="700" spans="1:5">
      <c r="A700" s="170">
        <v>33</v>
      </c>
      <c r="B700" t="s">
        <v>7423</v>
      </c>
      <c r="C700">
        <v>220</v>
      </c>
      <c r="D700" t="s">
        <v>7423</v>
      </c>
      <c r="E700">
        <v>1</v>
      </c>
    </row>
    <row r="701" spans="1:5">
      <c r="A701" s="170">
        <v>33</v>
      </c>
      <c r="B701" t="s">
        <v>7423</v>
      </c>
      <c r="C701">
        <v>220</v>
      </c>
      <c r="D701" t="s">
        <v>7423</v>
      </c>
      <c r="E701">
        <v>2</v>
      </c>
    </row>
    <row r="702" spans="1:5">
      <c r="A702" s="170">
        <v>34</v>
      </c>
      <c r="B702" t="s">
        <v>7423</v>
      </c>
      <c r="C702">
        <v>101</v>
      </c>
      <c r="D702" t="s">
        <v>7423</v>
      </c>
      <c r="E702">
        <v>1</v>
      </c>
    </row>
    <row r="703" spans="1:5">
      <c r="A703" s="170">
        <v>34</v>
      </c>
      <c r="B703" t="s">
        <v>7423</v>
      </c>
      <c r="C703">
        <v>101</v>
      </c>
      <c r="D703" t="s">
        <v>7423</v>
      </c>
      <c r="E703">
        <v>2</v>
      </c>
    </row>
    <row r="704" spans="1:5">
      <c r="A704" s="170">
        <v>34</v>
      </c>
      <c r="B704" t="s">
        <v>7423</v>
      </c>
      <c r="C704">
        <v>101</v>
      </c>
      <c r="D704" t="s">
        <v>7423</v>
      </c>
      <c r="E704">
        <v>3</v>
      </c>
    </row>
    <row r="705" spans="1:5">
      <c r="A705" s="170">
        <v>34</v>
      </c>
      <c r="B705" t="s">
        <v>7423</v>
      </c>
      <c r="C705">
        <v>102</v>
      </c>
      <c r="D705" t="s">
        <v>7423</v>
      </c>
      <c r="E705">
        <v>1</v>
      </c>
    </row>
    <row r="706" spans="1:5">
      <c r="A706" s="170">
        <v>34</v>
      </c>
      <c r="B706" t="s">
        <v>7423</v>
      </c>
      <c r="C706">
        <v>102</v>
      </c>
      <c r="D706" t="s">
        <v>7423</v>
      </c>
      <c r="E706">
        <v>2</v>
      </c>
    </row>
    <row r="707" spans="1:5">
      <c r="A707" s="170">
        <v>34</v>
      </c>
      <c r="B707" t="s">
        <v>7423</v>
      </c>
      <c r="C707">
        <v>102</v>
      </c>
      <c r="D707" t="s">
        <v>7423</v>
      </c>
      <c r="E707">
        <v>3</v>
      </c>
    </row>
    <row r="708" spans="1:5">
      <c r="A708" s="170">
        <v>34</v>
      </c>
      <c r="B708" t="s">
        <v>7423</v>
      </c>
      <c r="C708">
        <v>103</v>
      </c>
      <c r="D708" t="s">
        <v>7423</v>
      </c>
      <c r="E708">
        <v>1</v>
      </c>
    </row>
    <row r="709" spans="1:5">
      <c r="A709" s="170">
        <v>34</v>
      </c>
      <c r="B709" t="s">
        <v>7423</v>
      </c>
      <c r="C709">
        <v>103</v>
      </c>
      <c r="D709" t="s">
        <v>7423</v>
      </c>
      <c r="E709">
        <v>2</v>
      </c>
    </row>
    <row r="710" spans="1:5">
      <c r="A710" s="170">
        <v>34</v>
      </c>
      <c r="B710" t="s">
        <v>7423</v>
      </c>
      <c r="C710">
        <v>103</v>
      </c>
      <c r="D710" t="s">
        <v>7423</v>
      </c>
      <c r="E710">
        <v>3</v>
      </c>
    </row>
    <row r="711" spans="1:5">
      <c r="A711" s="170">
        <v>34</v>
      </c>
      <c r="B711" t="s">
        <v>7423</v>
      </c>
      <c r="C711">
        <v>104</v>
      </c>
      <c r="D711" t="s">
        <v>7423</v>
      </c>
      <c r="E711">
        <v>1</v>
      </c>
    </row>
    <row r="712" spans="1:5">
      <c r="A712" s="170">
        <v>34</v>
      </c>
      <c r="B712" t="s">
        <v>7423</v>
      </c>
      <c r="C712">
        <v>104</v>
      </c>
      <c r="D712" t="s">
        <v>7423</v>
      </c>
      <c r="E712">
        <v>2</v>
      </c>
    </row>
    <row r="713" spans="1:5">
      <c r="A713" s="170">
        <v>34</v>
      </c>
      <c r="B713" t="s">
        <v>7423</v>
      </c>
      <c r="C713">
        <v>104</v>
      </c>
      <c r="D713" t="s">
        <v>7423</v>
      </c>
      <c r="E713">
        <v>3</v>
      </c>
    </row>
    <row r="714" spans="1:5">
      <c r="A714" s="170">
        <v>34</v>
      </c>
      <c r="B714" t="s">
        <v>7423</v>
      </c>
      <c r="C714">
        <v>105</v>
      </c>
      <c r="D714" t="s">
        <v>7423</v>
      </c>
      <c r="E714">
        <v>1</v>
      </c>
    </row>
    <row r="715" spans="1:5">
      <c r="A715" s="170">
        <v>34</v>
      </c>
      <c r="B715" t="s">
        <v>7423</v>
      </c>
      <c r="C715">
        <v>105</v>
      </c>
      <c r="D715" t="s">
        <v>7423</v>
      </c>
      <c r="E715">
        <v>2</v>
      </c>
    </row>
    <row r="716" spans="1:5">
      <c r="A716" s="170">
        <v>34</v>
      </c>
      <c r="B716" t="s">
        <v>7423</v>
      </c>
      <c r="C716">
        <v>106</v>
      </c>
      <c r="D716" t="s">
        <v>7423</v>
      </c>
      <c r="E716">
        <v>1</v>
      </c>
    </row>
    <row r="717" spans="1:5">
      <c r="A717" s="170">
        <v>34</v>
      </c>
      <c r="B717" t="s">
        <v>7423</v>
      </c>
      <c r="C717">
        <v>106</v>
      </c>
      <c r="D717" t="s">
        <v>7423</v>
      </c>
      <c r="E717">
        <v>2</v>
      </c>
    </row>
    <row r="718" spans="1:5">
      <c r="A718" s="170">
        <v>34</v>
      </c>
      <c r="B718" t="s">
        <v>7423</v>
      </c>
      <c r="C718">
        <v>106</v>
      </c>
      <c r="D718" t="s">
        <v>7423</v>
      </c>
      <c r="E718">
        <v>3</v>
      </c>
    </row>
    <row r="719" spans="1:5">
      <c r="A719" s="170">
        <v>34</v>
      </c>
      <c r="B719" t="s">
        <v>7423</v>
      </c>
      <c r="C719">
        <v>107</v>
      </c>
      <c r="D719" t="s">
        <v>7423</v>
      </c>
      <c r="E719">
        <v>1</v>
      </c>
    </row>
    <row r="720" spans="1:5">
      <c r="A720" s="170">
        <v>34</v>
      </c>
      <c r="B720" t="s">
        <v>7423</v>
      </c>
      <c r="C720">
        <v>107</v>
      </c>
      <c r="D720" t="s">
        <v>7423</v>
      </c>
      <c r="E720">
        <v>2</v>
      </c>
    </row>
    <row r="721" spans="1:5">
      <c r="A721" s="170">
        <v>34</v>
      </c>
      <c r="B721" t="s">
        <v>7423</v>
      </c>
      <c r="C721">
        <v>107</v>
      </c>
      <c r="D721" t="s">
        <v>7423</v>
      </c>
      <c r="E721">
        <v>3</v>
      </c>
    </row>
    <row r="722" spans="1:5">
      <c r="A722" s="170">
        <v>34</v>
      </c>
      <c r="B722" t="s">
        <v>7423</v>
      </c>
      <c r="C722">
        <v>108</v>
      </c>
      <c r="D722" t="s">
        <v>7423</v>
      </c>
      <c r="E722">
        <v>1</v>
      </c>
    </row>
    <row r="723" spans="1:5">
      <c r="A723" s="170">
        <v>34</v>
      </c>
      <c r="B723" t="s">
        <v>7423</v>
      </c>
      <c r="C723">
        <v>108</v>
      </c>
      <c r="D723" t="s">
        <v>7423</v>
      </c>
      <c r="E723">
        <v>2</v>
      </c>
    </row>
    <row r="724" spans="1:5">
      <c r="A724" s="170">
        <v>34</v>
      </c>
      <c r="B724" t="s">
        <v>7423</v>
      </c>
      <c r="C724">
        <v>108</v>
      </c>
      <c r="D724" t="s">
        <v>7423</v>
      </c>
      <c r="E724">
        <v>3</v>
      </c>
    </row>
    <row r="725" spans="1:5">
      <c r="A725" s="170">
        <v>34</v>
      </c>
      <c r="B725" t="s">
        <v>7423</v>
      </c>
      <c r="C725">
        <v>109</v>
      </c>
      <c r="D725" t="s">
        <v>7423</v>
      </c>
      <c r="E725">
        <v>1</v>
      </c>
    </row>
    <row r="726" spans="1:5">
      <c r="A726" s="170">
        <v>34</v>
      </c>
      <c r="B726" t="s">
        <v>7423</v>
      </c>
      <c r="C726">
        <v>109</v>
      </c>
      <c r="D726" t="s">
        <v>7423</v>
      </c>
      <c r="E726">
        <v>2</v>
      </c>
    </row>
    <row r="727" spans="1:5">
      <c r="A727" s="170">
        <v>34</v>
      </c>
      <c r="B727" t="s">
        <v>7423</v>
      </c>
      <c r="C727">
        <v>109</v>
      </c>
      <c r="D727" t="s">
        <v>7423</v>
      </c>
      <c r="E727">
        <v>3</v>
      </c>
    </row>
    <row r="728" spans="1:5">
      <c r="A728" s="170">
        <v>34</v>
      </c>
      <c r="B728" t="s">
        <v>7423</v>
      </c>
      <c r="C728">
        <v>110</v>
      </c>
      <c r="D728" t="s">
        <v>7423</v>
      </c>
      <c r="E728">
        <v>1</v>
      </c>
    </row>
    <row r="729" spans="1:5">
      <c r="A729" s="170">
        <v>34</v>
      </c>
      <c r="B729" t="s">
        <v>7423</v>
      </c>
      <c r="C729">
        <v>110</v>
      </c>
      <c r="D729" t="s">
        <v>7423</v>
      </c>
      <c r="E729">
        <v>2</v>
      </c>
    </row>
    <row r="730" spans="1:5">
      <c r="A730" s="170">
        <v>34</v>
      </c>
      <c r="B730" t="s">
        <v>7423</v>
      </c>
      <c r="C730">
        <v>111</v>
      </c>
      <c r="D730" t="s">
        <v>7423</v>
      </c>
      <c r="E730">
        <v>1</v>
      </c>
    </row>
    <row r="731" spans="1:5">
      <c r="A731" s="170">
        <v>34</v>
      </c>
      <c r="B731" t="s">
        <v>7423</v>
      </c>
      <c r="C731">
        <v>111</v>
      </c>
      <c r="D731" t="s">
        <v>7423</v>
      </c>
      <c r="E731">
        <v>2</v>
      </c>
    </row>
    <row r="732" spans="1:5">
      <c r="A732" s="170">
        <v>34</v>
      </c>
      <c r="B732" t="s">
        <v>7423</v>
      </c>
      <c r="C732">
        <v>111</v>
      </c>
      <c r="D732" t="s">
        <v>7423</v>
      </c>
      <c r="E732">
        <v>3</v>
      </c>
    </row>
    <row r="733" spans="1:5">
      <c r="A733" s="170">
        <v>34</v>
      </c>
      <c r="B733" t="s">
        <v>7423</v>
      </c>
      <c r="C733">
        <v>112</v>
      </c>
      <c r="D733" t="s">
        <v>7423</v>
      </c>
      <c r="E733">
        <v>1</v>
      </c>
    </row>
    <row r="734" spans="1:5">
      <c r="A734" s="170">
        <v>34</v>
      </c>
      <c r="B734" t="s">
        <v>7423</v>
      </c>
      <c r="C734">
        <v>112</v>
      </c>
      <c r="D734" t="s">
        <v>7423</v>
      </c>
      <c r="E734">
        <v>2</v>
      </c>
    </row>
    <row r="735" spans="1:5">
      <c r="A735" s="170">
        <v>34</v>
      </c>
      <c r="B735" t="s">
        <v>7423</v>
      </c>
      <c r="C735">
        <v>113</v>
      </c>
      <c r="D735" t="s">
        <v>7423</v>
      </c>
      <c r="E735">
        <v>1</v>
      </c>
    </row>
    <row r="736" spans="1:5">
      <c r="A736" s="170">
        <v>34</v>
      </c>
      <c r="B736" t="s">
        <v>7423</v>
      </c>
      <c r="C736">
        <v>113</v>
      </c>
      <c r="D736" t="s">
        <v>7423</v>
      </c>
      <c r="E736">
        <v>2</v>
      </c>
    </row>
    <row r="737" spans="1:5">
      <c r="A737" s="170">
        <v>34</v>
      </c>
      <c r="B737" t="s">
        <v>7423</v>
      </c>
      <c r="C737">
        <v>113</v>
      </c>
      <c r="D737" t="s">
        <v>7423</v>
      </c>
      <c r="E737">
        <v>3</v>
      </c>
    </row>
    <row r="738" spans="1:5">
      <c r="A738" s="170">
        <v>34</v>
      </c>
      <c r="B738" t="s">
        <v>7423</v>
      </c>
      <c r="C738">
        <v>114</v>
      </c>
      <c r="D738" t="s">
        <v>7423</v>
      </c>
      <c r="E738">
        <v>1</v>
      </c>
    </row>
    <row r="739" spans="1:5">
      <c r="A739" s="170">
        <v>34</v>
      </c>
      <c r="B739" t="s">
        <v>7423</v>
      </c>
      <c r="C739">
        <v>114</v>
      </c>
      <c r="D739" t="s">
        <v>7423</v>
      </c>
      <c r="E739">
        <v>2</v>
      </c>
    </row>
    <row r="740" spans="1:5">
      <c r="A740" s="170">
        <v>34</v>
      </c>
      <c r="B740" t="s">
        <v>7423</v>
      </c>
      <c r="C740">
        <v>114</v>
      </c>
      <c r="D740" t="s">
        <v>7423</v>
      </c>
      <c r="E740">
        <v>3</v>
      </c>
    </row>
    <row r="741" spans="1:5">
      <c r="A741" s="170">
        <v>34</v>
      </c>
      <c r="B741" t="s">
        <v>7423</v>
      </c>
      <c r="C741">
        <v>115</v>
      </c>
      <c r="D741" t="s">
        <v>7423</v>
      </c>
      <c r="E741">
        <v>1</v>
      </c>
    </row>
    <row r="742" spans="1:5">
      <c r="A742" s="170">
        <v>34</v>
      </c>
      <c r="B742" t="s">
        <v>7423</v>
      </c>
      <c r="C742">
        <v>115</v>
      </c>
      <c r="D742" t="s">
        <v>7423</v>
      </c>
      <c r="E742">
        <v>2</v>
      </c>
    </row>
    <row r="743" spans="1:5">
      <c r="A743" s="170">
        <v>34</v>
      </c>
      <c r="B743" t="s">
        <v>7423</v>
      </c>
      <c r="C743">
        <v>115</v>
      </c>
      <c r="D743" t="s">
        <v>7423</v>
      </c>
      <c r="E743">
        <v>3</v>
      </c>
    </row>
    <row r="744" spans="1:5">
      <c r="A744" s="170">
        <v>34</v>
      </c>
      <c r="B744" t="s">
        <v>7423</v>
      </c>
      <c r="C744">
        <v>116</v>
      </c>
      <c r="D744" t="s">
        <v>7423</v>
      </c>
      <c r="E744">
        <v>1</v>
      </c>
    </row>
    <row r="745" spans="1:5">
      <c r="A745" s="170">
        <v>34</v>
      </c>
      <c r="B745" t="s">
        <v>7423</v>
      </c>
      <c r="C745">
        <v>116</v>
      </c>
      <c r="D745" t="s">
        <v>7423</v>
      </c>
      <c r="E745">
        <v>2</v>
      </c>
    </row>
    <row r="746" spans="1:5">
      <c r="A746" s="170">
        <v>34</v>
      </c>
      <c r="B746" t="s">
        <v>7423</v>
      </c>
      <c r="C746">
        <v>116</v>
      </c>
      <c r="D746" t="s">
        <v>7423</v>
      </c>
      <c r="E746">
        <v>3</v>
      </c>
    </row>
    <row r="747" spans="1:5">
      <c r="A747" s="170">
        <v>34</v>
      </c>
      <c r="B747" t="s">
        <v>7423</v>
      </c>
      <c r="C747">
        <v>117</v>
      </c>
      <c r="D747" t="s">
        <v>7423</v>
      </c>
      <c r="E747">
        <v>1</v>
      </c>
    </row>
    <row r="748" spans="1:5">
      <c r="A748" s="170">
        <v>34</v>
      </c>
      <c r="B748" t="s">
        <v>7423</v>
      </c>
      <c r="C748">
        <v>117</v>
      </c>
      <c r="D748" t="s">
        <v>7423</v>
      </c>
      <c r="E748">
        <v>2</v>
      </c>
    </row>
    <row r="749" spans="1:5">
      <c r="A749" s="170">
        <v>34</v>
      </c>
      <c r="B749" t="s">
        <v>7423</v>
      </c>
      <c r="C749">
        <v>117</v>
      </c>
      <c r="D749" t="s">
        <v>7423</v>
      </c>
      <c r="E749">
        <v>3</v>
      </c>
    </row>
    <row r="750" spans="1:5">
      <c r="A750" s="170">
        <v>34</v>
      </c>
      <c r="B750" t="s">
        <v>7423</v>
      </c>
      <c r="C750">
        <v>118</v>
      </c>
      <c r="D750" t="s">
        <v>7423</v>
      </c>
      <c r="E750">
        <v>1</v>
      </c>
    </row>
    <row r="751" spans="1:5">
      <c r="A751" s="170">
        <v>34</v>
      </c>
      <c r="B751" t="s">
        <v>7423</v>
      </c>
      <c r="C751">
        <v>118</v>
      </c>
      <c r="D751" t="s">
        <v>7423</v>
      </c>
      <c r="E751">
        <v>2</v>
      </c>
    </row>
    <row r="752" spans="1:5">
      <c r="A752" s="170">
        <v>34</v>
      </c>
      <c r="B752" t="s">
        <v>7423</v>
      </c>
      <c r="C752">
        <v>118</v>
      </c>
      <c r="D752" t="s">
        <v>7423</v>
      </c>
      <c r="E752">
        <v>3</v>
      </c>
    </row>
    <row r="753" spans="1:5">
      <c r="A753" s="170">
        <v>34</v>
      </c>
      <c r="B753" t="s">
        <v>7423</v>
      </c>
      <c r="C753">
        <v>119</v>
      </c>
      <c r="D753" t="s">
        <v>7423</v>
      </c>
      <c r="E753">
        <v>1</v>
      </c>
    </row>
    <row r="754" spans="1:5">
      <c r="A754" s="170">
        <v>34</v>
      </c>
      <c r="B754" t="s">
        <v>7423</v>
      </c>
      <c r="C754">
        <v>119</v>
      </c>
      <c r="D754" t="s">
        <v>7423</v>
      </c>
      <c r="E754">
        <v>2</v>
      </c>
    </row>
    <row r="755" spans="1:5">
      <c r="A755" s="170">
        <v>34</v>
      </c>
      <c r="B755" t="s">
        <v>7423</v>
      </c>
      <c r="C755">
        <v>119</v>
      </c>
      <c r="D755" t="s">
        <v>7423</v>
      </c>
      <c r="E755">
        <v>3</v>
      </c>
    </row>
    <row r="756" spans="1:5">
      <c r="A756" s="170">
        <v>34</v>
      </c>
      <c r="B756" t="s">
        <v>7423</v>
      </c>
      <c r="C756">
        <v>120</v>
      </c>
      <c r="D756" t="s">
        <v>7423</v>
      </c>
      <c r="E756">
        <v>1</v>
      </c>
    </row>
    <row r="757" spans="1:5">
      <c r="A757" s="170">
        <v>34</v>
      </c>
      <c r="B757" t="s">
        <v>7423</v>
      </c>
      <c r="C757">
        <v>120</v>
      </c>
      <c r="D757" t="s">
        <v>7423</v>
      </c>
      <c r="E757">
        <v>2</v>
      </c>
    </row>
    <row r="758" spans="1:5">
      <c r="A758" s="170">
        <v>34</v>
      </c>
      <c r="B758" t="s">
        <v>7423</v>
      </c>
      <c r="C758">
        <v>201</v>
      </c>
      <c r="D758" t="s">
        <v>7423</v>
      </c>
      <c r="E758">
        <v>1</v>
      </c>
    </row>
    <row r="759" spans="1:5">
      <c r="A759" s="170">
        <v>34</v>
      </c>
      <c r="B759" t="s">
        <v>7423</v>
      </c>
      <c r="C759">
        <v>202</v>
      </c>
      <c r="D759" t="s">
        <v>7423</v>
      </c>
      <c r="E759">
        <v>1</v>
      </c>
    </row>
    <row r="760" spans="1:5">
      <c r="A760" s="170">
        <v>34</v>
      </c>
      <c r="B760" t="s">
        <v>7423</v>
      </c>
      <c r="C760">
        <v>202</v>
      </c>
      <c r="D760" t="s">
        <v>7423</v>
      </c>
      <c r="E760">
        <v>2</v>
      </c>
    </row>
    <row r="761" spans="1:5">
      <c r="A761" s="170">
        <v>34</v>
      </c>
      <c r="B761" t="s">
        <v>7423</v>
      </c>
      <c r="C761">
        <v>203</v>
      </c>
      <c r="D761" t="s">
        <v>7423</v>
      </c>
      <c r="E761">
        <v>1</v>
      </c>
    </row>
    <row r="762" spans="1:5">
      <c r="A762" s="170">
        <v>34</v>
      </c>
      <c r="B762" t="s">
        <v>7423</v>
      </c>
      <c r="C762">
        <v>203</v>
      </c>
      <c r="D762" t="s">
        <v>7423</v>
      </c>
      <c r="E762">
        <v>2</v>
      </c>
    </row>
    <row r="763" spans="1:5">
      <c r="A763" s="170">
        <v>34</v>
      </c>
      <c r="B763" t="s">
        <v>7423</v>
      </c>
      <c r="C763">
        <v>204</v>
      </c>
      <c r="D763" t="s">
        <v>7423</v>
      </c>
      <c r="E763">
        <v>1</v>
      </c>
    </row>
    <row r="764" spans="1:5">
      <c r="A764" s="170">
        <v>34</v>
      </c>
      <c r="B764" t="s">
        <v>7423</v>
      </c>
      <c r="C764">
        <v>204</v>
      </c>
      <c r="D764" t="s">
        <v>7423</v>
      </c>
      <c r="E764">
        <v>2</v>
      </c>
    </row>
    <row r="765" spans="1:5">
      <c r="A765" s="170">
        <v>34</v>
      </c>
      <c r="B765" t="s">
        <v>7423</v>
      </c>
      <c r="C765">
        <v>205</v>
      </c>
      <c r="D765" t="s">
        <v>7423</v>
      </c>
      <c r="E765">
        <v>1</v>
      </c>
    </row>
    <row r="766" spans="1:5">
      <c r="A766" s="170">
        <v>34</v>
      </c>
      <c r="B766" t="s">
        <v>7423</v>
      </c>
      <c r="C766">
        <v>205</v>
      </c>
      <c r="D766" t="s">
        <v>7423</v>
      </c>
      <c r="E766">
        <v>2</v>
      </c>
    </row>
    <row r="767" spans="1:5">
      <c r="A767" s="170">
        <v>34</v>
      </c>
      <c r="B767" t="s">
        <v>7423</v>
      </c>
      <c r="C767">
        <v>206</v>
      </c>
      <c r="D767" t="s">
        <v>7423</v>
      </c>
      <c r="E767">
        <v>1</v>
      </c>
    </row>
    <row r="768" spans="1:5">
      <c r="A768" s="170">
        <v>34</v>
      </c>
      <c r="B768" t="s">
        <v>7423</v>
      </c>
      <c r="C768">
        <v>206</v>
      </c>
      <c r="D768" t="s">
        <v>7423</v>
      </c>
      <c r="E768">
        <v>2</v>
      </c>
    </row>
    <row r="769" spans="1:5">
      <c r="A769" s="170">
        <v>34</v>
      </c>
      <c r="B769" t="s">
        <v>7423</v>
      </c>
      <c r="C769">
        <v>207</v>
      </c>
      <c r="D769" t="s">
        <v>7423</v>
      </c>
      <c r="E769">
        <v>1</v>
      </c>
    </row>
    <row r="770" spans="1:5">
      <c r="A770" s="170">
        <v>34</v>
      </c>
      <c r="B770" t="s">
        <v>7423</v>
      </c>
      <c r="C770">
        <v>207</v>
      </c>
      <c r="D770" t="s">
        <v>7423</v>
      </c>
      <c r="E770">
        <v>2</v>
      </c>
    </row>
    <row r="771" spans="1:5">
      <c r="A771" s="170">
        <v>34</v>
      </c>
      <c r="B771" t="s">
        <v>7423</v>
      </c>
      <c r="C771">
        <v>208</v>
      </c>
      <c r="D771" t="s">
        <v>7423</v>
      </c>
      <c r="E771">
        <v>1</v>
      </c>
    </row>
    <row r="772" spans="1:5">
      <c r="A772" s="170">
        <v>34</v>
      </c>
      <c r="B772" t="s">
        <v>7423</v>
      </c>
      <c r="C772">
        <v>208</v>
      </c>
      <c r="D772" t="s">
        <v>7423</v>
      </c>
      <c r="E772">
        <v>2</v>
      </c>
    </row>
    <row r="773" spans="1:5">
      <c r="A773" s="170">
        <v>34</v>
      </c>
      <c r="B773" t="s">
        <v>7423</v>
      </c>
      <c r="C773">
        <v>209</v>
      </c>
      <c r="D773" t="s">
        <v>7423</v>
      </c>
      <c r="E773">
        <v>1</v>
      </c>
    </row>
    <row r="774" spans="1:5">
      <c r="A774" s="170">
        <v>34</v>
      </c>
      <c r="B774" t="s">
        <v>7423</v>
      </c>
      <c r="C774">
        <v>209</v>
      </c>
      <c r="D774" t="s">
        <v>7423</v>
      </c>
      <c r="E774">
        <v>2</v>
      </c>
    </row>
    <row r="775" spans="1:5">
      <c r="A775" s="170">
        <v>34</v>
      </c>
      <c r="B775" t="s">
        <v>7423</v>
      </c>
      <c r="C775">
        <v>210</v>
      </c>
      <c r="D775" t="s">
        <v>7423</v>
      </c>
      <c r="E775">
        <v>1</v>
      </c>
    </row>
    <row r="776" spans="1:5">
      <c r="A776" s="170">
        <v>34</v>
      </c>
      <c r="B776" t="s">
        <v>7423</v>
      </c>
      <c r="C776">
        <v>210</v>
      </c>
      <c r="D776" t="s">
        <v>7423</v>
      </c>
      <c r="E776">
        <v>2</v>
      </c>
    </row>
    <row r="777" spans="1:5">
      <c r="A777" s="170">
        <v>34</v>
      </c>
      <c r="B777" t="s">
        <v>7423</v>
      </c>
      <c r="C777">
        <v>211</v>
      </c>
      <c r="D777" t="s">
        <v>7423</v>
      </c>
      <c r="E777">
        <v>1</v>
      </c>
    </row>
    <row r="778" spans="1:5">
      <c r="A778" s="170">
        <v>34</v>
      </c>
      <c r="B778" t="s">
        <v>7423</v>
      </c>
      <c r="C778">
        <v>211</v>
      </c>
      <c r="D778" t="s">
        <v>7423</v>
      </c>
      <c r="E778">
        <v>2</v>
      </c>
    </row>
    <row r="779" spans="1:5">
      <c r="A779" s="170">
        <v>34</v>
      </c>
      <c r="B779" t="s">
        <v>7423</v>
      </c>
      <c r="C779">
        <v>212</v>
      </c>
      <c r="D779" t="s">
        <v>7423</v>
      </c>
      <c r="E779">
        <v>1</v>
      </c>
    </row>
    <row r="780" spans="1:5">
      <c r="A780" s="170">
        <v>34</v>
      </c>
      <c r="B780" t="s">
        <v>7423</v>
      </c>
      <c r="C780">
        <v>212</v>
      </c>
      <c r="D780" t="s">
        <v>7423</v>
      </c>
      <c r="E780">
        <v>2</v>
      </c>
    </row>
    <row r="781" spans="1:5">
      <c r="A781" s="170">
        <v>34</v>
      </c>
      <c r="B781" t="s">
        <v>7423</v>
      </c>
      <c r="C781">
        <v>212</v>
      </c>
      <c r="D781" t="s">
        <v>7423</v>
      </c>
      <c r="E781">
        <v>3</v>
      </c>
    </row>
    <row r="782" spans="1:5">
      <c r="A782" s="170">
        <v>34</v>
      </c>
      <c r="B782" t="s">
        <v>7423</v>
      </c>
      <c r="C782">
        <v>213</v>
      </c>
      <c r="D782" t="s">
        <v>7423</v>
      </c>
      <c r="E782">
        <v>1</v>
      </c>
    </row>
    <row r="783" spans="1:5">
      <c r="A783" s="170">
        <v>34</v>
      </c>
      <c r="B783" t="s">
        <v>7423</v>
      </c>
      <c r="C783">
        <v>213</v>
      </c>
      <c r="D783" t="s">
        <v>7423</v>
      </c>
      <c r="E783">
        <v>2</v>
      </c>
    </row>
    <row r="784" spans="1:5">
      <c r="A784" s="170">
        <v>34</v>
      </c>
      <c r="B784" t="s">
        <v>7423</v>
      </c>
      <c r="C784">
        <v>213</v>
      </c>
      <c r="D784" t="s">
        <v>7423</v>
      </c>
      <c r="E784">
        <v>3</v>
      </c>
    </row>
    <row r="785" spans="1:5">
      <c r="A785" s="170">
        <v>34</v>
      </c>
      <c r="B785" t="s">
        <v>7423</v>
      </c>
      <c r="C785">
        <v>214</v>
      </c>
      <c r="D785" t="s">
        <v>7423</v>
      </c>
      <c r="E785">
        <v>1</v>
      </c>
    </row>
    <row r="786" spans="1:5">
      <c r="A786" s="170">
        <v>34</v>
      </c>
      <c r="B786" t="s">
        <v>7423</v>
      </c>
      <c r="C786">
        <v>214</v>
      </c>
      <c r="D786" t="s">
        <v>7423</v>
      </c>
      <c r="E786">
        <v>2</v>
      </c>
    </row>
    <row r="787" spans="1:5">
      <c r="A787" s="170">
        <v>34</v>
      </c>
      <c r="B787" t="s">
        <v>7423</v>
      </c>
      <c r="C787">
        <v>215</v>
      </c>
      <c r="D787" t="s">
        <v>7423</v>
      </c>
      <c r="E787">
        <v>1</v>
      </c>
    </row>
    <row r="788" spans="1:5">
      <c r="A788" s="170">
        <v>34</v>
      </c>
      <c r="B788" t="s">
        <v>7423</v>
      </c>
      <c r="C788">
        <v>215</v>
      </c>
      <c r="D788" t="s">
        <v>7423</v>
      </c>
      <c r="E788">
        <v>2</v>
      </c>
    </row>
    <row r="789" spans="1:5">
      <c r="A789" s="170">
        <v>34</v>
      </c>
      <c r="B789" t="s">
        <v>7423</v>
      </c>
      <c r="C789">
        <v>216</v>
      </c>
      <c r="D789" t="s">
        <v>7423</v>
      </c>
      <c r="E789">
        <v>1</v>
      </c>
    </row>
    <row r="790" spans="1:5">
      <c r="A790" s="170">
        <v>34</v>
      </c>
      <c r="B790" t="s">
        <v>7423</v>
      </c>
      <c r="C790">
        <v>216</v>
      </c>
      <c r="D790" t="s">
        <v>7423</v>
      </c>
      <c r="E790">
        <v>2</v>
      </c>
    </row>
    <row r="791" spans="1:5">
      <c r="A791" s="170">
        <v>34</v>
      </c>
      <c r="B791" t="s">
        <v>7423</v>
      </c>
      <c r="C791">
        <v>217</v>
      </c>
      <c r="D791" t="s">
        <v>7423</v>
      </c>
      <c r="E791">
        <v>1</v>
      </c>
    </row>
    <row r="792" spans="1:5">
      <c r="A792" s="170">
        <v>34</v>
      </c>
      <c r="B792" t="s">
        <v>7423</v>
      </c>
      <c r="C792">
        <v>217</v>
      </c>
      <c r="D792" t="s">
        <v>7423</v>
      </c>
      <c r="E792">
        <v>2</v>
      </c>
    </row>
    <row r="793" spans="1:5">
      <c r="A793" s="170">
        <v>34</v>
      </c>
      <c r="B793" t="s">
        <v>7423</v>
      </c>
      <c r="C793">
        <v>218</v>
      </c>
      <c r="D793" t="s">
        <v>7423</v>
      </c>
      <c r="E793">
        <v>1</v>
      </c>
    </row>
    <row r="794" spans="1:5">
      <c r="A794" s="170">
        <v>34</v>
      </c>
      <c r="B794" t="s">
        <v>7423</v>
      </c>
      <c r="C794">
        <v>218</v>
      </c>
      <c r="D794" t="s">
        <v>7423</v>
      </c>
      <c r="E794">
        <v>2</v>
      </c>
    </row>
    <row r="795" spans="1:5">
      <c r="A795" s="170">
        <v>34</v>
      </c>
      <c r="B795" t="s">
        <v>7423</v>
      </c>
      <c r="C795">
        <v>219</v>
      </c>
      <c r="D795" t="s">
        <v>7423</v>
      </c>
      <c r="E795">
        <v>1</v>
      </c>
    </row>
    <row r="796" spans="1:5">
      <c r="A796" s="170">
        <v>34</v>
      </c>
      <c r="B796" t="s">
        <v>7423</v>
      </c>
      <c r="C796">
        <v>219</v>
      </c>
      <c r="D796" t="s">
        <v>7423</v>
      </c>
      <c r="E796">
        <v>2</v>
      </c>
    </row>
    <row r="797" spans="1:5">
      <c r="A797" s="170">
        <v>34</v>
      </c>
      <c r="B797" t="s">
        <v>7423</v>
      </c>
      <c r="C797">
        <v>220</v>
      </c>
      <c r="D797" t="s">
        <v>7423</v>
      </c>
      <c r="E797">
        <v>1</v>
      </c>
    </row>
    <row r="798" spans="1:5">
      <c r="A798" s="170">
        <v>34</v>
      </c>
      <c r="B798" t="s">
        <v>7423</v>
      </c>
      <c r="C798">
        <v>220</v>
      </c>
      <c r="D798" t="s">
        <v>7423</v>
      </c>
      <c r="E798">
        <v>2</v>
      </c>
    </row>
    <row r="799" spans="1:5">
      <c r="A799" s="170">
        <v>35</v>
      </c>
      <c r="B799" t="s">
        <v>7423</v>
      </c>
      <c r="C799">
        <v>101</v>
      </c>
      <c r="D799" t="s">
        <v>7423</v>
      </c>
      <c r="E799">
        <v>1</v>
      </c>
    </row>
    <row r="800" spans="1:5">
      <c r="A800" s="170">
        <v>35</v>
      </c>
      <c r="B800" t="s">
        <v>7423</v>
      </c>
      <c r="C800">
        <v>101</v>
      </c>
      <c r="D800" t="s">
        <v>7423</v>
      </c>
      <c r="E800">
        <v>2</v>
      </c>
    </row>
    <row r="801" spans="1:5">
      <c r="A801" s="170">
        <v>35</v>
      </c>
      <c r="B801" t="s">
        <v>7423</v>
      </c>
      <c r="C801">
        <v>101</v>
      </c>
      <c r="D801" t="s">
        <v>7423</v>
      </c>
      <c r="E801">
        <v>3</v>
      </c>
    </row>
    <row r="802" spans="1:5">
      <c r="A802" s="170">
        <v>35</v>
      </c>
      <c r="B802" t="s">
        <v>7423</v>
      </c>
      <c r="C802">
        <v>102</v>
      </c>
      <c r="D802" t="s">
        <v>7423</v>
      </c>
      <c r="E802">
        <v>1</v>
      </c>
    </row>
    <row r="803" spans="1:5">
      <c r="A803" s="170">
        <v>35</v>
      </c>
      <c r="B803" t="s">
        <v>7423</v>
      </c>
      <c r="C803">
        <v>102</v>
      </c>
      <c r="D803" t="s">
        <v>7423</v>
      </c>
      <c r="E803">
        <v>2</v>
      </c>
    </row>
    <row r="804" spans="1:5">
      <c r="A804" s="170">
        <v>35</v>
      </c>
      <c r="B804" t="s">
        <v>7423</v>
      </c>
      <c r="C804">
        <v>102</v>
      </c>
      <c r="D804" t="s">
        <v>7423</v>
      </c>
      <c r="E804">
        <v>3</v>
      </c>
    </row>
    <row r="805" spans="1:5">
      <c r="A805" s="170">
        <v>35</v>
      </c>
      <c r="B805" t="s">
        <v>7423</v>
      </c>
      <c r="C805">
        <v>103</v>
      </c>
      <c r="D805" t="s">
        <v>7423</v>
      </c>
      <c r="E805">
        <v>1</v>
      </c>
    </row>
    <row r="806" spans="1:5">
      <c r="A806" s="170">
        <v>35</v>
      </c>
      <c r="B806" t="s">
        <v>7423</v>
      </c>
      <c r="C806">
        <v>103</v>
      </c>
      <c r="D806" t="s">
        <v>7423</v>
      </c>
      <c r="E806">
        <v>2</v>
      </c>
    </row>
    <row r="807" spans="1:5">
      <c r="A807" s="170">
        <v>35</v>
      </c>
      <c r="B807" t="s">
        <v>7423</v>
      </c>
      <c r="C807">
        <v>103</v>
      </c>
      <c r="D807" t="s">
        <v>7423</v>
      </c>
      <c r="E807">
        <v>3</v>
      </c>
    </row>
    <row r="808" spans="1:5">
      <c r="A808" s="170">
        <v>35</v>
      </c>
      <c r="B808" t="s">
        <v>7423</v>
      </c>
      <c r="C808">
        <v>104</v>
      </c>
      <c r="D808" t="s">
        <v>7423</v>
      </c>
      <c r="E808">
        <v>1</v>
      </c>
    </row>
    <row r="809" spans="1:5">
      <c r="A809" s="170">
        <v>35</v>
      </c>
      <c r="B809" t="s">
        <v>7423</v>
      </c>
      <c r="C809">
        <v>104</v>
      </c>
      <c r="D809" t="s">
        <v>7423</v>
      </c>
      <c r="E809">
        <v>2</v>
      </c>
    </row>
    <row r="810" spans="1:5">
      <c r="A810" s="170">
        <v>35</v>
      </c>
      <c r="B810" t="s">
        <v>7423</v>
      </c>
      <c r="C810">
        <v>104</v>
      </c>
      <c r="D810" t="s">
        <v>7423</v>
      </c>
      <c r="E810">
        <v>3</v>
      </c>
    </row>
    <row r="811" spans="1:5">
      <c r="A811" s="170">
        <v>35</v>
      </c>
      <c r="B811" t="s">
        <v>7423</v>
      </c>
      <c r="C811">
        <v>105</v>
      </c>
      <c r="D811" t="s">
        <v>7423</v>
      </c>
      <c r="E811">
        <v>1</v>
      </c>
    </row>
    <row r="812" spans="1:5">
      <c r="A812" s="170">
        <v>35</v>
      </c>
      <c r="B812" t="s">
        <v>7423</v>
      </c>
      <c r="C812">
        <v>105</v>
      </c>
      <c r="D812" t="s">
        <v>7423</v>
      </c>
      <c r="E812">
        <v>2</v>
      </c>
    </row>
    <row r="813" spans="1:5">
      <c r="A813" s="170">
        <v>35</v>
      </c>
      <c r="B813" t="s">
        <v>7423</v>
      </c>
      <c r="C813">
        <v>105</v>
      </c>
      <c r="D813" t="s">
        <v>7423</v>
      </c>
      <c r="E813">
        <v>3</v>
      </c>
    </row>
    <row r="814" spans="1:5">
      <c r="A814" s="170">
        <v>35</v>
      </c>
      <c r="B814" t="s">
        <v>7423</v>
      </c>
      <c r="C814">
        <v>106</v>
      </c>
      <c r="D814" t="s">
        <v>7423</v>
      </c>
      <c r="E814">
        <v>1</v>
      </c>
    </row>
    <row r="815" spans="1:5">
      <c r="A815" s="170">
        <v>35</v>
      </c>
      <c r="B815" t="s">
        <v>7423</v>
      </c>
      <c r="C815">
        <v>106</v>
      </c>
      <c r="D815" t="s">
        <v>7423</v>
      </c>
      <c r="E815">
        <v>2</v>
      </c>
    </row>
    <row r="816" spans="1:5">
      <c r="A816" s="170">
        <v>35</v>
      </c>
      <c r="B816" t="s">
        <v>7423</v>
      </c>
      <c r="C816">
        <v>106</v>
      </c>
      <c r="D816" t="s">
        <v>7423</v>
      </c>
      <c r="E816">
        <v>3</v>
      </c>
    </row>
    <row r="817" spans="1:5">
      <c r="A817" s="170">
        <v>35</v>
      </c>
      <c r="B817" t="s">
        <v>7423</v>
      </c>
      <c r="C817">
        <v>107</v>
      </c>
      <c r="D817" t="s">
        <v>7423</v>
      </c>
      <c r="E817">
        <v>1</v>
      </c>
    </row>
    <row r="818" spans="1:5">
      <c r="A818" s="170">
        <v>35</v>
      </c>
      <c r="B818" t="s">
        <v>7423</v>
      </c>
      <c r="C818">
        <v>107</v>
      </c>
      <c r="D818" t="s">
        <v>7423</v>
      </c>
      <c r="E818">
        <v>2</v>
      </c>
    </row>
    <row r="819" spans="1:5">
      <c r="A819" s="170">
        <v>35</v>
      </c>
      <c r="B819" t="s">
        <v>7423</v>
      </c>
      <c r="C819">
        <v>107</v>
      </c>
      <c r="D819" t="s">
        <v>7423</v>
      </c>
      <c r="E819">
        <v>3</v>
      </c>
    </row>
    <row r="820" spans="1:5">
      <c r="A820" s="170">
        <v>35</v>
      </c>
      <c r="B820" t="s">
        <v>7423</v>
      </c>
      <c r="C820">
        <v>108</v>
      </c>
      <c r="D820" t="s">
        <v>7423</v>
      </c>
      <c r="E820">
        <v>1</v>
      </c>
    </row>
    <row r="821" spans="1:5">
      <c r="A821" s="170">
        <v>35</v>
      </c>
      <c r="B821" t="s">
        <v>7423</v>
      </c>
      <c r="C821">
        <v>109</v>
      </c>
      <c r="D821" t="s">
        <v>7423</v>
      </c>
      <c r="E821">
        <v>1</v>
      </c>
    </row>
    <row r="822" spans="1:5">
      <c r="A822" s="170">
        <v>35</v>
      </c>
      <c r="B822" t="s">
        <v>7423</v>
      </c>
      <c r="C822">
        <v>109</v>
      </c>
      <c r="D822" t="s">
        <v>7423</v>
      </c>
      <c r="E822">
        <v>2</v>
      </c>
    </row>
    <row r="823" spans="1:5">
      <c r="A823" s="170">
        <v>35</v>
      </c>
      <c r="B823" t="s">
        <v>7423</v>
      </c>
      <c r="C823">
        <v>109</v>
      </c>
      <c r="D823" t="s">
        <v>7423</v>
      </c>
      <c r="E823">
        <v>3</v>
      </c>
    </row>
    <row r="824" spans="1:5">
      <c r="A824" s="170">
        <v>35</v>
      </c>
      <c r="B824" t="s">
        <v>7423</v>
      </c>
      <c r="C824">
        <v>110</v>
      </c>
      <c r="D824" t="s">
        <v>7423</v>
      </c>
      <c r="E824">
        <v>1</v>
      </c>
    </row>
    <row r="825" spans="1:5">
      <c r="A825" s="170">
        <v>35</v>
      </c>
      <c r="B825" t="s">
        <v>7423</v>
      </c>
      <c r="C825">
        <v>110</v>
      </c>
      <c r="D825" t="s">
        <v>7423</v>
      </c>
      <c r="E825">
        <v>2</v>
      </c>
    </row>
    <row r="826" spans="1:5">
      <c r="A826" s="170">
        <v>35</v>
      </c>
      <c r="B826" t="s">
        <v>7423</v>
      </c>
      <c r="C826">
        <v>110</v>
      </c>
      <c r="D826" t="s">
        <v>7423</v>
      </c>
      <c r="E826">
        <v>3</v>
      </c>
    </row>
    <row r="827" spans="1:5">
      <c r="A827" s="170">
        <v>35</v>
      </c>
      <c r="B827" t="s">
        <v>7423</v>
      </c>
      <c r="C827">
        <v>111</v>
      </c>
      <c r="D827" t="s">
        <v>7423</v>
      </c>
      <c r="E827">
        <v>1</v>
      </c>
    </row>
    <row r="828" spans="1:5">
      <c r="A828" s="170">
        <v>35</v>
      </c>
      <c r="B828" t="s">
        <v>7423</v>
      </c>
      <c r="C828">
        <v>111</v>
      </c>
      <c r="D828" t="s">
        <v>7423</v>
      </c>
      <c r="E828">
        <v>2</v>
      </c>
    </row>
    <row r="829" spans="1:5">
      <c r="A829" s="170">
        <v>35</v>
      </c>
      <c r="B829" t="s">
        <v>7423</v>
      </c>
      <c r="C829">
        <v>111</v>
      </c>
      <c r="D829" t="s">
        <v>7423</v>
      </c>
      <c r="E829">
        <v>3</v>
      </c>
    </row>
    <row r="830" spans="1:5">
      <c r="A830" s="170">
        <v>35</v>
      </c>
      <c r="B830" t="s">
        <v>7423</v>
      </c>
      <c r="C830">
        <v>112</v>
      </c>
      <c r="D830" t="s">
        <v>7423</v>
      </c>
      <c r="E830">
        <v>1</v>
      </c>
    </row>
    <row r="831" spans="1:5">
      <c r="A831" s="170">
        <v>35</v>
      </c>
      <c r="B831" t="s">
        <v>7423</v>
      </c>
      <c r="C831">
        <v>112</v>
      </c>
      <c r="D831" t="s">
        <v>7423</v>
      </c>
      <c r="E831">
        <v>2</v>
      </c>
    </row>
    <row r="832" spans="1:5">
      <c r="A832" s="170">
        <v>35</v>
      </c>
      <c r="B832" t="s">
        <v>7423</v>
      </c>
      <c r="C832">
        <v>112</v>
      </c>
      <c r="D832" t="s">
        <v>7423</v>
      </c>
      <c r="E832">
        <v>3</v>
      </c>
    </row>
    <row r="833" spans="1:5">
      <c r="A833" s="170">
        <v>35</v>
      </c>
      <c r="B833" t="s">
        <v>7423</v>
      </c>
      <c r="C833">
        <v>113</v>
      </c>
      <c r="D833" t="s">
        <v>7423</v>
      </c>
      <c r="E833">
        <v>1</v>
      </c>
    </row>
    <row r="834" spans="1:5">
      <c r="A834" s="170">
        <v>35</v>
      </c>
      <c r="B834" t="s">
        <v>7423</v>
      </c>
      <c r="C834">
        <v>113</v>
      </c>
      <c r="D834" t="s">
        <v>7423</v>
      </c>
      <c r="E834">
        <v>2</v>
      </c>
    </row>
    <row r="835" spans="1:5">
      <c r="A835" s="170">
        <v>35</v>
      </c>
      <c r="B835" t="s">
        <v>7423</v>
      </c>
      <c r="C835">
        <v>113</v>
      </c>
      <c r="D835" t="s">
        <v>7423</v>
      </c>
      <c r="E835">
        <v>3</v>
      </c>
    </row>
    <row r="836" spans="1:5">
      <c r="A836" s="170">
        <v>35</v>
      </c>
      <c r="B836" t="s">
        <v>7423</v>
      </c>
      <c r="C836">
        <v>114</v>
      </c>
      <c r="D836" t="s">
        <v>7423</v>
      </c>
      <c r="E836">
        <v>1</v>
      </c>
    </row>
    <row r="837" spans="1:5">
      <c r="A837" s="170">
        <v>35</v>
      </c>
      <c r="B837" t="s">
        <v>7423</v>
      </c>
      <c r="C837">
        <v>114</v>
      </c>
      <c r="D837" t="s">
        <v>7423</v>
      </c>
      <c r="E837">
        <v>2</v>
      </c>
    </row>
    <row r="838" spans="1:5">
      <c r="A838" s="170">
        <v>35</v>
      </c>
      <c r="B838" t="s">
        <v>7423</v>
      </c>
      <c r="C838">
        <v>115</v>
      </c>
      <c r="D838" t="s">
        <v>7423</v>
      </c>
      <c r="E838">
        <v>1</v>
      </c>
    </row>
    <row r="839" spans="1:5">
      <c r="A839" s="170">
        <v>35</v>
      </c>
      <c r="B839" t="s">
        <v>7423</v>
      </c>
      <c r="C839">
        <v>115</v>
      </c>
      <c r="D839" t="s">
        <v>7423</v>
      </c>
      <c r="E839">
        <v>2</v>
      </c>
    </row>
    <row r="840" spans="1:5">
      <c r="A840" s="170">
        <v>35</v>
      </c>
      <c r="B840" t="s">
        <v>7423</v>
      </c>
      <c r="C840">
        <v>115</v>
      </c>
      <c r="D840" t="s">
        <v>7423</v>
      </c>
      <c r="E840">
        <v>3</v>
      </c>
    </row>
    <row r="841" spans="1:5">
      <c r="A841" s="170">
        <v>35</v>
      </c>
      <c r="B841" t="s">
        <v>7423</v>
      </c>
      <c r="C841">
        <v>116</v>
      </c>
      <c r="D841" t="s">
        <v>7423</v>
      </c>
      <c r="E841">
        <v>1</v>
      </c>
    </row>
    <row r="842" spans="1:5">
      <c r="A842" s="170">
        <v>35</v>
      </c>
      <c r="B842" t="s">
        <v>7423</v>
      </c>
      <c r="C842">
        <v>116</v>
      </c>
      <c r="D842" t="s">
        <v>7423</v>
      </c>
      <c r="E842">
        <v>2</v>
      </c>
    </row>
    <row r="843" spans="1:5">
      <c r="A843" s="170">
        <v>35</v>
      </c>
      <c r="B843" t="s">
        <v>7423</v>
      </c>
      <c r="C843">
        <v>116</v>
      </c>
      <c r="D843" t="s">
        <v>7423</v>
      </c>
      <c r="E843">
        <v>3</v>
      </c>
    </row>
    <row r="844" spans="1:5">
      <c r="A844" s="170">
        <v>35</v>
      </c>
      <c r="B844" t="s">
        <v>7423</v>
      </c>
      <c r="C844">
        <v>117</v>
      </c>
      <c r="D844" t="s">
        <v>7423</v>
      </c>
      <c r="E844">
        <v>1</v>
      </c>
    </row>
    <row r="845" spans="1:5">
      <c r="A845" s="170">
        <v>35</v>
      </c>
      <c r="B845" t="s">
        <v>7423</v>
      </c>
      <c r="C845">
        <v>117</v>
      </c>
      <c r="D845" t="s">
        <v>7423</v>
      </c>
      <c r="E845">
        <v>2</v>
      </c>
    </row>
    <row r="846" spans="1:5">
      <c r="A846" s="170">
        <v>35</v>
      </c>
      <c r="B846" t="s">
        <v>7423</v>
      </c>
      <c r="C846">
        <v>117</v>
      </c>
      <c r="D846" t="s">
        <v>7423</v>
      </c>
      <c r="E846">
        <v>3</v>
      </c>
    </row>
    <row r="847" spans="1:5">
      <c r="A847" s="170">
        <v>35</v>
      </c>
      <c r="B847" t="s">
        <v>7423</v>
      </c>
      <c r="C847">
        <v>118</v>
      </c>
      <c r="D847" t="s">
        <v>7423</v>
      </c>
      <c r="E847">
        <v>1</v>
      </c>
    </row>
    <row r="848" spans="1:5">
      <c r="A848" s="170">
        <v>35</v>
      </c>
      <c r="B848" t="s">
        <v>7423</v>
      </c>
      <c r="C848">
        <v>118</v>
      </c>
      <c r="D848" t="s">
        <v>7423</v>
      </c>
      <c r="E848">
        <v>2</v>
      </c>
    </row>
    <row r="849" spans="1:5">
      <c r="A849" s="170">
        <v>35</v>
      </c>
      <c r="B849" t="s">
        <v>7423</v>
      </c>
      <c r="C849">
        <v>118</v>
      </c>
      <c r="D849" t="s">
        <v>7423</v>
      </c>
      <c r="E849">
        <v>3</v>
      </c>
    </row>
    <row r="850" spans="1:5">
      <c r="A850" s="170">
        <v>35</v>
      </c>
      <c r="B850" t="s">
        <v>7423</v>
      </c>
      <c r="C850">
        <v>119</v>
      </c>
      <c r="D850" t="s">
        <v>7423</v>
      </c>
      <c r="E850">
        <v>1</v>
      </c>
    </row>
    <row r="851" spans="1:5">
      <c r="A851" s="170">
        <v>35</v>
      </c>
      <c r="B851" t="s">
        <v>7423</v>
      </c>
      <c r="C851">
        <v>119</v>
      </c>
      <c r="D851" t="s">
        <v>7423</v>
      </c>
      <c r="E851">
        <v>2</v>
      </c>
    </row>
    <row r="852" spans="1:5">
      <c r="A852" s="170">
        <v>35</v>
      </c>
      <c r="B852" t="s">
        <v>7423</v>
      </c>
      <c r="C852">
        <v>119</v>
      </c>
      <c r="D852" t="s">
        <v>7423</v>
      </c>
      <c r="E852">
        <v>3</v>
      </c>
    </row>
    <row r="853" spans="1:5">
      <c r="A853" s="170">
        <v>35</v>
      </c>
      <c r="B853" t="s">
        <v>7423</v>
      </c>
      <c r="C853">
        <v>120</v>
      </c>
      <c r="D853" t="s">
        <v>7423</v>
      </c>
      <c r="E853">
        <v>1</v>
      </c>
    </row>
    <row r="854" spans="1:5">
      <c r="A854" s="170">
        <v>35</v>
      </c>
      <c r="B854" t="s">
        <v>7423</v>
      </c>
      <c r="C854">
        <v>120</v>
      </c>
      <c r="D854" t="s">
        <v>7423</v>
      </c>
      <c r="E854">
        <v>2</v>
      </c>
    </row>
    <row r="855" spans="1:5">
      <c r="A855" s="170">
        <v>35</v>
      </c>
      <c r="B855" t="s">
        <v>7423</v>
      </c>
      <c r="C855">
        <v>120</v>
      </c>
      <c r="D855" t="s">
        <v>7423</v>
      </c>
      <c r="E855">
        <v>3</v>
      </c>
    </row>
    <row r="856" spans="1:5">
      <c r="A856" s="170">
        <v>35</v>
      </c>
      <c r="B856" t="s">
        <v>7423</v>
      </c>
      <c r="C856">
        <v>201</v>
      </c>
      <c r="D856" t="s">
        <v>7423</v>
      </c>
      <c r="E856">
        <v>1</v>
      </c>
    </row>
    <row r="857" spans="1:5">
      <c r="A857" s="170">
        <v>35</v>
      </c>
      <c r="B857" t="s">
        <v>7423</v>
      </c>
      <c r="C857">
        <v>201</v>
      </c>
      <c r="D857" t="s">
        <v>7423</v>
      </c>
      <c r="E857">
        <v>2</v>
      </c>
    </row>
    <row r="858" spans="1:5">
      <c r="A858" s="170">
        <v>35</v>
      </c>
      <c r="B858" t="s">
        <v>7423</v>
      </c>
      <c r="C858">
        <v>202</v>
      </c>
      <c r="D858" t="s">
        <v>7423</v>
      </c>
      <c r="E858">
        <v>1</v>
      </c>
    </row>
    <row r="859" spans="1:5">
      <c r="A859" s="170">
        <v>35</v>
      </c>
      <c r="B859" t="s">
        <v>7423</v>
      </c>
      <c r="C859">
        <v>202</v>
      </c>
      <c r="D859" t="s">
        <v>7423</v>
      </c>
      <c r="E859">
        <v>2</v>
      </c>
    </row>
    <row r="860" spans="1:5">
      <c r="A860" s="170">
        <v>35</v>
      </c>
      <c r="B860" t="s">
        <v>7423</v>
      </c>
      <c r="C860">
        <v>203</v>
      </c>
      <c r="D860" t="s">
        <v>7423</v>
      </c>
      <c r="E860">
        <v>1</v>
      </c>
    </row>
    <row r="861" spans="1:5">
      <c r="A861" s="170">
        <v>35</v>
      </c>
      <c r="B861" t="s">
        <v>7423</v>
      </c>
      <c r="C861">
        <v>203</v>
      </c>
      <c r="D861" t="s">
        <v>7423</v>
      </c>
      <c r="E861">
        <v>2</v>
      </c>
    </row>
    <row r="862" spans="1:5">
      <c r="A862" s="170">
        <v>35</v>
      </c>
      <c r="B862" t="s">
        <v>7423</v>
      </c>
      <c r="C862">
        <v>204</v>
      </c>
      <c r="D862" t="s">
        <v>7423</v>
      </c>
      <c r="E862">
        <v>1</v>
      </c>
    </row>
    <row r="863" spans="1:5">
      <c r="A863" s="170">
        <v>35</v>
      </c>
      <c r="B863" t="s">
        <v>7423</v>
      </c>
      <c r="C863">
        <v>204</v>
      </c>
      <c r="D863" t="s">
        <v>7423</v>
      </c>
      <c r="E863">
        <v>2</v>
      </c>
    </row>
    <row r="864" spans="1:5">
      <c r="A864" s="170">
        <v>35</v>
      </c>
      <c r="B864" t="s">
        <v>7423</v>
      </c>
      <c r="C864">
        <v>205</v>
      </c>
      <c r="D864" t="s">
        <v>7423</v>
      </c>
      <c r="E864">
        <v>1</v>
      </c>
    </row>
    <row r="865" spans="1:5">
      <c r="A865" s="170">
        <v>35</v>
      </c>
      <c r="B865" t="s">
        <v>7423</v>
      </c>
      <c r="C865">
        <v>205</v>
      </c>
      <c r="D865" t="s">
        <v>7423</v>
      </c>
      <c r="E865">
        <v>2</v>
      </c>
    </row>
    <row r="866" spans="1:5">
      <c r="A866" s="170">
        <v>35</v>
      </c>
      <c r="B866" t="s">
        <v>7423</v>
      </c>
      <c r="C866">
        <v>206</v>
      </c>
      <c r="D866" t="s">
        <v>7423</v>
      </c>
      <c r="E866">
        <v>1</v>
      </c>
    </row>
    <row r="867" spans="1:5">
      <c r="A867" s="170">
        <v>35</v>
      </c>
      <c r="B867" t="s">
        <v>7423</v>
      </c>
      <c r="C867">
        <v>206</v>
      </c>
      <c r="D867" t="s">
        <v>7423</v>
      </c>
      <c r="E867">
        <v>2</v>
      </c>
    </row>
    <row r="868" spans="1:5">
      <c r="A868" s="170">
        <v>35</v>
      </c>
      <c r="B868" t="s">
        <v>7423</v>
      </c>
      <c r="C868">
        <v>207</v>
      </c>
      <c r="D868" t="s">
        <v>7423</v>
      </c>
      <c r="E868">
        <v>1</v>
      </c>
    </row>
    <row r="869" spans="1:5">
      <c r="A869" s="170">
        <v>35</v>
      </c>
      <c r="B869" t="s">
        <v>7423</v>
      </c>
      <c r="C869">
        <v>207</v>
      </c>
      <c r="D869" t="s">
        <v>7423</v>
      </c>
      <c r="E869">
        <v>2</v>
      </c>
    </row>
    <row r="870" spans="1:5">
      <c r="A870" s="170">
        <v>35</v>
      </c>
      <c r="B870" t="s">
        <v>7423</v>
      </c>
      <c r="C870">
        <v>208</v>
      </c>
      <c r="D870" t="s">
        <v>7423</v>
      </c>
      <c r="E870">
        <v>1</v>
      </c>
    </row>
    <row r="871" spans="1:5">
      <c r="A871" s="170">
        <v>35</v>
      </c>
      <c r="B871" t="s">
        <v>7423</v>
      </c>
      <c r="C871">
        <v>208</v>
      </c>
      <c r="D871" t="s">
        <v>7423</v>
      </c>
      <c r="E871">
        <v>2</v>
      </c>
    </row>
    <row r="872" spans="1:5">
      <c r="A872" s="170">
        <v>35</v>
      </c>
      <c r="B872" t="s">
        <v>7423</v>
      </c>
      <c r="C872">
        <v>209</v>
      </c>
      <c r="D872" t="s">
        <v>7423</v>
      </c>
      <c r="E872">
        <v>1</v>
      </c>
    </row>
    <row r="873" spans="1:5">
      <c r="A873" s="170">
        <v>35</v>
      </c>
      <c r="B873" t="s">
        <v>7423</v>
      </c>
      <c r="C873">
        <v>209</v>
      </c>
      <c r="D873" t="s">
        <v>7423</v>
      </c>
      <c r="E873">
        <v>2</v>
      </c>
    </row>
    <row r="874" spans="1:5">
      <c r="A874" s="170">
        <v>35</v>
      </c>
      <c r="B874" t="s">
        <v>7423</v>
      </c>
      <c r="C874">
        <v>209</v>
      </c>
      <c r="D874" t="s">
        <v>7423</v>
      </c>
      <c r="E874">
        <v>3</v>
      </c>
    </row>
    <row r="875" spans="1:5">
      <c r="A875" s="170">
        <v>35</v>
      </c>
      <c r="B875" t="s">
        <v>7423</v>
      </c>
      <c r="C875">
        <v>210</v>
      </c>
      <c r="D875" t="s">
        <v>7423</v>
      </c>
      <c r="E875">
        <v>1</v>
      </c>
    </row>
    <row r="876" spans="1:5">
      <c r="A876" s="170">
        <v>35</v>
      </c>
      <c r="B876" t="s">
        <v>7423</v>
      </c>
      <c r="C876">
        <v>210</v>
      </c>
      <c r="D876" t="s">
        <v>7423</v>
      </c>
      <c r="E876">
        <v>2</v>
      </c>
    </row>
    <row r="877" spans="1:5">
      <c r="A877" s="170">
        <v>35</v>
      </c>
      <c r="B877" t="s">
        <v>7423</v>
      </c>
      <c r="C877">
        <v>210</v>
      </c>
      <c r="D877" t="s">
        <v>7423</v>
      </c>
      <c r="E877">
        <v>3</v>
      </c>
    </row>
    <row r="878" spans="1:5">
      <c r="A878" s="170">
        <v>35</v>
      </c>
      <c r="B878" t="s">
        <v>7423</v>
      </c>
      <c r="C878">
        <v>211</v>
      </c>
      <c r="D878" t="s">
        <v>7423</v>
      </c>
      <c r="E878">
        <v>1</v>
      </c>
    </row>
    <row r="879" spans="1:5">
      <c r="A879" s="170">
        <v>35</v>
      </c>
      <c r="B879" t="s">
        <v>7423</v>
      </c>
      <c r="C879">
        <v>211</v>
      </c>
      <c r="D879" t="s">
        <v>7423</v>
      </c>
      <c r="E879">
        <v>2</v>
      </c>
    </row>
    <row r="880" spans="1:5">
      <c r="A880" s="170">
        <v>35</v>
      </c>
      <c r="B880" t="s">
        <v>7423</v>
      </c>
      <c r="C880">
        <v>211</v>
      </c>
      <c r="D880" t="s">
        <v>7423</v>
      </c>
      <c r="E880">
        <v>3</v>
      </c>
    </row>
    <row r="881" spans="1:5">
      <c r="A881" s="170">
        <v>35</v>
      </c>
      <c r="B881" t="s">
        <v>7423</v>
      </c>
      <c r="C881">
        <v>212</v>
      </c>
      <c r="D881" t="s">
        <v>7423</v>
      </c>
      <c r="E881">
        <v>1</v>
      </c>
    </row>
    <row r="882" spans="1:5">
      <c r="A882" s="170">
        <v>35</v>
      </c>
      <c r="B882" t="s">
        <v>7423</v>
      </c>
      <c r="C882">
        <v>212</v>
      </c>
      <c r="D882" t="s">
        <v>7423</v>
      </c>
      <c r="E882">
        <v>2</v>
      </c>
    </row>
    <row r="883" spans="1:5">
      <c r="A883" s="170">
        <v>35</v>
      </c>
      <c r="B883" t="s">
        <v>7423</v>
      </c>
      <c r="C883">
        <v>212</v>
      </c>
      <c r="D883" t="s">
        <v>7423</v>
      </c>
      <c r="E883">
        <v>3</v>
      </c>
    </row>
    <row r="884" spans="1:5">
      <c r="A884" s="170">
        <v>35</v>
      </c>
      <c r="B884" t="s">
        <v>7423</v>
      </c>
      <c r="C884">
        <v>213</v>
      </c>
      <c r="D884" t="s">
        <v>7423</v>
      </c>
      <c r="E884">
        <v>1</v>
      </c>
    </row>
    <row r="885" spans="1:5">
      <c r="A885" s="170">
        <v>35</v>
      </c>
      <c r="B885" t="s">
        <v>7423</v>
      </c>
      <c r="C885">
        <v>213</v>
      </c>
      <c r="D885" t="s">
        <v>7423</v>
      </c>
      <c r="E885">
        <v>2</v>
      </c>
    </row>
    <row r="886" spans="1:5">
      <c r="A886" s="170">
        <v>35</v>
      </c>
      <c r="B886" t="s">
        <v>7423</v>
      </c>
      <c r="C886">
        <v>213</v>
      </c>
      <c r="D886" t="s">
        <v>7423</v>
      </c>
      <c r="E886">
        <v>3</v>
      </c>
    </row>
    <row r="887" spans="1:5">
      <c r="A887" s="170">
        <v>35</v>
      </c>
      <c r="B887" t="s">
        <v>7423</v>
      </c>
      <c r="C887">
        <v>214</v>
      </c>
      <c r="D887" t="s">
        <v>7423</v>
      </c>
      <c r="E887">
        <v>1</v>
      </c>
    </row>
    <row r="888" spans="1:5">
      <c r="A888" s="170">
        <v>35</v>
      </c>
      <c r="B888" t="s">
        <v>7423</v>
      </c>
      <c r="C888">
        <v>214</v>
      </c>
      <c r="D888" t="s">
        <v>7423</v>
      </c>
      <c r="E888">
        <v>2</v>
      </c>
    </row>
    <row r="889" spans="1:5">
      <c r="A889" s="170">
        <v>35</v>
      </c>
      <c r="B889" t="s">
        <v>7423</v>
      </c>
      <c r="C889">
        <v>214</v>
      </c>
      <c r="D889" t="s">
        <v>7423</v>
      </c>
      <c r="E889">
        <v>3</v>
      </c>
    </row>
    <row r="890" spans="1:5">
      <c r="A890" s="170">
        <v>35</v>
      </c>
      <c r="B890" t="s">
        <v>7423</v>
      </c>
      <c r="C890">
        <v>215</v>
      </c>
      <c r="D890" t="s">
        <v>7423</v>
      </c>
      <c r="E890">
        <v>1</v>
      </c>
    </row>
    <row r="891" spans="1:5">
      <c r="A891" s="170">
        <v>35</v>
      </c>
      <c r="B891" t="s">
        <v>7423</v>
      </c>
      <c r="C891">
        <v>215</v>
      </c>
      <c r="D891" t="s">
        <v>7423</v>
      </c>
      <c r="E891">
        <v>2</v>
      </c>
    </row>
    <row r="892" spans="1:5">
      <c r="A892" s="170">
        <v>35</v>
      </c>
      <c r="B892" t="s">
        <v>7423</v>
      </c>
      <c r="C892">
        <v>215</v>
      </c>
      <c r="D892" t="s">
        <v>7423</v>
      </c>
      <c r="E892">
        <v>3</v>
      </c>
    </row>
    <row r="893" spans="1:5">
      <c r="A893" s="170">
        <v>35</v>
      </c>
      <c r="B893" t="s">
        <v>7423</v>
      </c>
      <c r="C893">
        <v>216</v>
      </c>
      <c r="D893" t="s">
        <v>7423</v>
      </c>
      <c r="E893">
        <v>1</v>
      </c>
    </row>
    <row r="894" spans="1:5">
      <c r="A894" s="170">
        <v>35</v>
      </c>
      <c r="B894" t="s">
        <v>7423</v>
      </c>
      <c r="C894">
        <v>216</v>
      </c>
      <c r="D894" t="s">
        <v>7423</v>
      </c>
      <c r="E894">
        <v>2</v>
      </c>
    </row>
    <row r="895" spans="1:5">
      <c r="A895" s="170">
        <v>35</v>
      </c>
      <c r="B895" t="s">
        <v>7423</v>
      </c>
      <c r="C895">
        <v>217</v>
      </c>
      <c r="D895" t="s">
        <v>7423</v>
      </c>
      <c r="E895">
        <v>1</v>
      </c>
    </row>
    <row r="896" spans="1:5">
      <c r="A896" s="170">
        <v>35</v>
      </c>
      <c r="B896" t="s">
        <v>7423</v>
      </c>
      <c r="C896">
        <v>217</v>
      </c>
      <c r="D896" t="s">
        <v>7423</v>
      </c>
      <c r="E896">
        <v>2</v>
      </c>
    </row>
    <row r="897" spans="1:5">
      <c r="A897" s="170">
        <v>35</v>
      </c>
      <c r="B897" t="s">
        <v>7423</v>
      </c>
      <c r="C897">
        <v>218</v>
      </c>
      <c r="D897" t="s">
        <v>7423</v>
      </c>
      <c r="E897">
        <v>1</v>
      </c>
    </row>
    <row r="898" spans="1:5">
      <c r="A898" s="170">
        <v>35</v>
      </c>
      <c r="B898" t="s">
        <v>7423</v>
      </c>
      <c r="C898">
        <v>218</v>
      </c>
      <c r="D898" t="s">
        <v>7423</v>
      </c>
      <c r="E898">
        <v>2</v>
      </c>
    </row>
    <row r="899" spans="1:5">
      <c r="A899" s="170">
        <v>35</v>
      </c>
      <c r="B899" t="s">
        <v>7423</v>
      </c>
      <c r="C899">
        <v>220</v>
      </c>
      <c r="D899" t="s">
        <v>7423</v>
      </c>
      <c r="E899">
        <v>1</v>
      </c>
    </row>
    <row r="900" spans="1:5">
      <c r="A900" s="170">
        <v>35</v>
      </c>
      <c r="B900" t="s">
        <v>7423</v>
      </c>
      <c r="C900">
        <v>220</v>
      </c>
      <c r="D900" t="s">
        <v>7423</v>
      </c>
      <c r="E900">
        <v>2</v>
      </c>
    </row>
    <row r="901" spans="1:5">
      <c r="A901" s="170">
        <v>36</v>
      </c>
      <c r="B901" t="s">
        <v>7423</v>
      </c>
      <c r="C901">
        <v>101</v>
      </c>
      <c r="D901" t="s">
        <v>7423</v>
      </c>
      <c r="E901">
        <v>1</v>
      </c>
    </row>
    <row r="902" spans="1:5">
      <c r="A902" s="170">
        <v>36</v>
      </c>
      <c r="B902" t="s">
        <v>7423</v>
      </c>
      <c r="C902">
        <v>102</v>
      </c>
      <c r="D902" t="s">
        <v>7423</v>
      </c>
      <c r="E902">
        <v>2</v>
      </c>
    </row>
    <row r="903" spans="1:5">
      <c r="A903" s="170">
        <v>36</v>
      </c>
      <c r="B903" t="s">
        <v>7423</v>
      </c>
      <c r="C903">
        <v>103</v>
      </c>
      <c r="D903" t="s">
        <v>7423</v>
      </c>
      <c r="E903">
        <v>1</v>
      </c>
    </row>
    <row r="904" spans="1:5">
      <c r="A904" s="170">
        <v>36</v>
      </c>
      <c r="B904" t="s">
        <v>7423</v>
      </c>
      <c r="C904">
        <v>103</v>
      </c>
      <c r="D904" t="s">
        <v>7423</v>
      </c>
      <c r="E904">
        <v>3</v>
      </c>
    </row>
    <row r="905" spans="1:5">
      <c r="A905" s="170">
        <v>36</v>
      </c>
      <c r="B905" t="s">
        <v>7423</v>
      </c>
      <c r="C905">
        <v>104</v>
      </c>
      <c r="D905" t="s">
        <v>7423</v>
      </c>
      <c r="E905">
        <v>1</v>
      </c>
    </row>
    <row r="906" spans="1:5">
      <c r="A906" s="170">
        <v>36</v>
      </c>
      <c r="B906" t="s">
        <v>7423</v>
      </c>
      <c r="C906">
        <v>105</v>
      </c>
      <c r="D906" t="s">
        <v>7423</v>
      </c>
      <c r="E906">
        <v>1</v>
      </c>
    </row>
    <row r="907" spans="1:5">
      <c r="A907" s="170">
        <v>36</v>
      </c>
      <c r="B907" t="s">
        <v>7423</v>
      </c>
      <c r="C907">
        <v>105</v>
      </c>
      <c r="D907" t="s">
        <v>7423</v>
      </c>
      <c r="E907">
        <v>2</v>
      </c>
    </row>
    <row r="908" spans="1:5">
      <c r="A908" s="170">
        <v>36</v>
      </c>
      <c r="B908" t="s">
        <v>7423</v>
      </c>
      <c r="C908">
        <v>106</v>
      </c>
      <c r="D908" t="s">
        <v>7423</v>
      </c>
      <c r="E908">
        <v>1</v>
      </c>
    </row>
    <row r="909" spans="1:5">
      <c r="A909" s="170">
        <v>36</v>
      </c>
      <c r="B909" t="s">
        <v>7423</v>
      </c>
      <c r="C909">
        <v>106</v>
      </c>
      <c r="D909" t="s">
        <v>7423</v>
      </c>
      <c r="E909">
        <v>3</v>
      </c>
    </row>
    <row r="910" spans="1:5">
      <c r="A910" s="170">
        <v>36</v>
      </c>
      <c r="B910" t="s">
        <v>7423</v>
      </c>
      <c r="C910">
        <v>107</v>
      </c>
      <c r="D910" t="s">
        <v>7423</v>
      </c>
      <c r="E910">
        <v>1</v>
      </c>
    </row>
    <row r="911" spans="1:5">
      <c r="A911" s="170">
        <v>36</v>
      </c>
      <c r="B911" t="s">
        <v>7423</v>
      </c>
      <c r="C911">
        <v>107</v>
      </c>
      <c r="D911" t="s">
        <v>7423</v>
      </c>
      <c r="E911">
        <v>2</v>
      </c>
    </row>
    <row r="912" spans="1:5">
      <c r="A912" s="170">
        <v>36</v>
      </c>
      <c r="B912" t="s">
        <v>7423</v>
      </c>
      <c r="C912">
        <v>107</v>
      </c>
      <c r="D912" t="s">
        <v>7423</v>
      </c>
      <c r="E912">
        <v>3</v>
      </c>
    </row>
    <row r="913" spans="1:5">
      <c r="A913" s="170">
        <v>36</v>
      </c>
      <c r="B913" t="s">
        <v>7423</v>
      </c>
      <c r="C913">
        <v>108</v>
      </c>
      <c r="D913" t="s">
        <v>7423</v>
      </c>
      <c r="E913">
        <v>1</v>
      </c>
    </row>
    <row r="914" spans="1:5">
      <c r="A914" s="170">
        <v>36</v>
      </c>
      <c r="B914" t="s">
        <v>7423</v>
      </c>
      <c r="C914">
        <v>108</v>
      </c>
      <c r="D914" t="s">
        <v>7423</v>
      </c>
      <c r="E914">
        <v>2</v>
      </c>
    </row>
    <row r="915" spans="1:5">
      <c r="A915" s="170">
        <v>36</v>
      </c>
      <c r="B915" t="s">
        <v>7423</v>
      </c>
      <c r="C915">
        <v>109</v>
      </c>
      <c r="D915" t="s">
        <v>7423</v>
      </c>
      <c r="E915">
        <v>1</v>
      </c>
    </row>
    <row r="916" spans="1:5">
      <c r="A916" s="170">
        <v>36</v>
      </c>
      <c r="B916" t="s">
        <v>7423</v>
      </c>
      <c r="C916">
        <v>109</v>
      </c>
      <c r="D916" t="s">
        <v>7423</v>
      </c>
      <c r="E916">
        <v>2</v>
      </c>
    </row>
    <row r="917" spans="1:5">
      <c r="A917" s="170">
        <v>36</v>
      </c>
      <c r="B917" t="s">
        <v>7423</v>
      </c>
      <c r="C917">
        <v>110</v>
      </c>
      <c r="D917" t="s">
        <v>7423</v>
      </c>
      <c r="E917">
        <v>2</v>
      </c>
    </row>
    <row r="918" spans="1:5">
      <c r="A918" s="170">
        <v>36</v>
      </c>
      <c r="B918" t="s">
        <v>7423</v>
      </c>
      <c r="C918">
        <v>110</v>
      </c>
      <c r="D918" t="s">
        <v>7423</v>
      </c>
      <c r="E918">
        <v>3</v>
      </c>
    </row>
    <row r="919" spans="1:5">
      <c r="A919" s="170">
        <v>36</v>
      </c>
      <c r="B919" t="s">
        <v>7423</v>
      </c>
      <c r="C919">
        <v>111</v>
      </c>
      <c r="D919" t="s">
        <v>7423</v>
      </c>
      <c r="E919">
        <v>1</v>
      </c>
    </row>
    <row r="920" spans="1:5">
      <c r="A920" s="170">
        <v>36</v>
      </c>
      <c r="B920" t="s">
        <v>7423</v>
      </c>
      <c r="C920">
        <v>111</v>
      </c>
      <c r="D920" t="s">
        <v>7423</v>
      </c>
      <c r="E920">
        <v>2</v>
      </c>
    </row>
    <row r="921" spans="1:5">
      <c r="A921" s="170">
        <v>36</v>
      </c>
      <c r="B921" t="s">
        <v>7423</v>
      </c>
      <c r="C921">
        <v>112</v>
      </c>
      <c r="D921" t="s">
        <v>7423</v>
      </c>
      <c r="E921">
        <v>1</v>
      </c>
    </row>
    <row r="922" spans="1:5">
      <c r="A922" s="170">
        <v>36</v>
      </c>
      <c r="B922" t="s">
        <v>7423</v>
      </c>
      <c r="C922">
        <v>112</v>
      </c>
      <c r="D922" t="s">
        <v>7423</v>
      </c>
      <c r="E922">
        <v>3</v>
      </c>
    </row>
    <row r="923" spans="1:5">
      <c r="A923" s="170">
        <v>36</v>
      </c>
      <c r="B923" t="s">
        <v>7423</v>
      </c>
      <c r="C923">
        <v>113</v>
      </c>
      <c r="D923" t="s">
        <v>7423</v>
      </c>
      <c r="E923">
        <v>1</v>
      </c>
    </row>
    <row r="924" spans="1:5">
      <c r="A924" s="170">
        <v>36</v>
      </c>
      <c r="B924" t="s">
        <v>7423</v>
      </c>
      <c r="C924">
        <v>113</v>
      </c>
      <c r="D924" t="s">
        <v>7423</v>
      </c>
      <c r="E924">
        <v>2</v>
      </c>
    </row>
    <row r="925" spans="1:5">
      <c r="A925" s="170">
        <v>36</v>
      </c>
      <c r="B925" t="s">
        <v>7423</v>
      </c>
      <c r="C925">
        <v>114</v>
      </c>
      <c r="D925" t="s">
        <v>7423</v>
      </c>
      <c r="E925">
        <v>1</v>
      </c>
    </row>
    <row r="926" spans="1:5">
      <c r="A926" s="170">
        <v>36</v>
      </c>
      <c r="B926" t="s">
        <v>7423</v>
      </c>
      <c r="C926">
        <v>114</v>
      </c>
      <c r="D926" t="s">
        <v>7423</v>
      </c>
      <c r="E926">
        <v>2</v>
      </c>
    </row>
    <row r="927" spans="1:5">
      <c r="A927" s="170">
        <v>36</v>
      </c>
      <c r="B927" t="s">
        <v>7423</v>
      </c>
      <c r="C927">
        <v>114</v>
      </c>
      <c r="D927" t="s">
        <v>7423</v>
      </c>
      <c r="E927">
        <v>3</v>
      </c>
    </row>
    <row r="928" spans="1:5">
      <c r="A928" s="170">
        <v>36</v>
      </c>
      <c r="B928" t="s">
        <v>7423</v>
      </c>
      <c r="C928">
        <v>115</v>
      </c>
      <c r="D928" t="s">
        <v>7423</v>
      </c>
      <c r="E928">
        <v>1</v>
      </c>
    </row>
    <row r="929" spans="1:5">
      <c r="A929" s="170">
        <v>36</v>
      </c>
      <c r="B929" t="s">
        <v>7423</v>
      </c>
      <c r="C929">
        <v>115</v>
      </c>
      <c r="D929" t="s">
        <v>7423</v>
      </c>
      <c r="E929">
        <v>2</v>
      </c>
    </row>
    <row r="930" spans="1:5">
      <c r="A930" s="170">
        <v>36</v>
      </c>
      <c r="B930" t="s">
        <v>7423</v>
      </c>
      <c r="C930">
        <v>116</v>
      </c>
      <c r="D930" t="s">
        <v>7423</v>
      </c>
      <c r="E930">
        <v>1</v>
      </c>
    </row>
    <row r="931" spans="1:5">
      <c r="A931" s="170">
        <v>36</v>
      </c>
      <c r="B931" t="s">
        <v>7423</v>
      </c>
      <c r="C931">
        <v>116</v>
      </c>
      <c r="D931" t="s">
        <v>7423</v>
      </c>
      <c r="E931">
        <v>2</v>
      </c>
    </row>
    <row r="932" spans="1:5">
      <c r="A932" s="170">
        <v>36</v>
      </c>
      <c r="B932" t="s">
        <v>7423</v>
      </c>
      <c r="C932">
        <v>116</v>
      </c>
      <c r="D932" t="s">
        <v>7423</v>
      </c>
      <c r="E932">
        <v>3</v>
      </c>
    </row>
    <row r="933" spans="1:5">
      <c r="A933" s="170">
        <v>36</v>
      </c>
      <c r="B933" t="s">
        <v>7423</v>
      </c>
      <c r="C933">
        <v>117</v>
      </c>
      <c r="D933" t="s">
        <v>7423</v>
      </c>
      <c r="E933">
        <v>1</v>
      </c>
    </row>
    <row r="934" spans="1:5">
      <c r="A934" s="170">
        <v>36</v>
      </c>
      <c r="B934" t="s">
        <v>7423</v>
      </c>
      <c r="C934">
        <v>117</v>
      </c>
      <c r="D934" t="s">
        <v>7423</v>
      </c>
      <c r="E934">
        <v>2</v>
      </c>
    </row>
    <row r="935" spans="1:5">
      <c r="A935" s="170">
        <v>36</v>
      </c>
      <c r="B935" t="s">
        <v>7423</v>
      </c>
      <c r="C935">
        <v>118</v>
      </c>
      <c r="D935" t="s">
        <v>7423</v>
      </c>
      <c r="E935">
        <v>2</v>
      </c>
    </row>
    <row r="936" spans="1:5">
      <c r="A936" s="170">
        <v>36</v>
      </c>
      <c r="B936" t="s">
        <v>7423</v>
      </c>
      <c r="C936">
        <v>118</v>
      </c>
      <c r="D936" t="s">
        <v>7423</v>
      </c>
      <c r="E936">
        <v>3</v>
      </c>
    </row>
    <row r="937" spans="1:5">
      <c r="A937" s="170">
        <v>36</v>
      </c>
      <c r="B937" t="s">
        <v>7423</v>
      </c>
      <c r="C937">
        <v>119</v>
      </c>
      <c r="D937" t="s">
        <v>7423</v>
      </c>
      <c r="E937">
        <v>1</v>
      </c>
    </row>
    <row r="938" spans="1:5">
      <c r="A938" s="170">
        <v>36</v>
      </c>
      <c r="B938" t="s">
        <v>7423</v>
      </c>
      <c r="C938">
        <v>119</v>
      </c>
      <c r="D938" t="s">
        <v>7423</v>
      </c>
      <c r="E938">
        <v>2</v>
      </c>
    </row>
    <row r="939" spans="1:5">
      <c r="A939" s="170">
        <v>36</v>
      </c>
      <c r="B939" t="s">
        <v>7423</v>
      </c>
      <c r="C939">
        <v>119</v>
      </c>
      <c r="D939" t="s">
        <v>7423</v>
      </c>
      <c r="E939">
        <v>3</v>
      </c>
    </row>
    <row r="940" spans="1:5">
      <c r="A940" s="170">
        <v>36</v>
      </c>
      <c r="B940" t="s">
        <v>7423</v>
      </c>
      <c r="C940">
        <v>120</v>
      </c>
      <c r="D940" t="s">
        <v>7423</v>
      </c>
      <c r="E940">
        <v>1</v>
      </c>
    </row>
    <row r="941" spans="1:5">
      <c r="A941" s="170">
        <v>36</v>
      </c>
      <c r="B941" t="s">
        <v>7423</v>
      </c>
      <c r="C941">
        <v>120</v>
      </c>
      <c r="D941" t="s">
        <v>7423</v>
      </c>
      <c r="E941">
        <v>2</v>
      </c>
    </row>
    <row r="942" spans="1:5">
      <c r="A942" s="170">
        <v>36</v>
      </c>
      <c r="B942" t="s">
        <v>7423</v>
      </c>
      <c r="C942">
        <v>201</v>
      </c>
      <c r="D942" t="s">
        <v>7423</v>
      </c>
      <c r="E942">
        <v>1</v>
      </c>
    </row>
    <row r="943" spans="1:5">
      <c r="A943" s="170">
        <v>36</v>
      </c>
      <c r="B943" t="s">
        <v>7423</v>
      </c>
      <c r="C943">
        <v>201</v>
      </c>
      <c r="D943" t="s">
        <v>7423</v>
      </c>
      <c r="E943">
        <v>2</v>
      </c>
    </row>
    <row r="944" spans="1:5">
      <c r="A944" s="170">
        <v>36</v>
      </c>
      <c r="B944" t="s">
        <v>7423</v>
      </c>
      <c r="C944">
        <v>201</v>
      </c>
      <c r="D944" t="s">
        <v>7423</v>
      </c>
      <c r="E944">
        <v>3</v>
      </c>
    </row>
    <row r="945" spans="1:5">
      <c r="A945" s="170">
        <v>36</v>
      </c>
      <c r="B945" t="s">
        <v>7423</v>
      </c>
      <c r="C945">
        <v>202</v>
      </c>
      <c r="D945" t="s">
        <v>7423</v>
      </c>
      <c r="E945">
        <v>1</v>
      </c>
    </row>
    <row r="946" spans="1:5">
      <c r="A946" s="170">
        <v>36</v>
      </c>
      <c r="B946" t="s">
        <v>7423</v>
      </c>
      <c r="C946">
        <v>202</v>
      </c>
      <c r="D946" t="s">
        <v>7423</v>
      </c>
      <c r="E946">
        <v>3</v>
      </c>
    </row>
    <row r="947" spans="1:5">
      <c r="A947" s="170">
        <v>36</v>
      </c>
      <c r="B947" t="s">
        <v>7423</v>
      </c>
      <c r="C947">
        <v>203</v>
      </c>
      <c r="D947" t="s">
        <v>7423</v>
      </c>
      <c r="E947">
        <v>1</v>
      </c>
    </row>
    <row r="948" spans="1:5">
      <c r="A948" s="170">
        <v>36</v>
      </c>
      <c r="B948" t="s">
        <v>7423</v>
      </c>
      <c r="C948">
        <v>203</v>
      </c>
      <c r="D948" t="s">
        <v>7423</v>
      </c>
      <c r="E948">
        <v>2</v>
      </c>
    </row>
    <row r="949" spans="1:5">
      <c r="A949" s="170">
        <v>36</v>
      </c>
      <c r="B949" t="s">
        <v>7423</v>
      </c>
      <c r="C949">
        <v>203</v>
      </c>
      <c r="D949" t="s">
        <v>7423</v>
      </c>
      <c r="E949">
        <v>3</v>
      </c>
    </row>
    <row r="950" spans="1:5">
      <c r="A950" s="170">
        <v>36</v>
      </c>
      <c r="B950" t="s">
        <v>7423</v>
      </c>
      <c r="C950">
        <v>204</v>
      </c>
      <c r="D950" t="s">
        <v>7423</v>
      </c>
      <c r="E950">
        <v>1</v>
      </c>
    </row>
    <row r="951" spans="1:5">
      <c r="A951" s="170">
        <v>36</v>
      </c>
      <c r="B951" t="s">
        <v>7423</v>
      </c>
      <c r="C951">
        <v>204</v>
      </c>
      <c r="D951" t="s">
        <v>7423</v>
      </c>
      <c r="E951">
        <v>2</v>
      </c>
    </row>
    <row r="952" spans="1:5">
      <c r="A952" s="170">
        <v>36</v>
      </c>
      <c r="B952" t="s">
        <v>7423</v>
      </c>
      <c r="C952">
        <v>204</v>
      </c>
      <c r="D952" t="s">
        <v>7423</v>
      </c>
      <c r="E952">
        <v>3</v>
      </c>
    </row>
    <row r="953" spans="1:5">
      <c r="A953" s="170">
        <v>36</v>
      </c>
      <c r="B953" t="s">
        <v>7423</v>
      </c>
      <c r="C953">
        <v>205</v>
      </c>
      <c r="D953" t="s">
        <v>7423</v>
      </c>
      <c r="E953">
        <v>1</v>
      </c>
    </row>
    <row r="954" spans="1:5">
      <c r="A954" s="170">
        <v>36</v>
      </c>
      <c r="B954" t="s">
        <v>7423</v>
      </c>
      <c r="C954">
        <v>205</v>
      </c>
      <c r="D954" t="s">
        <v>7423</v>
      </c>
      <c r="E954">
        <v>2</v>
      </c>
    </row>
    <row r="955" spans="1:5">
      <c r="A955" s="170">
        <v>36</v>
      </c>
      <c r="B955" t="s">
        <v>7423</v>
      </c>
      <c r="C955">
        <v>205</v>
      </c>
      <c r="D955" t="s">
        <v>7423</v>
      </c>
      <c r="E955">
        <v>3</v>
      </c>
    </row>
    <row r="956" spans="1:5">
      <c r="A956" s="170">
        <v>36</v>
      </c>
      <c r="B956" t="s">
        <v>7423</v>
      </c>
      <c r="C956">
        <v>206</v>
      </c>
      <c r="D956" t="s">
        <v>7423</v>
      </c>
      <c r="E956">
        <v>1</v>
      </c>
    </row>
    <row r="957" spans="1:5">
      <c r="A957" s="170">
        <v>36</v>
      </c>
      <c r="B957" t="s">
        <v>7423</v>
      </c>
      <c r="C957">
        <v>206</v>
      </c>
      <c r="D957" t="s">
        <v>7423</v>
      </c>
      <c r="E957">
        <v>2</v>
      </c>
    </row>
    <row r="958" spans="1:5">
      <c r="A958" s="170">
        <v>36</v>
      </c>
      <c r="B958" t="s">
        <v>7423</v>
      </c>
      <c r="C958">
        <v>206</v>
      </c>
      <c r="D958" t="s">
        <v>7423</v>
      </c>
      <c r="E958">
        <v>3</v>
      </c>
    </row>
    <row r="959" spans="1:5">
      <c r="A959" s="170">
        <v>36</v>
      </c>
      <c r="B959" t="s">
        <v>7423</v>
      </c>
      <c r="C959">
        <v>207</v>
      </c>
      <c r="D959" t="s">
        <v>7423</v>
      </c>
      <c r="E959">
        <v>1</v>
      </c>
    </row>
    <row r="960" spans="1:5">
      <c r="A960" s="170">
        <v>36</v>
      </c>
      <c r="B960" t="s">
        <v>7423</v>
      </c>
      <c r="C960">
        <v>207</v>
      </c>
      <c r="D960" t="s">
        <v>7423</v>
      </c>
      <c r="E960">
        <v>2</v>
      </c>
    </row>
    <row r="961" spans="1:5">
      <c r="A961" s="170">
        <v>36</v>
      </c>
      <c r="B961" t="s">
        <v>7423</v>
      </c>
      <c r="C961">
        <v>208</v>
      </c>
      <c r="D961" t="s">
        <v>7423</v>
      </c>
      <c r="E961">
        <v>1</v>
      </c>
    </row>
    <row r="962" spans="1:5">
      <c r="A962" s="170">
        <v>36</v>
      </c>
      <c r="B962" t="s">
        <v>7423</v>
      </c>
      <c r="C962">
        <v>208</v>
      </c>
      <c r="D962" t="s">
        <v>7423</v>
      </c>
      <c r="E962">
        <v>2</v>
      </c>
    </row>
    <row r="963" spans="1:5">
      <c r="A963" s="170">
        <v>36</v>
      </c>
      <c r="B963" t="s">
        <v>7423</v>
      </c>
      <c r="C963">
        <v>209</v>
      </c>
      <c r="D963" t="s">
        <v>7423</v>
      </c>
      <c r="E963">
        <v>2</v>
      </c>
    </row>
    <row r="964" spans="1:5">
      <c r="A964" s="170">
        <v>36</v>
      </c>
      <c r="B964" t="s">
        <v>7423</v>
      </c>
      <c r="C964">
        <v>209</v>
      </c>
      <c r="D964" t="s">
        <v>7423</v>
      </c>
      <c r="E964">
        <v>3</v>
      </c>
    </row>
    <row r="965" spans="1:5">
      <c r="A965" s="170">
        <v>36</v>
      </c>
      <c r="B965" t="s">
        <v>7423</v>
      </c>
      <c r="C965">
        <v>210</v>
      </c>
      <c r="D965" t="s">
        <v>7423</v>
      </c>
      <c r="E965">
        <v>1</v>
      </c>
    </row>
    <row r="966" spans="1:5">
      <c r="A966" s="170">
        <v>36</v>
      </c>
      <c r="B966" t="s">
        <v>7423</v>
      </c>
      <c r="C966">
        <v>210</v>
      </c>
      <c r="D966" t="s">
        <v>7423</v>
      </c>
      <c r="E966">
        <v>2</v>
      </c>
    </row>
    <row r="967" spans="1:5">
      <c r="A967" s="170">
        <v>36</v>
      </c>
      <c r="B967" t="s">
        <v>7423</v>
      </c>
      <c r="C967">
        <v>211</v>
      </c>
      <c r="D967" t="s">
        <v>7423</v>
      </c>
      <c r="E967">
        <v>1</v>
      </c>
    </row>
    <row r="968" spans="1:5">
      <c r="A968" s="170">
        <v>36</v>
      </c>
      <c r="B968" t="s">
        <v>7423</v>
      </c>
      <c r="C968">
        <v>212</v>
      </c>
      <c r="D968" t="s">
        <v>7423</v>
      </c>
      <c r="E968">
        <v>1</v>
      </c>
    </row>
    <row r="969" spans="1:5">
      <c r="A969" s="170">
        <v>36</v>
      </c>
      <c r="B969" t="s">
        <v>7423</v>
      </c>
      <c r="C969">
        <v>212</v>
      </c>
      <c r="D969" t="s">
        <v>7423</v>
      </c>
      <c r="E969">
        <v>2</v>
      </c>
    </row>
    <row r="970" spans="1:5">
      <c r="A970" s="170">
        <v>36</v>
      </c>
      <c r="B970" t="s">
        <v>7423</v>
      </c>
      <c r="C970">
        <v>213</v>
      </c>
      <c r="D970" t="s">
        <v>7423</v>
      </c>
      <c r="E970">
        <v>1</v>
      </c>
    </row>
    <row r="971" spans="1:5">
      <c r="A971" s="170">
        <v>36</v>
      </c>
      <c r="B971" t="s">
        <v>7423</v>
      </c>
      <c r="C971">
        <v>213</v>
      </c>
      <c r="D971" t="s">
        <v>7423</v>
      </c>
      <c r="E971">
        <v>2</v>
      </c>
    </row>
    <row r="972" spans="1:5">
      <c r="A972" s="170">
        <v>36</v>
      </c>
      <c r="B972" t="s">
        <v>7423</v>
      </c>
      <c r="C972">
        <v>214</v>
      </c>
      <c r="D972" t="s">
        <v>7423</v>
      </c>
      <c r="E972">
        <v>1</v>
      </c>
    </row>
    <row r="973" spans="1:5">
      <c r="A973" s="170">
        <v>36</v>
      </c>
      <c r="B973" t="s">
        <v>7423</v>
      </c>
      <c r="C973">
        <v>214</v>
      </c>
      <c r="D973" t="s">
        <v>7423</v>
      </c>
      <c r="E973">
        <v>2</v>
      </c>
    </row>
    <row r="974" spans="1:5">
      <c r="A974" s="170">
        <v>36</v>
      </c>
      <c r="B974" t="s">
        <v>7423</v>
      </c>
      <c r="C974">
        <v>214</v>
      </c>
      <c r="D974" t="s">
        <v>7423</v>
      </c>
      <c r="E974">
        <v>3</v>
      </c>
    </row>
    <row r="975" spans="1:5">
      <c r="A975" s="170">
        <v>36</v>
      </c>
      <c r="B975" t="s">
        <v>7423</v>
      </c>
      <c r="C975">
        <v>215</v>
      </c>
      <c r="D975" t="s">
        <v>7423</v>
      </c>
      <c r="E975">
        <v>1</v>
      </c>
    </row>
    <row r="976" spans="1:5">
      <c r="A976" s="170">
        <v>36</v>
      </c>
      <c r="B976" t="s">
        <v>7423</v>
      </c>
      <c r="C976">
        <v>215</v>
      </c>
      <c r="D976" t="s">
        <v>7423</v>
      </c>
      <c r="E976">
        <v>2</v>
      </c>
    </row>
    <row r="977" spans="1:5">
      <c r="A977" s="170">
        <v>36</v>
      </c>
      <c r="B977" t="s">
        <v>7423</v>
      </c>
      <c r="C977">
        <v>215</v>
      </c>
      <c r="D977" t="s">
        <v>7423</v>
      </c>
      <c r="E977">
        <v>3</v>
      </c>
    </row>
    <row r="978" spans="1:5">
      <c r="A978" s="170">
        <v>36</v>
      </c>
      <c r="B978" t="s">
        <v>7423</v>
      </c>
      <c r="C978">
        <v>216</v>
      </c>
      <c r="D978" t="s">
        <v>7423</v>
      </c>
      <c r="E978">
        <v>1</v>
      </c>
    </row>
    <row r="979" spans="1:5">
      <c r="A979" s="170">
        <v>36</v>
      </c>
      <c r="B979" t="s">
        <v>7423</v>
      </c>
      <c r="C979">
        <v>216</v>
      </c>
      <c r="D979" t="s">
        <v>7423</v>
      </c>
      <c r="E979">
        <v>2</v>
      </c>
    </row>
    <row r="980" spans="1:5">
      <c r="A980" s="170">
        <v>36</v>
      </c>
      <c r="B980" t="s">
        <v>7423</v>
      </c>
      <c r="C980">
        <v>217</v>
      </c>
      <c r="D980" t="s">
        <v>7423</v>
      </c>
      <c r="E980">
        <v>1</v>
      </c>
    </row>
    <row r="981" spans="1:5">
      <c r="A981" s="170">
        <v>36</v>
      </c>
      <c r="B981" t="s">
        <v>7423</v>
      </c>
      <c r="C981">
        <v>217</v>
      </c>
      <c r="D981" t="s">
        <v>7423</v>
      </c>
      <c r="E981">
        <v>2</v>
      </c>
    </row>
    <row r="982" spans="1:5">
      <c r="A982" s="170">
        <v>36</v>
      </c>
      <c r="B982" t="s">
        <v>7423</v>
      </c>
      <c r="C982">
        <v>218</v>
      </c>
      <c r="D982" t="s">
        <v>7423</v>
      </c>
      <c r="E982">
        <v>1</v>
      </c>
    </row>
    <row r="983" spans="1:5">
      <c r="A983" s="170">
        <v>36</v>
      </c>
      <c r="B983" t="s">
        <v>7423</v>
      </c>
      <c r="C983">
        <v>218</v>
      </c>
      <c r="D983" t="s">
        <v>7423</v>
      </c>
      <c r="E983">
        <v>2</v>
      </c>
    </row>
    <row r="984" spans="1:5">
      <c r="A984" s="170">
        <v>36</v>
      </c>
      <c r="B984" t="s">
        <v>7423</v>
      </c>
      <c r="C984">
        <v>219</v>
      </c>
      <c r="D984" t="s">
        <v>7423</v>
      </c>
      <c r="E984">
        <v>1</v>
      </c>
    </row>
    <row r="985" spans="1:5">
      <c r="A985" s="170">
        <v>36</v>
      </c>
      <c r="B985" t="s">
        <v>7423</v>
      </c>
      <c r="C985">
        <v>219</v>
      </c>
      <c r="D985" t="s">
        <v>7423</v>
      </c>
      <c r="E985">
        <v>2</v>
      </c>
    </row>
    <row r="986" spans="1:5">
      <c r="A986" s="170">
        <v>36</v>
      </c>
      <c r="B986" t="s">
        <v>7423</v>
      </c>
      <c r="C986">
        <v>219</v>
      </c>
      <c r="D986" t="s">
        <v>7423</v>
      </c>
      <c r="E986">
        <v>3</v>
      </c>
    </row>
    <row r="987" spans="1:5">
      <c r="A987" s="170">
        <v>36</v>
      </c>
      <c r="B987" t="s">
        <v>7423</v>
      </c>
      <c r="C987">
        <v>220</v>
      </c>
      <c r="D987" t="s">
        <v>7423</v>
      </c>
      <c r="E987">
        <v>1</v>
      </c>
    </row>
    <row r="988" spans="1:5">
      <c r="A988" s="170">
        <v>36</v>
      </c>
      <c r="B988" t="s">
        <v>7423</v>
      </c>
      <c r="C988">
        <v>220</v>
      </c>
      <c r="D988" t="s">
        <v>7423</v>
      </c>
      <c r="E988">
        <v>3</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zoomScale="70" zoomScaleNormal="70" workbookViewId="0">
      <pane ySplit="5" topLeftCell="A55" activePane="bottomLeft" state="frozen"/>
      <selection/>
      <selection pane="bottomLeft" activeCell="B51" sqref="B51:J96"/>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71.4272727272727"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7426</v>
      </c>
      <c r="D4" s="44"/>
      <c r="E4" s="44"/>
      <c r="F4" s="44"/>
      <c r="G4" s="44"/>
      <c r="H4" s="44"/>
      <c r="I4" s="44"/>
      <c r="J4" s="75"/>
      <c r="L4" s="73"/>
      <c r="M4" s="73">
        <f>Q4+R4*2+S4*3</f>
        <v>83</v>
      </c>
      <c r="N4" s="76"/>
      <c r="O4" s="73"/>
      <c r="P4" s="73">
        <f>SUM(Q4:S4)</f>
        <v>40</v>
      </c>
      <c r="Q4" s="96">
        <f>COUNTIFS(Q6:T125,"=Single")</f>
        <v>3</v>
      </c>
      <c r="R4" s="96">
        <f>COUNTIFS(Q6:T125,"=Double")</f>
        <v>31</v>
      </c>
      <c r="S4" s="96">
        <f>COUNTIFS(Q6:T125,"=Triple")</f>
        <v>6</v>
      </c>
      <c r="T4" s="96">
        <f>COUNTIFS(Q6:T125,"=Empty")</f>
        <v>0</v>
      </c>
      <c r="U4" s="73">
        <f>COUNTIFS(V6:W125,"=1")</f>
        <v>3</v>
      </c>
      <c r="V4" s="73">
        <f>COUNTIFS(V6:W125,"=2")</f>
        <v>31</v>
      </c>
      <c r="W4" s="73">
        <f>COUNTIFS(V6:W125,"=3")</f>
        <v>6</v>
      </c>
      <c r="X4" s="97"/>
      <c r="Y4" s="97"/>
      <c r="Z4" s="115">
        <f>COUNTA(Z6:Z130)</f>
        <v>83</v>
      </c>
      <c r="AA4" s="115">
        <f>COUNTA(AA6:AA130)-SUM(COUNTIF(AA6:AA130,{"#N/A"}))</f>
        <v>1</v>
      </c>
      <c r="AB4" s="116"/>
    </row>
    <row r="5" ht="15.25" spans="2:28">
      <c r="B5" s="45" t="s">
        <v>7427</v>
      </c>
      <c r="C5" s="45"/>
      <c r="D5" s="45"/>
      <c r="E5" s="45"/>
      <c r="G5" s="45" t="s">
        <v>7427</v>
      </c>
      <c r="H5" s="45"/>
      <c r="I5" s="45"/>
      <c r="J5" s="45"/>
      <c r="L5" s="77"/>
      <c r="M5" s="78"/>
      <c r="N5" s="77"/>
      <c r="O5" s="77"/>
      <c r="P5" s="77"/>
      <c r="Q5" s="96"/>
      <c r="R5" s="96"/>
      <c r="S5" s="96"/>
      <c r="T5" s="96"/>
      <c r="U5" s="98">
        <f>SUM(V6:W125)</f>
        <v>83</v>
      </c>
      <c r="V5" s="73" t="s">
        <v>7428</v>
      </c>
      <c r="W5" s="98">
        <f>U4+V4+W4</f>
        <v>40</v>
      </c>
      <c r="X5" s="99"/>
      <c r="Y5" s="99"/>
      <c r="Z5" s="117"/>
      <c r="AA5" s="118"/>
      <c r="AB5" s="119"/>
    </row>
    <row r="6" spans="2:28">
      <c r="B6" s="46">
        <v>101</v>
      </c>
      <c r="C6" s="47"/>
      <c r="D6" s="48" t="s">
        <v>6580</v>
      </c>
      <c r="E6" s="49" t="s">
        <v>6581</v>
      </c>
      <c r="G6" s="46">
        <v>120</v>
      </c>
      <c r="H6" s="47"/>
      <c r="I6" s="48" t="s">
        <v>6580</v>
      </c>
      <c r="J6" s="49" t="s">
        <v>6581</v>
      </c>
      <c r="L6" s="6">
        <f>COUNTA(B7)</f>
        <v>0</v>
      </c>
      <c r="M6" s="79" t="str">
        <f>C7</f>
        <v>99901 Richard</v>
      </c>
      <c r="N6" s="80"/>
      <c r="O6" s="81">
        <v>27</v>
      </c>
      <c r="P6" s="81">
        <v>101</v>
      </c>
      <c r="Q6" s="81" t="str">
        <f>_xlfn.IFS(COUNTA(B7:B9)=1,"Single",COUNTA(B7:B9)=2,"Double",COUNTA(B7:B9)=3,"Triple",COUNTA(B7:B9)=0,"Empty")</f>
        <v>Double</v>
      </c>
      <c r="R6" s="81"/>
      <c r="S6" s="81"/>
      <c r="T6" s="81"/>
      <c r="U6" s="81">
        <f>B7</f>
        <v>0</v>
      </c>
      <c r="V6" s="100">
        <f>COUNT(B7:B9)</f>
        <v>2</v>
      </c>
      <c r="W6" s="101"/>
      <c r="X6" s="102" t="str">
        <f>IF(D7=0,"",D7)</f>
        <v/>
      </c>
      <c r="Y6" s="108" t="str">
        <f t="shared" ref="X6:Y8" si="0">IF(E7=0,"",E7)</f>
        <v/>
      </c>
      <c r="Z6" s="120"/>
      <c r="AA6" s="121" t="e">
        <f>VLOOKUP($M:$M,Data!$I:$J,2,FALSE)</f>
        <v>#N/A</v>
      </c>
      <c r="AB6" s="122" t="s">
        <v>7429</v>
      </c>
    </row>
    <row r="7" spans="2:28">
      <c r="B7" s="50"/>
      <c r="C7" s="51" t="str">
        <f>VLOOKUP("27/101/1",Data!$A$2:$E$1425,3,FALSE)</f>
        <v>99901 Richard</v>
      </c>
      <c r="D7" s="52"/>
      <c r="E7" s="53"/>
      <c r="G7" s="50">
        <v>1</v>
      </c>
      <c r="H7" s="51" t="str">
        <f>VLOOKUP("27/120/1",Data!$A$2:$E$1425,3,FALSE)</f>
        <v>99902 Peter</v>
      </c>
      <c r="I7" s="52"/>
      <c r="J7" s="53"/>
      <c r="L7" s="9">
        <f>COUNTA(B8)+L6</f>
        <v>1</v>
      </c>
      <c r="M7" s="31">
        <f>C8</f>
        <v>0</v>
      </c>
      <c r="N7" s="82" t="s">
        <v>7430</v>
      </c>
      <c r="O7" s="36">
        <v>27</v>
      </c>
      <c r="P7" s="36">
        <v>101</v>
      </c>
      <c r="Q7" s="36"/>
      <c r="R7" s="36"/>
      <c r="S7" s="36"/>
      <c r="T7" s="36"/>
      <c r="U7" s="36">
        <f>B8</f>
        <v>2</v>
      </c>
      <c r="V7" s="103"/>
      <c r="W7" s="104"/>
      <c r="X7" s="52" t="str">
        <f t="shared" si="0"/>
        <v/>
      </c>
      <c r="Y7" s="109" t="str">
        <f t="shared" si="0"/>
        <v/>
      </c>
      <c r="Z7" s="317" t="s">
        <v>7431</v>
      </c>
      <c r="AA7" s="124" t="e">
        <f>VLOOKUP($M:$M,Data!$I:$J,2,FALSE)</f>
        <v>#N/A</v>
      </c>
      <c r="AB7" s="125"/>
    </row>
    <row r="8" ht="15.25" spans="2:28">
      <c r="B8" s="50">
        <v>2</v>
      </c>
      <c r="C8" s="51">
        <f>VLOOKUP("27/101/2",Data!$A$2:$E$1425,3,FALSE)</f>
        <v>0</v>
      </c>
      <c r="D8" s="54"/>
      <c r="E8" s="55"/>
      <c r="G8" s="50"/>
      <c r="H8" s="51">
        <f>VLOOKUP("27/120/2",Data!$A$2:$E$1425,3,FALSE)</f>
        <v>0</v>
      </c>
      <c r="I8" s="54"/>
      <c r="J8" s="55"/>
      <c r="L8" s="14">
        <f>COUNTA(B9)+L7</f>
        <v>2</v>
      </c>
      <c r="M8" s="83">
        <f>C9</f>
        <v>0</v>
      </c>
      <c r="N8" s="84" t="s">
        <v>7430</v>
      </c>
      <c r="O8" s="85">
        <v>27</v>
      </c>
      <c r="P8" s="85">
        <v>101</v>
      </c>
      <c r="Q8" s="85"/>
      <c r="R8" s="85"/>
      <c r="S8" s="85"/>
      <c r="T8" s="85"/>
      <c r="U8" s="85">
        <f>B9</f>
        <v>3</v>
      </c>
      <c r="V8" s="105"/>
      <c r="W8" s="106"/>
      <c r="X8" s="107" t="str">
        <f t="shared" si="0"/>
        <v/>
      </c>
      <c r="Y8" s="111" t="str">
        <f t="shared" si="0"/>
        <v/>
      </c>
      <c r="Z8" s="123"/>
      <c r="AA8" s="124" t="e">
        <f>VLOOKUP($M:$M,Data!$I:$J,2,FALSE)</f>
        <v>#N/A</v>
      </c>
      <c r="AB8" s="126"/>
    </row>
    <row r="9" ht="15.25" spans="2:28">
      <c r="B9" s="50">
        <v>3</v>
      </c>
      <c r="C9" s="51">
        <f>VLOOKUP("27/101/3",Data!$A$2:$E$1425,3,FALSE)</f>
        <v>0</v>
      </c>
      <c r="D9" s="56"/>
      <c r="E9" s="57"/>
      <c r="G9" s="58">
        <v>3</v>
      </c>
      <c r="H9" s="59">
        <f>VLOOKUP("27/120/3",Data!$A$2:$E$1425,3,FALSE)</f>
        <v>0</v>
      </c>
      <c r="I9" s="56"/>
      <c r="J9" s="57"/>
      <c r="L9" s="6">
        <f>COUNTA(B11)+L8</f>
        <v>3</v>
      </c>
      <c r="M9" s="79" t="str">
        <f>C11</f>
        <v>99903 Hakan</v>
      </c>
      <c r="N9" s="80" t="s">
        <v>7430</v>
      </c>
      <c r="O9" s="81">
        <v>27</v>
      </c>
      <c r="P9" s="81">
        <v>102</v>
      </c>
      <c r="Q9" s="62" t="str">
        <f>_xlfn.IFS(COUNTA(B11:B13)=1,"Single",COUNTA(B11:B13)=2,"Double",COUNTA(B11:B13)=3,"Triple",COUNTA(B11:B13)=0,"Empty")</f>
        <v>Double</v>
      </c>
      <c r="R9" s="62"/>
      <c r="S9" s="62"/>
      <c r="T9" s="62"/>
      <c r="U9" s="81">
        <f>B11</f>
        <v>1</v>
      </c>
      <c r="V9" s="100">
        <f>COUNT(B11:B13)</f>
        <v>2</v>
      </c>
      <c r="W9" s="101"/>
      <c r="X9" s="108" t="str">
        <f t="shared" ref="X9:Y11" si="1">IF(D11=0,"",D11)</f>
        <v/>
      </c>
      <c r="Y9" s="108" t="str">
        <f t="shared" si="1"/>
        <v/>
      </c>
      <c r="Z9" s="120" t="s">
        <v>7432</v>
      </c>
      <c r="AA9" s="121" t="e">
        <f>VLOOKUP($M:$M,Data!$I:$J,2,FALSE)</f>
        <v>#N/A</v>
      </c>
      <c r="AB9" s="122"/>
    </row>
    <row r="10" spans="2:28">
      <c r="B10" s="60">
        <v>102</v>
      </c>
      <c r="C10" s="61"/>
      <c r="D10" s="62" t="s">
        <v>6580</v>
      </c>
      <c r="E10" s="8" t="s">
        <v>6581</v>
      </c>
      <c r="G10" s="46">
        <v>119</v>
      </c>
      <c r="H10" s="47"/>
      <c r="I10" s="48" t="s">
        <v>6580</v>
      </c>
      <c r="J10" s="49" t="s">
        <v>6581</v>
      </c>
      <c r="L10" s="9">
        <f>COUNTA(B12)+L9</f>
        <v>3</v>
      </c>
      <c r="M10" s="31">
        <f>C12</f>
        <v>0</v>
      </c>
      <c r="N10" s="82"/>
      <c r="O10" s="36">
        <v>27</v>
      </c>
      <c r="P10" s="36">
        <v>102</v>
      </c>
      <c r="Q10" s="32"/>
      <c r="R10" s="32"/>
      <c r="S10" s="32"/>
      <c r="T10" s="32"/>
      <c r="U10" s="36">
        <f>B12</f>
        <v>0</v>
      </c>
      <c r="V10" s="103"/>
      <c r="W10" s="104"/>
      <c r="X10" s="109" t="str">
        <f t="shared" si="1"/>
        <v/>
      </c>
      <c r="Y10" s="109" t="str">
        <f t="shared" si="1"/>
        <v/>
      </c>
      <c r="Z10" s="123"/>
      <c r="AA10" s="124" t="e">
        <f>VLOOKUP($M:$M,Data!$I:$J,2,FALSE)</f>
        <v>#N/A</v>
      </c>
      <c r="AB10" s="125"/>
    </row>
    <row r="11" ht="15.25" spans="2:28">
      <c r="B11" s="50">
        <v>1</v>
      </c>
      <c r="C11" s="51" t="str">
        <f>VLOOKUP("27/102/1",Data!$A$2:$E$1425,3,FALSE)</f>
        <v>99903 Hakan</v>
      </c>
      <c r="D11" s="52"/>
      <c r="E11" s="53"/>
      <c r="G11" s="50">
        <v>1</v>
      </c>
      <c r="H11" s="51" t="str">
        <f>VLOOKUP("27/119/1",Data!$A$2:$E$1425,3,FALSE)</f>
        <v>99904 Philip</v>
      </c>
      <c r="I11" s="52"/>
      <c r="J11" s="53"/>
      <c r="L11" s="14">
        <f>COUNTA(B13)+L10</f>
        <v>4</v>
      </c>
      <c r="M11" s="83">
        <f>C13</f>
        <v>0</v>
      </c>
      <c r="N11" s="84" t="s">
        <v>7430</v>
      </c>
      <c r="O11" s="85">
        <v>27</v>
      </c>
      <c r="P11" s="85">
        <v>102</v>
      </c>
      <c r="Q11" s="110"/>
      <c r="R11" s="110"/>
      <c r="S11" s="110"/>
      <c r="T11" s="110"/>
      <c r="U11" s="85">
        <f>B13</f>
        <v>3</v>
      </c>
      <c r="V11" s="105"/>
      <c r="W11" s="106"/>
      <c r="X11" s="111" t="str">
        <f t="shared" si="1"/>
        <v/>
      </c>
      <c r="Y11" s="111" t="str">
        <f t="shared" si="1"/>
        <v/>
      </c>
      <c r="Z11" s="127" t="s">
        <v>6765</v>
      </c>
      <c r="AA11" s="128" t="e">
        <f>VLOOKUP($M:$M,Data!$I:$J,2,FALSE)</f>
        <v>#N/A</v>
      </c>
      <c r="AB11" s="126"/>
    </row>
    <row r="12" spans="2:28">
      <c r="B12" s="50"/>
      <c r="C12" s="51">
        <f>VLOOKUP("27/102/2",Data!$A$2:$E$1425,3,FALSE)</f>
        <v>0</v>
      </c>
      <c r="D12" s="54"/>
      <c r="E12" s="55"/>
      <c r="G12" s="50">
        <v>2</v>
      </c>
      <c r="H12" s="51">
        <f>VLOOKUP("27/119/2",Data!$A$2:$E$1425,3,FALSE)</f>
        <v>0</v>
      </c>
      <c r="I12" s="54"/>
      <c r="J12" s="55"/>
      <c r="L12" s="6">
        <f>COUNTA(B15)+L11</f>
        <v>5</v>
      </c>
      <c r="M12" s="79" t="str">
        <f>C15</f>
        <v>99905 Torbjorn</v>
      </c>
      <c r="N12" s="80" t="s">
        <v>7430</v>
      </c>
      <c r="O12" s="81">
        <v>27</v>
      </c>
      <c r="P12" s="81">
        <v>103</v>
      </c>
      <c r="Q12" s="62" t="str">
        <f>_xlfn.IFS(COUNTA(B15:B17)=1,"Single",COUNTA(B15:B17)=2,"Double",COUNTA(B15:B17)=3,"Triple",COUNTA(B15:B17)=0,"Empty")</f>
        <v>Double</v>
      </c>
      <c r="R12" s="62"/>
      <c r="S12" s="62"/>
      <c r="T12" s="62"/>
      <c r="U12" s="81">
        <f>B15</f>
        <v>1</v>
      </c>
      <c r="V12" s="100">
        <f>COUNT(B15:B17)</f>
        <v>2</v>
      </c>
      <c r="W12" s="101"/>
      <c r="X12" s="108" t="str">
        <f t="shared" ref="X12:Y14" si="2">IF(D15=0,"",D15)</f>
        <v/>
      </c>
      <c r="Y12" s="108" t="str">
        <f t="shared" si="2"/>
        <v/>
      </c>
      <c r="Z12" s="120" t="s">
        <v>7122</v>
      </c>
      <c r="AA12" s="121" t="s">
        <v>3937</v>
      </c>
      <c r="AB12" s="122"/>
    </row>
    <row r="13" ht="15.25" spans="2:28">
      <c r="B13" s="58">
        <v>3</v>
      </c>
      <c r="C13" s="59">
        <f>VLOOKUP("27/102/3",Data!$A$2:$E$1425,3,FALSE)</f>
        <v>0</v>
      </c>
      <c r="D13" s="56"/>
      <c r="E13" s="57"/>
      <c r="G13" s="58">
        <v>3</v>
      </c>
      <c r="H13" s="59">
        <f>VLOOKUP("27/119/3",Data!$A$2:$E$1425,3,FALSE)</f>
        <v>0</v>
      </c>
      <c r="I13" s="56"/>
      <c r="J13" s="57"/>
      <c r="L13" s="9">
        <f>COUNTA(B16)+L12</f>
        <v>5</v>
      </c>
      <c r="M13" s="31">
        <f>C16</f>
        <v>0</v>
      </c>
      <c r="N13" s="82"/>
      <c r="O13" s="36">
        <v>27</v>
      </c>
      <c r="P13" s="36">
        <v>103</v>
      </c>
      <c r="Q13" s="32"/>
      <c r="R13" s="32"/>
      <c r="S13" s="32"/>
      <c r="T13" s="32"/>
      <c r="U13" s="36">
        <f>B16</f>
        <v>0</v>
      </c>
      <c r="V13" s="103"/>
      <c r="W13" s="104"/>
      <c r="X13" s="109" t="str">
        <f t="shared" si="2"/>
        <v/>
      </c>
      <c r="Y13" s="109" t="str">
        <f t="shared" si="2"/>
        <v/>
      </c>
      <c r="Z13" s="123"/>
      <c r="AA13" s="124" t="e">
        <f>VLOOKUP($M:$M,Data!$I:$J,2,FALSE)</f>
        <v>#N/A</v>
      </c>
      <c r="AB13" s="125"/>
    </row>
    <row r="14" ht="15.25" spans="2:28">
      <c r="B14" s="63">
        <v>103</v>
      </c>
      <c r="C14" s="64"/>
      <c r="D14" s="65" t="s">
        <v>6580</v>
      </c>
      <c r="E14" s="66" t="s">
        <v>6581</v>
      </c>
      <c r="G14" s="46">
        <v>118</v>
      </c>
      <c r="H14" s="47"/>
      <c r="I14" s="48" t="s">
        <v>6580</v>
      </c>
      <c r="J14" s="49" t="s">
        <v>6581</v>
      </c>
      <c r="L14" s="14">
        <f>COUNTA(B17)+L13</f>
        <v>6</v>
      </c>
      <c r="M14" s="83">
        <f>C17</f>
        <v>0</v>
      </c>
      <c r="N14" s="84" t="s">
        <v>7430</v>
      </c>
      <c r="O14" s="85">
        <v>27</v>
      </c>
      <c r="P14" s="85">
        <v>103</v>
      </c>
      <c r="Q14" s="110"/>
      <c r="R14" s="110"/>
      <c r="S14" s="110"/>
      <c r="T14" s="110"/>
      <c r="U14" s="85">
        <f>B17</f>
        <v>3</v>
      </c>
      <c r="V14" s="105"/>
      <c r="W14" s="106"/>
      <c r="X14" s="111" t="str">
        <f t="shared" si="2"/>
        <v/>
      </c>
      <c r="Y14" s="111" t="str">
        <f t="shared" si="2"/>
        <v/>
      </c>
      <c r="Z14" s="127" t="s">
        <v>7433</v>
      </c>
      <c r="AA14" s="128" t="e">
        <f>VLOOKUP($M:$M,Data!$I:$J,2,FALSE)</f>
        <v>#N/A</v>
      </c>
      <c r="AB14" s="126"/>
    </row>
    <row r="15" spans="2:28">
      <c r="B15" s="50">
        <v>1</v>
      </c>
      <c r="C15" s="51" t="str">
        <f>VLOOKUP("27/103/1",Data!$A$2:$E$1425,3,FALSE)</f>
        <v>99905 Torbjorn</v>
      </c>
      <c r="D15" s="52"/>
      <c r="E15" s="53"/>
      <c r="G15" s="50">
        <v>1</v>
      </c>
      <c r="H15" s="51" t="str">
        <f>VLOOKUP("27/118/1",Data!$A$2:$E$1425,3,FALSE)</f>
        <v>99906 Christoffer</v>
      </c>
      <c r="I15" s="52"/>
      <c r="J15" s="53"/>
      <c r="L15" s="6">
        <f>COUNTA(B19)+L14</f>
        <v>7</v>
      </c>
      <c r="M15" s="79" t="str">
        <f>C19</f>
        <v>99907 Kateryna</v>
      </c>
      <c r="N15" s="80" t="s">
        <v>7430</v>
      </c>
      <c r="O15" s="81">
        <v>27</v>
      </c>
      <c r="P15" s="81">
        <v>104</v>
      </c>
      <c r="Q15" s="62" t="str">
        <f>_xlfn.IFS(COUNTA(B19:B21)=1,"Single",COUNTA(B19:B21)=2,"Double",COUNTA(B19:B21)=3,"Triple",COUNTA(B19:B21)=0,"Empty")</f>
        <v>Triple</v>
      </c>
      <c r="R15" s="62"/>
      <c r="S15" s="62"/>
      <c r="T15" s="62"/>
      <c r="U15" s="81">
        <f>B19</f>
        <v>1</v>
      </c>
      <c r="V15" s="100">
        <f>COUNT(B19:B21)</f>
        <v>3</v>
      </c>
      <c r="W15" s="101"/>
      <c r="X15" s="108" t="str">
        <f>IF(D19=0,"",D19)</f>
        <v/>
      </c>
      <c r="Y15" s="108" t="str">
        <f>IF(E19=0,"",E19)</f>
        <v/>
      </c>
      <c r="Z15" s="120" t="s">
        <v>7223</v>
      </c>
      <c r="AA15" s="121" t="e">
        <f>VLOOKUP($M:$M,Data!$I:$J,2,FALSE)</f>
        <v>#N/A</v>
      </c>
      <c r="AB15" s="122"/>
    </row>
    <row r="16" spans="2:28">
      <c r="B16" s="50"/>
      <c r="C16" s="51">
        <f>VLOOKUP("27/103/2",Data!$A$2:$E$1425,3,FALSE)</f>
        <v>0</v>
      </c>
      <c r="D16" s="54"/>
      <c r="E16" s="55"/>
      <c r="G16" s="50">
        <v>2</v>
      </c>
      <c r="H16" s="51">
        <f>VLOOKUP("27/118/2",Data!$A$2:$E$1425,3,FALSE)</f>
        <v>0</v>
      </c>
      <c r="I16" s="54"/>
      <c r="J16" s="55"/>
      <c r="L16" s="9">
        <f>COUNTA(B20)+L15</f>
        <v>8</v>
      </c>
      <c r="M16" s="31">
        <f>C20</f>
        <v>0</v>
      </c>
      <c r="N16" s="82" t="s">
        <v>7430</v>
      </c>
      <c r="O16" s="36">
        <v>27</v>
      </c>
      <c r="P16" s="36">
        <v>104</v>
      </c>
      <c r="Q16" s="32"/>
      <c r="R16" s="32"/>
      <c r="S16" s="32"/>
      <c r="T16" s="32"/>
      <c r="U16" s="36">
        <f>B20</f>
        <v>2</v>
      </c>
      <c r="V16" s="103"/>
      <c r="W16" s="104"/>
      <c r="X16" s="109" t="str">
        <f t="shared" ref="X16:Y17" si="3">IF(D20=0,"",D20)</f>
        <v/>
      </c>
      <c r="Y16" s="109" t="str">
        <f t="shared" si="3"/>
        <v/>
      </c>
      <c r="Z16" s="123" t="s">
        <v>6683</v>
      </c>
      <c r="AA16" s="124" t="e">
        <f>VLOOKUP($M:$M,Data!$I:$J,2,FALSE)</f>
        <v>#N/A</v>
      </c>
      <c r="AB16" s="125"/>
    </row>
    <row r="17" ht="15.25" spans="2:28">
      <c r="B17" s="58">
        <v>3</v>
      </c>
      <c r="C17" s="59">
        <f>VLOOKUP("27/103/3",Data!$A$2:$E$1425,3,FALSE)</f>
        <v>0</v>
      </c>
      <c r="D17" s="56"/>
      <c r="E17" s="57"/>
      <c r="G17" s="58">
        <v>3</v>
      </c>
      <c r="H17" s="59">
        <f>VLOOKUP("27/118/3",Data!$A$2:$E$1425,3,FALSE)</f>
        <v>0</v>
      </c>
      <c r="I17" s="56"/>
      <c r="J17" s="57"/>
      <c r="L17" s="14">
        <f>COUNTA(B21)+L16</f>
        <v>9</v>
      </c>
      <c r="M17" s="83">
        <f>C21</f>
        <v>0</v>
      </c>
      <c r="N17" s="84" t="s">
        <v>7430</v>
      </c>
      <c r="O17" s="85">
        <v>27</v>
      </c>
      <c r="P17" s="85">
        <v>104</v>
      </c>
      <c r="Q17" s="110"/>
      <c r="R17" s="110"/>
      <c r="S17" s="110"/>
      <c r="T17" s="110"/>
      <c r="U17" s="85">
        <f>B21</f>
        <v>3</v>
      </c>
      <c r="V17" s="105"/>
      <c r="W17" s="106"/>
      <c r="X17" s="111" t="str">
        <f t="shared" si="3"/>
        <v/>
      </c>
      <c r="Y17" s="111" t="str">
        <f t="shared" si="3"/>
        <v/>
      </c>
      <c r="Z17" s="127" t="s">
        <v>7434</v>
      </c>
      <c r="AA17" s="128" t="e">
        <f>VLOOKUP($M:$M,Data!$I:$J,2,FALSE)</f>
        <v>#N/A</v>
      </c>
      <c r="AB17" s="126"/>
    </row>
    <row r="18" spans="2:28">
      <c r="B18" s="46">
        <v>104</v>
      </c>
      <c r="C18" s="47"/>
      <c r="D18" s="48" t="s">
        <v>6580</v>
      </c>
      <c r="E18" s="49" t="s">
        <v>6581</v>
      </c>
      <c r="G18" s="46">
        <v>117</v>
      </c>
      <c r="H18" s="47"/>
      <c r="I18" s="48" t="s">
        <v>6580</v>
      </c>
      <c r="J18" s="49" t="s">
        <v>6581</v>
      </c>
      <c r="L18" s="6">
        <f>COUNTA(B23)+L17</f>
        <v>10</v>
      </c>
      <c r="M18" s="79" t="str">
        <f>C23</f>
        <v>99909 Bjorn</v>
      </c>
      <c r="N18" s="80" t="s">
        <v>7430</v>
      </c>
      <c r="O18" s="81">
        <v>27</v>
      </c>
      <c r="P18" s="81">
        <v>105</v>
      </c>
      <c r="Q18" s="62" t="str">
        <f>_xlfn.IFS(COUNTA(B23:B25)=1,"Single",COUNTA(B23:B25)=2,"Double",COUNTA(B23:B25)=3,"Triple",COUNTA(B23:B25)=0,"Empty")</f>
        <v>Double</v>
      </c>
      <c r="R18" s="62"/>
      <c r="S18" s="62"/>
      <c r="T18" s="62"/>
      <c r="U18" s="81">
        <f>B23</f>
        <v>1</v>
      </c>
      <c r="V18" s="100">
        <f>COUNT(B23:B25)</f>
        <v>2</v>
      </c>
      <c r="W18" s="101"/>
      <c r="X18" s="108" t="str">
        <f>IF(D23=0,"",D23)</f>
        <v/>
      </c>
      <c r="Y18" s="108" t="str">
        <f>IF(E23=0,"",E23)</f>
        <v/>
      </c>
      <c r="Z18" s="120" t="s">
        <v>7306</v>
      </c>
      <c r="AA18" s="121" t="e">
        <f>VLOOKUP($M:$M,Data!$I:$J,2,FALSE)</f>
        <v>#N/A</v>
      </c>
      <c r="AB18" s="122"/>
    </row>
    <row r="19" spans="2:28">
      <c r="B19" s="50">
        <v>1</v>
      </c>
      <c r="C19" s="51" t="str">
        <f>VLOOKUP("27/104/1",Data!$A$2:$E$1425,3,FALSE)</f>
        <v>99907 Kateryna</v>
      </c>
      <c r="D19" s="52"/>
      <c r="E19" s="53"/>
      <c r="G19" s="50"/>
      <c r="H19" s="51" t="str">
        <f>VLOOKUP("27/117/1",Data!$A$2:$E$1425,3,FALSE)</f>
        <v>99908 Frida</v>
      </c>
      <c r="I19" s="52"/>
      <c r="J19" s="53"/>
      <c r="L19" s="9">
        <f>COUNTA(B24)+L18</f>
        <v>10</v>
      </c>
      <c r="M19" s="31">
        <f>C24</f>
        <v>0</v>
      </c>
      <c r="N19" s="82"/>
      <c r="O19" s="36">
        <v>27</v>
      </c>
      <c r="P19" s="36">
        <v>105</v>
      </c>
      <c r="Q19" s="32"/>
      <c r="R19" s="32"/>
      <c r="S19" s="32"/>
      <c r="T19" s="32"/>
      <c r="U19" s="36">
        <f>B24</f>
        <v>0</v>
      </c>
      <c r="V19" s="103"/>
      <c r="W19" s="104"/>
      <c r="X19" s="109" t="str">
        <f t="shared" ref="X19:Y20" si="4">IF(D24=0,"",D24)</f>
        <v/>
      </c>
      <c r="Y19" s="109" t="str">
        <f t="shared" si="4"/>
        <v/>
      </c>
      <c r="Z19" s="123"/>
      <c r="AA19" s="124" t="e">
        <f>VLOOKUP($M:$M,Data!$I:$J,2,FALSE)</f>
        <v>#N/A</v>
      </c>
      <c r="AB19" s="125"/>
    </row>
    <row r="20" ht="15.25" spans="2:28">
      <c r="B20" s="50">
        <v>2</v>
      </c>
      <c r="C20" s="51">
        <f>VLOOKUP("27/104/2",Data!$A$2:$E$1425,3,FALSE)</f>
        <v>0</v>
      </c>
      <c r="D20" s="54"/>
      <c r="E20" s="55"/>
      <c r="G20" s="50">
        <v>2</v>
      </c>
      <c r="H20" s="51">
        <f>VLOOKUP("27/117/2",Data!$A$2:$E$1425,3,FALSE)</f>
        <v>0</v>
      </c>
      <c r="I20" s="54"/>
      <c r="J20" s="55"/>
      <c r="L20" s="14">
        <f>COUNTA(B25)+L19</f>
        <v>11</v>
      </c>
      <c r="M20" s="83">
        <f>C25</f>
        <v>0</v>
      </c>
      <c r="N20" s="84" t="s">
        <v>7430</v>
      </c>
      <c r="O20" s="85">
        <v>27</v>
      </c>
      <c r="P20" s="85">
        <v>105</v>
      </c>
      <c r="Q20" s="110"/>
      <c r="R20" s="110"/>
      <c r="S20" s="110"/>
      <c r="T20" s="110"/>
      <c r="U20" s="85">
        <f>B25</f>
        <v>3</v>
      </c>
      <c r="V20" s="105"/>
      <c r="W20" s="106"/>
      <c r="X20" s="111" t="str">
        <f t="shared" si="4"/>
        <v/>
      </c>
      <c r="Y20" s="111" t="str">
        <f t="shared" si="4"/>
        <v/>
      </c>
      <c r="Z20" s="127" t="s">
        <v>6766</v>
      </c>
      <c r="AA20" s="128" t="e">
        <f>VLOOKUP($M:$M,Data!$I:$J,2,FALSE)</f>
        <v>#N/A</v>
      </c>
      <c r="AB20" s="126"/>
    </row>
    <row r="21" ht="15.25" spans="2:28">
      <c r="B21" s="58">
        <v>3</v>
      </c>
      <c r="C21" s="59">
        <f>VLOOKUP("27/104/3",Data!$A$2:$E$1425,3,FALSE)</f>
        <v>0</v>
      </c>
      <c r="D21" s="56"/>
      <c r="E21" s="57"/>
      <c r="G21" s="58">
        <v>3</v>
      </c>
      <c r="H21" s="59">
        <f>VLOOKUP("27/117/3",Data!$A$2:$E$1425,3,FALSE)</f>
        <v>0</v>
      </c>
      <c r="I21" s="56"/>
      <c r="J21" s="57"/>
      <c r="L21" s="6">
        <f>COUNTA(B27)+L20</f>
        <v>11</v>
      </c>
      <c r="M21" s="79" t="str">
        <f>C27</f>
        <v>99911 Bjorn</v>
      </c>
      <c r="N21" s="80"/>
      <c r="O21" s="81">
        <v>27</v>
      </c>
      <c r="P21" s="81">
        <v>106</v>
      </c>
      <c r="Q21" s="62" t="str">
        <f>_xlfn.IFS(COUNTA(B27:B29)=1,"Single",COUNTA(B27:B29)=2,"Double",COUNTA(B27:B29)=3,"Triple",COUNTA(B27:B29)=0,"Empty")</f>
        <v>Double</v>
      </c>
      <c r="R21" s="62"/>
      <c r="S21" s="62"/>
      <c r="T21" s="62"/>
      <c r="U21" s="81">
        <f>B27</f>
        <v>0</v>
      </c>
      <c r="V21" s="100">
        <f>COUNT(B27:B29)</f>
        <v>2</v>
      </c>
      <c r="W21" s="101"/>
      <c r="X21" s="108" t="str">
        <f>IF(D27=0,"",D27)</f>
        <v/>
      </c>
      <c r="Y21" s="108" t="str">
        <f>IF(E27=0,"",E27)</f>
        <v/>
      </c>
      <c r="Z21" s="120"/>
      <c r="AA21" s="121" t="e">
        <f>VLOOKUP($M:$M,Data!$I:$J,2,FALSE)</f>
        <v>#N/A</v>
      </c>
      <c r="AB21" s="122"/>
    </row>
    <row r="22" spans="2:28">
      <c r="B22" s="46">
        <v>105</v>
      </c>
      <c r="C22" s="47"/>
      <c r="D22" s="48" t="s">
        <v>6580</v>
      </c>
      <c r="E22" s="49" t="s">
        <v>6581</v>
      </c>
      <c r="G22" s="46">
        <v>116</v>
      </c>
      <c r="H22" s="47"/>
      <c r="I22" s="48" t="s">
        <v>6580</v>
      </c>
      <c r="J22" s="49" t="s">
        <v>6581</v>
      </c>
      <c r="L22" s="9">
        <f>COUNTA(B28)+L21</f>
        <v>12</v>
      </c>
      <c r="M22" s="31">
        <f>C28</f>
        <v>0</v>
      </c>
      <c r="N22" s="82" t="s">
        <v>7430</v>
      </c>
      <c r="O22" s="36">
        <v>27</v>
      </c>
      <c r="P22" s="36">
        <v>106</v>
      </c>
      <c r="Q22" s="32"/>
      <c r="R22" s="32"/>
      <c r="S22" s="32"/>
      <c r="T22" s="32"/>
      <c r="U22" s="36">
        <f>B28</f>
        <v>2</v>
      </c>
      <c r="V22" s="103"/>
      <c r="W22" s="104"/>
      <c r="X22" s="109" t="str">
        <f t="shared" ref="X22:Y23" si="5">IF(D28=0,"",D28)</f>
        <v/>
      </c>
      <c r="Y22" s="109" t="str">
        <f t="shared" si="5"/>
        <v/>
      </c>
      <c r="Z22" s="123" t="s">
        <v>7159</v>
      </c>
      <c r="AA22" s="124" t="e">
        <f>VLOOKUP($M:$M,Data!$I:$J,2,FALSE)</f>
        <v>#N/A</v>
      </c>
      <c r="AB22" s="125"/>
    </row>
    <row r="23" ht="15.25" spans="2:28">
      <c r="B23" s="50">
        <v>1</v>
      </c>
      <c r="C23" s="51" t="str">
        <f>VLOOKUP("27/105/1",Data!$A$2:$E$1425,3,FALSE)</f>
        <v>99909 Bjorn</v>
      </c>
      <c r="D23" s="52"/>
      <c r="E23" s="53"/>
      <c r="G23" s="50">
        <v>1</v>
      </c>
      <c r="H23" s="51" t="str">
        <f>VLOOKUP("27/116/1",Data!$A$2:$E$1425,3,FALSE)</f>
        <v>99910 Roger</v>
      </c>
      <c r="I23" s="52"/>
      <c r="J23" s="53"/>
      <c r="L23" s="14">
        <f>COUNTA(B29)+L22</f>
        <v>13</v>
      </c>
      <c r="M23" s="83">
        <f>C29</f>
        <v>0</v>
      </c>
      <c r="N23" s="84" t="s">
        <v>7430</v>
      </c>
      <c r="O23" s="85">
        <v>27</v>
      </c>
      <c r="P23" s="85">
        <v>106</v>
      </c>
      <c r="Q23" s="110"/>
      <c r="R23" s="110"/>
      <c r="S23" s="110"/>
      <c r="T23" s="110"/>
      <c r="U23" s="85">
        <f>B29</f>
        <v>3</v>
      </c>
      <c r="V23" s="105"/>
      <c r="W23" s="106"/>
      <c r="X23" s="111" t="str">
        <f t="shared" si="5"/>
        <v/>
      </c>
      <c r="Y23" s="111" t="str">
        <f t="shared" si="5"/>
        <v/>
      </c>
      <c r="Z23" s="127" t="s">
        <v>6914</v>
      </c>
      <c r="AA23" s="128" t="e">
        <f>VLOOKUP($M:$M,Data!$I:$J,2,FALSE)</f>
        <v>#N/A</v>
      </c>
      <c r="AB23" s="126"/>
    </row>
    <row r="24" spans="2:28">
      <c r="B24" s="50"/>
      <c r="C24" s="51">
        <f>VLOOKUP("27/105/2",Data!$A$2:$E$1425,3,FALSE)</f>
        <v>0</v>
      </c>
      <c r="D24" s="54"/>
      <c r="E24" s="55"/>
      <c r="G24" s="50"/>
      <c r="H24" s="51">
        <f>VLOOKUP("27/116/2",Data!$A$2:$E$1425,3,FALSE)</f>
        <v>0</v>
      </c>
      <c r="I24" s="54"/>
      <c r="J24" s="55"/>
      <c r="L24" s="6">
        <f>COUNTA(B31)+L23</f>
        <v>14</v>
      </c>
      <c r="M24" s="79" t="str">
        <f>C31</f>
        <v>99913 Ida</v>
      </c>
      <c r="N24" s="80" t="s">
        <v>7430</v>
      </c>
      <c r="O24" s="81">
        <v>27</v>
      </c>
      <c r="P24" s="81">
        <v>107</v>
      </c>
      <c r="Q24" s="62" t="str">
        <f>_xlfn.IFS(COUNTA(B31:B33)=1,"Single",COUNTA(B31:B33)=2,"Double",COUNTA(B31:B33)=3,"Triple",COUNTA(B31:B33)=0,"Empty")</f>
        <v>Double</v>
      </c>
      <c r="R24" s="62"/>
      <c r="S24" s="62"/>
      <c r="T24" s="62"/>
      <c r="U24" s="81">
        <f>B31</f>
        <v>1</v>
      </c>
      <c r="V24" s="100">
        <f>COUNT(B31:B33)</f>
        <v>2</v>
      </c>
      <c r="W24" s="101"/>
      <c r="X24" s="108" t="str">
        <f>IF(D31=0,"",D31)</f>
        <v/>
      </c>
      <c r="Y24" s="108" t="str">
        <f>IF(E31=0,"",E31)</f>
        <v/>
      </c>
      <c r="Z24" s="120" t="s">
        <v>6934</v>
      </c>
      <c r="AA24" s="121" t="e">
        <f>VLOOKUP($M:$M,Data!$I:$J,2,FALSE)</f>
        <v>#N/A</v>
      </c>
      <c r="AB24" s="122"/>
    </row>
    <row r="25" ht="15.25" spans="2:28">
      <c r="B25" s="58">
        <v>3</v>
      </c>
      <c r="C25" s="59">
        <f>VLOOKUP("27/105/3",Data!$A$2:$E$1425,3,FALSE)</f>
        <v>0</v>
      </c>
      <c r="D25" s="56"/>
      <c r="E25" s="57"/>
      <c r="G25" s="58">
        <v>3</v>
      </c>
      <c r="H25" s="59">
        <f>VLOOKUP("27/116/3",Data!$A$2:$E$1425,3,FALSE)</f>
        <v>0</v>
      </c>
      <c r="I25" s="56"/>
      <c r="J25" s="57"/>
      <c r="L25" s="9">
        <f>COUNTA(B32)+L24</f>
        <v>15</v>
      </c>
      <c r="M25" s="31">
        <f>C32</f>
        <v>0</v>
      </c>
      <c r="N25" s="82" t="s">
        <v>7430</v>
      </c>
      <c r="O25" s="36">
        <v>27</v>
      </c>
      <c r="P25" s="36">
        <v>107</v>
      </c>
      <c r="Q25" s="32"/>
      <c r="R25" s="32"/>
      <c r="S25" s="32"/>
      <c r="T25" s="32"/>
      <c r="U25" s="36">
        <f>B32</f>
        <v>2</v>
      </c>
      <c r="V25" s="103"/>
      <c r="W25" s="104"/>
      <c r="X25" s="109" t="str">
        <f t="shared" ref="X25:Y26" si="6">IF(D32=0,"",D32)</f>
        <v/>
      </c>
      <c r="Y25" s="109" t="str">
        <f t="shared" si="6"/>
        <v/>
      </c>
      <c r="Z25" s="123" t="s">
        <v>7247</v>
      </c>
      <c r="AA25" s="124" t="e">
        <f>VLOOKUP($M:$M,Data!$I:$J,2,FALSE)</f>
        <v>#N/A</v>
      </c>
      <c r="AB25" s="125"/>
    </row>
    <row r="26" ht="15.25" spans="2:28">
      <c r="B26" s="46">
        <v>106</v>
      </c>
      <c r="C26" s="47"/>
      <c r="D26" s="48" t="s">
        <v>6580</v>
      </c>
      <c r="E26" s="49" t="s">
        <v>6581</v>
      </c>
      <c r="G26" s="67" t="s">
        <v>7435</v>
      </c>
      <c r="H26" s="68"/>
      <c r="I26" s="68"/>
      <c r="J26" s="86"/>
      <c r="L26" s="14">
        <f>COUNTA(B33)+L25</f>
        <v>15</v>
      </c>
      <c r="M26" s="83">
        <f>C33</f>
        <v>0</v>
      </c>
      <c r="N26" s="84"/>
      <c r="O26" s="85">
        <v>27</v>
      </c>
      <c r="P26" s="85">
        <v>107</v>
      </c>
      <c r="Q26" s="110"/>
      <c r="R26" s="110"/>
      <c r="S26" s="110"/>
      <c r="T26" s="110"/>
      <c r="U26" s="85">
        <f>B33</f>
        <v>0</v>
      </c>
      <c r="V26" s="105"/>
      <c r="W26" s="106"/>
      <c r="X26" s="111" t="str">
        <f t="shared" si="6"/>
        <v/>
      </c>
      <c r="Y26" s="111" t="str">
        <f t="shared" si="6"/>
        <v/>
      </c>
      <c r="Z26" s="127"/>
      <c r="AA26" s="128" t="e">
        <f>VLOOKUP($M:$M,Data!$I:$J,2,FALSE)</f>
        <v>#N/A</v>
      </c>
      <c r="AB26" s="126"/>
    </row>
    <row r="27" spans="2:28">
      <c r="B27" s="50"/>
      <c r="C27" s="51" t="str">
        <f>VLOOKUP("27/106/1",Data!$A$2:$E$1425,3,FALSE)</f>
        <v>99911 Bjorn</v>
      </c>
      <c r="D27" s="52"/>
      <c r="E27" s="53"/>
      <c r="G27" s="69"/>
      <c r="H27" s="70"/>
      <c r="I27" s="70"/>
      <c r="J27" s="87"/>
      <c r="L27" s="6">
        <f>COUNTA(B35)+L26</f>
        <v>15</v>
      </c>
      <c r="M27" s="79" t="str">
        <f>C35</f>
        <v>99914 Maria</v>
      </c>
      <c r="N27" s="80"/>
      <c r="O27" s="81">
        <v>27</v>
      </c>
      <c r="P27" s="81">
        <v>108</v>
      </c>
      <c r="Q27" s="62" t="str">
        <f>_xlfn.IFS(COUNTA(B35:B37)=1,"Single",COUNTA(B35:B37)=2,"Double",COUNTA(B35:B37)=3,"Triple",COUNTA(B35:B37)=0,"Empty")</f>
        <v>Double</v>
      </c>
      <c r="R27" s="62"/>
      <c r="S27" s="62"/>
      <c r="T27" s="62"/>
      <c r="U27" s="81">
        <f>B35</f>
        <v>0</v>
      </c>
      <c r="V27" s="100">
        <f>COUNT(B35:B37)</f>
        <v>2</v>
      </c>
      <c r="W27" s="101"/>
      <c r="X27" s="108" t="str">
        <f>IF(D35=0,"",D35)</f>
        <v/>
      </c>
      <c r="Y27" s="108" t="str">
        <f>IF(E35=0,"",E35)</f>
        <v/>
      </c>
      <c r="Z27" s="120"/>
      <c r="AA27" s="121" t="e">
        <f>VLOOKUP($M:$M,Data!$I:$J,2,FALSE)</f>
        <v>#N/A</v>
      </c>
      <c r="AB27" s="122"/>
    </row>
    <row r="28" spans="2:28">
      <c r="B28" s="50">
        <v>2</v>
      </c>
      <c r="C28" s="51">
        <f>VLOOKUP("27/106/2",Data!$A$2:$E$1425,3,FALSE)</f>
        <v>0</v>
      </c>
      <c r="D28" s="54"/>
      <c r="E28" s="55"/>
      <c r="G28" s="69"/>
      <c r="H28" s="70"/>
      <c r="I28" s="70"/>
      <c r="J28" s="87"/>
      <c r="L28" s="9">
        <f>COUNTA(B36)+L27</f>
        <v>16</v>
      </c>
      <c r="M28" s="31">
        <f>C36</f>
        <v>0</v>
      </c>
      <c r="N28" s="82" t="s">
        <v>7430</v>
      </c>
      <c r="O28" s="36">
        <v>27</v>
      </c>
      <c r="P28" s="36">
        <v>108</v>
      </c>
      <c r="Q28" s="32"/>
      <c r="R28" s="32"/>
      <c r="S28" s="32"/>
      <c r="T28" s="32"/>
      <c r="U28" s="36">
        <f>B36</f>
        <v>2</v>
      </c>
      <c r="V28" s="103"/>
      <c r="W28" s="104"/>
      <c r="X28" s="109" t="str">
        <f t="shared" ref="X28:Y29" si="7">IF(D36=0,"",D36)</f>
        <v/>
      </c>
      <c r="Y28" s="109" t="str">
        <f t="shared" si="7"/>
        <v/>
      </c>
      <c r="Z28" s="123" t="s">
        <v>7374</v>
      </c>
      <c r="AA28" s="124" t="e">
        <f>VLOOKUP($M:$M,Data!$I:$J,2,FALSE)</f>
        <v>#N/A</v>
      </c>
      <c r="AB28" s="125"/>
    </row>
    <row r="29" ht="15.25" spans="2:28">
      <c r="B29" s="58">
        <v>3</v>
      </c>
      <c r="C29" s="59">
        <f>VLOOKUP("27/106/3",Data!$A$2:$E$1425,3,FALSE)</f>
        <v>0</v>
      </c>
      <c r="D29" s="56"/>
      <c r="E29" s="57"/>
      <c r="G29" s="69"/>
      <c r="H29" s="70"/>
      <c r="I29" s="70"/>
      <c r="J29" s="87"/>
      <c r="L29" s="14">
        <f>COUNTA(B37)+L28</f>
        <v>17</v>
      </c>
      <c r="M29" s="83">
        <f>C37</f>
        <v>0</v>
      </c>
      <c r="N29" s="84" t="s">
        <v>7430</v>
      </c>
      <c r="O29" s="85">
        <v>27</v>
      </c>
      <c r="P29" s="85">
        <v>108</v>
      </c>
      <c r="Q29" s="110"/>
      <c r="R29" s="110"/>
      <c r="S29" s="110"/>
      <c r="T29" s="110"/>
      <c r="U29" s="85">
        <f>B37</f>
        <v>3</v>
      </c>
      <c r="V29" s="105"/>
      <c r="W29" s="106"/>
      <c r="X29" s="111" t="str">
        <f t="shared" si="7"/>
        <v/>
      </c>
      <c r="Y29" s="111" t="str">
        <f t="shared" si="7"/>
        <v/>
      </c>
      <c r="Z29" s="127" t="s">
        <v>7351</v>
      </c>
      <c r="AA29" s="128" t="e">
        <f>VLOOKUP($M:$M,Data!$I:$J,2,FALSE)</f>
        <v>#N/A</v>
      </c>
      <c r="AB29" s="126"/>
    </row>
    <row r="30" spans="2:28">
      <c r="B30" s="46">
        <v>107</v>
      </c>
      <c r="C30" s="47"/>
      <c r="D30" s="48" t="s">
        <v>6580</v>
      </c>
      <c r="E30" s="49" t="s">
        <v>6581</v>
      </c>
      <c r="G30" s="69"/>
      <c r="H30" s="70"/>
      <c r="I30" s="70"/>
      <c r="J30" s="87"/>
      <c r="L30" s="6">
        <f>COUNTA(B39)+L29</f>
        <v>18</v>
      </c>
      <c r="M30" s="79" t="str">
        <f>C39</f>
        <v>99915 Rickard</v>
      </c>
      <c r="N30" s="80" t="s">
        <v>7430</v>
      </c>
      <c r="O30" s="81">
        <v>27</v>
      </c>
      <c r="P30" s="81">
        <v>109</v>
      </c>
      <c r="Q30" s="62" t="str">
        <f>_xlfn.IFS(COUNTA(B39:B41)=1,"Single",COUNTA(B39:B41)=2,"Double",COUNTA(B39:B41)=3,"Triple",COUNTA(B39:B41)=0,"Empty")</f>
        <v>Double</v>
      </c>
      <c r="R30" s="62"/>
      <c r="S30" s="62"/>
      <c r="T30" s="62"/>
      <c r="U30" s="81">
        <f>B39</f>
        <v>1</v>
      </c>
      <c r="V30" s="100">
        <f>COUNT(B39:B41)</f>
        <v>2</v>
      </c>
      <c r="W30" s="101"/>
      <c r="X30" s="108" t="str">
        <f>IF(D39=0,"",D39)</f>
        <v/>
      </c>
      <c r="Y30" s="108" t="str">
        <f>IF(E39=0,"",E39)</f>
        <v/>
      </c>
      <c r="Z30" s="120" t="s">
        <v>7436</v>
      </c>
      <c r="AA30" s="121" t="e">
        <f>VLOOKUP($M:$M,Data!$I:$J,2,FALSE)</f>
        <v>#N/A</v>
      </c>
      <c r="AB30" s="122"/>
    </row>
    <row r="31" spans="2:28">
      <c r="B31" s="50">
        <v>1</v>
      </c>
      <c r="C31" s="51" t="str">
        <f>VLOOKUP("27/107/1",Data!$A$2:$E$1425,3,FALSE)</f>
        <v>99913 Ida</v>
      </c>
      <c r="D31" s="52"/>
      <c r="E31" s="53"/>
      <c r="G31" s="69"/>
      <c r="H31" s="70"/>
      <c r="I31" s="70"/>
      <c r="J31" s="87"/>
      <c r="L31" s="9">
        <f>COUNTA(B40)+L30</f>
        <v>19</v>
      </c>
      <c r="M31" s="31">
        <f>C40</f>
        <v>0</v>
      </c>
      <c r="N31" s="82" t="s">
        <v>7430</v>
      </c>
      <c r="O31" s="36">
        <v>27</v>
      </c>
      <c r="P31" s="36">
        <v>109</v>
      </c>
      <c r="Q31" s="32"/>
      <c r="R31" s="32"/>
      <c r="S31" s="32"/>
      <c r="T31" s="32"/>
      <c r="U31" s="36">
        <f>B40</f>
        <v>2</v>
      </c>
      <c r="V31" s="103"/>
      <c r="W31" s="104"/>
      <c r="X31" s="109" t="str">
        <f t="shared" ref="X31:Y32" si="8">IF(D40=0,"",D40)</f>
        <v/>
      </c>
      <c r="Y31" s="109" t="str">
        <f t="shared" si="8"/>
        <v/>
      </c>
      <c r="Z31" s="123" t="s">
        <v>7249</v>
      </c>
      <c r="AA31" s="124" t="e">
        <f>VLOOKUP($M:$M,Data!$I:$J,2,FALSE)</f>
        <v>#N/A</v>
      </c>
      <c r="AB31" s="125"/>
    </row>
    <row r="32" ht="15.25" spans="2:28">
      <c r="B32" s="50">
        <v>2</v>
      </c>
      <c r="C32" s="51">
        <f>VLOOKUP("27/107/2",Data!$A$2:$E$1425,3,FALSE)</f>
        <v>0</v>
      </c>
      <c r="D32" s="54"/>
      <c r="E32" s="55"/>
      <c r="G32" s="69"/>
      <c r="H32" s="70"/>
      <c r="I32" s="70"/>
      <c r="J32" s="87"/>
      <c r="L32" s="14">
        <f>COUNTA(B41)+L31</f>
        <v>19</v>
      </c>
      <c r="M32" s="83">
        <f>C41</f>
        <v>0</v>
      </c>
      <c r="N32" s="84"/>
      <c r="O32" s="85">
        <v>27</v>
      </c>
      <c r="P32" s="85">
        <v>109</v>
      </c>
      <c r="Q32" s="110"/>
      <c r="R32" s="110"/>
      <c r="S32" s="110"/>
      <c r="T32" s="110"/>
      <c r="U32" s="85">
        <f>B41</f>
        <v>0</v>
      </c>
      <c r="V32" s="105"/>
      <c r="W32" s="106"/>
      <c r="X32" s="111" t="str">
        <f t="shared" si="8"/>
        <v/>
      </c>
      <c r="Y32" s="111" t="str">
        <f t="shared" si="8"/>
        <v/>
      </c>
      <c r="Z32" s="127"/>
      <c r="AA32" s="128" t="e">
        <f>VLOOKUP($M:$M,Data!$I:$J,2,FALSE)</f>
        <v>#N/A</v>
      </c>
      <c r="AB32" s="126"/>
    </row>
    <row r="33" ht="15.25" spans="2:28">
      <c r="B33" s="58"/>
      <c r="C33" s="59">
        <f>VLOOKUP("27/107/3",Data!$A$2:$E$1425,3,FALSE)</f>
        <v>0</v>
      </c>
      <c r="D33" s="56"/>
      <c r="E33" s="57"/>
      <c r="G33" s="71"/>
      <c r="H33" s="72"/>
      <c r="I33" s="72"/>
      <c r="J33" s="88"/>
      <c r="L33" s="6">
        <f>COUNTA(B43)+L32</f>
        <v>20</v>
      </c>
      <c r="M33" s="79" t="str">
        <f>C43</f>
        <v>99917 Patrik</v>
      </c>
      <c r="N33" s="80" t="s">
        <v>7430</v>
      </c>
      <c r="O33" s="81">
        <v>27</v>
      </c>
      <c r="P33" s="81">
        <v>110</v>
      </c>
      <c r="Q33" s="62" t="str">
        <f>_xlfn.IFS(COUNTA(B43:B45)=1,"Single",COUNTA(B43:B45)=2,"Double",COUNTA(B43:B45)=3,"Triple",COUNTA(B43:B45)=0,"Empty")</f>
        <v>Double</v>
      </c>
      <c r="R33" s="62"/>
      <c r="S33" s="62"/>
      <c r="T33" s="62"/>
      <c r="U33" s="81">
        <f>B43</f>
        <v>1</v>
      </c>
      <c r="V33" s="100">
        <f>COUNT(B43:B45)</f>
        <v>2</v>
      </c>
      <c r="W33" s="101"/>
      <c r="X33" s="108" t="str">
        <f>IF(D43=0,"",D43)</f>
        <v/>
      </c>
      <c r="Y33" s="108" t="str">
        <f>IF(E43=0,"",E43)</f>
        <v/>
      </c>
      <c r="Z33" s="120" t="s">
        <v>7437</v>
      </c>
      <c r="AA33" s="121" t="e">
        <f>VLOOKUP($M:$M,Data!$I:$J,2,FALSE)</f>
        <v>#N/A</v>
      </c>
      <c r="AB33" s="122"/>
    </row>
    <row r="34" spans="2:28">
      <c r="B34" s="46">
        <v>108</v>
      </c>
      <c r="C34" s="47"/>
      <c r="D34" s="48" t="s">
        <v>6580</v>
      </c>
      <c r="E34" s="49" t="s">
        <v>6581</v>
      </c>
      <c r="G34" s="46">
        <v>115</v>
      </c>
      <c r="H34" s="47"/>
      <c r="I34" s="48" t="s">
        <v>6580</v>
      </c>
      <c r="J34" s="49" t="s">
        <v>6581</v>
      </c>
      <c r="L34" s="9">
        <f>COUNTA(B44)+L33</f>
        <v>21</v>
      </c>
      <c r="M34" s="31">
        <f>C44</f>
        <v>0</v>
      </c>
      <c r="N34" s="82" t="s">
        <v>7430</v>
      </c>
      <c r="O34" s="36">
        <v>27</v>
      </c>
      <c r="P34" s="36">
        <v>110</v>
      </c>
      <c r="Q34" s="32"/>
      <c r="R34" s="32"/>
      <c r="S34" s="32"/>
      <c r="T34" s="32"/>
      <c r="U34" s="36">
        <f>B44</f>
        <v>2</v>
      </c>
      <c r="V34" s="103"/>
      <c r="W34" s="104"/>
      <c r="X34" s="109" t="str">
        <f t="shared" ref="X34:Y35" si="9">IF(D44=0,"",D44)</f>
        <v/>
      </c>
      <c r="Y34" s="109" t="str">
        <f t="shared" si="9"/>
        <v/>
      </c>
      <c r="Z34" s="123" t="s">
        <v>7372</v>
      </c>
      <c r="AA34" s="124" t="e">
        <f>VLOOKUP($M:$M,Data!$I:$J,2,FALSE)</f>
        <v>#N/A</v>
      </c>
      <c r="AB34" s="125"/>
    </row>
    <row r="35" ht="15.25" spans="2:28">
      <c r="B35" s="50"/>
      <c r="C35" s="51" t="str">
        <f>VLOOKUP("27/108/1",Data!$A$2:$E$1425,3,FALSE)</f>
        <v>99914 Maria</v>
      </c>
      <c r="D35" s="52"/>
      <c r="E35" s="53"/>
      <c r="G35" s="50">
        <v>1</v>
      </c>
      <c r="H35" s="51" t="str">
        <f>VLOOKUP("27/115/1",Data!$A$2:$E$1425,3,FALSE)</f>
        <v>99912 Peter</v>
      </c>
      <c r="I35" s="52"/>
      <c r="J35" s="53"/>
      <c r="L35" s="14">
        <f>COUNTA(B45)+L34</f>
        <v>21</v>
      </c>
      <c r="M35" s="83">
        <f>C45</f>
        <v>0</v>
      </c>
      <c r="N35" s="84"/>
      <c r="O35" s="85">
        <v>27</v>
      </c>
      <c r="P35" s="85">
        <v>110</v>
      </c>
      <c r="Q35" s="110"/>
      <c r="R35" s="110"/>
      <c r="S35" s="110"/>
      <c r="T35" s="110"/>
      <c r="U35" s="85">
        <f>B45</f>
        <v>0</v>
      </c>
      <c r="V35" s="105"/>
      <c r="W35" s="106"/>
      <c r="X35" s="111" t="str">
        <f t="shared" si="9"/>
        <v/>
      </c>
      <c r="Y35" s="111" t="str">
        <f t="shared" si="9"/>
        <v/>
      </c>
      <c r="Z35" s="127"/>
      <c r="AA35" s="128" t="e">
        <f>VLOOKUP($M:$M,Data!$I:$J,2,FALSE)</f>
        <v>#N/A</v>
      </c>
      <c r="AB35" s="126"/>
    </row>
    <row r="36" spans="2:28">
      <c r="B36" s="50">
        <v>2</v>
      </c>
      <c r="C36" s="51">
        <f>VLOOKUP("27/108/2",Data!$A$2:$E$1425,3,FALSE)</f>
        <v>0</v>
      </c>
      <c r="D36" s="54"/>
      <c r="E36" s="55"/>
      <c r="G36" s="50">
        <v>2</v>
      </c>
      <c r="H36" s="51">
        <f>VLOOKUP("27/115/2",Data!$A$2:$E$1425,3,FALSE)</f>
        <v>0</v>
      </c>
      <c r="I36" s="54"/>
      <c r="J36" s="55"/>
      <c r="L36" s="6">
        <f>COUNTA(B47)+L35</f>
        <v>22</v>
      </c>
      <c r="M36" s="79" t="str">
        <f>C47</f>
        <v>99919 Jimmy</v>
      </c>
      <c r="N36" s="80" t="s">
        <v>7430</v>
      </c>
      <c r="O36" s="81">
        <v>27</v>
      </c>
      <c r="P36" s="81">
        <v>111</v>
      </c>
      <c r="Q36" s="62" t="str">
        <f>_xlfn.IFS(COUNTA(B47:B49)=1,"Single",COUNTA(B47:B49)=2,"Double",COUNTA(B47:B49)=3,"Triple",COUNTA(B47:B49)=0,"Empty")</f>
        <v>Double</v>
      </c>
      <c r="R36" s="62"/>
      <c r="S36" s="62"/>
      <c r="T36" s="62"/>
      <c r="U36" s="81">
        <f>B47</f>
        <v>1</v>
      </c>
      <c r="V36" s="100">
        <f>COUNT(B47:B49)</f>
        <v>2</v>
      </c>
      <c r="W36" s="101"/>
      <c r="X36" s="108" t="str">
        <f>IF(D47=0,"",D47)</f>
        <v/>
      </c>
      <c r="Y36" s="108" t="str">
        <f>IF(E47=0,"",E47)</f>
        <v/>
      </c>
      <c r="Z36" s="120" t="s">
        <v>6783</v>
      </c>
      <c r="AA36" s="121" t="e">
        <f>VLOOKUP($M:$M,Data!$I:$J,2,FALSE)</f>
        <v>#N/A</v>
      </c>
      <c r="AB36" s="122"/>
    </row>
    <row r="37" ht="15.25" spans="2:28">
      <c r="B37" s="58">
        <v>3</v>
      </c>
      <c r="C37" s="59">
        <f>VLOOKUP("27/108/3",Data!$A$2:$E$1425,3,FALSE)</f>
        <v>0</v>
      </c>
      <c r="D37" s="56"/>
      <c r="E37" s="57"/>
      <c r="G37" s="58">
        <v>3</v>
      </c>
      <c r="H37" s="59">
        <f>VLOOKUP("27/115/3",Data!$A$2:$E$1425,3,FALSE)</f>
        <v>0</v>
      </c>
      <c r="I37" s="56"/>
      <c r="J37" s="57"/>
      <c r="L37" s="9">
        <f>COUNTA(B48)+L36</f>
        <v>23</v>
      </c>
      <c r="M37" s="31">
        <f>C48</f>
        <v>0</v>
      </c>
      <c r="N37" s="82" t="s">
        <v>7430</v>
      </c>
      <c r="O37" s="36">
        <v>27</v>
      </c>
      <c r="P37" s="36">
        <v>111</v>
      </c>
      <c r="Q37" s="32"/>
      <c r="R37" s="32"/>
      <c r="S37" s="32"/>
      <c r="T37" s="32"/>
      <c r="U37" s="36">
        <f>B48</f>
        <v>2</v>
      </c>
      <c r="V37" s="103"/>
      <c r="W37" s="104"/>
      <c r="X37" s="109" t="str">
        <f t="shared" ref="X37:Y38" si="10">IF(D48=0,"",D48)</f>
        <v/>
      </c>
      <c r="Y37" s="109" t="str">
        <f t="shared" si="10"/>
        <v/>
      </c>
      <c r="Z37" s="123" t="s">
        <v>7200</v>
      </c>
      <c r="AA37" s="124" t="e">
        <f>VLOOKUP($M:$M,Data!$I:$J,2,FALSE)</f>
        <v>#N/A</v>
      </c>
      <c r="AB37" s="125"/>
    </row>
    <row r="38" ht="15.25" spans="2:28">
      <c r="B38" s="46">
        <v>109</v>
      </c>
      <c r="C38" s="47"/>
      <c r="D38" s="48" t="s">
        <v>6580</v>
      </c>
      <c r="E38" s="49" t="s">
        <v>6581</v>
      </c>
      <c r="G38" s="46">
        <v>114</v>
      </c>
      <c r="H38" s="47"/>
      <c r="I38" s="48" t="s">
        <v>6580</v>
      </c>
      <c r="J38" s="49" t="s">
        <v>6581</v>
      </c>
      <c r="L38" s="14">
        <f>COUNTA(B49)+L37</f>
        <v>23</v>
      </c>
      <c r="M38" s="83">
        <f>C49</f>
        <v>0</v>
      </c>
      <c r="N38" s="84"/>
      <c r="O38" s="85">
        <v>27</v>
      </c>
      <c r="P38" s="85">
        <v>111</v>
      </c>
      <c r="Q38" s="110"/>
      <c r="R38" s="110"/>
      <c r="S38" s="110"/>
      <c r="T38" s="110"/>
      <c r="U38" s="85">
        <f>B49</f>
        <v>0</v>
      </c>
      <c r="V38" s="105"/>
      <c r="W38" s="106"/>
      <c r="X38" s="111" t="str">
        <f t="shared" si="10"/>
        <v/>
      </c>
      <c r="Y38" s="111" t="str">
        <f t="shared" si="10"/>
        <v/>
      </c>
      <c r="Z38" s="127"/>
      <c r="AA38" s="128" t="e">
        <f>VLOOKUP($M:$M,Data!$I:$J,2,FALSE)</f>
        <v>#N/A</v>
      </c>
      <c r="AB38" s="126"/>
    </row>
    <row r="39" spans="2:28">
      <c r="B39" s="50">
        <v>1</v>
      </c>
      <c r="C39" s="51" t="str">
        <f>VLOOKUP("27/109/1",Data!$A$2:$E$1425,3,FALSE)</f>
        <v>99915 Rickard</v>
      </c>
      <c r="D39" s="52"/>
      <c r="E39" s="53"/>
      <c r="G39" s="50"/>
      <c r="H39" s="51" t="str">
        <f>VLOOKUP("27/114/1",Data!$A$2:$E$1425,3,FALSE)</f>
        <v>99916 Johan</v>
      </c>
      <c r="I39" s="52"/>
      <c r="J39" s="53"/>
      <c r="L39" s="6">
        <f>COUNTA(G47)+L38</f>
        <v>24</v>
      </c>
      <c r="M39" s="79" t="str">
        <f>H47</f>
        <v>99920 Adam</v>
      </c>
      <c r="N39" s="80" t="s">
        <v>7430</v>
      </c>
      <c r="O39" s="81">
        <v>27</v>
      </c>
      <c r="P39" s="81">
        <v>112</v>
      </c>
      <c r="Q39" s="62" t="str">
        <f>_xlfn.IFS(COUNTA(G47:G49)=1,"Single",COUNTA(G47:G49)=2,"Double",COUNTA(G47:G49)=3,"Triple",COUNTA(G47:G49)=0,"Empty")</f>
        <v>Double</v>
      </c>
      <c r="R39" s="62"/>
      <c r="S39" s="62"/>
      <c r="T39" s="62"/>
      <c r="U39" s="81">
        <f>G47</f>
        <v>1</v>
      </c>
      <c r="V39" s="100">
        <f>COUNT(G47:G49)</f>
        <v>2</v>
      </c>
      <c r="W39" s="101"/>
      <c r="X39" s="108" t="str">
        <f>IF(I47=0,"",I47)</f>
        <v/>
      </c>
      <c r="Y39" s="108" t="str">
        <f>IF(J47=0,"",J47)</f>
        <v/>
      </c>
      <c r="Z39" s="120" t="s">
        <v>7217</v>
      </c>
      <c r="AA39" s="121" t="e">
        <f>VLOOKUP($M:$M,Data!$I:$J,2,FALSE)</f>
        <v>#N/A</v>
      </c>
      <c r="AB39" s="122"/>
    </row>
    <row r="40" spans="2:28">
      <c r="B40" s="50">
        <v>2</v>
      </c>
      <c r="C40" s="51">
        <f>VLOOKUP("27/109/2",Data!$A$2:$E$1425,3,FALSE)</f>
        <v>0</v>
      </c>
      <c r="D40" s="54"/>
      <c r="E40" s="55"/>
      <c r="G40" s="50">
        <v>2</v>
      </c>
      <c r="H40" s="51">
        <f>VLOOKUP("27/114/2",Data!$A$2:$E$1425,3,FALSE)</f>
        <v>0</v>
      </c>
      <c r="I40" s="54"/>
      <c r="J40" s="55"/>
      <c r="L40" s="9">
        <f>COUNTA(G48)+L39</f>
        <v>24</v>
      </c>
      <c r="M40" s="31">
        <f>H48</f>
        <v>0</v>
      </c>
      <c r="N40" s="82" t="s">
        <v>7430</v>
      </c>
      <c r="O40" s="36">
        <v>27</v>
      </c>
      <c r="P40" s="36">
        <v>112</v>
      </c>
      <c r="Q40" s="32"/>
      <c r="R40" s="32"/>
      <c r="S40" s="32"/>
      <c r="T40" s="32"/>
      <c r="U40" s="36">
        <f>G48</f>
        <v>0</v>
      </c>
      <c r="V40" s="103"/>
      <c r="W40" s="104"/>
      <c r="X40" s="109" t="str">
        <f t="shared" ref="X40:Y41" si="11">IF(I48=0,"",I48)</f>
        <v/>
      </c>
      <c r="Y40" s="109" t="str">
        <f t="shared" si="11"/>
        <v/>
      </c>
      <c r="Z40" s="123" t="s">
        <v>7438</v>
      </c>
      <c r="AA40" s="124" t="e">
        <f>VLOOKUP($M:$M,Data!$I:$J,2,FALSE)</f>
        <v>#N/A</v>
      </c>
      <c r="AB40" s="125"/>
    </row>
    <row r="41" ht="15.25" spans="2:28">
      <c r="B41" s="58"/>
      <c r="C41" s="59">
        <f>VLOOKUP("27/109/3",Data!$A$2:$E$1425,3,FALSE)</f>
        <v>0</v>
      </c>
      <c r="D41" s="56"/>
      <c r="E41" s="57"/>
      <c r="G41" s="58">
        <v>3</v>
      </c>
      <c r="H41" s="59">
        <f>VLOOKUP("27/114/3",Data!$A$2:$E$1425,3,FALSE)</f>
        <v>0</v>
      </c>
      <c r="I41" s="56"/>
      <c r="J41" s="57"/>
      <c r="L41" s="14">
        <f>COUNTA(G49)+L40</f>
        <v>25</v>
      </c>
      <c r="M41" s="83">
        <f>H49</f>
        <v>0</v>
      </c>
      <c r="N41" s="84"/>
      <c r="O41" s="85">
        <v>27</v>
      </c>
      <c r="P41" s="85">
        <v>112</v>
      </c>
      <c r="Q41" s="110"/>
      <c r="R41" s="110"/>
      <c r="S41" s="110"/>
      <c r="T41" s="110"/>
      <c r="U41" s="85">
        <f>G49</f>
        <v>3</v>
      </c>
      <c r="V41" s="105"/>
      <c r="W41" s="106"/>
      <c r="X41" s="111" t="str">
        <f t="shared" si="11"/>
        <v/>
      </c>
      <c r="Y41" s="111" t="str">
        <f t="shared" si="11"/>
        <v/>
      </c>
      <c r="Z41" s="127"/>
      <c r="AA41" s="128" t="e">
        <f>VLOOKUP($M:$M,Data!$I:$J,2,FALSE)</f>
        <v>#N/A</v>
      </c>
      <c r="AB41" s="126"/>
    </row>
    <row r="42" spans="2:28">
      <c r="B42" s="46">
        <v>110</v>
      </c>
      <c r="C42" s="47"/>
      <c r="D42" s="48" t="s">
        <v>6580</v>
      </c>
      <c r="E42" s="49" t="s">
        <v>6581</v>
      </c>
      <c r="G42" s="46">
        <v>113</v>
      </c>
      <c r="H42" s="47"/>
      <c r="I42" s="48" t="s">
        <v>6580</v>
      </c>
      <c r="J42" s="49" t="s">
        <v>6581</v>
      </c>
      <c r="L42" s="6">
        <f>COUNTA(G43)+L41</f>
        <v>26</v>
      </c>
      <c r="M42" s="79" t="str">
        <f>H43</f>
        <v>99918 Jacob</v>
      </c>
      <c r="N42" s="80" t="s">
        <v>7430</v>
      </c>
      <c r="O42" s="81">
        <v>27</v>
      </c>
      <c r="P42" s="81">
        <v>113</v>
      </c>
      <c r="Q42" s="62" t="str">
        <f>_xlfn.IFS(COUNTA(G43:G45)=1,"Single",COUNTA(G43:G45)=2,"Double",COUNTA(G43:G45)=3,"Triple",COUNTA(G43:G45)=0,"Empty")</f>
        <v>Double</v>
      </c>
      <c r="R42" s="62"/>
      <c r="S42" s="62"/>
      <c r="T42" s="62"/>
      <c r="U42" s="81">
        <f>G43</f>
        <v>1</v>
      </c>
      <c r="V42" s="100">
        <f>COUNT(G43:G45)</f>
        <v>2</v>
      </c>
      <c r="W42" s="101"/>
      <c r="X42" s="108" t="str">
        <f>IF(I43=0,"",I43)</f>
        <v/>
      </c>
      <c r="Y42" s="108" t="str">
        <f>IF(J43=0,"",J43)</f>
        <v/>
      </c>
      <c r="Z42" s="120" t="s">
        <v>7364</v>
      </c>
      <c r="AA42" s="121" t="e">
        <f>VLOOKUP($M:$M,Data!$I:$J,2,FALSE)</f>
        <v>#N/A</v>
      </c>
      <c r="AB42" s="122"/>
    </row>
    <row r="43" spans="2:28">
      <c r="B43" s="50">
        <v>1</v>
      </c>
      <c r="C43" s="51" t="str">
        <f>VLOOKUP("27/110/1",Data!$A$2:$E$1425,3,FALSE)</f>
        <v>99917 Patrik</v>
      </c>
      <c r="D43" s="52"/>
      <c r="E43" s="53"/>
      <c r="G43" s="50">
        <v>1</v>
      </c>
      <c r="H43" s="51" t="str">
        <f>VLOOKUP("27/113/1",Data!$A$2:$E$1425,3,FALSE)</f>
        <v>99918 Jacob</v>
      </c>
      <c r="I43" s="52"/>
      <c r="J43" s="53"/>
      <c r="L43" s="9">
        <f>COUNTA(G44)+L42</f>
        <v>26</v>
      </c>
      <c r="M43" s="31">
        <f>H44</f>
        <v>0</v>
      </c>
      <c r="N43" s="82"/>
      <c r="O43" s="36">
        <v>27</v>
      </c>
      <c r="P43" s="36">
        <v>113</v>
      </c>
      <c r="Q43" s="32"/>
      <c r="R43" s="32"/>
      <c r="S43" s="32"/>
      <c r="T43" s="32"/>
      <c r="U43" s="36">
        <f>G44</f>
        <v>0</v>
      </c>
      <c r="V43" s="103"/>
      <c r="W43" s="104"/>
      <c r="X43" s="109" t="str">
        <f t="shared" ref="X43:Y44" si="12">IF(I44=0,"",I44)</f>
        <v/>
      </c>
      <c r="Y43" s="109" t="str">
        <f t="shared" si="12"/>
        <v/>
      </c>
      <c r="Z43" s="123"/>
      <c r="AA43" s="124" t="e">
        <f>VLOOKUP($M:$M,Data!$I:$J,2,FALSE)</f>
        <v>#N/A</v>
      </c>
      <c r="AB43" s="125"/>
    </row>
    <row r="44" ht="15.25" spans="2:28">
      <c r="B44" s="50">
        <v>2</v>
      </c>
      <c r="C44" s="51">
        <f>VLOOKUP("27/110/2",Data!$A$2:$E$1425,3,FALSE)</f>
        <v>0</v>
      </c>
      <c r="D44" s="54"/>
      <c r="E44" s="55"/>
      <c r="G44" s="50"/>
      <c r="H44" s="51">
        <f>VLOOKUP("27/113/2",Data!$A$2:$E$1425,3,FALSE)</f>
        <v>0</v>
      </c>
      <c r="I44" s="54"/>
      <c r="J44" s="55"/>
      <c r="L44" s="14">
        <f>COUNTA(G45)+L43</f>
        <v>27</v>
      </c>
      <c r="M44" s="83">
        <f>H45</f>
        <v>0</v>
      </c>
      <c r="N44" s="84" t="s">
        <v>7430</v>
      </c>
      <c r="O44" s="85">
        <v>27</v>
      </c>
      <c r="P44" s="85">
        <v>113</v>
      </c>
      <c r="Q44" s="110"/>
      <c r="R44" s="110"/>
      <c r="S44" s="110"/>
      <c r="T44" s="110"/>
      <c r="U44" s="85">
        <f>G45</f>
        <v>3</v>
      </c>
      <c r="V44" s="105"/>
      <c r="W44" s="106"/>
      <c r="X44" s="111" t="str">
        <f t="shared" si="12"/>
        <v/>
      </c>
      <c r="Y44" s="111" t="str">
        <f t="shared" si="12"/>
        <v/>
      </c>
      <c r="Z44" s="127" t="s">
        <v>7439</v>
      </c>
      <c r="AA44" s="128" t="e">
        <f>VLOOKUP($M:$M,Data!$I:$J,2,FALSE)</f>
        <v>#N/A</v>
      </c>
      <c r="AB44" s="126"/>
    </row>
    <row r="45" ht="15.25" spans="2:28">
      <c r="B45" s="58"/>
      <c r="C45" s="59">
        <f>VLOOKUP("27/110/3",Data!$A$2:$E$1425,3,FALSE)</f>
        <v>0</v>
      </c>
      <c r="D45" s="56"/>
      <c r="E45" s="57"/>
      <c r="G45" s="58">
        <v>3</v>
      </c>
      <c r="H45" s="59">
        <f>VLOOKUP("27/113/3",Data!$A$2:$E$1425,3,FALSE)</f>
        <v>0</v>
      </c>
      <c r="I45" s="56"/>
      <c r="J45" s="57"/>
      <c r="L45" s="6">
        <f>COUNTA(G39)+L44</f>
        <v>27</v>
      </c>
      <c r="M45" s="79" t="str">
        <f>H39</f>
        <v>99916 Johan</v>
      </c>
      <c r="N45" s="80"/>
      <c r="O45" s="81">
        <v>27</v>
      </c>
      <c r="P45" s="81">
        <v>114</v>
      </c>
      <c r="Q45" s="62" t="str">
        <f>_xlfn.IFS(COUNTA(G39:G41)=1,"Single",COUNTA(G39:G41)=2,"Double",COUNTA(G39:G41)=3,"Triple",COUNTA(G39:G41)=0,"Empty")</f>
        <v>Double</v>
      </c>
      <c r="R45" s="62"/>
      <c r="S45" s="62"/>
      <c r="T45" s="62"/>
      <c r="U45" s="81">
        <f>G39</f>
        <v>0</v>
      </c>
      <c r="V45" s="100">
        <f>COUNT(G39:G41)</f>
        <v>2</v>
      </c>
      <c r="W45" s="101"/>
      <c r="X45" s="108" t="str">
        <f>IF(I39=0,"",I39)</f>
        <v/>
      </c>
      <c r="Y45" s="108" t="str">
        <f>IF(J39=0,"",J39)</f>
        <v/>
      </c>
      <c r="Z45" s="120"/>
      <c r="AA45" s="121" t="e">
        <f>VLOOKUP($M:$M,Data!$I:$J,2,FALSE)</f>
        <v>#N/A</v>
      </c>
      <c r="AB45" s="122"/>
    </row>
    <row r="46" spans="2:28">
      <c r="B46" s="46">
        <v>111</v>
      </c>
      <c r="C46" s="47"/>
      <c r="D46" s="48" t="s">
        <v>6580</v>
      </c>
      <c r="E46" s="49" t="s">
        <v>6581</v>
      </c>
      <c r="G46" s="46">
        <v>112</v>
      </c>
      <c r="H46" s="47"/>
      <c r="I46" s="48" t="s">
        <v>6580</v>
      </c>
      <c r="J46" s="49" t="s">
        <v>6581</v>
      </c>
      <c r="L46" s="9">
        <f>COUNTA(G40)+L45</f>
        <v>28</v>
      </c>
      <c r="M46" s="31">
        <f>H40</f>
        <v>0</v>
      </c>
      <c r="N46" s="82" t="s">
        <v>7430</v>
      </c>
      <c r="O46" s="36">
        <v>27</v>
      </c>
      <c r="P46" s="36">
        <v>114</v>
      </c>
      <c r="Q46" s="32"/>
      <c r="R46" s="32"/>
      <c r="S46" s="32"/>
      <c r="T46" s="32"/>
      <c r="U46" s="36">
        <f>G40</f>
        <v>2</v>
      </c>
      <c r="V46" s="103"/>
      <c r="W46" s="104"/>
      <c r="X46" s="109" t="str">
        <f t="shared" ref="X46:Y47" si="13">IF(I40=0,"",I40)</f>
        <v/>
      </c>
      <c r="Y46" s="109" t="str">
        <f t="shared" si="13"/>
        <v/>
      </c>
      <c r="Z46" s="123" t="s">
        <v>7440</v>
      </c>
      <c r="AA46" s="124" t="e">
        <f>VLOOKUP($M:$M,Data!$I:$J,2,FALSE)</f>
        <v>#N/A</v>
      </c>
      <c r="AB46" s="125"/>
    </row>
    <row r="47" ht="15.25" spans="2:28">
      <c r="B47" s="50">
        <v>1</v>
      </c>
      <c r="C47" s="51" t="str">
        <f>VLOOKUP("27/111/1",Data!$A$2:$E$1425,3,FALSE)</f>
        <v>99919 Jimmy</v>
      </c>
      <c r="D47" s="52"/>
      <c r="E47" s="53"/>
      <c r="G47" s="50">
        <v>1</v>
      </c>
      <c r="H47" s="51" t="str">
        <f>VLOOKUP("27/112/1",Data!$A$2:$E$1425,3,FALSE)</f>
        <v>99920 Adam</v>
      </c>
      <c r="I47" s="52"/>
      <c r="J47" s="53"/>
      <c r="L47" s="14">
        <f>COUNTA(G41)+L46</f>
        <v>29</v>
      </c>
      <c r="M47" s="83">
        <f>H41</f>
        <v>0</v>
      </c>
      <c r="N47" s="84" t="s">
        <v>7430</v>
      </c>
      <c r="O47" s="85">
        <v>27</v>
      </c>
      <c r="P47" s="85">
        <v>114</v>
      </c>
      <c r="Q47" s="110"/>
      <c r="R47" s="110"/>
      <c r="S47" s="110"/>
      <c r="T47" s="110"/>
      <c r="U47" s="85">
        <f>G41</f>
        <v>3</v>
      </c>
      <c r="V47" s="105"/>
      <c r="W47" s="106"/>
      <c r="X47" s="111" t="str">
        <f t="shared" si="13"/>
        <v/>
      </c>
      <c r="Y47" s="111" t="str">
        <f t="shared" si="13"/>
        <v/>
      </c>
      <c r="Z47" s="127" t="s">
        <v>7082</v>
      </c>
      <c r="AA47" s="128" t="e">
        <f>VLOOKUP($M:$M,Data!$I:$J,2,FALSE)</f>
        <v>#N/A</v>
      </c>
      <c r="AB47" s="126"/>
    </row>
    <row r="48" spans="2:28">
      <c r="B48" s="50">
        <v>2</v>
      </c>
      <c r="C48" s="51">
        <f>VLOOKUP("27/111/2",Data!$A$2:$E$1425,3,FALSE)</f>
        <v>0</v>
      </c>
      <c r="D48" s="54"/>
      <c r="E48" s="55"/>
      <c r="G48" s="50"/>
      <c r="H48" s="51">
        <f>VLOOKUP("27/112/2",Data!$A$2:$E$1425,3,FALSE)</f>
        <v>0</v>
      </c>
      <c r="I48" s="54"/>
      <c r="J48" s="55"/>
      <c r="L48" s="6">
        <f>COUNTA(G35)+L47</f>
        <v>30</v>
      </c>
      <c r="M48" s="79" t="str">
        <f>H35</f>
        <v>99912 Peter</v>
      </c>
      <c r="N48" s="80" t="s">
        <v>7430</v>
      </c>
      <c r="O48" s="81">
        <v>27</v>
      </c>
      <c r="P48" s="81">
        <v>115</v>
      </c>
      <c r="Q48" s="62" t="str">
        <f>_xlfn.IFS(COUNTA(G35:G37)=1,"Single",COUNTA(G35:G37)=2,"Double",COUNTA(G35:G37)=3,"Triple",COUNTA(G35:G37)=0,"Empty")</f>
        <v>Triple</v>
      </c>
      <c r="R48" s="62"/>
      <c r="S48" s="62"/>
      <c r="T48" s="62"/>
      <c r="U48" s="81">
        <f>G35</f>
        <v>1</v>
      </c>
      <c r="V48" s="100">
        <f>COUNT(G35:G37)</f>
        <v>3</v>
      </c>
      <c r="W48" s="101"/>
      <c r="X48" s="108" t="str">
        <f>IF(I35=0,"",I35)</f>
        <v/>
      </c>
      <c r="Y48" s="108" t="str">
        <f>IF(J35=0,"",J35)</f>
        <v/>
      </c>
      <c r="Z48" s="120" t="s">
        <v>6753</v>
      </c>
      <c r="AA48" s="121" t="e">
        <f>VLOOKUP($M:$M,Data!$I:$J,2,FALSE)</f>
        <v>#N/A</v>
      </c>
      <c r="AB48" s="122"/>
    </row>
    <row r="49" ht="15.25" spans="2:28">
      <c r="B49" s="58"/>
      <c r="C49" s="59">
        <f>VLOOKUP("27/111/3",Data!$A$2:$E$1425,3,FALSE)</f>
        <v>0</v>
      </c>
      <c r="D49" s="56"/>
      <c r="E49" s="57"/>
      <c r="G49" s="58">
        <v>3</v>
      </c>
      <c r="H49" s="59">
        <f>VLOOKUP("27/112/3",Data!$A$2:$E$1425,3,FALSE)</f>
        <v>0</v>
      </c>
      <c r="I49" s="56"/>
      <c r="J49" s="57"/>
      <c r="L49" s="9">
        <f>COUNTA(G36)+L48</f>
        <v>31</v>
      </c>
      <c r="M49" s="31">
        <f>H36</f>
        <v>0</v>
      </c>
      <c r="N49" s="82" t="s">
        <v>7430</v>
      </c>
      <c r="O49" s="36">
        <v>27</v>
      </c>
      <c r="P49" s="36">
        <v>115</v>
      </c>
      <c r="Q49" s="32"/>
      <c r="R49" s="32"/>
      <c r="S49" s="32"/>
      <c r="T49" s="32"/>
      <c r="U49" s="36">
        <f>G36</f>
        <v>2</v>
      </c>
      <c r="V49" s="103"/>
      <c r="W49" s="104"/>
      <c r="X49" s="109" t="str">
        <f t="shared" ref="X49:Y50" si="14">IF(I36=0,"",I36)</f>
        <v/>
      </c>
      <c r="Y49" s="109" t="str">
        <f t="shared" si="14"/>
        <v/>
      </c>
      <c r="Z49" s="123" t="s">
        <v>6633</v>
      </c>
      <c r="AA49" s="124" t="e">
        <f>VLOOKUP($M:$M,Data!$I:$J,2,FALSE)</f>
        <v>#N/A</v>
      </c>
      <c r="AB49" s="125"/>
    </row>
    <row r="50" ht="15.25" spans="12:28">
      <c r="L50" s="14">
        <f>COUNTA(G37)+L49</f>
        <v>32</v>
      </c>
      <c r="M50" s="83">
        <f>H37</f>
        <v>0</v>
      </c>
      <c r="N50" s="84" t="s">
        <v>7430</v>
      </c>
      <c r="O50" s="85">
        <v>27</v>
      </c>
      <c r="P50" s="85">
        <v>115</v>
      </c>
      <c r="Q50" s="110"/>
      <c r="R50" s="110"/>
      <c r="S50" s="110"/>
      <c r="T50" s="110"/>
      <c r="U50" s="85">
        <f>G37</f>
        <v>3</v>
      </c>
      <c r="V50" s="105"/>
      <c r="W50" s="106"/>
      <c r="X50" s="111" t="str">
        <f t="shared" si="14"/>
        <v/>
      </c>
      <c r="Y50" s="111" t="str">
        <f t="shared" si="14"/>
        <v/>
      </c>
      <c r="Z50" s="127" t="s">
        <v>6651</v>
      </c>
      <c r="AA50" s="128" t="e">
        <f>VLOOKUP($M:$M,Data!$I:$J,2,FALSE)</f>
        <v>#N/A</v>
      </c>
      <c r="AB50" s="126"/>
    </row>
    <row r="51" spans="3:28">
      <c r="C51" s="1" t="s">
        <v>7441</v>
      </c>
      <c r="D51" s="1"/>
      <c r="E51" s="1"/>
      <c r="F51" s="1"/>
      <c r="G51" s="1"/>
      <c r="H51" s="1"/>
      <c r="I51" s="1"/>
      <c r="J51" s="89"/>
      <c r="L51" s="6">
        <f>COUNTA(G23)+L50</f>
        <v>33</v>
      </c>
      <c r="M51" s="79" t="str">
        <f>H23</f>
        <v>99910 Roger</v>
      </c>
      <c r="N51" s="80" t="s">
        <v>7430</v>
      </c>
      <c r="O51" s="81">
        <v>27</v>
      </c>
      <c r="P51" s="81">
        <v>116</v>
      </c>
      <c r="Q51" s="62" t="str">
        <f>_xlfn.IFS(COUNTA(G23:G25)=1,"Single",COUNTA(G23:G25)=2,"Double",COUNTA(G23:G25)=3,"Triple",COUNTA(G23:G25)=0,"Empty")</f>
        <v>Double</v>
      </c>
      <c r="R51" s="62"/>
      <c r="S51" s="62"/>
      <c r="T51" s="62"/>
      <c r="U51" s="81">
        <f>G23</f>
        <v>1</v>
      </c>
      <c r="V51" s="100">
        <f>COUNT(G23:G25)</f>
        <v>2</v>
      </c>
      <c r="W51" s="101"/>
      <c r="X51" s="108" t="str">
        <f>IF(I23=0,"",I23)</f>
        <v/>
      </c>
      <c r="Y51" s="108" t="str">
        <f>IF(J23=0,"",J23)</f>
        <v/>
      </c>
      <c r="Z51" s="120" t="s">
        <v>7078</v>
      </c>
      <c r="AA51" s="121" t="e">
        <f>VLOOKUP($M:$M,Data!$I:$J,2,FALSE)</f>
        <v>#N/A</v>
      </c>
      <c r="AB51" s="122"/>
    </row>
    <row r="52" ht="15.25" spans="2:28">
      <c r="B52" s="45" t="s">
        <v>7427</v>
      </c>
      <c r="C52" s="45"/>
      <c r="D52" s="45"/>
      <c r="E52" s="45"/>
      <c r="G52" s="45" t="s">
        <v>7427</v>
      </c>
      <c r="H52" s="45"/>
      <c r="I52" s="45"/>
      <c r="J52" s="45"/>
      <c r="L52" s="9">
        <f>COUNTA(G24)+L51</f>
        <v>33</v>
      </c>
      <c r="M52" s="31">
        <f>H24</f>
        <v>0</v>
      </c>
      <c r="N52" s="82"/>
      <c r="O52" s="36">
        <v>27</v>
      </c>
      <c r="P52" s="36">
        <v>116</v>
      </c>
      <c r="Q52" s="32"/>
      <c r="R52" s="32"/>
      <c r="S52" s="32"/>
      <c r="T52" s="32"/>
      <c r="U52" s="36">
        <f>G24</f>
        <v>0</v>
      </c>
      <c r="V52" s="103"/>
      <c r="W52" s="104"/>
      <c r="X52" s="109" t="str">
        <f t="shared" ref="X52:Y53" si="15">IF(I24=0,"",I24)</f>
        <v/>
      </c>
      <c r="Y52" s="109" t="str">
        <f t="shared" si="15"/>
        <v/>
      </c>
      <c r="Z52" s="123"/>
      <c r="AA52" s="124" t="e">
        <f>VLOOKUP($M:$M,Data!$I:$J,2,FALSE)</f>
        <v>#N/A</v>
      </c>
      <c r="AB52" s="125"/>
    </row>
    <row r="53" ht="15.25" spans="2:28">
      <c r="B53" s="46">
        <v>201</v>
      </c>
      <c r="C53" s="47"/>
      <c r="D53" s="48" t="s">
        <v>6580</v>
      </c>
      <c r="E53" s="49" t="s">
        <v>6581</v>
      </c>
      <c r="G53" s="46">
        <v>220</v>
      </c>
      <c r="H53" s="47"/>
      <c r="I53" s="48" t="s">
        <v>6580</v>
      </c>
      <c r="J53" s="49" t="s">
        <v>6581</v>
      </c>
      <c r="L53" s="14">
        <f>COUNTA(G25)+L52</f>
        <v>34</v>
      </c>
      <c r="M53" s="83">
        <f>H25</f>
        <v>0</v>
      </c>
      <c r="N53" s="82" t="s">
        <v>7430</v>
      </c>
      <c r="O53" s="85">
        <v>27</v>
      </c>
      <c r="P53" s="85">
        <v>116</v>
      </c>
      <c r="Q53" s="110"/>
      <c r="R53" s="110"/>
      <c r="S53" s="110"/>
      <c r="T53" s="110"/>
      <c r="U53" s="85">
        <f>G25</f>
        <v>3</v>
      </c>
      <c r="V53" s="105"/>
      <c r="W53" s="106"/>
      <c r="X53" s="111" t="str">
        <f t="shared" si="15"/>
        <v/>
      </c>
      <c r="Y53" s="111" t="str">
        <f t="shared" si="15"/>
        <v/>
      </c>
      <c r="Z53" s="127" t="s">
        <v>6727</v>
      </c>
      <c r="AA53" s="128" t="e">
        <f>VLOOKUP($M:$M,Data!$I:$J,2,FALSE)</f>
        <v>#N/A</v>
      </c>
      <c r="AB53" s="126"/>
    </row>
    <row r="54" spans="2:28">
      <c r="B54" s="50"/>
      <c r="C54" s="51" t="str">
        <f>VLOOKUP("27/201/1",Data!$A$2:$E$1425,3,FALSE)</f>
        <v>99921 Elin</v>
      </c>
      <c r="D54" s="52"/>
      <c r="E54" s="53"/>
      <c r="G54" s="50">
        <v>1</v>
      </c>
      <c r="H54" s="51" t="str">
        <f>VLOOKUP("27/220/1",Data!$A$2:$E$1425,3,FALSE)</f>
        <v>99922 Oscar</v>
      </c>
      <c r="I54" s="52"/>
      <c r="J54" s="53"/>
      <c r="L54" s="6">
        <f>COUNTA(G19)+L53</f>
        <v>34</v>
      </c>
      <c r="M54" s="79" t="str">
        <f>H19</f>
        <v>99908 Frida</v>
      </c>
      <c r="N54" s="80"/>
      <c r="O54" s="81">
        <v>27</v>
      </c>
      <c r="P54" s="81">
        <v>117</v>
      </c>
      <c r="Q54" s="62" t="str">
        <f>_xlfn.IFS(COUNTA(G19:G21)=1,"Single",COUNTA(G19:G21)=2,"Double",COUNTA(G19:G21)=3,"Triple",COUNTA(G19:G21)=0,"Empty")</f>
        <v>Double</v>
      </c>
      <c r="R54" s="62"/>
      <c r="S54" s="62"/>
      <c r="T54" s="62"/>
      <c r="U54" s="81">
        <f>G19</f>
        <v>0</v>
      </c>
      <c r="V54" s="100">
        <f>COUNT(G19:G21)</f>
        <v>2</v>
      </c>
      <c r="W54" s="101"/>
      <c r="X54" s="108" t="str">
        <f>IF(I19=0,"",I19)</f>
        <v/>
      </c>
      <c r="Y54" s="108" t="str">
        <f>IF(J19=0,"",J19)</f>
        <v/>
      </c>
      <c r="Z54" s="120"/>
      <c r="AA54" s="121" t="e">
        <f>VLOOKUP($M:$M,Data!$I:$J,2,FALSE)</f>
        <v>#N/A</v>
      </c>
      <c r="AB54" s="122"/>
    </row>
    <row r="55" spans="2:28">
      <c r="B55" s="50">
        <v>2</v>
      </c>
      <c r="C55" s="51">
        <f>VLOOKUP("27/201/2",Data!$A$2:$E$1425,3,FALSE)</f>
        <v>0</v>
      </c>
      <c r="D55" s="54"/>
      <c r="E55" s="55"/>
      <c r="G55" s="50"/>
      <c r="H55" s="51">
        <f>VLOOKUP("27/220/2",Data!$A$2:$E$1425,3,FALSE)</f>
        <v>0</v>
      </c>
      <c r="I55" s="54"/>
      <c r="J55" s="55"/>
      <c r="L55" s="9">
        <f>COUNTA(G20)+L54</f>
        <v>35</v>
      </c>
      <c r="M55" s="31">
        <f>H20</f>
        <v>0</v>
      </c>
      <c r="N55" s="82" t="s">
        <v>7430</v>
      </c>
      <c r="O55" s="36">
        <v>27</v>
      </c>
      <c r="P55" s="36">
        <v>117</v>
      </c>
      <c r="Q55" s="32"/>
      <c r="R55" s="32"/>
      <c r="S55" s="32"/>
      <c r="T55" s="32"/>
      <c r="U55" s="36">
        <f>G20</f>
        <v>2</v>
      </c>
      <c r="V55" s="103"/>
      <c r="W55" s="104"/>
      <c r="X55" s="109" t="str">
        <f t="shared" ref="X55:Y56" si="16">IF(I20=0,"",I20)</f>
        <v/>
      </c>
      <c r="Y55" s="109" t="str">
        <f t="shared" si="16"/>
        <v/>
      </c>
      <c r="Z55" s="123" t="s">
        <v>6667</v>
      </c>
      <c r="AA55" s="124" t="e">
        <f>VLOOKUP($M:$M,Data!$I:$J,2,FALSE)</f>
        <v>#N/A</v>
      </c>
      <c r="AB55" s="125"/>
    </row>
    <row r="56" ht="15.25" spans="2:28">
      <c r="B56" s="58">
        <v>3</v>
      </c>
      <c r="C56" s="59">
        <f>VLOOKUP("27/201/3",Data!$A$2:$E$1425,3,FALSE)</f>
        <v>0</v>
      </c>
      <c r="D56" s="56"/>
      <c r="E56" s="57"/>
      <c r="G56" s="58">
        <v>3</v>
      </c>
      <c r="H56" s="59">
        <f>VLOOKUP("27/220/3",Data!$A$2:$E$1425,3,FALSE)</f>
        <v>0</v>
      </c>
      <c r="I56" s="56"/>
      <c r="J56" s="57"/>
      <c r="L56" s="14">
        <f>COUNTA(G21)+L55</f>
        <v>36</v>
      </c>
      <c r="M56" s="83">
        <f>H21</f>
        <v>0</v>
      </c>
      <c r="N56" s="84" t="s">
        <v>7430</v>
      </c>
      <c r="O56" s="85">
        <v>27</v>
      </c>
      <c r="P56" s="85">
        <v>117</v>
      </c>
      <c r="Q56" s="110"/>
      <c r="R56" s="110"/>
      <c r="S56" s="110"/>
      <c r="T56" s="110"/>
      <c r="U56" s="85">
        <f>G21</f>
        <v>3</v>
      </c>
      <c r="V56" s="105"/>
      <c r="W56" s="106"/>
      <c r="X56" s="111" t="str">
        <f t="shared" si="16"/>
        <v/>
      </c>
      <c r="Y56" s="111" t="str">
        <f t="shared" si="16"/>
        <v/>
      </c>
      <c r="Z56" s="127" t="s">
        <v>6785</v>
      </c>
      <c r="AA56" s="128" t="e">
        <f>VLOOKUP($M:$M,Data!$I:$J,2,FALSE)</f>
        <v>#N/A</v>
      </c>
      <c r="AB56" s="126"/>
    </row>
    <row r="57" spans="2:28">
      <c r="B57" s="46">
        <v>202</v>
      </c>
      <c r="C57" s="47"/>
      <c r="D57" s="48" t="s">
        <v>6580</v>
      </c>
      <c r="E57" s="49" t="s">
        <v>6581</v>
      </c>
      <c r="G57" s="46">
        <v>219</v>
      </c>
      <c r="H57" s="47"/>
      <c r="I57" s="48" t="s">
        <v>6580</v>
      </c>
      <c r="J57" s="49" t="s">
        <v>6581</v>
      </c>
      <c r="L57" s="6">
        <f>COUNTA(G15)+L56</f>
        <v>37</v>
      </c>
      <c r="M57" s="79" t="str">
        <f>H15</f>
        <v>99906 Christoffer</v>
      </c>
      <c r="N57" s="80" t="s">
        <v>7430</v>
      </c>
      <c r="O57" s="81">
        <v>27</v>
      </c>
      <c r="P57" s="81">
        <v>118</v>
      </c>
      <c r="Q57" s="62" t="str">
        <f>_xlfn.IFS(COUNTA(G15:G17)=1,"Single",COUNTA(G15:G17)=2,"Double",COUNTA(G15:G17)=3,"Triple",COUNTA(G15:G17)=0,"Empty")</f>
        <v>Triple</v>
      </c>
      <c r="R57" s="62"/>
      <c r="S57" s="62"/>
      <c r="T57" s="62"/>
      <c r="U57" s="81">
        <f>G15</f>
        <v>1</v>
      </c>
      <c r="V57" s="100">
        <f>COUNT(G15:G17)</f>
        <v>3</v>
      </c>
      <c r="W57" s="101"/>
      <c r="X57" s="108" t="str">
        <f>IF(I15=0,"",I15)</f>
        <v/>
      </c>
      <c r="Y57" s="108" t="str">
        <f>IF(J15=0,"",J15)</f>
        <v/>
      </c>
      <c r="Z57" s="120" t="s">
        <v>7442</v>
      </c>
      <c r="AA57" s="121" t="e">
        <f>VLOOKUP($M:$M,Data!$I:$J,2,FALSE)</f>
        <v>#N/A</v>
      </c>
      <c r="AB57" s="122"/>
    </row>
    <row r="58" spans="2:28">
      <c r="B58" s="50"/>
      <c r="C58" s="51" t="str">
        <f>VLOOKUP("27/202/1",Data!$A$2:$E$1425,3,FALSE)</f>
        <v>99923 William</v>
      </c>
      <c r="D58" s="52"/>
      <c r="E58" s="53"/>
      <c r="G58" s="50">
        <v>1</v>
      </c>
      <c r="H58" s="51" t="str">
        <f>VLOOKUP("27/219/1",Data!$A$2:$E$1425,3,FALSE)</f>
        <v>99930 Simon</v>
      </c>
      <c r="I58" s="52"/>
      <c r="J58" s="53"/>
      <c r="L58" s="9">
        <f>COUNTA(G16)+L57</f>
        <v>38</v>
      </c>
      <c r="M58" s="31">
        <f>H16</f>
        <v>0</v>
      </c>
      <c r="N58" s="82" t="s">
        <v>7430</v>
      </c>
      <c r="O58" s="36">
        <v>27</v>
      </c>
      <c r="P58" s="36">
        <v>118</v>
      </c>
      <c r="Q58" s="32"/>
      <c r="R58" s="32"/>
      <c r="S58" s="32"/>
      <c r="T58" s="32"/>
      <c r="U58" s="36">
        <f>G16</f>
        <v>2</v>
      </c>
      <c r="V58" s="103"/>
      <c r="W58" s="104"/>
      <c r="X58" s="109" t="str">
        <f t="shared" ref="X58:Y59" si="17">IF(I16=0,"",I16)</f>
        <v/>
      </c>
      <c r="Y58" s="109" t="str">
        <f t="shared" si="17"/>
        <v/>
      </c>
      <c r="Z58" s="123" t="s">
        <v>7443</v>
      </c>
      <c r="AA58" s="124" t="e">
        <f>VLOOKUP($M:$M,Data!$I:$J,2,FALSE)</f>
        <v>#N/A</v>
      </c>
      <c r="AB58" s="125"/>
    </row>
    <row r="59" ht="15.25" spans="2:28">
      <c r="B59" s="50"/>
      <c r="C59" s="51">
        <f>VLOOKUP("27/202/2",Data!$A$2:$E$1425,3,FALSE)</f>
        <v>0</v>
      </c>
      <c r="D59" s="54"/>
      <c r="E59" s="55"/>
      <c r="G59" s="50">
        <v>2</v>
      </c>
      <c r="H59" s="51" t="str">
        <f>VLOOKUP("27/219/2",Data!$A$2:$E$1425,3,FALSE)</f>
        <v>99931 Victor</v>
      </c>
      <c r="I59" s="54"/>
      <c r="J59" s="55"/>
      <c r="L59" s="14">
        <f>COUNTA(G17)+L58</f>
        <v>39</v>
      </c>
      <c r="M59" s="83">
        <f>H17</f>
        <v>0</v>
      </c>
      <c r="N59" s="84" t="s">
        <v>7430</v>
      </c>
      <c r="O59" s="85">
        <v>27</v>
      </c>
      <c r="P59" s="85">
        <v>118</v>
      </c>
      <c r="Q59" s="110"/>
      <c r="R59" s="110"/>
      <c r="S59" s="110"/>
      <c r="T59" s="110"/>
      <c r="U59" s="85">
        <f>G17</f>
        <v>3</v>
      </c>
      <c r="V59" s="105"/>
      <c r="W59" s="106"/>
      <c r="X59" s="111" t="str">
        <f t="shared" si="17"/>
        <v/>
      </c>
      <c r="Y59" s="111" t="str">
        <f t="shared" si="17"/>
        <v/>
      </c>
      <c r="Z59" s="127" t="s">
        <v>7338</v>
      </c>
      <c r="AA59" s="128" t="e">
        <f>VLOOKUP($M:$M,Data!$I:$J,2,FALSE)</f>
        <v>#N/A</v>
      </c>
      <c r="AB59" s="126"/>
    </row>
    <row r="60" ht="15.25" spans="2:28">
      <c r="B60" s="58">
        <v>3</v>
      </c>
      <c r="C60" s="59">
        <f>VLOOKUP("27/202/3",Data!$A$2:$E$1425,3,FALSE)</f>
        <v>0</v>
      </c>
      <c r="D60" s="56"/>
      <c r="E60" s="57"/>
      <c r="G60" s="58"/>
      <c r="H60" s="59">
        <f>VLOOKUP("27/219/3",Data!$A$2:$E$1425,3,FALSE)</f>
        <v>0</v>
      </c>
      <c r="I60" s="56"/>
      <c r="J60" s="57"/>
      <c r="L60" s="6">
        <f>COUNTA(G11)+L59</f>
        <v>40</v>
      </c>
      <c r="M60" s="79" t="str">
        <f>H11</f>
        <v>99904 Philip</v>
      </c>
      <c r="N60" s="80" t="s">
        <v>7430</v>
      </c>
      <c r="O60" s="81">
        <v>27</v>
      </c>
      <c r="P60" s="81">
        <v>119</v>
      </c>
      <c r="Q60" s="62" t="str">
        <f>_xlfn.IFS(COUNTA(G11:G13)=1,"Single",COUNTA(G11:G13)=2,"Double",COUNTA(G11:G13)=3,"Triple",COUNTA(G11:G13)=0,"Empty")</f>
        <v>Triple</v>
      </c>
      <c r="R60" s="62"/>
      <c r="S60" s="62"/>
      <c r="T60" s="62"/>
      <c r="U60" s="81">
        <f>G11</f>
        <v>1</v>
      </c>
      <c r="V60" s="100">
        <f>COUNT(G11:G13)</f>
        <v>3</v>
      </c>
      <c r="W60" s="101"/>
      <c r="X60" s="108" t="str">
        <f>IF(I11=0,"",I11)</f>
        <v/>
      </c>
      <c r="Y60" s="108" t="str">
        <f>IF(J11=0,"",J11)</f>
        <v/>
      </c>
      <c r="Z60" s="120" t="s">
        <v>7142</v>
      </c>
      <c r="AA60" s="121" t="e">
        <f>VLOOKUP($M:$M,Data!$I:$J,2,FALSE)</f>
        <v>#N/A</v>
      </c>
      <c r="AB60" s="122"/>
    </row>
    <row r="61" spans="2:28">
      <c r="B61" s="46">
        <v>203</v>
      </c>
      <c r="C61" s="47"/>
      <c r="D61" s="48" t="s">
        <v>6580</v>
      </c>
      <c r="E61" s="49" t="s">
        <v>6581</v>
      </c>
      <c r="G61" s="46">
        <v>218</v>
      </c>
      <c r="H61" s="47"/>
      <c r="I61" s="48" t="s">
        <v>6580</v>
      </c>
      <c r="J61" s="49" t="s">
        <v>6581</v>
      </c>
      <c r="L61" s="9">
        <f>COUNTA(G12)+L60</f>
        <v>41</v>
      </c>
      <c r="M61" s="31">
        <f>H12</f>
        <v>0</v>
      </c>
      <c r="N61" s="82" t="s">
        <v>7430</v>
      </c>
      <c r="O61" s="36">
        <v>27</v>
      </c>
      <c r="P61" s="36">
        <v>119</v>
      </c>
      <c r="Q61" s="32"/>
      <c r="R61" s="32"/>
      <c r="S61" s="32"/>
      <c r="T61" s="32"/>
      <c r="U61" s="36">
        <f>G12</f>
        <v>2</v>
      </c>
      <c r="V61" s="103"/>
      <c r="W61" s="104"/>
      <c r="X61" s="109" t="str">
        <f t="shared" ref="X61:Y62" si="18">IF(I12=0,"",I12)</f>
        <v/>
      </c>
      <c r="Y61" s="109" t="str">
        <f t="shared" si="18"/>
        <v/>
      </c>
      <c r="Z61" s="123" t="s">
        <v>7171</v>
      </c>
      <c r="AA61" s="124" t="e">
        <f>VLOOKUP($M:$M,Data!$I:$J,2,FALSE)</f>
        <v>#N/A</v>
      </c>
      <c r="AB61" s="125"/>
    </row>
    <row r="62" ht="15.25" spans="2:28">
      <c r="B62" s="50">
        <v>1</v>
      </c>
      <c r="C62" s="51" t="str">
        <f>VLOOKUP("27/203/1",Data!$A$2:$E$1425,3,FALSE)</f>
        <v>99932 Elin</v>
      </c>
      <c r="D62" s="52"/>
      <c r="E62" s="53"/>
      <c r="G62" s="50"/>
      <c r="H62" s="51" t="str">
        <f>VLOOKUP("27/218/1",Data!$A$2:$E$1425,3,FALSE)</f>
        <v>99934 Axel</v>
      </c>
      <c r="I62" s="52"/>
      <c r="J62" s="53"/>
      <c r="L62" s="14">
        <f>COUNTA(G13)+L61</f>
        <v>42</v>
      </c>
      <c r="M62" s="83">
        <f>H13</f>
        <v>0</v>
      </c>
      <c r="N62" s="84" t="s">
        <v>7430</v>
      </c>
      <c r="O62" s="85">
        <v>27</v>
      </c>
      <c r="P62" s="85">
        <v>119</v>
      </c>
      <c r="Q62" s="110"/>
      <c r="R62" s="110"/>
      <c r="S62" s="110"/>
      <c r="T62" s="110"/>
      <c r="U62" s="85">
        <f>G13</f>
        <v>3</v>
      </c>
      <c r="V62" s="105"/>
      <c r="W62" s="106"/>
      <c r="X62" s="111" t="str">
        <f t="shared" si="18"/>
        <v/>
      </c>
      <c r="Y62" s="111" t="str">
        <f t="shared" si="18"/>
        <v/>
      </c>
      <c r="Z62" s="127" t="s">
        <v>7444</v>
      </c>
      <c r="AA62" s="128" t="e">
        <f>VLOOKUP($M:$M,Data!$I:$J,2,FALSE)</f>
        <v>#N/A</v>
      </c>
      <c r="AB62" s="126"/>
    </row>
    <row r="63" spans="2:28">
      <c r="B63" s="50"/>
      <c r="C63" s="51" t="str">
        <f>VLOOKUP("27/203/2",Data!$A$2:$E$1425,3,FALSE)</f>
        <v>99933 Julia</v>
      </c>
      <c r="D63" s="54"/>
      <c r="E63" s="55"/>
      <c r="G63" s="50">
        <v>2</v>
      </c>
      <c r="H63" s="51" t="str">
        <f>VLOOKUP("27/218/2",Data!$A$2:$E$1425,3,FALSE)</f>
        <v>99935 Cevin</v>
      </c>
      <c r="I63" s="54"/>
      <c r="J63" s="55"/>
      <c r="L63" s="6">
        <f>COUNTA(G7)+L62</f>
        <v>43</v>
      </c>
      <c r="M63" s="79" t="str">
        <f>H7</f>
        <v>99902 Peter</v>
      </c>
      <c r="N63" s="80" t="s">
        <v>7430</v>
      </c>
      <c r="O63" s="81">
        <v>27</v>
      </c>
      <c r="P63" s="81">
        <v>120</v>
      </c>
      <c r="Q63" s="62" t="str">
        <f>_xlfn.IFS(COUNTA(G7:G9)=1,"Single",COUNTA(G7:G9)=2,"Double",COUNTA(G7:G9)=3,"Triple",COUNTA(G7:G9)=0,"Empty")</f>
        <v>Double</v>
      </c>
      <c r="R63" s="62"/>
      <c r="S63" s="62"/>
      <c r="T63" s="62"/>
      <c r="U63" s="81">
        <f>G7</f>
        <v>1</v>
      </c>
      <c r="V63" s="100">
        <f>COUNT(G7:G9)</f>
        <v>2</v>
      </c>
      <c r="W63" s="101"/>
      <c r="X63" s="108" t="str">
        <f>IF(I7=0,"",I7)</f>
        <v/>
      </c>
      <c r="Y63" s="108" t="str">
        <f>IF(J7=0,"",J7)</f>
        <v/>
      </c>
      <c r="Z63" s="120" t="s">
        <v>6752</v>
      </c>
      <c r="AA63" s="121" t="e">
        <f>VLOOKUP($M:$M,Data!$I:$J,2,FALSE)</f>
        <v>#N/A</v>
      </c>
      <c r="AB63" s="122"/>
    </row>
    <row r="64" ht="15.25" spans="2:28">
      <c r="B64" s="58">
        <v>3</v>
      </c>
      <c r="C64" s="59">
        <f>VLOOKUP("27/203/3",Data!$A$2:$E$1425,3,FALSE)</f>
        <v>0</v>
      </c>
      <c r="D64" s="56"/>
      <c r="E64" s="57"/>
      <c r="G64" s="58">
        <v>3</v>
      </c>
      <c r="H64" s="59">
        <f>VLOOKUP("27/218/3",Data!$A$2:$E$1425,3,FALSE)</f>
        <v>0</v>
      </c>
      <c r="I64" s="56"/>
      <c r="J64" s="57"/>
      <c r="L64" s="9">
        <f>COUNTA(G8)+L63</f>
        <v>43</v>
      </c>
      <c r="M64" s="31">
        <f>H8</f>
        <v>0</v>
      </c>
      <c r="N64" s="82"/>
      <c r="O64" s="36">
        <v>27</v>
      </c>
      <c r="P64" s="36">
        <v>120</v>
      </c>
      <c r="Q64" s="32"/>
      <c r="R64" s="32"/>
      <c r="S64" s="32"/>
      <c r="T64" s="32"/>
      <c r="U64" s="36">
        <f>G8</f>
        <v>0</v>
      </c>
      <c r="V64" s="103"/>
      <c r="W64" s="104"/>
      <c r="X64" s="109" t="str">
        <f t="shared" ref="X64:Y65" si="19">IF(I8=0,"",I8)</f>
        <v/>
      </c>
      <c r="Y64" s="109" t="str">
        <f t="shared" si="19"/>
        <v/>
      </c>
      <c r="Z64" s="123"/>
      <c r="AA64" s="124" t="e">
        <f>VLOOKUP($M:$M,Data!$I:$J,2,FALSE)</f>
        <v>#N/A</v>
      </c>
      <c r="AB64" s="125"/>
    </row>
    <row r="65" ht="15.25" spans="2:28">
      <c r="B65" s="46">
        <v>204</v>
      </c>
      <c r="C65" s="47"/>
      <c r="D65" s="48" t="s">
        <v>6580</v>
      </c>
      <c r="E65" s="49" t="s">
        <v>6581</v>
      </c>
      <c r="G65" s="46">
        <v>217</v>
      </c>
      <c r="H65" s="47"/>
      <c r="I65" s="48" t="s">
        <v>6580</v>
      </c>
      <c r="J65" s="49" t="s">
        <v>6581</v>
      </c>
      <c r="L65" s="14">
        <f>COUNTA(G9)+L64</f>
        <v>44</v>
      </c>
      <c r="M65" s="83">
        <f>H9</f>
        <v>0</v>
      </c>
      <c r="N65" s="84" t="s">
        <v>7430</v>
      </c>
      <c r="O65" s="85">
        <v>27</v>
      </c>
      <c r="P65" s="85">
        <v>120</v>
      </c>
      <c r="Q65" s="110"/>
      <c r="R65" s="110"/>
      <c r="S65" s="110"/>
      <c r="T65" s="110"/>
      <c r="U65" s="85">
        <f>G9</f>
        <v>3</v>
      </c>
      <c r="V65" s="105"/>
      <c r="W65" s="106"/>
      <c r="X65" s="111" t="str">
        <f t="shared" si="19"/>
        <v/>
      </c>
      <c r="Y65" s="111" t="str">
        <f t="shared" si="19"/>
        <v/>
      </c>
      <c r="Z65" s="127" t="s">
        <v>6794</v>
      </c>
      <c r="AA65" s="128" t="e">
        <f>VLOOKUP($M:$M,Data!$I:$J,2,FALSE)</f>
        <v>#N/A</v>
      </c>
      <c r="AB65" s="126"/>
    </row>
    <row r="66" spans="2:28">
      <c r="B66" s="50">
        <v>1</v>
      </c>
      <c r="C66" s="51" t="str">
        <f>VLOOKUP("27/204/1",Data!$A$2:$E$1425,3,FALSE)</f>
        <v>99936 Eric</v>
      </c>
      <c r="D66" s="52"/>
      <c r="E66" s="53"/>
      <c r="G66" s="50">
        <v>1</v>
      </c>
      <c r="H66" s="51" t="str">
        <f>VLOOKUP("27/217/1",Data!$A$2:$E$1425,3,FALSE)</f>
        <v>99940 Ake Nordstrom</v>
      </c>
      <c r="I66" s="52"/>
      <c r="J66" s="53"/>
      <c r="L66" s="6">
        <f>COUNTA(B54)+L65</f>
        <v>44</v>
      </c>
      <c r="M66" s="79" t="str">
        <f>C54</f>
        <v>99921 Elin</v>
      </c>
      <c r="N66" s="80"/>
      <c r="O66" s="81">
        <v>27</v>
      </c>
      <c r="P66" s="81">
        <v>201</v>
      </c>
      <c r="Q66" s="62" t="str">
        <f>_xlfn.IFS(COUNTA(B54:B56)=1,"Single",COUNTA(B54:B56)=2,"Double",COUNTA(B54:B56)=3,"Triple",COUNTA(B54:B56)=0,"Empty")</f>
        <v>Double</v>
      </c>
      <c r="R66" s="62"/>
      <c r="S66" s="62"/>
      <c r="T66" s="62"/>
      <c r="U66" s="81">
        <f>B54</f>
        <v>0</v>
      </c>
      <c r="V66" s="100">
        <f>COUNT(B54:B56)</f>
        <v>2</v>
      </c>
      <c r="W66" s="101"/>
      <c r="X66" s="108" t="str">
        <f>IF(D54=0,"",D54)</f>
        <v/>
      </c>
      <c r="Y66" s="108" t="str">
        <f>IF(E54=0,"",E54)</f>
        <v/>
      </c>
      <c r="Z66" s="120"/>
      <c r="AA66" s="121" t="e">
        <f>VLOOKUP($M:$M,Data!$I:$J,2,FALSE)</f>
        <v>#N/A</v>
      </c>
      <c r="AB66" s="122"/>
    </row>
    <row r="67" spans="2:28">
      <c r="B67" s="50">
        <v>2</v>
      </c>
      <c r="C67" s="51" t="str">
        <f>VLOOKUP("27/204/2",Data!$A$2:$E$1425,3,FALSE)</f>
        <v>99937 Maria</v>
      </c>
      <c r="D67" s="54"/>
      <c r="E67" s="55"/>
      <c r="G67" s="50"/>
      <c r="H67" s="51" t="str">
        <f>VLOOKUP("27/217/2",Data!$A$2:$E$1425,3,FALSE)</f>
        <v>99941 Maria Hjortstorp</v>
      </c>
      <c r="I67" s="54"/>
      <c r="J67" s="55"/>
      <c r="L67" s="9">
        <f>COUNTA(B55)+L66</f>
        <v>45</v>
      </c>
      <c r="M67" s="31">
        <f>C55</f>
        <v>0</v>
      </c>
      <c r="N67" s="82" t="s">
        <v>7430</v>
      </c>
      <c r="O67" s="36">
        <v>27</v>
      </c>
      <c r="P67" s="36">
        <v>201</v>
      </c>
      <c r="Q67" s="32"/>
      <c r="R67" s="32"/>
      <c r="S67" s="32"/>
      <c r="T67" s="32"/>
      <c r="U67" s="36">
        <f>B55</f>
        <v>2</v>
      </c>
      <c r="V67" s="103"/>
      <c r="W67" s="104"/>
      <c r="X67" s="109" t="str">
        <f t="shared" ref="X67:Y68" si="20">IF(D55=0,"",D55)</f>
        <v/>
      </c>
      <c r="Y67" s="109" t="str">
        <f t="shared" si="20"/>
        <v/>
      </c>
      <c r="Z67" s="123" t="s">
        <v>7445</v>
      </c>
      <c r="AA67" s="124" t="e">
        <f>VLOOKUP($M:$M,Data!$I:$J,2,FALSE)</f>
        <v>#N/A</v>
      </c>
      <c r="AB67" s="125"/>
    </row>
    <row r="68" ht="15.25" spans="2:28">
      <c r="B68" s="58"/>
      <c r="C68" s="59">
        <f>VLOOKUP("27/204/3",Data!$A$2:$E$1425,3,FALSE)</f>
        <v>0</v>
      </c>
      <c r="D68" s="56"/>
      <c r="E68" s="57"/>
      <c r="G68" s="58">
        <v>3</v>
      </c>
      <c r="H68" s="59">
        <f>VLOOKUP("27/217/3",Data!$A$2:$E$1425,3,FALSE)</f>
        <v>0</v>
      </c>
      <c r="I68" s="56"/>
      <c r="J68" s="57"/>
      <c r="L68" s="14">
        <f>COUNTA(B56)+L67</f>
        <v>46</v>
      </c>
      <c r="M68" s="83">
        <f>C56</f>
        <v>0</v>
      </c>
      <c r="N68" s="84" t="s">
        <v>7430</v>
      </c>
      <c r="O68" s="85">
        <v>27</v>
      </c>
      <c r="P68" s="85">
        <v>201</v>
      </c>
      <c r="Q68" s="110"/>
      <c r="R68" s="110"/>
      <c r="S68" s="110"/>
      <c r="T68" s="110"/>
      <c r="U68" s="85">
        <f>B56</f>
        <v>3</v>
      </c>
      <c r="V68" s="105"/>
      <c r="W68" s="106"/>
      <c r="X68" s="111" t="str">
        <f t="shared" si="20"/>
        <v/>
      </c>
      <c r="Y68" s="111" t="str">
        <f t="shared" si="20"/>
        <v/>
      </c>
      <c r="Z68" s="127" t="s">
        <v>7103</v>
      </c>
      <c r="AA68" s="128" t="e">
        <f>VLOOKUP($M:$M,Data!$I:$J,2,FALSE)</f>
        <v>#N/A</v>
      </c>
      <c r="AB68" s="126"/>
    </row>
    <row r="69" spans="2:28">
      <c r="B69" s="46">
        <v>205</v>
      </c>
      <c r="C69" s="47"/>
      <c r="D69" s="48" t="s">
        <v>6580</v>
      </c>
      <c r="E69" s="49" t="s">
        <v>6581</v>
      </c>
      <c r="G69" s="46">
        <v>216</v>
      </c>
      <c r="H69" s="47"/>
      <c r="I69" s="48" t="s">
        <v>6580</v>
      </c>
      <c r="J69" s="49" t="s">
        <v>6581</v>
      </c>
      <c r="L69" s="6">
        <f>COUNTA(B58)+L68</f>
        <v>46</v>
      </c>
      <c r="M69" s="79" t="str">
        <f>C58</f>
        <v>99923 William</v>
      </c>
      <c r="N69" s="80"/>
      <c r="O69" s="81">
        <v>27</v>
      </c>
      <c r="P69" s="81">
        <v>202</v>
      </c>
      <c r="Q69" s="62" t="str">
        <f>_xlfn.IFS(COUNTA(B58:B60)=1,"Single",COUNTA(B58:B60)=2,"Double",COUNTA(B58:B60)=3,"Triple",COUNTA(B58:B60)=0,"Empty")</f>
        <v>Single</v>
      </c>
      <c r="R69" s="62"/>
      <c r="S69" s="62"/>
      <c r="T69" s="62"/>
      <c r="U69" s="81">
        <f>B58</f>
        <v>0</v>
      </c>
      <c r="V69" s="100">
        <f>COUNT(B58:B60)</f>
        <v>1</v>
      </c>
      <c r="W69" s="101"/>
      <c r="X69" s="108" t="str">
        <f>IF(D58=0,"",D58)</f>
        <v/>
      </c>
      <c r="Y69" s="108" t="str">
        <f>IF(E58=0,"",E58)</f>
        <v/>
      </c>
      <c r="Z69" s="120"/>
      <c r="AA69" s="121" t="e">
        <f>VLOOKUP($M:$M,Data!$I:$J,2,FALSE)</f>
        <v>#N/A</v>
      </c>
      <c r="AB69" s="122"/>
    </row>
    <row r="70" spans="2:28">
      <c r="B70" s="50"/>
      <c r="C70" s="51" t="str">
        <f>VLOOKUP("27/205/1",Data!$A$2:$E$1425,3,FALSE)</f>
        <v>99948 Rebecca B 13/1-20/1 Guest</v>
      </c>
      <c r="D70" s="52"/>
      <c r="E70" s="53"/>
      <c r="G70" s="50"/>
      <c r="H70" s="51">
        <f>VLOOKUP("27/216/1",Data!$A$2:$E$1425,3,FALSE)</f>
        <v>0</v>
      </c>
      <c r="I70" s="52"/>
      <c r="J70" s="53"/>
      <c r="L70" s="9">
        <f>COUNTA(B59)+L69</f>
        <v>46</v>
      </c>
      <c r="M70" s="31">
        <f>C59</f>
        <v>0</v>
      </c>
      <c r="N70" s="82"/>
      <c r="O70" s="36">
        <v>27</v>
      </c>
      <c r="P70" s="36">
        <v>202</v>
      </c>
      <c r="Q70" s="32"/>
      <c r="R70" s="32"/>
      <c r="S70" s="32"/>
      <c r="T70" s="32"/>
      <c r="U70" s="36">
        <f>B59</f>
        <v>0</v>
      </c>
      <c r="V70" s="103"/>
      <c r="W70" s="104"/>
      <c r="X70" s="109" t="str">
        <f t="shared" ref="X70:Y71" si="21">IF(D59=0,"",D59)</f>
        <v/>
      </c>
      <c r="Y70" s="109" t="str">
        <f t="shared" si="21"/>
        <v/>
      </c>
      <c r="Z70" s="123"/>
      <c r="AA70" s="124" t="e">
        <f>VLOOKUP($M:$M,Data!$I:$J,2,FALSE)</f>
        <v>#N/A</v>
      </c>
      <c r="AB70" s="125"/>
    </row>
    <row r="71" ht="15.25" spans="2:28">
      <c r="B71" s="50">
        <v>2</v>
      </c>
      <c r="C71" s="51" t="str">
        <f>VLOOKUP("27/205/2",Data!$A$2:$E$1425,3,FALSE)</f>
        <v>99949 Cassandra B 13/1-20/1 Guest</v>
      </c>
      <c r="D71" s="54"/>
      <c r="E71" s="55"/>
      <c r="G71" s="50">
        <v>2</v>
      </c>
      <c r="H71" s="51">
        <f>VLOOKUP("27/216/2",Data!$A$2:$E$1425,3,FALSE)</f>
        <v>0</v>
      </c>
      <c r="I71" s="54"/>
      <c r="J71" s="55"/>
      <c r="L71" s="14">
        <f>COUNTA(B60)+L70</f>
        <v>47</v>
      </c>
      <c r="M71" s="83">
        <f>C60</f>
        <v>0</v>
      </c>
      <c r="N71" s="84" t="s">
        <v>7430</v>
      </c>
      <c r="O71" s="85">
        <v>27</v>
      </c>
      <c r="P71" s="85">
        <v>202</v>
      </c>
      <c r="Q71" s="110"/>
      <c r="R71" s="110"/>
      <c r="S71" s="110"/>
      <c r="T71" s="110"/>
      <c r="U71" s="85">
        <f>B60</f>
        <v>3</v>
      </c>
      <c r="V71" s="105"/>
      <c r="W71" s="106"/>
      <c r="X71" s="111" t="str">
        <f t="shared" si="21"/>
        <v/>
      </c>
      <c r="Y71" s="111" t="str">
        <f t="shared" si="21"/>
        <v/>
      </c>
      <c r="Z71" s="127" t="s">
        <v>7446</v>
      </c>
      <c r="AA71" s="128" t="e">
        <f>VLOOKUP($M:$M,Data!$I:$J,2,FALSE)</f>
        <v>#N/A</v>
      </c>
      <c r="AB71" s="126"/>
    </row>
    <row r="72" ht="15.25" spans="2:28">
      <c r="B72" s="58"/>
      <c r="C72" s="59">
        <f>VLOOKUP("27/205/3",Data!$A$2:$E$1425,3,FALSE)</f>
        <v>0</v>
      </c>
      <c r="D72" s="56"/>
      <c r="E72" s="57"/>
      <c r="G72" s="58">
        <v>3</v>
      </c>
      <c r="H72" s="59">
        <f>VLOOKUP("27/216/3",Data!$A$2:$E$1425,3,FALSE)</f>
        <v>0</v>
      </c>
      <c r="I72" s="56"/>
      <c r="J72" s="57"/>
      <c r="L72" s="6">
        <f>COUNTA(B62)+L71</f>
        <v>48</v>
      </c>
      <c r="M72" s="79" t="str">
        <f>C62</f>
        <v>99932 Elin</v>
      </c>
      <c r="N72" s="80" t="s">
        <v>7430</v>
      </c>
      <c r="O72" s="81">
        <v>27</v>
      </c>
      <c r="P72" s="81">
        <v>203</v>
      </c>
      <c r="Q72" s="62" t="str">
        <f>_xlfn.IFS(COUNTA(B62:B64)=1,"Single",COUNTA(B62:B64)=2,"Double",COUNTA(B62:B64)=3,"Triple",COUNTA(B62:B64)=0,"Empty")</f>
        <v>Double</v>
      </c>
      <c r="R72" s="62"/>
      <c r="S72" s="62"/>
      <c r="T72" s="62"/>
      <c r="U72" s="81">
        <f>B62</f>
        <v>1</v>
      </c>
      <c r="V72" s="100">
        <f>COUNT(B62:B64)</f>
        <v>2</v>
      </c>
      <c r="W72" s="101"/>
      <c r="X72" s="108" t="str">
        <f>IF(D62=0,"",D62)</f>
        <v/>
      </c>
      <c r="Y72" s="108" t="str">
        <f>IF(E62=0,"",E62)</f>
        <v/>
      </c>
      <c r="Z72" s="120" t="s">
        <v>7447</v>
      </c>
      <c r="AA72" s="121" t="e">
        <f>VLOOKUP($M:$M,Data!$I:$J,2,FALSE)</f>
        <v>#N/A</v>
      </c>
      <c r="AB72" s="122"/>
    </row>
    <row r="73" spans="2:28">
      <c r="B73" s="46">
        <v>206</v>
      </c>
      <c r="C73" s="47"/>
      <c r="D73" s="48" t="s">
        <v>6580</v>
      </c>
      <c r="E73" s="49" t="s">
        <v>6581</v>
      </c>
      <c r="G73" s="67" t="s">
        <v>7435</v>
      </c>
      <c r="H73" s="68"/>
      <c r="I73" s="68"/>
      <c r="J73" s="86"/>
      <c r="L73" s="9">
        <f>COUNTA(B63)+L72</f>
        <v>48</v>
      </c>
      <c r="M73" s="31" t="str">
        <f>C63</f>
        <v>99933 Julia</v>
      </c>
      <c r="N73" s="82"/>
      <c r="O73" s="36">
        <v>27</v>
      </c>
      <c r="P73" s="36">
        <v>203</v>
      </c>
      <c r="Q73" s="32"/>
      <c r="R73" s="32"/>
      <c r="S73" s="32"/>
      <c r="T73" s="32"/>
      <c r="U73" s="36">
        <f>B63</f>
        <v>0</v>
      </c>
      <c r="V73" s="103"/>
      <c r="W73" s="104"/>
      <c r="X73" s="109" t="str">
        <f t="shared" ref="X73:Y74" si="22">IF(D63=0,"",D63)</f>
        <v/>
      </c>
      <c r="Y73" s="109" t="str">
        <f t="shared" si="22"/>
        <v/>
      </c>
      <c r="Z73" s="123"/>
      <c r="AA73" s="124" t="e">
        <f>VLOOKUP($M:$M,Data!$I:$J,2,FALSE)</f>
        <v>#N/A</v>
      </c>
      <c r="AB73" s="125"/>
    </row>
    <row r="74" ht="15.25" spans="2:28">
      <c r="B74" s="50">
        <v>1</v>
      </c>
      <c r="C74" s="51" t="str">
        <f>VLOOKUP("27/206/1",Data!$A$2:$E$1425,3,FALSE)</f>
        <v>99950 Daniel J 13/1-20/1 Guest</v>
      </c>
      <c r="D74" s="52"/>
      <c r="E74" s="53"/>
      <c r="G74" s="69"/>
      <c r="H74" s="70"/>
      <c r="I74" s="70"/>
      <c r="J74" s="87"/>
      <c r="L74" s="14">
        <f>COUNTA(B64)+L73</f>
        <v>49</v>
      </c>
      <c r="M74" s="83">
        <f>C64</f>
        <v>0</v>
      </c>
      <c r="N74" s="84" t="s">
        <v>7430</v>
      </c>
      <c r="O74" s="85">
        <v>27</v>
      </c>
      <c r="P74" s="85">
        <v>203</v>
      </c>
      <c r="Q74" s="110"/>
      <c r="R74" s="110"/>
      <c r="S74" s="110"/>
      <c r="T74" s="110"/>
      <c r="U74" s="85">
        <f>B64</f>
        <v>3</v>
      </c>
      <c r="V74" s="105"/>
      <c r="W74" s="106"/>
      <c r="X74" s="111" t="str">
        <f t="shared" si="22"/>
        <v/>
      </c>
      <c r="Y74" s="111" t="str">
        <f t="shared" si="22"/>
        <v/>
      </c>
      <c r="Z74" s="127" t="s">
        <v>7448</v>
      </c>
      <c r="AA74" s="128" t="e">
        <f>VLOOKUP($M:$M,Data!$I:$J,2,FALSE)</f>
        <v>#N/A</v>
      </c>
      <c r="AB74" s="126"/>
    </row>
    <row r="75" spans="2:28">
      <c r="B75" s="50"/>
      <c r="C75" s="51">
        <f>VLOOKUP("27/206/2",Data!$A$2:$E$1425,3,FALSE)</f>
        <v>0</v>
      </c>
      <c r="D75" s="54"/>
      <c r="E75" s="55"/>
      <c r="G75" s="69"/>
      <c r="H75" s="70"/>
      <c r="I75" s="70"/>
      <c r="J75" s="87"/>
      <c r="L75" s="6">
        <f>COUNTA(B66)+L74</f>
        <v>50</v>
      </c>
      <c r="M75" s="79" t="str">
        <f>C66</f>
        <v>99936 Eric</v>
      </c>
      <c r="N75" s="80" t="s">
        <v>7430</v>
      </c>
      <c r="O75" s="81">
        <v>27</v>
      </c>
      <c r="P75" s="81">
        <v>204</v>
      </c>
      <c r="Q75" s="62" t="str">
        <f>_xlfn.IFS(COUNTA(B66:B68)=1,"Single",COUNTA(B66:B68)=2,"Double",COUNTA(B66:B68)=3,"Triple",COUNTA(B66:B68)=0,"Empty")</f>
        <v>Double</v>
      </c>
      <c r="R75" s="62"/>
      <c r="S75" s="62"/>
      <c r="T75" s="62"/>
      <c r="U75" s="81">
        <f>B66</f>
        <v>1</v>
      </c>
      <c r="V75" s="100">
        <f>COUNT(B66:B68)</f>
        <v>2</v>
      </c>
      <c r="W75" s="101"/>
      <c r="X75" s="108" t="str">
        <f>IF(D66=0,"",D66)</f>
        <v/>
      </c>
      <c r="Y75" s="108" t="str">
        <f>IF(E66=0,"",E66)</f>
        <v/>
      </c>
      <c r="Z75" s="120" t="s">
        <v>7449</v>
      </c>
      <c r="AA75" s="121" t="e">
        <f>VLOOKUP($M:$M,Data!$I:$J,2,FALSE)</f>
        <v>#N/A</v>
      </c>
      <c r="AB75" s="122"/>
    </row>
    <row r="76" ht="15.25" spans="2:28">
      <c r="B76" s="58">
        <v>3</v>
      </c>
      <c r="C76" s="59">
        <f>VLOOKUP("27/206/3",Data!$A$2:$E$1425,3,FALSE)</f>
        <v>0</v>
      </c>
      <c r="D76" s="56"/>
      <c r="E76" s="57"/>
      <c r="G76" s="69"/>
      <c r="H76" s="70"/>
      <c r="I76" s="70"/>
      <c r="J76" s="87"/>
      <c r="L76" s="9">
        <f>COUNTA(B67)+L75</f>
        <v>51</v>
      </c>
      <c r="M76" s="31" t="str">
        <f>C67</f>
        <v>99937 Maria</v>
      </c>
      <c r="N76" s="82" t="s">
        <v>7430</v>
      </c>
      <c r="O76" s="36">
        <v>27</v>
      </c>
      <c r="P76" s="36">
        <v>204</v>
      </c>
      <c r="Q76" s="32"/>
      <c r="R76" s="32"/>
      <c r="S76" s="32"/>
      <c r="T76" s="32"/>
      <c r="U76" s="36">
        <f>B67</f>
        <v>2</v>
      </c>
      <c r="V76" s="103"/>
      <c r="W76" s="104"/>
      <c r="X76" s="109" t="str">
        <f t="shared" ref="X76:Y77" si="23">IF(D67=0,"",D67)</f>
        <v/>
      </c>
      <c r="Y76" s="109" t="str">
        <f t="shared" si="23"/>
        <v/>
      </c>
      <c r="Z76" s="123" t="s">
        <v>7450</v>
      </c>
      <c r="AA76" s="124" t="e">
        <f>VLOOKUP($M:$M,Data!$I:$J,2,FALSE)</f>
        <v>#N/A</v>
      </c>
      <c r="AB76" s="125"/>
    </row>
    <row r="77" ht="15.25" spans="2:28">
      <c r="B77" s="46">
        <v>207</v>
      </c>
      <c r="C77" s="47"/>
      <c r="D77" s="48" t="s">
        <v>6580</v>
      </c>
      <c r="E77" s="49" t="s">
        <v>6581</v>
      </c>
      <c r="G77" s="69"/>
      <c r="H77" s="70"/>
      <c r="I77" s="70"/>
      <c r="J77" s="87"/>
      <c r="L77" s="14">
        <f>COUNTA(B68)+L76</f>
        <v>51</v>
      </c>
      <c r="M77" s="83">
        <f>C68</f>
        <v>0</v>
      </c>
      <c r="N77" s="84"/>
      <c r="O77" s="85">
        <v>27</v>
      </c>
      <c r="P77" s="85">
        <v>204</v>
      </c>
      <c r="Q77" s="110"/>
      <c r="R77" s="110"/>
      <c r="S77" s="110"/>
      <c r="T77" s="110"/>
      <c r="U77" s="85">
        <f>B68</f>
        <v>0</v>
      </c>
      <c r="V77" s="105"/>
      <c r="W77" s="106"/>
      <c r="X77" s="111" t="str">
        <f t="shared" si="23"/>
        <v/>
      </c>
      <c r="Y77" s="111" t="str">
        <f t="shared" si="23"/>
        <v/>
      </c>
      <c r="Z77" s="127"/>
      <c r="AA77" s="128" t="e">
        <f>VLOOKUP($M:$M,Data!$I:$J,2,FALSE)</f>
        <v>#N/A</v>
      </c>
      <c r="AB77" s="126"/>
    </row>
    <row r="78" spans="2:28">
      <c r="B78" s="50">
        <v>1</v>
      </c>
      <c r="C78" s="51" t="str">
        <f>VLOOKUP("27/207/1",Data!$A$2:$E$1425,3,FALSE)</f>
        <v> 99951 Anton.W 13/1-20/1 Guest</v>
      </c>
      <c r="D78" s="52"/>
      <c r="E78" s="53"/>
      <c r="G78" s="69"/>
      <c r="H78" s="70"/>
      <c r="I78" s="70"/>
      <c r="J78" s="87"/>
      <c r="L78" s="6">
        <f>COUNTA(B70)+L77</f>
        <v>51</v>
      </c>
      <c r="M78" s="79" t="str">
        <f>C70</f>
        <v>99948 Rebecca B 13/1-20/1 Guest</v>
      </c>
      <c r="N78" s="80" t="s">
        <v>7430</v>
      </c>
      <c r="O78" s="81">
        <v>27</v>
      </c>
      <c r="P78" s="81">
        <v>205</v>
      </c>
      <c r="Q78" s="62" t="str">
        <f>_xlfn.IFS(COUNTA(B70:B72)=1,"Single",COUNTA(B70:B72)=2,"Double",COUNTA(B70:B72)=3,"Triple",COUNTA(B70:B72)=0,"Empty")</f>
        <v>Single</v>
      </c>
      <c r="R78" s="62"/>
      <c r="S78" s="62"/>
      <c r="T78" s="62"/>
      <c r="U78" s="81">
        <f>B70</f>
        <v>0</v>
      </c>
      <c r="V78" s="100">
        <f>COUNT(B70:B72)</f>
        <v>1</v>
      </c>
      <c r="W78" s="101"/>
      <c r="X78" s="108" t="str">
        <f>IF(D70=0,"",D70)</f>
        <v/>
      </c>
      <c r="Y78" s="108" t="str">
        <f>IF(E70=0,"",E70)</f>
        <v/>
      </c>
      <c r="Z78" s="120" t="s">
        <v>6743</v>
      </c>
      <c r="AA78" s="121" t="e">
        <f>VLOOKUP($M:$M,Data!$I:$J,2,FALSE)</f>
        <v>#N/A</v>
      </c>
      <c r="AB78" s="122"/>
    </row>
    <row r="79" spans="2:28">
      <c r="B79" s="50"/>
      <c r="C79" s="51">
        <f>VLOOKUP("27/207/2",Data!$A$2:$E$1425,3,FALSE)</f>
        <v>0</v>
      </c>
      <c r="D79" s="54"/>
      <c r="E79" s="55"/>
      <c r="G79" s="69"/>
      <c r="H79" s="70"/>
      <c r="I79" s="70"/>
      <c r="J79" s="87"/>
      <c r="L79" s="9">
        <f>COUNTA(B71)+L78</f>
        <v>52</v>
      </c>
      <c r="M79" s="31" t="str">
        <f>C71</f>
        <v>99949 Cassandra B 13/1-20/1 Guest</v>
      </c>
      <c r="N79" s="82" t="s">
        <v>7430</v>
      </c>
      <c r="O79" s="36">
        <v>27</v>
      </c>
      <c r="P79" s="36">
        <v>205</v>
      </c>
      <c r="Q79" s="32"/>
      <c r="R79" s="32"/>
      <c r="S79" s="32"/>
      <c r="T79" s="32"/>
      <c r="U79" s="36">
        <f>B71</f>
        <v>2</v>
      </c>
      <c r="V79" s="103"/>
      <c r="W79" s="104"/>
      <c r="X79" s="109" t="str">
        <f t="shared" ref="X79:Y80" si="24">IF(D71=0,"",D71)</f>
        <v/>
      </c>
      <c r="Y79" s="109" t="str">
        <f t="shared" si="24"/>
        <v/>
      </c>
      <c r="Z79" s="123" t="s">
        <v>7068</v>
      </c>
      <c r="AA79" s="124" t="e">
        <f>VLOOKUP($M:$M,Data!$I:$J,2,FALSE)</f>
        <v>#N/A</v>
      </c>
      <c r="AB79" s="125"/>
    </row>
    <row r="80" ht="15.25" spans="2:28">
      <c r="B80" s="58"/>
      <c r="C80" s="59">
        <f>VLOOKUP("27/207/3",Data!$A$2:$E$1425,3,FALSE)</f>
        <v>0</v>
      </c>
      <c r="D80" s="56"/>
      <c r="E80" s="57"/>
      <c r="G80" s="71"/>
      <c r="H80" s="72"/>
      <c r="I80" s="72"/>
      <c r="J80" s="88"/>
      <c r="L80" s="14">
        <f>COUNTA(B72)+L79</f>
        <v>52</v>
      </c>
      <c r="M80" s="83">
        <f>C72</f>
        <v>0</v>
      </c>
      <c r="N80" s="84"/>
      <c r="O80" s="85">
        <v>27</v>
      </c>
      <c r="P80" s="85">
        <v>205</v>
      </c>
      <c r="Q80" s="110"/>
      <c r="R80" s="110"/>
      <c r="S80" s="110"/>
      <c r="T80" s="110"/>
      <c r="U80" s="85">
        <f>B72</f>
        <v>0</v>
      </c>
      <c r="V80" s="105"/>
      <c r="W80" s="106"/>
      <c r="X80" s="111" t="str">
        <f t="shared" si="24"/>
        <v/>
      </c>
      <c r="Y80" s="111" t="str">
        <f t="shared" si="24"/>
        <v/>
      </c>
      <c r="Z80" s="127"/>
      <c r="AA80" s="128" t="e">
        <f>VLOOKUP($M:$M,Data!$I:$J,2,FALSE)</f>
        <v>#N/A</v>
      </c>
      <c r="AB80" s="126"/>
    </row>
    <row r="81" spans="2:28">
      <c r="B81" s="46">
        <v>208</v>
      </c>
      <c r="C81" s="47"/>
      <c r="D81" s="48" t="s">
        <v>6580</v>
      </c>
      <c r="E81" s="49" t="s">
        <v>6581</v>
      </c>
      <c r="G81" s="46">
        <v>215</v>
      </c>
      <c r="H81" s="47"/>
      <c r="I81" s="48" t="s">
        <v>6580</v>
      </c>
      <c r="J81" s="49" t="s">
        <v>6581</v>
      </c>
      <c r="L81" s="6">
        <f>COUNTA(B74)+L80</f>
        <v>53</v>
      </c>
      <c r="M81" s="79" t="str">
        <f>C74</f>
        <v>99950 Daniel J 13/1-20/1 Guest</v>
      </c>
      <c r="N81" s="80" t="s">
        <v>7430</v>
      </c>
      <c r="O81" s="81">
        <v>27</v>
      </c>
      <c r="P81" s="81">
        <v>206</v>
      </c>
      <c r="Q81" s="62" t="str">
        <f>_xlfn.IFS(COUNTA(B74:B76)=1,"Single",COUNTA(B74:B76)=2,"Double",COUNTA(B74:B76)=3,"Triple",COUNTA(B74:B76)=0,"Empty")</f>
        <v>Double</v>
      </c>
      <c r="R81" s="62"/>
      <c r="S81" s="62"/>
      <c r="T81" s="62"/>
      <c r="U81" s="81">
        <f>B74</f>
        <v>1</v>
      </c>
      <c r="V81" s="100">
        <f>COUNT(B74:B76)</f>
        <v>2</v>
      </c>
      <c r="W81" s="101"/>
      <c r="X81" s="108" t="str">
        <f>IF(D74=0,"",D74)</f>
        <v/>
      </c>
      <c r="Y81" s="108" t="str">
        <f>IF(E74=0,"",E74)</f>
        <v/>
      </c>
      <c r="Z81" s="120" t="s">
        <v>7451</v>
      </c>
      <c r="AA81" s="121" t="e">
        <f>VLOOKUP($M:$M,Data!$I:$J,2,FALSE)</f>
        <v>#N/A</v>
      </c>
      <c r="AB81" s="122" t="s">
        <v>7452</v>
      </c>
    </row>
    <row r="82" spans="2:28">
      <c r="B82" s="50"/>
      <c r="C82" s="51" t="str">
        <f>VLOOKUP("27/208/1",Data!$A$2:$E$1425,3,FALSE)</f>
        <v>99952 Isac A 13/1-20/1 Guest</v>
      </c>
      <c r="D82" s="52"/>
      <c r="E82" s="53"/>
      <c r="G82" s="50">
        <v>1</v>
      </c>
      <c r="H82" s="51" t="str">
        <f>VLOOKUP("27/215/1",Data!$A$2:$E$1425,3,FALSE)</f>
        <v>99942 Lydiana B 13/1-20/1 Guest</v>
      </c>
      <c r="I82" s="52"/>
      <c r="J82" s="53"/>
      <c r="L82" s="9">
        <f>COUNTA(B75)+L81</f>
        <v>53</v>
      </c>
      <c r="M82" s="31">
        <f>C75</f>
        <v>0</v>
      </c>
      <c r="N82" s="82"/>
      <c r="O82" s="36">
        <v>27</v>
      </c>
      <c r="P82" s="36">
        <v>206</v>
      </c>
      <c r="Q82" s="32"/>
      <c r="R82" s="32"/>
      <c r="S82" s="32"/>
      <c r="T82" s="32"/>
      <c r="U82" s="36">
        <f>B75</f>
        <v>0</v>
      </c>
      <c r="V82" s="103"/>
      <c r="W82" s="104"/>
      <c r="X82" s="109" t="str">
        <f t="shared" ref="X82:Y83" si="25">IF(D75=0,"",D75)</f>
        <v/>
      </c>
      <c r="Y82" s="109" t="str">
        <f t="shared" si="25"/>
        <v/>
      </c>
      <c r="Z82" s="123"/>
      <c r="AA82" s="124" t="e">
        <f>VLOOKUP($M:$M,Data!$I:$J,2,FALSE)</f>
        <v>#N/A</v>
      </c>
      <c r="AB82" s="125"/>
    </row>
    <row r="83" ht="15.25" spans="2:28">
      <c r="B83" s="50">
        <v>2</v>
      </c>
      <c r="C83" s="51" t="str">
        <f>VLOOKUP("27/208/2",Data!$A$2:$E$1425,3,FALSE)</f>
        <v>99953 Liam B 13/1-20/1 Guest</v>
      </c>
      <c r="D83" s="54"/>
      <c r="E83" s="55"/>
      <c r="G83" s="50">
        <v>2</v>
      </c>
      <c r="H83" s="51" t="str">
        <f>VLOOKUP("27/215/2",Data!$A$2:$E$1425,3,FALSE)</f>
        <v>99943 Isabelle S 13/1-20/1 Guest</v>
      </c>
      <c r="I83" s="54"/>
      <c r="J83" s="55"/>
      <c r="L83" s="14">
        <f>COUNTA(B76)+L82</f>
        <v>54</v>
      </c>
      <c r="M83" s="83">
        <f>C76</f>
        <v>0</v>
      </c>
      <c r="N83" s="84" t="s">
        <v>7430</v>
      </c>
      <c r="O83" s="85">
        <v>27</v>
      </c>
      <c r="P83" s="85">
        <v>206</v>
      </c>
      <c r="Q83" s="110"/>
      <c r="R83" s="110"/>
      <c r="S83" s="110"/>
      <c r="T83" s="110"/>
      <c r="U83" s="85">
        <f>B76</f>
        <v>3</v>
      </c>
      <c r="V83" s="105"/>
      <c r="W83" s="106"/>
      <c r="X83" s="111" t="str">
        <f t="shared" si="25"/>
        <v/>
      </c>
      <c r="Y83" s="111" t="str">
        <f t="shared" si="25"/>
        <v/>
      </c>
      <c r="Z83" s="127" t="s">
        <v>6873</v>
      </c>
      <c r="AA83" s="128" t="e">
        <f>VLOOKUP($M:$M,Data!$I:$J,2,FALSE)</f>
        <v>#N/A</v>
      </c>
      <c r="AB83" s="126"/>
    </row>
    <row r="84" ht="15.25" spans="2:28">
      <c r="B84" s="58">
        <v>3</v>
      </c>
      <c r="C84" s="59">
        <f>VLOOKUP("27/208/3",Data!$A$2:$E$1425,3,FALSE)</f>
        <v>0</v>
      </c>
      <c r="D84" s="56"/>
      <c r="E84" s="57"/>
      <c r="G84" s="58">
        <v>3</v>
      </c>
      <c r="H84" s="59">
        <f>VLOOKUP("27/215/3",Data!$A$2:$E$1425,3,FALSE)</f>
        <v>0</v>
      </c>
      <c r="I84" s="56"/>
      <c r="J84" s="57"/>
      <c r="L84" s="6">
        <f>COUNTA(B78)+L83</f>
        <v>55</v>
      </c>
      <c r="M84" s="79" t="str">
        <f>C78</f>
        <v> 99951 Anton.W 13/1-20/1 Guest</v>
      </c>
      <c r="N84" s="80"/>
      <c r="O84" s="81">
        <v>27</v>
      </c>
      <c r="P84" s="81">
        <v>207</v>
      </c>
      <c r="Q84" s="62" t="str">
        <f>_xlfn.IFS(COUNTA(B78:B80)=1,"Single",COUNTA(B78:B80)=2,"Double",COUNTA(B78:B80)=3,"Triple",COUNTA(B78:B80)=0,"Empty")</f>
        <v>Single</v>
      </c>
      <c r="R84" s="62"/>
      <c r="S84" s="62"/>
      <c r="T84" s="62"/>
      <c r="U84" s="81">
        <f>B78</f>
        <v>1</v>
      </c>
      <c r="V84" s="100">
        <f>COUNT(B78:B80)</f>
        <v>1</v>
      </c>
      <c r="W84" s="101"/>
      <c r="X84" s="108" t="str">
        <f>IF(D78=0,"",D78)</f>
        <v/>
      </c>
      <c r="Y84" s="108" t="str">
        <f>IF(E78=0,"",E78)</f>
        <v/>
      </c>
      <c r="Z84" s="318" t="s">
        <v>6743</v>
      </c>
      <c r="AA84" s="121" t="e">
        <f>VLOOKUP($M:$M,Data!$I:$J,2,FALSE)</f>
        <v>#N/A</v>
      </c>
      <c r="AB84" s="122" t="s">
        <v>6588</v>
      </c>
    </row>
    <row r="85" spans="2:28">
      <c r="B85" s="46">
        <v>209</v>
      </c>
      <c r="C85" s="47"/>
      <c r="D85" s="48" t="s">
        <v>6580</v>
      </c>
      <c r="E85" s="49" t="s">
        <v>6581</v>
      </c>
      <c r="G85" s="46">
        <v>214</v>
      </c>
      <c r="H85" s="47"/>
      <c r="I85" s="48" t="s">
        <v>6580</v>
      </c>
      <c r="J85" s="49" t="s">
        <v>6581</v>
      </c>
      <c r="L85" s="9">
        <f>COUNTA(B79)+L84</f>
        <v>55</v>
      </c>
      <c r="M85" s="31">
        <f>C79</f>
        <v>0</v>
      </c>
      <c r="N85" s="82"/>
      <c r="O85" s="36">
        <v>27</v>
      </c>
      <c r="P85" s="36">
        <v>207</v>
      </c>
      <c r="Q85" s="32"/>
      <c r="R85" s="32"/>
      <c r="S85" s="32"/>
      <c r="T85" s="32"/>
      <c r="U85" s="36">
        <f>B79</f>
        <v>0</v>
      </c>
      <c r="V85" s="103"/>
      <c r="W85" s="104"/>
      <c r="X85" s="109" t="str">
        <f t="shared" ref="X85:Y86" si="26">IF(D79=0,"",D79)</f>
        <v/>
      </c>
      <c r="Y85" s="109" t="str">
        <f t="shared" si="26"/>
        <v/>
      </c>
      <c r="Z85" s="123"/>
      <c r="AA85" s="124" t="e">
        <f>VLOOKUP($M:$M,Data!$I:$J,2,FALSE)</f>
        <v>#N/A</v>
      </c>
      <c r="AB85" s="125"/>
    </row>
    <row r="86" ht="15.25" spans="2:28">
      <c r="B86" s="50">
        <v>1</v>
      </c>
      <c r="C86" s="51" t="str">
        <f>VLOOKUP("27/209/1",Data!$A$2:$E$1425,3,FALSE)</f>
        <v>99954 Axel D 13/1-20/1 Guest</v>
      </c>
      <c r="D86" s="52"/>
      <c r="E86" s="53"/>
      <c r="G86" s="50">
        <v>1</v>
      </c>
      <c r="H86" s="51" t="str">
        <f>VLOOKUP("27/214/1",Data!$A$2:$E$1425,3,FALSE)</f>
        <v>99944 Emil A 13/1-20/1 Guest</v>
      </c>
      <c r="I86" s="52"/>
      <c r="J86" s="53"/>
      <c r="L86" s="14">
        <f>COUNTA(B80)+L85</f>
        <v>55</v>
      </c>
      <c r="M86" s="83">
        <f>C80</f>
        <v>0</v>
      </c>
      <c r="N86" s="84"/>
      <c r="O86" s="85">
        <v>27</v>
      </c>
      <c r="P86" s="85">
        <v>207</v>
      </c>
      <c r="Q86" s="110"/>
      <c r="R86" s="110"/>
      <c r="S86" s="110"/>
      <c r="T86" s="110"/>
      <c r="U86" s="85">
        <f>B80</f>
        <v>0</v>
      </c>
      <c r="V86" s="105"/>
      <c r="W86" s="106"/>
      <c r="X86" s="111" t="str">
        <f t="shared" si="26"/>
        <v/>
      </c>
      <c r="Y86" s="111" t="str">
        <f t="shared" si="26"/>
        <v/>
      </c>
      <c r="Z86" s="127"/>
      <c r="AA86" s="128" t="e">
        <f>VLOOKUP($M:$M,Data!$I:$J,2,FALSE)</f>
        <v>#N/A</v>
      </c>
      <c r="AB86" s="126"/>
    </row>
    <row r="87" spans="2:28">
      <c r="B87" s="50">
        <v>2</v>
      </c>
      <c r="C87" s="51" t="str">
        <f>VLOOKUP("27/209/2",Data!$A$2:$E$1425,3,FALSE)</f>
        <v>99955 Viktor L 13/1-20/1 Guest</v>
      </c>
      <c r="D87" s="54"/>
      <c r="E87" s="55"/>
      <c r="G87" s="50"/>
      <c r="H87" s="51" t="str">
        <f>VLOOKUP("27/214/2",Data!$A$2:$E$1425,3,FALSE)</f>
        <v>99945 Hugo B 13/1-20/1 Guest</v>
      </c>
      <c r="I87" s="54"/>
      <c r="J87" s="55"/>
      <c r="L87" s="6">
        <f>COUNTA(B82)+L86</f>
        <v>55</v>
      </c>
      <c r="M87" s="79" t="str">
        <f>C82</f>
        <v>99952 Isac A 13/1-20/1 Guest</v>
      </c>
      <c r="N87" s="80"/>
      <c r="O87" s="81">
        <v>27</v>
      </c>
      <c r="P87" s="81">
        <v>208</v>
      </c>
      <c r="Q87" s="62" t="str">
        <f>_xlfn.IFS(COUNTA(B82:B84)=1,"Single",COUNTA(B82:B84)=2,"Double",COUNTA(B82:B84)=3,"Triple",COUNTA(B82:B84)=0,"Empty")</f>
        <v>Double</v>
      </c>
      <c r="R87" s="62"/>
      <c r="S87" s="62"/>
      <c r="T87" s="62"/>
      <c r="U87" s="81">
        <f>B82</f>
        <v>0</v>
      </c>
      <c r="V87" s="100">
        <f>COUNT(B82:B84)</f>
        <v>2</v>
      </c>
      <c r="W87" s="101"/>
      <c r="X87" s="108" t="str">
        <f>IF(D82=0,"",D82)</f>
        <v/>
      </c>
      <c r="Y87" s="108" t="str">
        <f>IF(E82=0,"",E82)</f>
        <v/>
      </c>
      <c r="Z87" s="120"/>
      <c r="AA87" s="121" t="e">
        <f>VLOOKUP($M:$M,Data!$I:$J,2,FALSE)</f>
        <v>#N/A</v>
      </c>
      <c r="AB87" s="122"/>
    </row>
    <row r="88" ht="15.25" spans="2:28">
      <c r="B88" s="58"/>
      <c r="C88" s="59">
        <f>VLOOKUP("27/209/3",Data!$A$2:$E$1425,3,FALSE)</f>
        <v>0</v>
      </c>
      <c r="D88" s="56"/>
      <c r="E88" s="57"/>
      <c r="G88" s="58">
        <v>3</v>
      </c>
      <c r="H88" s="59">
        <f>VLOOKUP("27/214/3",Data!$A$2:$E$1425,3,FALSE)</f>
        <v>0</v>
      </c>
      <c r="I88" s="56"/>
      <c r="J88" s="57"/>
      <c r="L88" s="9">
        <f>COUNTA(B83)+L87</f>
        <v>56</v>
      </c>
      <c r="M88" s="31" t="str">
        <f>C83</f>
        <v>99953 Liam B 13/1-20/1 Guest</v>
      </c>
      <c r="N88" s="82" t="s">
        <v>7430</v>
      </c>
      <c r="O88" s="36">
        <v>27</v>
      </c>
      <c r="P88" s="36">
        <v>208</v>
      </c>
      <c r="Q88" s="32"/>
      <c r="R88" s="32"/>
      <c r="S88" s="32"/>
      <c r="T88" s="32"/>
      <c r="U88" s="36">
        <f>B83</f>
        <v>2</v>
      </c>
      <c r="V88" s="103"/>
      <c r="W88" s="104"/>
      <c r="X88" s="109" t="str">
        <f t="shared" ref="X88:Y89" si="27">IF(D83=0,"",D83)</f>
        <v/>
      </c>
      <c r="Y88" s="109" t="str">
        <f t="shared" si="27"/>
        <v/>
      </c>
      <c r="Z88" s="123" t="s">
        <v>7453</v>
      </c>
      <c r="AA88" s="124" t="e">
        <f>VLOOKUP($M:$M,Data!$I:$J,2,FALSE)</f>
        <v>#N/A</v>
      </c>
      <c r="AB88" s="125"/>
    </row>
    <row r="89" ht="15.25" spans="2:28">
      <c r="B89" s="46">
        <v>210</v>
      </c>
      <c r="C89" s="47"/>
      <c r="D89" s="48" t="s">
        <v>6580</v>
      </c>
      <c r="E89" s="49" t="s">
        <v>6581</v>
      </c>
      <c r="G89" s="46">
        <v>213</v>
      </c>
      <c r="H89" s="47"/>
      <c r="I89" s="48" t="s">
        <v>6580</v>
      </c>
      <c r="J89" s="49" t="s">
        <v>6581</v>
      </c>
      <c r="L89" s="14">
        <f>COUNTA(B84)+L88</f>
        <v>57</v>
      </c>
      <c r="M89" s="83">
        <f>C84</f>
        <v>0</v>
      </c>
      <c r="N89" s="84" t="s">
        <v>7430</v>
      </c>
      <c r="O89" s="85">
        <v>27</v>
      </c>
      <c r="P89" s="85">
        <v>208</v>
      </c>
      <c r="Q89" s="110"/>
      <c r="R89" s="110"/>
      <c r="S89" s="110"/>
      <c r="T89" s="110"/>
      <c r="U89" s="85">
        <f>B84</f>
        <v>3</v>
      </c>
      <c r="V89" s="105"/>
      <c r="W89" s="106"/>
      <c r="X89" s="111" t="str">
        <f t="shared" si="27"/>
        <v/>
      </c>
      <c r="Y89" s="111" t="str">
        <f t="shared" si="27"/>
        <v/>
      </c>
      <c r="Z89" s="127" t="s">
        <v>7117</v>
      </c>
      <c r="AA89" s="128" t="e">
        <f>VLOOKUP($M:$M,Data!$I:$J,2,FALSE)</f>
        <v>#N/A</v>
      </c>
      <c r="AB89" s="126"/>
    </row>
    <row r="90" spans="2:28">
      <c r="B90" s="50"/>
      <c r="C90" s="51" t="str">
        <f>VLOOKUP("27/210/1",Data!$A$2:$E$1425,3,FALSE)</f>
        <v>99956 Albin A 13/1-20/1 Guest</v>
      </c>
      <c r="D90" s="52"/>
      <c r="E90" s="53"/>
      <c r="G90" s="50">
        <v>1</v>
      </c>
      <c r="H90" s="51" t="str">
        <f>VLOOKUP("27/213/1",Data!$A$2:$E$1425,3,FALSE)</f>
        <v>99946 Otto B 13/1-20/1 Guest</v>
      </c>
      <c r="I90" s="52"/>
      <c r="J90" s="53"/>
      <c r="L90" s="6">
        <f>COUNTA(B86)+L89</f>
        <v>58</v>
      </c>
      <c r="M90" s="79" t="str">
        <f>C86</f>
        <v>99954 Axel D 13/1-20/1 Guest</v>
      </c>
      <c r="N90" s="80" t="s">
        <v>7430</v>
      </c>
      <c r="O90" s="81">
        <v>27</v>
      </c>
      <c r="P90" s="81">
        <v>209</v>
      </c>
      <c r="Q90" s="62" t="str">
        <f>_xlfn.IFS(COUNTA(B86:B88)=1,"Single",COUNTA(B86:B88)=2,"Double",COUNTA(B86:B88)=3,"Triple",COUNTA(B86:B88)=0,"Empty")</f>
        <v>Double</v>
      </c>
      <c r="R90" s="62"/>
      <c r="S90" s="62"/>
      <c r="T90" s="62"/>
      <c r="U90" s="81">
        <f>B86</f>
        <v>1</v>
      </c>
      <c r="V90" s="100">
        <f>COUNT(B86:B88)</f>
        <v>2</v>
      </c>
      <c r="W90" s="101"/>
      <c r="X90" s="108" t="str">
        <f>IF(D86=0,"",D86)</f>
        <v/>
      </c>
      <c r="Y90" s="108" t="str">
        <f>IF(E86=0,"",E86)</f>
        <v/>
      </c>
      <c r="Z90" s="120" t="s">
        <v>7320</v>
      </c>
      <c r="AA90" s="121" t="e">
        <f>VLOOKUP($M:$M,Data!$I:$J,2,FALSE)</f>
        <v>#N/A</v>
      </c>
      <c r="AB90" s="122"/>
    </row>
    <row r="91" spans="2:28">
      <c r="B91" s="50">
        <v>2</v>
      </c>
      <c r="C91" s="51" t="str">
        <f>VLOOKUP("27/210/2",Data!$A$2:$E$1425,3,FALSE)</f>
        <v>99957 Alfons B 13/1-20/1 Guest</v>
      </c>
      <c r="D91" s="54"/>
      <c r="E91" s="55"/>
      <c r="G91" s="50">
        <v>2</v>
      </c>
      <c r="H91" s="51" t="str">
        <f>VLOOKUP("27/213/2",Data!$A$2:$E$1425,3,FALSE)</f>
        <v>99947 Vilhelm V 13/1-20/1 Guest</v>
      </c>
      <c r="I91" s="54"/>
      <c r="J91" s="55"/>
      <c r="L91" s="9">
        <f>COUNTA(B87)+L90</f>
        <v>59</v>
      </c>
      <c r="M91" s="31" t="str">
        <f>C87</f>
        <v>99955 Viktor L 13/1-20/1 Guest</v>
      </c>
      <c r="N91" s="82" t="s">
        <v>7430</v>
      </c>
      <c r="O91" s="36">
        <v>27</v>
      </c>
      <c r="P91" s="36">
        <v>209</v>
      </c>
      <c r="Q91" s="32"/>
      <c r="R91" s="32"/>
      <c r="S91" s="32"/>
      <c r="T91" s="32"/>
      <c r="U91" s="36">
        <f>B87</f>
        <v>2</v>
      </c>
      <c r="V91" s="103"/>
      <c r="W91" s="104"/>
      <c r="X91" s="109" t="str">
        <f t="shared" ref="X91:Y92" si="28">IF(D87=0,"",D87)</f>
        <v/>
      </c>
      <c r="Y91" s="109" t="str">
        <f t="shared" si="28"/>
        <v/>
      </c>
      <c r="Z91" s="123" t="s">
        <v>7454</v>
      </c>
      <c r="AA91" s="124" t="e">
        <f>VLOOKUP($M:$M,Data!$I:$J,2,FALSE)</f>
        <v>#N/A</v>
      </c>
      <c r="AB91" s="125"/>
    </row>
    <row r="92" ht="15.25" spans="2:28">
      <c r="B92" s="58">
        <v>3</v>
      </c>
      <c r="C92" s="59">
        <f>VLOOKUP("27/210/3",Data!$A$2:$E$1425,3,FALSE)</f>
        <v>0</v>
      </c>
      <c r="D92" s="56"/>
      <c r="E92" s="57"/>
      <c r="G92" s="58"/>
      <c r="H92" s="59">
        <f>VLOOKUP("27/213/3",Data!$A$2:$E$1425,3,FALSE)</f>
        <v>0</v>
      </c>
      <c r="I92" s="56"/>
      <c r="J92" s="57"/>
      <c r="L92" s="14">
        <f>COUNTA(B88)+L91</f>
        <v>59</v>
      </c>
      <c r="M92" s="83">
        <f>C88</f>
        <v>0</v>
      </c>
      <c r="N92" s="84"/>
      <c r="O92" s="85">
        <v>27</v>
      </c>
      <c r="P92" s="85">
        <v>209</v>
      </c>
      <c r="Q92" s="110"/>
      <c r="R92" s="110"/>
      <c r="S92" s="110"/>
      <c r="T92" s="110"/>
      <c r="U92" s="85">
        <f>B88</f>
        <v>0</v>
      </c>
      <c r="V92" s="105"/>
      <c r="W92" s="106"/>
      <c r="X92" s="111" t="str">
        <f t="shared" si="28"/>
        <v/>
      </c>
      <c r="Y92" s="111" t="str">
        <f t="shared" si="28"/>
        <v/>
      </c>
      <c r="Z92" s="127"/>
      <c r="AA92" s="128" t="e">
        <f>VLOOKUP($M:$M,Data!$I:$J,2,FALSE)</f>
        <v>#N/A</v>
      </c>
      <c r="AB92" s="126"/>
    </row>
    <row r="93" spans="2:28">
      <c r="B93" s="46">
        <v>211</v>
      </c>
      <c r="C93" s="47"/>
      <c r="D93" s="48" t="s">
        <v>6580</v>
      </c>
      <c r="E93" s="49" t="s">
        <v>6581</v>
      </c>
      <c r="G93" s="46">
        <v>212</v>
      </c>
      <c r="H93" s="47"/>
      <c r="I93" s="48" t="s">
        <v>6580</v>
      </c>
      <c r="J93" s="49" t="s">
        <v>6581</v>
      </c>
      <c r="L93" s="6">
        <f>COUNTA(B90)+L92</f>
        <v>59</v>
      </c>
      <c r="M93" s="79" t="str">
        <f>C90</f>
        <v>99956 Albin A 13/1-20/1 Guest</v>
      </c>
      <c r="N93" s="80"/>
      <c r="O93" s="81">
        <v>27</v>
      </c>
      <c r="P93" s="81">
        <v>210</v>
      </c>
      <c r="Q93" s="62" t="str">
        <f>_xlfn.IFS(COUNTA(B90:B92)=1,"Single",COUNTA(B90:B92)=2,"Double",COUNTA(B90:B92)=3,"Triple",COUNTA(B90:B92)=0,"Empty")</f>
        <v>Double</v>
      </c>
      <c r="R93" s="62"/>
      <c r="S93" s="62"/>
      <c r="T93" s="62"/>
      <c r="U93" s="81">
        <f>B90</f>
        <v>0</v>
      </c>
      <c r="V93" s="100">
        <f>COUNT(B90:B92)</f>
        <v>2</v>
      </c>
      <c r="W93" s="101"/>
      <c r="X93" s="108" t="str">
        <f>IF(D90=0,"",D90)</f>
        <v/>
      </c>
      <c r="Y93" s="108" t="str">
        <f>IF(E90=0,"",E90)</f>
        <v/>
      </c>
      <c r="Z93" s="120"/>
      <c r="AA93" s="121" t="e">
        <f>VLOOKUP($M:$M,Data!$I:$J,2,FALSE)</f>
        <v>#N/A</v>
      </c>
      <c r="AB93" s="122"/>
    </row>
    <row r="94" spans="2:28">
      <c r="B94" s="50">
        <v>1</v>
      </c>
      <c r="C94" s="51" t="str">
        <f>VLOOKUP("27/211/1",Data!$A$2:$E$1425,3,FALSE)</f>
        <v>99958 Sam F 13/1-20/1 Guest</v>
      </c>
      <c r="D94" s="52"/>
      <c r="E94" s="53"/>
      <c r="G94" s="50">
        <v>1</v>
      </c>
      <c r="H94" s="51">
        <f>VLOOKUP("27/212/1",Data!$A$2:$E$1425,3,FALSE)</f>
        <v>0</v>
      </c>
      <c r="I94" s="52"/>
      <c r="J94" s="53"/>
      <c r="L94" s="9">
        <f>COUNTA(B91)+L93</f>
        <v>60</v>
      </c>
      <c r="M94" s="31" t="str">
        <f>C91</f>
        <v>99957 Alfons B 13/1-20/1 Guest</v>
      </c>
      <c r="N94" s="82" t="s">
        <v>7430</v>
      </c>
      <c r="O94" s="36">
        <v>27</v>
      </c>
      <c r="P94" s="36">
        <v>210</v>
      </c>
      <c r="Q94" s="32"/>
      <c r="R94" s="32"/>
      <c r="S94" s="32"/>
      <c r="T94" s="32"/>
      <c r="U94" s="36">
        <f>B91</f>
        <v>2</v>
      </c>
      <c r="V94" s="103"/>
      <c r="W94" s="104"/>
      <c r="X94" s="109" t="str">
        <f t="shared" ref="X94:Y95" si="29">IF(D91=0,"",D91)</f>
        <v/>
      </c>
      <c r="Y94" s="109" t="str">
        <f t="shared" si="29"/>
        <v/>
      </c>
      <c r="Z94" s="123" t="s">
        <v>7455</v>
      </c>
      <c r="AA94" s="124" t="e">
        <f>VLOOKUP($M:$M,Data!$I:$J,2,FALSE)</f>
        <v>#N/A</v>
      </c>
      <c r="AB94" s="125"/>
    </row>
    <row r="95" ht="15.25" spans="2:28">
      <c r="B95" s="50">
        <v>2</v>
      </c>
      <c r="C95" s="51">
        <f>VLOOKUP("27/211/2",Data!$A$2:$E$1425,3,FALSE)</f>
        <v>0</v>
      </c>
      <c r="D95" s="54"/>
      <c r="E95" s="55"/>
      <c r="G95" s="50">
        <v>2</v>
      </c>
      <c r="H95" s="51">
        <f>VLOOKUP("27/212/2",Data!$A$2:$E$1425,3,FALSE)</f>
        <v>0</v>
      </c>
      <c r="I95" s="54"/>
      <c r="J95" s="55"/>
      <c r="L95" s="14">
        <f>COUNTA(B92)+L94</f>
        <v>61</v>
      </c>
      <c r="M95" s="83">
        <f>C92</f>
        <v>0</v>
      </c>
      <c r="N95" s="84" t="s">
        <v>7430</v>
      </c>
      <c r="O95" s="85">
        <v>27</v>
      </c>
      <c r="P95" s="85">
        <v>210</v>
      </c>
      <c r="Q95" s="110"/>
      <c r="R95" s="110"/>
      <c r="S95" s="110"/>
      <c r="T95" s="110"/>
      <c r="U95" s="85">
        <f>B92</f>
        <v>3</v>
      </c>
      <c r="V95" s="105"/>
      <c r="W95" s="106"/>
      <c r="X95" s="111" t="str">
        <f t="shared" si="29"/>
        <v/>
      </c>
      <c r="Y95" s="111" t="str">
        <f t="shared" si="29"/>
        <v/>
      </c>
      <c r="Z95" s="127" t="s">
        <v>7456</v>
      </c>
      <c r="AA95" s="128" t="e">
        <f>VLOOKUP($M:$M,Data!$I:$J,2,FALSE)</f>
        <v>#N/A</v>
      </c>
      <c r="AB95" s="126"/>
    </row>
    <row r="96" ht="15.25" spans="2:28">
      <c r="B96" s="58"/>
      <c r="C96" s="59">
        <f>VLOOKUP("27/211/3",Data!$A$2:$E$1425,3,FALSE)</f>
        <v>0</v>
      </c>
      <c r="D96" s="56"/>
      <c r="E96" s="57"/>
      <c r="G96" s="58">
        <v>3</v>
      </c>
      <c r="H96" s="59">
        <f>VLOOKUP("27/212/3",Data!$A$2:$E$1425,3,FALSE)</f>
        <v>0</v>
      </c>
      <c r="I96" s="56"/>
      <c r="J96" s="57"/>
      <c r="L96" s="6">
        <f>COUNTA(B94)+L95</f>
        <v>62</v>
      </c>
      <c r="M96" s="79" t="str">
        <f>C94</f>
        <v>99958 Sam F 13/1-20/1 Guest</v>
      </c>
      <c r="N96" s="80" t="s">
        <v>7430</v>
      </c>
      <c r="O96" s="81">
        <v>27</v>
      </c>
      <c r="P96" s="81">
        <v>211</v>
      </c>
      <c r="Q96" s="62" t="str">
        <f>_xlfn.IFS(COUNTA(B94:B96)=1,"Single",COUNTA(B94:B96)=2,"Double",COUNTA(B94:B96)=3,"Triple",COUNTA(B94:B96)=0,"Empty")</f>
        <v>Double</v>
      </c>
      <c r="R96" s="62"/>
      <c r="S96" s="62"/>
      <c r="T96" s="62"/>
      <c r="U96" s="81">
        <f>B94</f>
        <v>1</v>
      </c>
      <c r="V96" s="100">
        <f>COUNT(B94:B96)</f>
        <v>2</v>
      </c>
      <c r="W96" s="101"/>
      <c r="X96" s="108" t="str">
        <f>IF(D94=0,"",D94)</f>
        <v/>
      </c>
      <c r="Y96" s="108" t="str">
        <f>IF(E94=0,"",E94)</f>
        <v/>
      </c>
      <c r="Z96" s="120" t="s">
        <v>7457</v>
      </c>
      <c r="AA96" s="121" t="e">
        <f>VLOOKUP($M:$M,Data!$I:$J,2,FALSE)</f>
        <v>#N/A</v>
      </c>
      <c r="AB96" s="122"/>
    </row>
    <row r="97" spans="12:28">
      <c r="L97" s="9">
        <f>COUNTA(B95)+L96</f>
        <v>63</v>
      </c>
      <c r="M97" s="31">
        <f>C95</f>
        <v>0</v>
      </c>
      <c r="N97" s="82" t="s">
        <v>7430</v>
      </c>
      <c r="O97" s="36">
        <v>27</v>
      </c>
      <c r="P97" s="36">
        <v>211</v>
      </c>
      <c r="Q97" s="32"/>
      <c r="R97" s="32"/>
      <c r="S97" s="32"/>
      <c r="T97" s="32"/>
      <c r="U97" s="36">
        <f>B95</f>
        <v>2</v>
      </c>
      <c r="V97" s="103"/>
      <c r="W97" s="104"/>
      <c r="X97" s="109" t="str">
        <f t="shared" ref="X97:Y98" si="30">IF(D95=0,"",D95)</f>
        <v/>
      </c>
      <c r="Y97" s="109" t="str">
        <f t="shared" si="30"/>
        <v/>
      </c>
      <c r="Z97" s="123" t="s">
        <v>7458</v>
      </c>
      <c r="AA97" s="124" t="e">
        <f>VLOOKUP($M:$M,Data!$I:$J,2,FALSE)</f>
        <v>#N/A</v>
      </c>
      <c r="AB97" s="125"/>
    </row>
    <row r="98" ht="15.25" spans="12:28">
      <c r="L98" s="14">
        <f>COUNTA(B96)+L97</f>
        <v>63</v>
      </c>
      <c r="M98" s="83">
        <f>C96</f>
        <v>0</v>
      </c>
      <c r="N98" s="84"/>
      <c r="O98" s="85">
        <v>27</v>
      </c>
      <c r="P98" s="85">
        <v>211</v>
      </c>
      <c r="Q98" s="110"/>
      <c r="R98" s="110"/>
      <c r="S98" s="110"/>
      <c r="T98" s="110"/>
      <c r="U98" s="85">
        <f>B96</f>
        <v>0</v>
      </c>
      <c r="V98" s="105"/>
      <c r="W98" s="106"/>
      <c r="X98" s="111" t="str">
        <f t="shared" si="30"/>
        <v/>
      </c>
      <c r="Y98" s="111" t="str">
        <f t="shared" si="30"/>
        <v/>
      </c>
      <c r="Z98" s="127"/>
      <c r="AA98" s="128" t="e">
        <f>VLOOKUP($M:$M,Data!$I:$J,2,FALSE)</f>
        <v>#N/A</v>
      </c>
      <c r="AB98" s="126"/>
    </row>
    <row r="99" spans="12:28">
      <c r="L99" s="6">
        <f>COUNTA(G94)+L98</f>
        <v>64</v>
      </c>
      <c r="M99" s="79">
        <f>H94</f>
        <v>0</v>
      </c>
      <c r="N99" s="80" t="s">
        <v>7430</v>
      </c>
      <c r="O99" s="81">
        <v>27</v>
      </c>
      <c r="P99" s="81">
        <v>212</v>
      </c>
      <c r="Q99" s="62" t="str">
        <f>_xlfn.IFS(COUNTA(G94:G96)=1,"Single",COUNTA(G94:G96)=2,"Double",COUNTA(G94:G96)=3,"Triple",COUNTA(G94:G96)=0,"Empty")</f>
        <v>Triple</v>
      </c>
      <c r="R99" s="62"/>
      <c r="S99" s="62"/>
      <c r="T99" s="62"/>
      <c r="U99" s="81">
        <f>G94</f>
        <v>1</v>
      </c>
      <c r="V99" s="100">
        <f>COUNT(G94:G96)</f>
        <v>3</v>
      </c>
      <c r="W99" s="101"/>
      <c r="X99" s="108" t="str">
        <f>IF(I94=0,"",I94)</f>
        <v/>
      </c>
      <c r="Y99" s="108" t="str">
        <f>IF(J94=0,"",J94)</f>
        <v/>
      </c>
      <c r="Z99" s="120" t="s">
        <v>7459</v>
      </c>
      <c r="AA99" s="121" t="e">
        <f>VLOOKUP($M:$M,Data!$I:$J,2,FALSE)</f>
        <v>#N/A</v>
      </c>
      <c r="AB99" s="122"/>
    </row>
    <row r="100" spans="12:28">
      <c r="L100" s="9">
        <f>COUNTA(G95)+L99</f>
        <v>65</v>
      </c>
      <c r="M100" s="31">
        <f>H95</f>
        <v>0</v>
      </c>
      <c r="N100" s="82" t="s">
        <v>7430</v>
      </c>
      <c r="O100" s="36">
        <v>27</v>
      </c>
      <c r="P100" s="36">
        <v>212</v>
      </c>
      <c r="Q100" s="32"/>
      <c r="R100" s="32"/>
      <c r="S100" s="32"/>
      <c r="T100" s="32"/>
      <c r="U100" s="36">
        <f>G95</f>
        <v>2</v>
      </c>
      <c r="V100" s="103"/>
      <c r="W100" s="104"/>
      <c r="X100" s="109" t="str">
        <f t="shared" ref="X100:Y101" si="31">IF(I95=0,"",I95)</f>
        <v/>
      </c>
      <c r="Y100" s="109" t="str">
        <f t="shared" si="31"/>
        <v/>
      </c>
      <c r="Z100" s="123" t="s">
        <v>7144</v>
      </c>
      <c r="AA100" s="124" t="e">
        <f>VLOOKUP($M:$M,Data!$I:$J,2,FALSE)</f>
        <v>#N/A</v>
      </c>
      <c r="AB100" s="125"/>
    </row>
    <row r="101" ht="15.25" spans="12:28">
      <c r="L101" s="14">
        <f>COUNTA(G96)+L100</f>
        <v>66</v>
      </c>
      <c r="M101" s="83">
        <f>H96</f>
        <v>0</v>
      </c>
      <c r="N101" s="84" t="s">
        <v>7430</v>
      </c>
      <c r="O101" s="85">
        <v>27</v>
      </c>
      <c r="P101" s="85">
        <v>212</v>
      </c>
      <c r="Q101" s="110"/>
      <c r="R101" s="110"/>
      <c r="S101" s="110"/>
      <c r="T101" s="110"/>
      <c r="U101" s="85">
        <f>G96</f>
        <v>3</v>
      </c>
      <c r="V101" s="105"/>
      <c r="W101" s="106"/>
      <c r="X101" s="111" t="str">
        <f t="shared" si="31"/>
        <v/>
      </c>
      <c r="Y101" s="111" t="str">
        <f t="shared" si="31"/>
        <v/>
      </c>
      <c r="Z101" s="127" t="s">
        <v>7460</v>
      </c>
      <c r="AA101" s="128" t="e">
        <f>VLOOKUP($M:$M,Data!$I:$J,2,FALSE)</f>
        <v>#N/A</v>
      </c>
      <c r="AB101" s="126"/>
    </row>
    <row r="102" spans="12:28">
      <c r="L102" s="6">
        <f>COUNTA(G90)+L101</f>
        <v>67</v>
      </c>
      <c r="M102" s="79" t="str">
        <f>H90</f>
        <v>99946 Otto B 13/1-20/1 Guest</v>
      </c>
      <c r="N102" s="80" t="s">
        <v>7430</v>
      </c>
      <c r="O102" s="81">
        <v>27</v>
      </c>
      <c r="P102" s="81">
        <v>213</v>
      </c>
      <c r="Q102" s="62" t="str">
        <f>_xlfn.IFS(COUNTA(G90:G92)=1,"Single",COUNTA(G90:G92)=2,"Double",COUNTA(G90:G92)=3,"Triple",COUNTA(G90:G92)=0,"Empty")</f>
        <v>Double</v>
      </c>
      <c r="R102" s="62"/>
      <c r="S102" s="62"/>
      <c r="T102" s="62"/>
      <c r="U102" s="81">
        <f>G90</f>
        <v>1</v>
      </c>
      <c r="V102" s="100">
        <f>COUNT(G90:G92)</f>
        <v>2</v>
      </c>
      <c r="W102" s="101"/>
      <c r="X102" s="108" t="str">
        <f>IF(I90=0,"",I90)</f>
        <v/>
      </c>
      <c r="Y102" s="108" t="str">
        <f>IF(J90=0,"",J90)</f>
        <v/>
      </c>
      <c r="Z102" s="120" t="s">
        <v>7461</v>
      </c>
      <c r="AA102" s="121" t="e">
        <f>VLOOKUP($M:$M,Data!$I:$J,2,FALSE)</f>
        <v>#N/A</v>
      </c>
      <c r="AB102" s="122"/>
    </row>
    <row r="103" spans="12:28">
      <c r="L103" s="9">
        <f>COUNTA(G91)+L102</f>
        <v>68</v>
      </c>
      <c r="M103" s="31" t="str">
        <f>H91</f>
        <v>99947 Vilhelm V 13/1-20/1 Guest</v>
      </c>
      <c r="N103" s="82" t="s">
        <v>7430</v>
      </c>
      <c r="O103" s="36">
        <v>27</v>
      </c>
      <c r="P103" s="36">
        <v>213</v>
      </c>
      <c r="Q103" s="32"/>
      <c r="R103" s="32"/>
      <c r="S103" s="32"/>
      <c r="T103" s="32"/>
      <c r="U103" s="36">
        <f>G91</f>
        <v>2</v>
      </c>
      <c r="V103" s="103"/>
      <c r="W103" s="104"/>
      <c r="X103" s="109" t="str">
        <f t="shared" ref="X103:Y104" si="32">IF(I91=0,"",I91)</f>
        <v/>
      </c>
      <c r="Y103" s="109" t="str">
        <f t="shared" si="32"/>
        <v/>
      </c>
      <c r="Z103" s="123" t="s">
        <v>6771</v>
      </c>
      <c r="AA103" s="124" t="e">
        <f>VLOOKUP($M:$M,Data!$I:$J,2,FALSE)</f>
        <v>#N/A</v>
      </c>
      <c r="AB103" s="125"/>
    </row>
    <row r="104" ht="15.25" spans="12:28">
      <c r="L104" s="14">
        <f>COUNTA(G92)+L103</f>
        <v>68</v>
      </c>
      <c r="M104" s="83">
        <f>H92</f>
        <v>0</v>
      </c>
      <c r="N104" s="84"/>
      <c r="O104" s="85">
        <v>27</v>
      </c>
      <c r="P104" s="85">
        <v>213</v>
      </c>
      <c r="Q104" s="110"/>
      <c r="R104" s="110"/>
      <c r="S104" s="110"/>
      <c r="T104" s="110"/>
      <c r="U104" s="85">
        <f>G92</f>
        <v>0</v>
      </c>
      <c r="V104" s="105"/>
      <c r="W104" s="106"/>
      <c r="X104" s="111" t="str">
        <f t="shared" si="32"/>
        <v/>
      </c>
      <c r="Y104" s="111" t="str">
        <f t="shared" si="32"/>
        <v/>
      </c>
      <c r="Z104" s="127"/>
      <c r="AA104" s="128" t="e">
        <f>VLOOKUP($M:$M,Data!$I:$J,2,FALSE)</f>
        <v>#N/A</v>
      </c>
      <c r="AB104" s="126"/>
    </row>
    <row r="105" spans="12:28">
      <c r="L105" s="6">
        <f>COUNTA(G86)+L104</f>
        <v>69</v>
      </c>
      <c r="M105" s="79" t="str">
        <f>H86</f>
        <v>99944 Emil A 13/1-20/1 Guest</v>
      </c>
      <c r="N105" s="80" t="s">
        <v>7430</v>
      </c>
      <c r="O105" s="81">
        <v>27</v>
      </c>
      <c r="P105" s="81">
        <v>214</v>
      </c>
      <c r="Q105" s="62" t="str">
        <f>_xlfn.IFS(COUNTA(G86:G88)=1,"Single",COUNTA(G86:G88)=2,"Double",COUNTA(G86:G88)=3,"Triple",COUNTA(G86:G88)=0,"Empty")</f>
        <v>Double</v>
      </c>
      <c r="R105" s="62"/>
      <c r="S105" s="62"/>
      <c r="T105" s="62"/>
      <c r="U105" s="81">
        <f>G86</f>
        <v>1</v>
      </c>
      <c r="V105" s="100">
        <f>COUNT(G86:G88)</f>
        <v>2</v>
      </c>
      <c r="W105" s="101"/>
      <c r="X105" s="108" t="str">
        <f>IF(I86=0,"",I86)</f>
        <v/>
      </c>
      <c r="Y105" s="108" t="str">
        <f>IF(J86=0,"",J86)</f>
        <v/>
      </c>
      <c r="Z105" s="120" t="s">
        <v>7462</v>
      </c>
      <c r="AA105" s="121" t="e">
        <f>VLOOKUP($M:$M,Data!$I:$J,2,FALSE)</f>
        <v>#N/A</v>
      </c>
      <c r="AB105" s="122"/>
    </row>
    <row r="106" spans="12:28">
      <c r="L106" s="9">
        <f>COUNTA(G87)+L105</f>
        <v>69</v>
      </c>
      <c r="M106" s="31" t="str">
        <f>H87</f>
        <v>99945 Hugo B 13/1-20/1 Guest</v>
      </c>
      <c r="N106" s="82"/>
      <c r="O106" s="36">
        <v>27</v>
      </c>
      <c r="P106" s="36">
        <v>214</v>
      </c>
      <c r="Q106" s="32"/>
      <c r="R106" s="32"/>
      <c r="S106" s="32"/>
      <c r="T106" s="32"/>
      <c r="U106" s="36">
        <f>G87</f>
        <v>0</v>
      </c>
      <c r="V106" s="103"/>
      <c r="W106" s="104"/>
      <c r="X106" s="109" t="str">
        <f t="shared" ref="X106:Y107" si="33">IF(I87=0,"",I87)</f>
        <v/>
      </c>
      <c r="Y106" s="109" t="str">
        <f t="shared" si="33"/>
        <v/>
      </c>
      <c r="Z106" s="123"/>
      <c r="AA106" s="124" t="e">
        <f>VLOOKUP($M:$M,Data!$I:$J,2,FALSE)</f>
        <v>#N/A</v>
      </c>
      <c r="AB106" s="125"/>
    </row>
    <row r="107" ht="15.25" spans="12:28">
      <c r="L107" s="14">
        <f>COUNTA(G88)+L106</f>
        <v>70</v>
      </c>
      <c r="M107" s="83">
        <f>H88</f>
        <v>0</v>
      </c>
      <c r="N107" s="84" t="s">
        <v>7430</v>
      </c>
      <c r="O107" s="85">
        <v>27</v>
      </c>
      <c r="P107" s="85">
        <v>214</v>
      </c>
      <c r="Q107" s="110"/>
      <c r="R107" s="110"/>
      <c r="S107" s="110"/>
      <c r="T107" s="110"/>
      <c r="U107" s="85">
        <f>G88</f>
        <v>3</v>
      </c>
      <c r="V107" s="105"/>
      <c r="W107" s="106"/>
      <c r="X107" s="111" t="str">
        <f t="shared" si="33"/>
        <v/>
      </c>
      <c r="Y107" s="111" t="str">
        <f t="shared" si="33"/>
        <v/>
      </c>
      <c r="Z107" s="127" t="s">
        <v>7463</v>
      </c>
      <c r="AA107" s="128" t="e">
        <f>VLOOKUP($M:$M,Data!$I:$J,2,FALSE)</f>
        <v>#N/A</v>
      </c>
      <c r="AB107" s="126"/>
    </row>
    <row r="108" spans="12:28">
      <c r="L108" s="6">
        <f>COUNTA(G82)+L107</f>
        <v>71</v>
      </c>
      <c r="M108" s="79" t="str">
        <f>H82</f>
        <v>99942 Lydiana B 13/1-20/1 Guest</v>
      </c>
      <c r="N108" s="80" t="s">
        <v>7430</v>
      </c>
      <c r="O108" s="81">
        <v>27</v>
      </c>
      <c r="P108" s="81">
        <v>215</v>
      </c>
      <c r="Q108" s="62" t="str">
        <f>_xlfn.IFS(COUNTA(G82:G84)=1,"Single",COUNTA(G82:G84)=2,"Double",COUNTA(G82:G84)=3,"Triple",COUNTA(G82:G84)=0,"Empty")</f>
        <v>Triple</v>
      </c>
      <c r="R108" s="62"/>
      <c r="S108" s="62"/>
      <c r="T108" s="62"/>
      <c r="U108" s="81">
        <f>G82</f>
        <v>1</v>
      </c>
      <c r="V108" s="100">
        <f>COUNT(G82:G84)</f>
        <v>3</v>
      </c>
      <c r="W108" s="101"/>
      <c r="X108" s="108" t="str">
        <f>IF(I82=0,"",I82)</f>
        <v/>
      </c>
      <c r="Y108" s="108" t="str">
        <f>IF(J82=0,"",J82)</f>
        <v/>
      </c>
      <c r="Z108" s="120" t="s">
        <v>7290</v>
      </c>
      <c r="AA108" s="121" t="e">
        <f>VLOOKUP($M:$M,Data!$I:$J,2,FALSE)</f>
        <v>#N/A</v>
      </c>
      <c r="AB108" s="122"/>
    </row>
    <row r="109" spans="12:28">
      <c r="L109" s="9">
        <f>COUNTA(G83)+L108</f>
        <v>72</v>
      </c>
      <c r="M109" s="31" t="str">
        <f>H83</f>
        <v>99943 Isabelle S 13/1-20/1 Guest</v>
      </c>
      <c r="N109" s="82" t="s">
        <v>7430</v>
      </c>
      <c r="O109" s="36">
        <v>27</v>
      </c>
      <c r="P109" s="36">
        <v>215</v>
      </c>
      <c r="Q109" s="32"/>
      <c r="R109" s="32"/>
      <c r="S109" s="32"/>
      <c r="T109" s="32"/>
      <c r="U109" s="36">
        <f>G83</f>
        <v>2</v>
      </c>
      <c r="V109" s="103"/>
      <c r="W109" s="104"/>
      <c r="X109" s="109" t="str">
        <f t="shared" ref="X109:Y110" si="34">IF(I83=0,"",I83)</f>
        <v/>
      </c>
      <c r="Y109" s="109" t="str">
        <f t="shared" si="34"/>
        <v/>
      </c>
      <c r="Z109" s="123" t="s">
        <v>7464</v>
      </c>
      <c r="AA109" s="124" t="e">
        <f>VLOOKUP($M:$M,Data!$I:$J,2,FALSE)</f>
        <v>#N/A</v>
      </c>
      <c r="AB109" s="125"/>
    </row>
    <row r="110" ht="15.25" spans="12:28">
      <c r="L110" s="14">
        <f>COUNTA(G84)+L109</f>
        <v>73</v>
      </c>
      <c r="M110" s="83">
        <f>H84</f>
        <v>0</v>
      </c>
      <c r="N110" s="84" t="s">
        <v>7430</v>
      </c>
      <c r="O110" s="85">
        <v>27</v>
      </c>
      <c r="P110" s="85">
        <v>215</v>
      </c>
      <c r="Q110" s="110"/>
      <c r="R110" s="110"/>
      <c r="S110" s="110"/>
      <c r="T110" s="110"/>
      <c r="U110" s="85">
        <f>G84</f>
        <v>3</v>
      </c>
      <c r="V110" s="105"/>
      <c r="W110" s="106"/>
      <c r="X110" s="111" t="str">
        <f t="shared" si="34"/>
        <v/>
      </c>
      <c r="Y110" s="111" t="str">
        <f t="shared" si="34"/>
        <v/>
      </c>
      <c r="Z110" s="127" t="s">
        <v>7465</v>
      </c>
      <c r="AA110" s="128" t="e">
        <f>VLOOKUP($M:$M,Data!$I:$J,2,FALSE)</f>
        <v>#N/A</v>
      </c>
      <c r="AB110" s="126"/>
    </row>
    <row r="111" spans="12:28">
      <c r="L111" s="6">
        <f>COUNTA(G70)+L110</f>
        <v>73</v>
      </c>
      <c r="M111" s="79">
        <f>H70</f>
        <v>0</v>
      </c>
      <c r="N111" s="80"/>
      <c r="O111" s="81">
        <v>27</v>
      </c>
      <c r="P111" s="81">
        <v>216</v>
      </c>
      <c r="Q111" s="62" t="str">
        <f>_xlfn.IFS(COUNTA(G70:G72)=1,"Single",COUNTA(G70:G72)=2,"Double",COUNTA(G70:G72)=3,"Triple",COUNTA(G70:G72)=0,"Empty")</f>
        <v>Double</v>
      </c>
      <c r="R111" s="62"/>
      <c r="S111" s="62"/>
      <c r="T111" s="62"/>
      <c r="U111" s="81">
        <f>G70</f>
        <v>0</v>
      </c>
      <c r="V111" s="100">
        <f>COUNT(G70:G72)</f>
        <v>2</v>
      </c>
      <c r="W111" s="101"/>
      <c r="X111" s="108" t="str">
        <f>IF(I70=0,"",I70)</f>
        <v/>
      </c>
      <c r="Y111" s="108" t="str">
        <f>IF(J70=0,"",J70)</f>
        <v/>
      </c>
      <c r="Z111" s="120"/>
      <c r="AA111" s="121" t="e">
        <f>VLOOKUP($M:$M,Data!$I:$J,2,FALSE)</f>
        <v>#N/A</v>
      </c>
      <c r="AB111" s="122"/>
    </row>
    <row r="112" spans="12:28">
      <c r="L112" s="9">
        <f>COUNTA(G71)+L111</f>
        <v>74</v>
      </c>
      <c r="M112" s="31">
        <f>H71</f>
        <v>0</v>
      </c>
      <c r="N112" s="82" t="s">
        <v>7430</v>
      </c>
      <c r="O112" s="36">
        <v>27</v>
      </c>
      <c r="P112" s="36">
        <v>216</v>
      </c>
      <c r="Q112" s="32"/>
      <c r="R112" s="32"/>
      <c r="S112" s="32"/>
      <c r="T112" s="32"/>
      <c r="U112" s="36">
        <f>G71</f>
        <v>2</v>
      </c>
      <c r="V112" s="103"/>
      <c r="W112" s="104"/>
      <c r="X112" s="109" t="str">
        <f t="shared" ref="X112:Y113" si="35">IF(I71=0,"",I71)</f>
        <v/>
      </c>
      <c r="Y112" s="109" t="str">
        <f t="shared" si="35"/>
        <v/>
      </c>
      <c r="Z112" s="123" t="s">
        <v>7466</v>
      </c>
      <c r="AA112" s="124" t="e">
        <f>VLOOKUP($M:$M,Data!$I:$J,2,FALSE)</f>
        <v>#N/A</v>
      </c>
      <c r="AB112" s="125"/>
    </row>
    <row r="113" ht="15.25" spans="12:28">
      <c r="L113" s="14">
        <f>COUNTA(G72)+L112</f>
        <v>75</v>
      </c>
      <c r="M113" s="83">
        <f>H72</f>
        <v>0</v>
      </c>
      <c r="N113" s="84" t="s">
        <v>7430</v>
      </c>
      <c r="O113" s="85">
        <v>27</v>
      </c>
      <c r="P113" s="85">
        <v>216</v>
      </c>
      <c r="Q113" s="110"/>
      <c r="R113" s="110"/>
      <c r="S113" s="110"/>
      <c r="T113" s="110"/>
      <c r="U113" s="85">
        <f>G72</f>
        <v>3</v>
      </c>
      <c r="V113" s="105"/>
      <c r="W113" s="106"/>
      <c r="X113" s="111" t="str">
        <f t="shared" si="35"/>
        <v/>
      </c>
      <c r="Y113" s="111" t="str">
        <f t="shared" si="35"/>
        <v/>
      </c>
      <c r="Z113" s="127" t="s">
        <v>7467</v>
      </c>
      <c r="AA113" s="128" t="e">
        <f>VLOOKUP($M:$M,Data!$I:$J,2,FALSE)</f>
        <v>#N/A</v>
      </c>
      <c r="AB113" s="126"/>
    </row>
    <row r="114" spans="12:28">
      <c r="L114" s="6">
        <f>COUNTA(G66)+L113</f>
        <v>76</v>
      </c>
      <c r="M114" s="79" t="str">
        <f>H66</f>
        <v>99940 Ake Nordstrom</v>
      </c>
      <c r="N114" s="80" t="s">
        <v>7430</v>
      </c>
      <c r="O114" s="81">
        <v>27</v>
      </c>
      <c r="P114" s="81">
        <v>217</v>
      </c>
      <c r="Q114" s="62" t="str">
        <f>_xlfn.IFS(COUNTA(G66:G68)=1,"Single",COUNTA(G66:G68)=2,"Double",COUNTA(G66:G68)=3,"Triple",COUNTA(G66:G68)=0,"Empty")</f>
        <v>Double</v>
      </c>
      <c r="R114" s="62"/>
      <c r="S114" s="62"/>
      <c r="T114" s="62"/>
      <c r="U114" s="81">
        <f>G66</f>
        <v>1</v>
      </c>
      <c r="V114" s="100">
        <f>COUNT(G66:G68)</f>
        <v>2</v>
      </c>
      <c r="W114" s="101"/>
      <c r="X114" s="108" t="str">
        <f>IF(I66=0,"",I66)</f>
        <v/>
      </c>
      <c r="Y114" s="108" t="str">
        <f>IF(J66=0,"",J66)</f>
        <v/>
      </c>
      <c r="Z114" s="120" t="s">
        <v>7468</v>
      </c>
      <c r="AA114" s="121" t="e">
        <f>VLOOKUP($M:$M,Data!$I:$J,2,FALSE)</f>
        <v>#N/A</v>
      </c>
      <c r="AB114" s="122"/>
    </row>
    <row r="115" spans="12:28">
      <c r="L115" s="9">
        <f>COUNTA(G67)+L114</f>
        <v>76</v>
      </c>
      <c r="M115" s="31" t="str">
        <f>H67</f>
        <v>99941 Maria Hjortstorp</v>
      </c>
      <c r="N115" s="82" t="s">
        <v>7430</v>
      </c>
      <c r="O115" s="36">
        <v>27</v>
      </c>
      <c r="P115" s="36">
        <v>217</v>
      </c>
      <c r="Q115" s="32"/>
      <c r="R115" s="32"/>
      <c r="S115" s="32"/>
      <c r="T115" s="32"/>
      <c r="U115" s="36">
        <f>G67</f>
        <v>0</v>
      </c>
      <c r="V115" s="103"/>
      <c r="W115" s="104"/>
      <c r="X115" s="109" t="str">
        <f t="shared" ref="X115:Y116" si="36">IF(I67=0,"",I67)</f>
        <v/>
      </c>
      <c r="Y115" s="109" t="str">
        <f t="shared" si="36"/>
        <v/>
      </c>
      <c r="Z115" s="123" t="s">
        <v>7469</v>
      </c>
      <c r="AA115" s="124" t="e">
        <f>VLOOKUP($M:$M,Data!$I:$J,2,FALSE)</f>
        <v>#N/A</v>
      </c>
      <c r="AB115" s="125"/>
    </row>
    <row r="116" ht="15.25" spans="12:28">
      <c r="L116" s="14">
        <f>COUNTA(G68)+L115</f>
        <v>77</v>
      </c>
      <c r="M116" s="83">
        <f>H68</f>
        <v>0</v>
      </c>
      <c r="N116" s="84"/>
      <c r="O116" s="85">
        <v>27</v>
      </c>
      <c r="P116" s="85">
        <v>217</v>
      </c>
      <c r="Q116" s="110"/>
      <c r="R116" s="110"/>
      <c r="S116" s="110"/>
      <c r="T116" s="110"/>
      <c r="U116" s="85">
        <f>G68</f>
        <v>3</v>
      </c>
      <c r="V116" s="105"/>
      <c r="W116" s="106"/>
      <c r="X116" s="111" t="str">
        <f t="shared" si="36"/>
        <v/>
      </c>
      <c r="Y116" s="111" t="str">
        <f t="shared" si="36"/>
        <v/>
      </c>
      <c r="Z116" s="127"/>
      <c r="AA116" s="128" t="e">
        <f>VLOOKUP($M:$M,Data!$I:$J,2,FALSE)</f>
        <v>#N/A</v>
      </c>
      <c r="AB116" s="126"/>
    </row>
    <row r="117" spans="12:28">
      <c r="L117" s="6">
        <f>COUNTA(G62)+L116</f>
        <v>77</v>
      </c>
      <c r="M117" s="79" t="str">
        <f>H62</f>
        <v>99934 Axel</v>
      </c>
      <c r="N117" s="80"/>
      <c r="O117" s="81">
        <v>27</v>
      </c>
      <c r="P117" s="81">
        <v>218</v>
      </c>
      <c r="Q117" s="62" t="str">
        <f>_xlfn.IFS(COUNTA(G62:G64)=1,"Single",COUNTA(G62:G64)=2,"Double",COUNTA(G62:G64)=3,"Triple",COUNTA(G62:G64)=0,"Empty")</f>
        <v>Double</v>
      </c>
      <c r="R117" s="62"/>
      <c r="S117" s="62"/>
      <c r="T117" s="62"/>
      <c r="U117" s="81">
        <f>G62</f>
        <v>0</v>
      </c>
      <c r="V117" s="100">
        <f>COUNT(G62:G64)</f>
        <v>2</v>
      </c>
      <c r="W117" s="101"/>
      <c r="X117" s="108" t="str">
        <f>IF(I62=0,"",I62)</f>
        <v/>
      </c>
      <c r="Y117" s="108" t="str">
        <f>IF(J62=0,"",J62)</f>
        <v/>
      </c>
      <c r="Z117" s="120"/>
      <c r="AA117" s="121" t="e">
        <f>VLOOKUP($M:$M,Data!$I:$J,2,FALSE)</f>
        <v>#N/A</v>
      </c>
      <c r="AB117" s="122"/>
    </row>
    <row r="118" spans="12:28">
      <c r="L118" s="9">
        <f>COUNTA(G63)+L117</f>
        <v>78</v>
      </c>
      <c r="M118" s="31" t="str">
        <f>H63</f>
        <v>99935 Cevin</v>
      </c>
      <c r="N118" s="82" t="s">
        <v>7430</v>
      </c>
      <c r="O118" s="36">
        <v>27</v>
      </c>
      <c r="P118" s="36">
        <v>218</v>
      </c>
      <c r="Q118" s="32"/>
      <c r="R118" s="32"/>
      <c r="S118" s="32"/>
      <c r="T118" s="32"/>
      <c r="U118" s="36">
        <f>G63</f>
        <v>2</v>
      </c>
      <c r="V118" s="103"/>
      <c r="W118" s="104"/>
      <c r="X118" s="109" t="str">
        <f t="shared" ref="X118:Y119" si="37">IF(I63=0,"",I63)</f>
        <v/>
      </c>
      <c r="Y118" s="109" t="str">
        <f t="shared" si="37"/>
        <v/>
      </c>
      <c r="Z118" s="123" t="s">
        <v>7470</v>
      </c>
      <c r="AA118" s="124" t="e">
        <f>VLOOKUP($M:$M,Data!$I:$J,2,FALSE)</f>
        <v>#N/A</v>
      </c>
      <c r="AB118" s="125"/>
    </row>
    <row r="119" ht="15.25" spans="12:28">
      <c r="L119" s="14">
        <f>COUNTA(G64)+L118</f>
        <v>79</v>
      </c>
      <c r="M119" s="83">
        <f>H64</f>
        <v>0</v>
      </c>
      <c r="N119" s="84" t="s">
        <v>7430</v>
      </c>
      <c r="O119" s="85">
        <v>27</v>
      </c>
      <c r="P119" s="85">
        <v>218</v>
      </c>
      <c r="Q119" s="110"/>
      <c r="R119" s="110"/>
      <c r="S119" s="110"/>
      <c r="T119" s="110"/>
      <c r="U119" s="85">
        <f>G64</f>
        <v>3</v>
      </c>
      <c r="V119" s="105"/>
      <c r="W119" s="106"/>
      <c r="X119" s="111" t="str">
        <f t="shared" si="37"/>
        <v/>
      </c>
      <c r="Y119" s="111" t="str">
        <f t="shared" si="37"/>
        <v/>
      </c>
      <c r="Z119" s="127" t="s">
        <v>6940</v>
      </c>
      <c r="AA119" s="128" t="e">
        <f>VLOOKUP($M:$M,Data!$I:$J,2,FALSE)</f>
        <v>#N/A</v>
      </c>
      <c r="AB119" s="126"/>
    </row>
    <row r="120" spans="12:28">
      <c r="L120" s="6">
        <f>COUNTA(G58)+L119</f>
        <v>80</v>
      </c>
      <c r="M120" s="79" t="str">
        <f>H58</f>
        <v>99930 Simon</v>
      </c>
      <c r="N120" s="80" t="s">
        <v>7430</v>
      </c>
      <c r="O120" s="81">
        <v>27</v>
      </c>
      <c r="P120" s="81">
        <v>219</v>
      </c>
      <c r="Q120" s="62" t="str">
        <f>_xlfn.IFS(COUNTA(G58:G60)=1,"Single",COUNTA(G58:G60)=2,"Double",COUNTA(G58:G60)=3,"Triple",COUNTA(G58:G60)=0,"Empty")</f>
        <v>Double</v>
      </c>
      <c r="R120" s="62"/>
      <c r="S120" s="62"/>
      <c r="T120" s="62"/>
      <c r="U120" s="81">
        <f>G58</f>
        <v>1</v>
      </c>
      <c r="V120" s="100">
        <f>COUNT(G58:G60)</f>
        <v>2</v>
      </c>
      <c r="W120" s="101"/>
      <c r="X120" s="108" t="str">
        <f>IF(I58=0,"",I58)</f>
        <v/>
      </c>
      <c r="Y120" s="108" t="str">
        <f>IF(J58=0,"",J58)</f>
        <v/>
      </c>
      <c r="Z120" s="120" t="s">
        <v>7314</v>
      </c>
      <c r="AA120" s="121" t="e">
        <f>VLOOKUP($M:$M,Data!$I:$J,2,FALSE)</f>
        <v>#N/A</v>
      </c>
      <c r="AB120" s="122"/>
    </row>
    <row r="121" spans="12:28">
      <c r="L121" s="9">
        <f>COUNTA(G59)+L120</f>
        <v>81</v>
      </c>
      <c r="M121" s="31" t="str">
        <f>H59</f>
        <v>99931 Victor</v>
      </c>
      <c r="N121" s="82" t="s">
        <v>7430</v>
      </c>
      <c r="O121" s="36">
        <v>27</v>
      </c>
      <c r="P121" s="36">
        <v>219</v>
      </c>
      <c r="Q121" s="32"/>
      <c r="R121" s="32"/>
      <c r="S121" s="32"/>
      <c r="T121" s="32"/>
      <c r="U121" s="36">
        <f>G59</f>
        <v>2</v>
      </c>
      <c r="V121" s="103"/>
      <c r="W121" s="104"/>
      <c r="X121" s="109" t="str">
        <f t="shared" ref="X121:Y122" si="38">IF(I59=0,"",I59)</f>
        <v/>
      </c>
      <c r="Y121" s="109" t="str">
        <f t="shared" si="38"/>
        <v/>
      </c>
      <c r="Z121" s="123" t="s">
        <v>7471</v>
      </c>
      <c r="AA121" s="124" t="e">
        <f>VLOOKUP($M:$M,Data!$I:$J,2,FALSE)</f>
        <v>#N/A</v>
      </c>
      <c r="AB121" s="125"/>
    </row>
    <row r="122" ht="15.25" spans="12:28">
      <c r="L122" s="14">
        <f>COUNTA(G60)+L121</f>
        <v>81</v>
      </c>
      <c r="M122" s="83">
        <f>H60</f>
        <v>0</v>
      </c>
      <c r="N122" s="84"/>
      <c r="O122" s="85">
        <v>27</v>
      </c>
      <c r="P122" s="85">
        <v>219</v>
      </c>
      <c r="Q122" s="110"/>
      <c r="R122" s="110"/>
      <c r="S122" s="110"/>
      <c r="T122" s="110"/>
      <c r="U122" s="85">
        <f>G60</f>
        <v>0</v>
      </c>
      <c r="V122" s="105"/>
      <c r="W122" s="106"/>
      <c r="X122" s="111" t="str">
        <f t="shared" si="38"/>
        <v/>
      </c>
      <c r="Y122" s="111" t="str">
        <f t="shared" si="38"/>
        <v/>
      </c>
      <c r="Z122" s="127"/>
      <c r="AA122" s="128" t="e">
        <f>VLOOKUP($M:$M,Data!$I:$J,2,FALSE)</f>
        <v>#N/A</v>
      </c>
      <c r="AB122" s="126"/>
    </row>
    <row r="123" spans="12:28">
      <c r="L123" s="6">
        <f>COUNTA(G54)+L122</f>
        <v>82</v>
      </c>
      <c r="M123" s="79" t="str">
        <f>H54</f>
        <v>99922 Oscar</v>
      </c>
      <c r="N123" s="80" t="s">
        <v>7430</v>
      </c>
      <c r="O123" s="81">
        <v>27</v>
      </c>
      <c r="P123" s="81">
        <v>220</v>
      </c>
      <c r="Q123" s="62" t="str">
        <f>_xlfn.IFS(COUNTA(G54:G56)=1,"Single",COUNTA(G54:G56)=2,"Double",COUNTA(G54:G56)=3,"Triple",COUNTA(G54:G56)=0,"Empty")</f>
        <v>Double</v>
      </c>
      <c r="R123" s="62"/>
      <c r="S123" s="62"/>
      <c r="T123" s="62"/>
      <c r="U123" s="81">
        <f>G54</f>
        <v>1</v>
      </c>
      <c r="V123" s="100">
        <f>COUNT(G54:G56)</f>
        <v>2</v>
      </c>
      <c r="W123" s="101"/>
      <c r="X123" s="108" t="str">
        <f>IF(I54=0,"",I54)</f>
        <v/>
      </c>
      <c r="Y123" s="108" t="str">
        <f>IF(J54=0,"",J54)</f>
        <v/>
      </c>
      <c r="Z123" s="120" t="s">
        <v>7472</v>
      </c>
      <c r="AA123" s="121" t="e">
        <f>VLOOKUP($M:$M,Data!$I:$J,2,FALSE)</f>
        <v>#N/A</v>
      </c>
      <c r="AB123" s="122"/>
    </row>
    <row r="124" spans="12:28">
      <c r="L124" s="9">
        <f>COUNTA(G55)+L123</f>
        <v>82</v>
      </c>
      <c r="M124" s="31">
        <f t="shared" ref="M124:M125" si="39">H55</f>
        <v>0</v>
      </c>
      <c r="N124" s="82"/>
      <c r="O124" s="36">
        <v>27</v>
      </c>
      <c r="P124" s="36">
        <v>220</v>
      </c>
      <c r="Q124" s="32"/>
      <c r="R124" s="32"/>
      <c r="S124" s="32"/>
      <c r="T124" s="32"/>
      <c r="U124" s="36">
        <f t="shared" ref="U124:U125" si="40">G55</f>
        <v>0</v>
      </c>
      <c r="V124" s="103"/>
      <c r="W124" s="104"/>
      <c r="X124" s="109" t="str">
        <f t="shared" ref="X124:Y125" si="41">IF(I55=0,"",I55)</f>
        <v/>
      </c>
      <c r="Y124" s="109" t="str">
        <f t="shared" si="41"/>
        <v/>
      </c>
      <c r="Z124" s="123"/>
      <c r="AA124" s="124" t="e">
        <f>VLOOKUP($M:$M,Data!$I:$J,2,FALSE)</f>
        <v>#N/A</v>
      </c>
      <c r="AB124" s="125"/>
    </row>
    <row r="125" ht="15.25" spans="12:28">
      <c r="L125" s="14">
        <f>COUNTA(G56)+L124</f>
        <v>83</v>
      </c>
      <c r="M125" s="83">
        <f t="shared" si="39"/>
        <v>0</v>
      </c>
      <c r="N125" s="84" t="s">
        <v>7430</v>
      </c>
      <c r="O125" s="85">
        <v>27</v>
      </c>
      <c r="P125" s="85">
        <v>220</v>
      </c>
      <c r="Q125" s="110"/>
      <c r="R125" s="110"/>
      <c r="S125" s="110"/>
      <c r="T125" s="110"/>
      <c r="U125" s="85">
        <f t="shared" si="40"/>
        <v>3</v>
      </c>
      <c r="V125" s="105"/>
      <c r="W125" s="106"/>
      <c r="X125" s="111" t="str">
        <f t="shared" si="41"/>
        <v/>
      </c>
      <c r="Y125" s="111" t="str">
        <f t="shared" si="41"/>
        <v/>
      </c>
      <c r="Z125" s="319" t="s">
        <v>7473</v>
      </c>
      <c r="AA125" s="128" t="e">
        <f>VLOOKUP($M:$M,Data!$I:$J,2,FALSE)</f>
        <v>#N/A</v>
      </c>
      <c r="AB125" s="126" t="s">
        <v>7474</v>
      </c>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84:T86"/>
    <mergeCell ref="Q87:T89"/>
    <mergeCell ref="Q90:T92"/>
    <mergeCell ref="Q93:T95"/>
    <mergeCell ref="Q42:T44"/>
    <mergeCell ref="Q45:T47"/>
    <mergeCell ref="Q48:T50"/>
    <mergeCell ref="Q51:T53"/>
    <mergeCell ref="Q54:T56"/>
    <mergeCell ref="Q57:T59"/>
    <mergeCell ref="Q60:T62"/>
    <mergeCell ref="Q63:T65"/>
    <mergeCell ref="Q66:T68"/>
    <mergeCell ref="Q24:T26"/>
    <mergeCell ref="Q27:T29"/>
    <mergeCell ref="Q30:T32"/>
    <mergeCell ref="Q33:T35"/>
    <mergeCell ref="Q36:T38"/>
    <mergeCell ref="Q39:T41"/>
    <mergeCell ref="Q96:T98"/>
    <mergeCell ref="Q99:T101"/>
    <mergeCell ref="Q117:T119"/>
    <mergeCell ref="Q120:T122"/>
    <mergeCell ref="Q123:T125"/>
    <mergeCell ref="Q102:T104"/>
    <mergeCell ref="Q105:T107"/>
    <mergeCell ref="Q108:T110"/>
    <mergeCell ref="Q111:T113"/>
    <mergeCell ref="Q114:T116"/>
    <mergeCell ref="Q75:T77"/>
    <mergeCell ref="Q78:T80"/>
    <mergeCell ref="Q81:T83"/>
    <mergeCell ref="G26:J33"/>
    <mergeCell ref="G73:J80"/>
    <mergeCell ref="Q69:T71"/>
    <mergeCell ref="Q72:T74"/>
    <mergeCell ref="Q15:T17"/>
    <mergeCell ref="Q18:T20"/>
    <mergeCell ref="Q21:T23"/>
    <mergeCell ref="Q6:T8"/>
    <mergeCell ref="Q9:T11"/>
    <mergeCell ref="Q12:T14"/>
    <mergeCell ref="V6:W8"/>
    <mergeCell ref="V9:W11"/>
    <mergeCell ref="V18:W20"/>
    <mergeCell ref="V21:W23"/>
    <mergeCell ref="V24:W26"/>
    <mergeCell ref="V27:W29"/>
    <mergeCell ref="V30:W32"/>
    <mergeCell ref="V12:W14"/>
    <mergeCell ref="V15:W17"/>
    <mergeCell ref="V48:W50"/>
    <mergeCell ref="V51:W53"/>
    <mergeCell ref="V54:W56"/>
    <mergeCell ref="V57:W59"/>
    <mergeCell ref="V60:W62"/>
    <mergeCell ref="V33:W35"/>
    <mergeCell ref="V36:W38"/>
    <mergeCell ref="V39:W41"/>
    <mergeCell ref="V42:W44"/>
    <mergeCell ref="V45:W47"/>
    <mergeCell ref="V78:W80"/>
    <mergeCell ref="V81:W83"/>
    <mergeCell ref="V84:W86"/>
    <mergeCell ref="V87:W89"/>
    <mergeCell ref="V90:W92"/>
    <mergeCell ref="V63:W65"/>
    <mergeCell ref="V66:W68"/>
    <mergeCell ref="V69:W71"/>
    <mergeCell ref="V72:W74"/>
    <mergeCell ref="V75:W77"/>
    <mergeCell ref="V123:W125"/>
    <mergeCell ref="V108:W110"/>
    <mergeCell ref="V111:W113"/>
    <mergeCell ref="V114:W116"/>
    <mergeCell ref="V117:W119"/>
    <mergeCell ref="V120:W122"/>
    <mergeCell ref="V93:W95"/>
    <mergeCell ref="V96:W98"/>
    <mergeCell ref="V99:W101"/>
    <mergeCell ref="V102:W104"/>
    <mergeCell ref="V105:W107"/>
  </mergeCells>
  <conditionalFormatting sqref="L6">
    <cfRule type="cellIs" dxfId="12" priority="1560" operator="equal">
      <formula>0</formula>
    </cfRule>
  </conditionalFormatting>
  <conditionalFormatting sqref="B7:B9">
    <cfRule type="cellIs" dxfId="27" priority="1543" operator="notEqual">
      <formula>0</formula>
    </cfRule>
    <cfRule type="expression" dxfId="28" priority="1544">
      <formula>COUNTA(C7)&lt;&gt;0</formula>
    </cfRule>
  </conditionalFormatting>
  <conditionalFormatting sqref="B11:B13">
    <cfRule type="cellIs" dxfId="27" priority="1541" operator="notEqual">
      <formula>0</formula>
    </cfRule>
    <cfRule type="expression" dxfId="28" priority="1542">
      <formula>COUNTA(C11)&lt;&gt;0</formula>
    </cfRule>
  </conditionalFormatting>
  <conditionalFormatting sqref="B15:B17">
    <cfRule type="cellIs" dxfId="27" priority="1535" operator="notEqual">
      <formula>0</formula>
    </cfRule>
    <cfRule type="expression" dxfId="28" priority="1536">
      <formula>COUNTA(C15)&lt;&gt;0</formula>
    </cfRule>
  </conditionalFormatting>
  <conditionalFormatting sqref="B19:B21">
    <cfRule type="cellIs" dxfId="27" priority="1533" operator="notEqual">
      <formula>0</formula>
    </cfRule>
    <cfRule type="expression" dxfId="28" priority="1534">
      <formula>COUNTA(C19)&lt;&gt;0</formula>
    </cfRule>
  </conditionalFormatting>
  <conditionalFormatting sqref="B23:B25">
    <cfRule type="cellIs" dxfId="27" priority="1527" operator="notEqual">
      <formula>0</formula>
    </cfRule>
    <cfRule type="expression" dxfId="28" priority="1528">
      <formula>COUNTA(C23)&lt;&gt;0</formula>
    </cfRule>
  </conditionalFormatting>
  <conditionalFormatting sqref="B27:B29">
    <cfRule type="cellIs" dxfId="27" priority="1525" operator="notEqual">
      <formula>0</formula>
    </cfRule>
    <cfRule type="expression" dxfId="28" priority="1526">
      <formula>COUNTA(C27)&lt;&gt;0</formula>
    </cfRule>
  </conditionalFormatting>
  <conditionalFormatting sqref="B31:B33">
    <cfRule type="cellIs" dxfId="27" priority="1523" operator="notEqual">
      <formula>0</formula>
    </cfRule>
    <cfRule type="expression" dxfId="28" priority="1524">
      <formula>COUNTA(C31)&lt;&gt;0</formula>
    </cfRule>
  </conditionalFormatting>
  <conditionalFormatting sqref="B35:B37">
    <cfRule type="cellIs" dxfId="27" priority="1521" operator="notEqual">
      <formula>0</formula>
    </cfRule>
    <cfRule type="expression" dxfId="28" priority="1522">
      <formula>COUNTA(C35)&lt;&gt;0</formula>
    </cfRule>
  </conditionalFormatting>
  <conditionalFormatting sqref="B39:B41">
    <cfRule type="cellIs" dxfId="27" priority="1515" operator="notEqual">
      <formula>0</formula>
    </cfRule>
    <cfRule type="expression" dxfId="28" priority="1516">
      <formula>COUNTA(C39)&lt;&gt;0</formula>
    </cfRule>
  </conditionalFormatting>
  <conditionalFormatting sqref="B43:B45">
    <cfRule type="cellIs" dxfId="27" priority="1513" operator="notEqual">
      <formula>0</formula>
    </cfRule>
    <cfRule type="expression" dxfId="28" priority="1514">
      <formula>COUNTA(C43)&lt;&gt;0</formula>
    </cfRule>
  </conditionalFormatting>
  <conditionalFormatting sqref="B47:B49">
    <cfRule type="cellIs" dxfId="27" priority="1507" operator="notEqual">
      <formula>0</formula>
    </cfRule>
    <cfRule type="expression" dxfId="28" priority="1508">
      <formula>COUNTA(C47)&lt;&gt;0</formula>
    </cfRule>
  </conditionalFormatting>
  <conditionalFormatting sqref="B54:B56">
    <cfRule type="cellIs" dxfId="27" priority="1483" operator="notEqual">
      <formula>0</formula>
    </cfRule>
    <cfRule type="expression" dxfId="28" priority="1484">
      <formula>COUNTA(C54)&lt;&gt;0</formula>
    </cfRule>
  </conditionalFormatting>
  <conditionalFormatting sqref="B58:B60">
    <cfRule type="cellIs" dxfId="27" priority="1481" operator="notEqual">
      <formula>0</formula>
    </cfRule>
    <cfRule type="expression" dxfId="28" priority="1482">
      <formula>COUNTA(C58)&lt;&gt;0</formula>
    </cfRule>
  </conditionalFormatting>
  <conditionalFormatting sqref="B62:B64">
    <cfRule type="cellIs" dxfId="27" priority="1475" operator="notEqual">
      <formula>0</formula>
    </cfRule>
    <cfRule type="expression" dxfId="28" priority="1476">
      <formula>COUNTA(C62)&lt;&gt;0</formula>
    </cfRule>
  </conditionalFormatting>
  <conditionalFormatting sqref="B66:B68">
    <cfRule type="cellIs" dxfId="27" priority="1473" operator="notEqual">
      <formula>0</formula>
    </cfRule>
    <cfRule type="expression" dxfId="28" priority="1474">
      <formula>COUNTA(C66)&lt;&gt;0</formula>
    </cfRule>
  </conditionalFormatting>
  <conditionalFormatting sqref="B70:B72">
    <cfRule type="cellIs" dxfId="27" priority="1467" operator="notEqual">
      <formula>0</formula>
    </cfRule>
    <cfRule type="expression" dxfId="28" priority="1468">
      <formula>COUNTA(C70)&lt;&gt;0</formula>
    </cfRule>
  </conditionalFormatting>
  <conditionalFormatting sqref="B74:B76">
    <cfRule type="cellIs" dxfId="27" priority="1465" operator="notEqual">
      <formula>0</formula>
    </cfRule>
    <cfRule type="expression" dxfId="28" priority="1466">
      <formula>COUNTA(C74)&lt;&gt;0</formula>
    </cfRule>
  </conditionalFormatting>
  <conditionalFormatting sqref="B78:B80">
    <cfRule type="cellIs" dxfId="27" priority="1463" operator="notEqual">
      <formula>0</formula>
    </cfRule>
    <cfRule type="expression" dxfId="28" priority="1464">
      <formula>COUNTA(C78)&lt;&gt;0</formula>
    </cfRule>
  </conditionalFormatting>
  <conditionalFormatting sqref="B82:B84">
    <cfRule type="cellIs" dxfId="27" priority="1461" operator="notEqual">
      <formula>0</formula>
    </cfRule>
    <cfRule type="expression" dxfId="28" priority="1462">
      <formula>COUNTA(C82)&lt;&gt;0</formula>
    </cfRule>
  </conditionalFormatting>
  <conditionalFormatting sqref="B86:B88">
    <cfRule type="cellIs" dxfId="27" priority="1455" operator="notEqual">
      <formula>0</formula>
    </cfRule>
    <cfRule type="expression" dxfId="28" priority="1456">
      <formula>COUNTA(C86)&lt;&gt;0</formula>
    </cfRule>
  </conditionalFormatting>
  <conditionalFormatting sqref="B90:B92">
    <cfRule type="cellIs" dxfId="27" priority="1453" operator="notEqual">
      <formula>0</formula>
    </cfRule>
    <cfRule type="expression" dxfId="28" priority="1454">
      <formula>COUNTA(C90)&lt;&gt;0</formula>
    </cfRule>
  </conditionalFormatting>
  <conditionalFormatting sqref="B94:B96">
    <cfRule type="cellIs" dxfId="27" priority="1447" operator="notEqual">
      <formula>0</formula>
    </cfRule>
    <cfRule type="expression" dxfId="28" priority="1448">
      <formula>COUNTA(C94)&lt;&gt;0</formula>
    </cfRule>
  </conditionalFormatting>
  <conditionalFormatting sqref="C7:C9">
    <cfRule type="cellIs" dxfId="2" priority="1547" operator="notEqual">
      <formula>0</formula>
    </cfRule>
  </conditionalFormatting>
  <conditionalFormatting sqref="C11:C13">
    <cfRule type="cellIs" dxfId="2" priority="1548" operator="notEqual">
      <formula>0</formula>
    </cfRule>
  </conditionalFormatting>
  <conditionalFormatting sqref="C15:C17">
    <cfRule type="cellIs" dxfId="2" priority="1549" operator="notEqual">
      <formula>0</formula>
    </cfRule>
  </conditionalFormatting>
  <conditionalFormatting sqref="C19:C21">
    <cfRule type="cellIs" dxfId="2" priority="1550" operator="notEqual">
      <formula>0</formula>
    </cfRule>
  </conditionalFormatting>
  <conditionalFormatting sqref="C23:C25">
    <cfRule type="cellIs" dxfId="2" priority="1551" operator="notEqual">
      <formula>0</formula>
    </cfRule>
  </conditionalFormatting>
  <conditionalFormatting sqref="C27:C29">
    <cfRule type="cellIs" dxfId="2" priority="1552" operator="notEqual">
      <formula>0</formula>
    </cfRule>
  </conditionalFormatting>
  <conditionalFormatting sqref="C31:C33">
    <cfRule type="cellIs" dxfId="2" priority="1553" operator="notEqual">
      <formula>0</formula>
    </cfRule>
  </conditionalFormatting>
  <conditionalFormatting sqref="C35:C37">
    <cfRule type="cellIs" dxfId="2" priority="1554" operator="notEqual">
      <formula>0</formula>
    </cfRule>
  </conditionalFormatting>
  <conditionalFormatting sqref="C39:C41">
    <cfRule type="cellIs" dxfId="2" priority="1555" operator="notEqual">
      <formula>0</formula>
    </cfRule>
  </conditionalFormatting>
  <conditionalFormatting sqref="C43:C45">
    <cfRule type="cellIs" dxfId="2" priority="1556" operator="notEqual">
      <formula>0</formula>
    </cfRule>
  </conditionalFormatting>
  <conditionalFormatting sqref="C47:C49">
    <cfRule type="cellIs" dxfId="2" priority="1557" operator="notEqual">
      <formula>0</formula>
    </cfRule>
  </conditionalFormatting>
  <conditionalFormatting sqref="C54:C56">
    <cfRule type="cellIs" dxfId="2" priority="1487" operator="notEqual">
      <formula>0</formula>
    </cfRule>
  </conditionalFormatting>
  <conditionalFormatting sqref="C58:C60">
    <cfRule type="cellIs" dxfId="2" priority="1488" operator="notEqual">
      <formula>0</formula>
    </cfRule>
  </conditionalFormatting>
  <conditionalFormatting sqref="C62:C64">
    <cfRule type="cellIs" dxfId="2" priority="1489" operator="notEqual">
      <formula>0</formula>
    </cfRule>
  </conditionalFormatting>
  <conditionalFormatting sqref="C66:C68">
    <cfRule type="cellIs" dxfId="2" priority="1490" operator="notEqual">
      <formula>0</formula>
    </cfRule>
  </conditionalFormatting>
  <conditionalFormatting sqref="C70:C72">
    <cfRule type="cellIs" dxfId="2" priority="1491" operator="notEqual">
      <formula>0</formula>
    </cfRule>
  </conditionalFormatting>
  <conditionalFormatting sqref="C74:C76">
    <cfRule type="cellIs" dxfId="2" priority="1492" operator="notEqual">
      <formula>0</formula>
    </cfRule>
  </conditionalFormatting>
  <conditionalFormatting sqref="C78:C80">
    <cfRule type="cellIs" dxfId="2" priority="1493" operator="notEqual">
      <formula>0</formula>
    </cfRule>
  </conditionalFormatting>
  <conditionalFormatting sqref="C82:C84">
    <cfRule type="cellIs" dxfId="2" priority="1494" operator="notEqual">
      <formula>0</formula>
    </cfRule>
  </conditionalFormatting>
  <conditionalFormatting sqref="C86:C88">
    <cfRule type="cellIs" dxfId="2" priority="1495" operator="notEqual">
      <formula>0</formula>
    </cfRule>
  </conditionalFormatting>
  <conditionalFormatting sqref="C90:C92">
    <cfRule type="cellIs" dxfId="2" priority="1496" operator="notEqual">
      <formula>0</formula>
    </cfRule>
  </conditionalFormatting>
  <conditionalFormatting sqref="C94:C96">
    <cfRule type="cellIs" dxfId="2" priority="1497" operator="notEqual">
      <formula>0</formula>
    </cfRule>
  </conditionalFormatting>
  <conditionalFormatting sqref="D7:D9">
    <cfRule type="cellIs" dxfId="22" priority="405" operator="equal">
      <formula>""</formula>
    </cfRule>
    <cfRule type="cellIs" dxfId="22" priority="406" operator="greaterThan">
      <formula>TODAY()</formula>
    </cfRule>
    <cfRule type="expression" dxfId="14" priority="897">
      <formula>AND(D7&lt;TODAY(),E7="")</formula>
    </cfRule>
    <cfRule type="expression" dxfId="13" priority="898">
      <formula>E7&lt;TODAY()</formula>
    </cfRule>
    <cfRule type="expression" dxfId="14" priority="899">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893" operator="equal">
      <formula>0</formula>
    </cfRule>
    <cfRule type="cellIs" dxfId="29" priority="894" operator="lessThan">
      <formula>D7</formula>
    </cfRule>
    <cfRule type="expression" dxfId="13" priority="895">
      <formula>E7&lt;TODAY()</formula>
    </cfRule>
    <cfRule type="expression" dxfId="14" priority="896">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1545" operator="notEqual">
      <formula>0</formula>
    </cfRule>
    <cfRule type="expression" dxfId="28" priority="1546">
      <formula>COUNTA(H7)&lt;&gt;0</formula>
    </cfRule>
  </conditionalFormatting>
  <conditionalFormatting sqref="G11:G13">
    <cfRule type="cellIs" dxfId="27" priority="1539" operator="notEqual">
      <formula>0</formula>
    </cfRule>
    <cfRule type="expression" dxfId="28" priority="1540">
      <formula>COUNTA(H11)&lt;&gt;0</formula>
    </cfRule>
  </conditionalFormatting>
  <conditionalFormatting sqref="G15:G17">
    <cfRule type="cellIs" dxfId="27" priority="1537" operator="notEqual">
      <formula>0</formula>
    </cfRule>
    <cfRule type="expression" dxfId="28" priority="1538">
      <formula>COUNTA(H15)&lt;&gt;0</formula>
    </cfRule>
  </conditionalFormatting>
  <conditionalFormatting sqref="G19:G21">
    <cfRule type="cellIs" dxfId="27" priority="1531" operator="notEqual">
      <formula>0</formula>
    </cfRule>
    <cfRule type="expression" dxfId="28" priority="1532">
      <formula>COUNTA(H19)&lt;&gt;0</formula>
    </cfRule>
  </conditionalFormatting>
  <conditionalFormatting sqref="G23:G25">
    <cfRule type="cellIs" dxfId="27" priority="1529" operator="notEqual">
      <formula>0</formula>
    </cfRule>
    <cfRule type="expression" dxfId="28" priority="1530">
      <formula>COUNTA(H23)&lt;&gt;0</formula>
    </cfRule>
  </conditionalFormatting>
  <conditionalFormatting sqref="G35:G37">
    <cfRule type="cellIs" dxfId="27" priority="1519" operator="notEqual">
      <formula>0</formula>
    </cfRule>
    <cfRule type="expression" dxfId="28" priority="1520">
      <formula>COUNTA(H35)&lt;&gt;0</formula>
    </cfRule>
  </conditionalFormatting>
  <conditionalFormatting sqref="G39:G41">
    <cfRule type="cellIs" dxfId="27" priority="1517" operator="notEqual">
      <formula>0</formula>
    </cfRule>
    <cfRule type="expression" dxfId="28" priority="1518">
      <formula>COUNTA(H39)&lt;&gt;0</formula>
    </cfRule>
  </conditionalFormatting>
  <conditionalFormatting sqref="G43:G45">
    <cfRule type="cellIs" dxfId="27" priority="1511" operator="notEqual">
      <formula>0</formula>
    </cfRule>
    <cfRule type="expression" dxfId="28" priority="1512">
      <formula>COUNTA(H43)&lt;&gt;0</formula>
    </cfRule>
  </conditionalFormatting>
  <conditionalFormatting sqref="G47:G49">
    <cfRule type="cellIs" dxfId="27" priority="1509" operator="notEqual">
      <formula>0</formula>
    </cfRule>
    <cfRule type="expression" dxfId="28" priority="1510">
      <formula>COUNTA(H47)&lt;&gt;0</formula>
    </cfRule>
  </conditionalFormatting>
  <conditionalFormatting sqref="G54:G56">
    <cfRule type="cellIs" dxfId="27" priority="1485" operator="notEqual">
      <formula>0</formula>
    </cfRule>
    <cfRule type="expression" dxfId="28" priority="1486">
      <formula>COUNTA(H54)&lt;&gt;0</formula>
    </cfRule>
  </conditionalFormatting>
  <conditionalFormatting sqref="G58:G60">
    <cfRule type="cellIs" dxfId="27" priority="1479" operator="notEqual">
      <formula>0</formula>
    </cfRule>
    <cfRule type="expression" dxfId="28" priority="1480">
      <formula>COUNTA(H58)&lt;&gt;0</formula>
    </cfRule>
  </conditionalFormatting>
  <conditionalFormatting sqref="G62:G64">
    <cfRule type="cellIs" dxfId="27" priority="1477" operator="notEqual">
      <formula>0</formula>
    </cfRule>
    <cfRule type="expression" dxfId="28" priority="1478">
      <formula>COUNTA(H62)&lt;&gt;0</formula>
    </cfRule>
  </conditionalFormatting>
  <conditionalFormatting sqref="G66:G68">
    <cfRule type="cellIs" dxfId="27" priority="1471" operator="notEqual">
      <formula>0</formula>
    </cfRule>
    <cfRule type="expression" dxfId="28" priority="1472">
      <formula>COUNTA(H66)&lt;&gt;0</formula>
    </cfRule>
  </conditionalFormatting>
  <conditionalFormatting sqref="G70:G72">
    <cfRule type="cellIs" dxfId="27" priority="1469" operator="notEqual">
      <formula>0</formula>
    </cfRule>
    <cfRule type="expression" dxfId="28" priority="1470">
      <formula>COUNTA(H70)&lt;&gt;0</formula>
    </cfRule>
  </conditionalFormatting>
  <conditionalFormatting sqref="G82:G84">
    <cfRule type="cellIs" dxfId="27" priority="1459" operator="notEqual">
      <formula>0</formula>
    </cfRule>
    <cfRule type="expression" dxfId="28" priority="1460">
      <formula>COUNTA(H82)&lt;&gt;0</formula>
    </cfRule>
  </conditionalFormatting>
  <conditionalFormatting sqref="G86:G88">
    <cfRule type="cellIs" dxfId="27" priority="1457" operator="notEqual">
      <formula>0</formula>
    </cfRule>
    <cfRule type="expression" dxfId="28" priority="1458">
      <formula>COUNTA(H86)&lt;&gt;0</formula>
    </cfRule>
  </conditionalFormatting>
  <conditionalFormatting sqref="G90:G92">
    <cfRule type="cellIs" dxfId="27" priority="1451" operator="notEqual">
      <formula>0</formula>
    </cfRule>
    <cfRule type="expression" dxfId="28" priority="1452">
      <formula>COUNTA(H90)&lt;&gt;0</formula>
    </cfRule>
  </conditionalFormatting>
  <conditionalFormatting sqref="G94:G96">
    <cfRule type="cellIs" dxfId="27" priority="1449" operator="notEqual">
      <formula>0</formula>
    </cfRule>
    <cfRule type="expression" dxfId="28" priority="1450">
      <formula>COUNTA(H94)&lt;&gt;0</formula>
    </cfRule>
  </conditionalFormatting>
  <conditionalFormatting sqref="H7:H9">
    <cfRule type="cellIs" dxfId="2" priority="1498" operator="notEqual">
      <formula>0</formula>
    </cfRule>
  </conditionalFormatting>
  <conditionalFormatting sqref="H11:H13">
    <cfRule type="cellIs" dxfId="2" priority="1499" operator="notEqual">
      <formula>0</formula>
    </cfRule>
  </conditionalFormatting>
  <conditionalFormatting sqref="H15:H17">
    <cfRule type="cellIs" dxfId="2" priority="1500" operator="notEqual">
      <formula>0</formula>
    </cfRule>
  </conditionalFormatting>
  <conditionalFormatting sqref="H19:H21">
    <cfRule type="cellIs" dxfId="2" priority="1501" operator="notEqual">
      <formula>0</formula>
    </cfRule>
  </conditionalFormatting>
  <conditionalFormatting sqref="H23:H25">
    <cfRule type="cellIs" dxfId="2" priority="1502" operator="notEqual">
      <formula>0</formula>
    </cfRule>
  </conditionalFormatting>
  <conditionalFormatting sqref="H35:H37">
    <cfRule type="cellIs" dxfId="2" priority="1503" operator="notEqual">
      <formula>0</formula>
    </cfRule>
  </conditionalFormatting>
  <conditionalFormatting sqref="H39:H41">
    <cfRule type="cellIs" dxfId="2" priority="1504" operator="notEqual">
      <formula>0</formula>
    </cfRule>
  </conditionalFormatting>
  <conditionalFormatting sqref="H43:H45">
    <cfRule type="cellIs" dxfId="2" priority="1505" operator="notEqual">
      <formula>0</formula>
    </cfRule>
  </conditionalFormatting>
  <conditionalFormatting sqref="H47:H49">
    <cfRule type="cellIs" dxfId="2" priority="1506" operator="notEqual">
      <formula>0</formula>
    </cfRule>
  </conditionalFormatting>
  <conditionalFormatting sqref="H54:H56">
    <cfRule type="cellIs" dxfId="2" priority="1438" operator="notEqual">
      <formula>0</formula>
    </cfRule>
  </conditionalFormatting>
  <conditionalFormatting sqref="H58:H60">
    <cfRule type="cellIs" dxfId="2" priority="1439" operator="notEqual">
      <formula>0</formula>
    </cfRule>
  </conditionalFormatting>
  <conditionalFormatting sqref="H62:H64">
    <cfRule type="cellIs" dxfId="2" priority="1440" operator="notEqual">
      <formula>0</formula>
    </cfRule>
  </conditionalFormatting>
  <conditionalFormatting sqref="H66:H68">
    <cfRule type="cellIs" dxfId="2" priority="1441" operator="notEqual">
      <formula>0</formula>
    </cfRule>
  </conditionalFormatting>
  <conditionalFormatting sqref="H70:H72">
    <cfRule type="cellIs" dxfId="2" priority="1442" operator="notEqual">
      <formula>0</formula>
    </cfRule>
  </conditionalFormatting>
  <conditionalFormatting sqref="H82:H84">
    <cfRule type="cellIs" dxfId="2" priority="1443" operator="notEqual">
      <formula>0</formula>
    </cfRule>
  </conditionalFormatting>
  <conditionalFormatting sqref="H86:H88">
    <cfRule type="cellIs" dxfId="2" priority="1444" operator="notEqual">
      <formula>0</formula>
    </cfRule>
  </conditionalFormatting>
  <conditionalFormatting sqref="H90:H92">
    <cfRule type="cellIs" dxfId="2" priority="1445" operator="notEqual">
      <formula>0</formula>
    </cfRule>
  </conditionalFormatting>
  <conditionalFormatting sqref="H94:H96">
    <cfRule type="cellIs" dxfId="2" priority="1446"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1561" operator="equal">
      <formula>L6</formula>
    </cfRule>
  </conditionalFormatting>
  <conditionalFormatting sqref="M$1:M$1048576">
    <cfRule type="cellIs" dxfId="12" priority="1558" operator="equal">
      <formula>0</formula>
    </cfRule>
  </conditionalFormatting>
  <conditionalFormatting sqref="U6:U125">
    <cfRule type="cellIs" dxfId="12" priority="1559" operator="equal">
      <formula>0</formula>
    </cfRule>
  </conditionalFormatting>
  <conditionalFormatting sqref="X6:X125">
    <cfRule type="expression" dxfId="13" priority="411">
      <formula>Y6&lt;TODAY()</formula>
    </cfRule>
    <cfRule type="expression" dxfId="14" priority="412">
      <formula>X6&lt;TODAY()</formula>
    </cfRule>
  </conditionalFormatting>
  <conditionalFormatting sqref="Y6:Y125">
    <cfRule type="expression" dxfId="15" priority="404">
      <formula>AND(Y6&lt;X6,X6&lt;&gt;"")</formula>
    </cfRule>
    <cfRule type="expression" dxfId="13" priority="407">
      <formula>Y6&lt;TODAY()</formula>
    </cfRule>
    <cfRule type="expression" dxfId="14" priority="409">
      <formula>AND(Y6&gt;TODAY(),X6="")</formula>
    </cfRule>
    <cfRule type="expression" dxfId="14" priority="410">
      <formula>X6&lt;TODAY()</formula>
    </cfRule>
  </conditionalFormatting>
  <conditionalFormatting sqref="AB6:AB125">
    <cfRule type="cellIs" dxfId="30" priority="1437"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402" operator="equal">
      <formula>""</formula>
    </cfRule>
  </conditionalFormatting>
  <conditionalFormatting sqref="D8:E9">
    <cfRule type="cellIs" dxfId="2" priority="900"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zoomScale="70" zoomScaleNormal="70" workbookViewId="0">
      <pane ySplit="5" topLeftCell="A55" activePane="bottomLeft" state="frozen"/>
      <selection/>
      <selection pane="bottomLeft" activeCell="B51" sqref="B51:J96"/>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31.1363636363636"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7475</v>
      </c>
      <c r="D4" s="44"/>
      <c r="E4" s="44"/>
      <c r="F4" s="44"/>
      <c r="G4" s="44"/>
      <c r="H4" s="44"/>
      <c r="I4" s="44"/>
      <c r="J4" s="75"/>
      <c r="L4" s="73"/>
      <c r="M4" s="73">
        <f>Q4+R4*2+S4*3</f>
        <v>107</v>
      </c>
      <c r="N4" s="76"/>
      <c r="O4" s="73"/>
      <c r="P4" s="73">
        <f>SUM(Q4:S4)</f>
        <v>40</v>
      </c>
      <c r="Q4" s="96">
        <f>COUNTIFS(Q6:T125,"=Single")</f>
        <v>0</v>
      </c>
      <c r="R4" s="96">
        <f>COUNTIFS(Q6:T125,"=Double")</f>
        <v>13</v>
      </c>
      <c r="S4" s="96">
        <f>COUNTIFS(Q6:T125,"=Triple")</f>
        <v>27</v>
      </c>
      <c r="T4" s="96">
        <f>COUNTIFS(Q6:T125,"=Empty")</f>
        <v>0</v>
      </c>
      <c r="U4" s="73">
        <f>COUNTIFS(V6:W125,"=1")</f>
        <v>0</v>
      </c>
      <c r="V4" s="73">
        <f>COUNTIFS(V6:W125,"=2")</f>
        <v>13</v>
      </c>
      <c r="W4" s="73">
        <f>COUNTIFS(V6:W125,"=3")</f>
        <v>27</v>
      </c>
      <c r="X4" s="97"/>
      <c r="Y4" s="97"/>
      <c r="Z4" s="115">
        <f>COUNTA(Z6:Z130)</f>
        <v>106</v>
      </c>
      <c r="AA4" s="115">
        <f>COUNTA(AA6:AA130)-SUM(COUNTIF(AA6:AA130,{"#N/A"}))</f>
        <v>0</v>
      </c>
      <c r="AB4" s="116"/>
    </row>
    <row r="5" ht="15.25" spans="2:28">
      <c r="B5" s="45" t="s">
        <v>7427</v>
      </c>
      <c r="C5" s="45"/>
      <c r="D5" s="45"/>
      <c r="E5" s="45"/>
      <c r="G5" s="45" t="s">
        <v>7427</v>
      </c>
      <c r="H5" s="45"/>
      <c r="I5" s="45"/>
      <c r="J5" s="45"/>
      <c r="L5" s="77"/>
      <c r="M5" s="78"/>
      <c r="N5" s="77"/>
      <c r="O5" s="77"/>
      <c r="P5" s="77"/>
      <c r="Q5" s="96"/>
      <c r="R5" s="96"/>
      <c r="S5" s="96"/>
      <c r="T5" s="96"/>
      <c r="U5" s="98">
        <f>SUM(V6:W125)</f>
        <v>107</v>
      </c>
      <c r="V5" s="73" t="s">
        <v>7428</v>
      </c>
      <c r="W5" s="98">
        <f>U4+V4+W4</f>
        <v>40</v>
      </c>
      <c r="X5" s="99"/>
      <c r="Y5" s="99"/>
      <c r="Z5" s="117"/>
      <c r="AA5" s="118"/>
      <c r="AB5" s="119"/>
    </row>
    <row r="6" spans="2:28">
      <c r="B6" s="46">
        <v>101</v>
      </c>
      <c r="C6" s="47"/>
      <c r="D6" s="48" t="s">
        <v>6580</v>
      </c>
      <c r="E6" s="49" t="s">
        <v>6581</v>
      </c>
      <c r="G6" s="46">
        <v>120</v>
      </c>
      <c r="H6" s="47"/>
      <c r="I6" s="48" t="s">
        <v>6580</v>
      </c>
      <c r="J6" s="49" t="s">
        <v>6581</v>
      </c>
      <c r="L6" s="6">
        <f>COUNTA(B7)</f>
        <v>1</v>
      </c>
      <c r="M6" s="79" t="str">
        <f>C7</f>
        <v>10002 NILS</v>
      </c>
      <c r="N6" s="80" t="s">
        <v>7430</v>
      </c>
      <c r="O6" s="81">
        <v>28</v>
      </c>
      <c r="P6" s="81">
        <v>101</v>
      </c>
      <c r="Q6" s="81" t="str">
        <f>_xlfn.IFS(COUNTA(B7:B9)=1,"Single",COUNTA(B7:B9)=2,"Double",COUNTA(B7:B9)=3,"Triple",COUNTA(B7:B9)=0,"Empty")</f>
        <v>Triple</v>
      </c>
      <c r="R6" s="81"/>
      <c r="S6" s="81"/>
      <c r="T6" s="81"/>
      <c r="U6" s="81">
        <f>B7</f>
        <v>1</v>
      </c>
      <c r="V6" s="100">
        <f>COUNT(B7:B9)</f>
        <v>3</v>
      </c>
      <c r="W6" s="101"/>
      <c r="X6" s="102" t="str">
        <f>IF(D7=0,"",D7)</f>
        <v/>
      </c>
      <c r="Y6" s="108" t="str">
        <f t="shared" ref="X6:Y8" si="0">IF(E7=0,"",E7)</f>
        <v/>
      </c>
      <c r="Z6" s="120" t="s">
        <v>6918</v>
      </c>
      <c r="AA6" s="121" t="e">
        <f>VLOOKUP($M:$M,Data!$I:$J,2,FALSE)</f>
        <v>#N/A</v>
      </c>
      <c r="AB6" s="122"/>
    </row>
    <row r="7" spans="2:28">
      <c r="B7" s="50">
        <v>1</v>
      </c>
      <c r="C7" s="51" t="str">
        <f>VLOOKUP("28/101/1",Data!$A$2:$E$1425,3,FALSE)</f>
        <v>10002 NILS</v>
      </c>
      <c r="D7" s="52"/>
      <c r="E7" s="53"/>
      <c r="G7" s="50">
        <v>1</v>
      </c>
      <c r="H7" s="51" t="str">
        <f>VLOOKUP("28/120/1",Data!$A$2:$E$1425,3,FALSE)</f>
        <v>10003 JEFF</v>
      </c>
      <c r="I7" s="52"/>
      <c r="J7" s="53"/>
      <c r="L7" s="9">
        <f>COUNTA(B8)+L6</f>
        <v>2</v>
      </c>
      <c r="M7" s="31">
        <f>C8</f>
        <v>0</v>
      </c>
      <c r="N7" s="82" t="s">
        <v>7430</v>
      </c>
      <c r="O7" s="36">
        <v>28</v>
      </c>
      <c r="P7" s="36">
        <v>101</v>
      </c>
      <c r="Q7" s="36"/>
      <c r="R7" s="36"/>
      <c r="S7" s="36"/>
      <c r="T7" s="36"/>
      <c r="U7" s="36">
        <f>B8</f>
        <v>2</v>
      </c>
      <c r="V7" s="103"/>
      <c r="W7" s="104"/>
      <c r="X7" s="52" t="str">
        <f t="shared" si="0"/>
        <v/>
      </c>
      <c r="Y7" s="109" t="str">
        <f t="shared" si="0"/>
        <v/>
      </c>
      <c r="Z7" s="317" t="s">
        <v>6912</v>
      </c>
      <c r="AA7" s="124" t="e">
        <f>VLOOKUP($M:$M,Data!$I:$J,2,FALSE)</f>
        <v>#N/A</v>
      </c>
      <c r="AB7" s="125"/>
    </row>
    <row r="8" ht="15.25" spans="2:28">
      <c r="B8" s="50">
        <v>2</v>
      </c>
      <c r="C8" s="51">
        <f>VLOOKUP("28/101/2",Data!$A$2:$E$1425,3,FALSE)</f>
        <v>0</v>
      </c>
      <c r="D8" s="54"/>
      <c r="E8" s="55"/>
      <c r="G8" s="50">
        <v>2</v>
      </c>
      <c r="H8" s="51">
        <f>VLOOKUP("28/120/2",Data!$A$2:$E$1425,3,FALSE)</f>
        <v>0</v>
      </c>
      <c r="I8" s="54"/>
      <c r="J8" s="55"/>
      <c r="L8" s="14">
        <f>COUNTA(B9)+L7</f>
        <v>3</v>
      </c>
      <c r="M8" s="83">
        <f>C9</f>
        <v>0</v>
      </c>
      <c r="N8" s="84" t="s">
        <v>7430</v>
      </c>
      <c r="O8" s="85">
        <v>28</v>
      </c>
      <c r="P8" s="85">
        <v>101</v>
      </c>
      <c r="Q8" s="85"/>
      <c r="R8" s="85"/>
      <c r="S8" s="85"/>
      <c r="T8" s="85"/>
      <c r="U8" s="85">
        <f>B9</f>
        <v>3</v>
      </c>
      <c r="V8" s="105"/>
      <c r="W8" s="106"/>
      <c r="X8" s="107" t="str">
        <f t="shared" si="0"/>
        <v/>
      </c>
      <c r="Y8" s="111" t="str">
        <f t="shared" si="0"/>
        <v/>
      </c>
      <c r="Z8" s="123" t="s">
        <v>7229</v>
      </c>
      <c r="AA8" s="124" t="e">
        <f>VLOOKUP($M:$M,Data!$I:$J,2,FALSE)</f>
        <v>#N/A</v>
      </c>
      <c r="AB8" s="126"/>
    </row>
    <row r="9" ht="15.25" spans="2:28">
      <c r="B9" s="50">
        <v>3</v>
      </c>
      <c r="C9" s="51">
        <f>VLOOKUP("28/101/3",Data!$A$2:$E$1425,3,FALSE)</f>
        <v>0</v>
      </c>
      <c r="D9" s="56"/>
      <c r="E9" s="57"/>
      <c r="G9" s="58">
        <v>3</v>
      </c>
      <c r="H9" s="59">
        <f>VLOOKUP("28/120/3",Data!$A$2:$E$1425,3,FALSE)</f>
        <v>0</v>
      </c>
      <c r="I9" s="56"/>
      <c r="J9" s="57"/>
      <c r="L9" s="6">
        <f>COUNTA(B11)+L8</f>
        <v>4</v>
      </c>
      <c r="M9" s="79" t="str">
        <f>C11</f>
        <v>12101 SIMON</v>
      </c>
      <c r="N9" s="80" t="s">
        <v>7430</v>
      </c>
      <c r="O9" s="81">
        <v>28</v>
      </c>
      <c r="P9" s="81">
        <v>102</v>
      </c>
      <c r="Q9" s="62" t="str">
        <f>_xlfn.IFS(COUNTA(B11:B13)=1,"Single",COUNTA(B11:B13)=2,"Double",COUNTA(B11:B13)=3,"Triple",COUNTA(B11:B13)=0,"Empty")</f>
        <v>Triple</v>
      </c>
      <c r="R9" s="62"/>
      <c r="S9" s="62"/>
      <c r="T9" s="62"/>
      <c r="U9" s="81">
        <f>B11</f>
        <v>1</v>
      </c>
      <c r="V9" s="100">
        <f>COUNT(B11:B13)</f>
        <v>3</v>
      </c>
      <c r="W9" s="101"/>
      <c r="X9" s="108" t="str">
        <f t="shared" ref="X9:Y11" si="1">IF(D11=0,"",D11)</f>
        <v/>
      </c>
      <c r="Y9" s="108" t="str">
        <f t="shared" si="1"/>
        <v/>
      </c>
      <c r="Z9" s="120" t="s">
        <v>6854</v>
      </c>
      <c r="AA9" s="121" t="e">
        <f>VLOOKUP($M:$M,Data!$I:$J,2,FALSE)</f>
        <v>#N/A</v>
      </c>
      <c r="AB9" s="122"/>
    </row>
    <row r="10" spans="2:28">
      <c r="B10" s="60">
        <v>102</v>
      </c>
      <c r="C10" s="61"/>
      <c r="D10" s="62" t="s">
        <v>6580</v>
      </c>
      <c r="E10" s="8" t="s">
        <v>6581</v>
      </c>
      <c r="G10" s="46">
        <v>119</v>
      </c>
      <c r="H10" s="47"/>
      <c r="I10" s="48" t="s">
        <v>6580</v>
      </c>
      <c r="J10" s="49" t="s">
        <v>6581</v>
      </c>
      <c r="L10" s="9">
        <f>COUNTA(B12)+L9</f>
        <v>5</v>
      </c>
      <c r="M10" s="31" t="str">
        <f>C12</f>
        <v>12102 NILS</v>
      </c>
      <c r="N10" s="82" t="s">
        <v>7430</v>
      </c>
      <c r="O10" s="36">
        <v>28</v>
      </c>
      <c r="P10" s="36">
        <v>102</v>
      </c>
      <c r="Q10" s="32"/>
      <c r="R10" s="32"/>
      <c r="S10" s="32"/>
      <c r="T10" s="32"/>
      <c r="U10" s="36">
        <f>B12</f>
        <v>2</v>
      </c>
      <c r="V10" s="103"/>
      <c r="W10" s="104"/>
      <c r="X10" s="109" t="str">
        <f t="shared" si="1"/>
        <v/>
      </c>
      <c r="Y10" s="109" t="str">
        <f t="shared" si="1"/>
        <v/>
      </c>
      <c r="Z10" s="123" t="s">
        <v>6852</v>
      </c>
      <c r="AA10" s="124" t="e">
        <f>VLOOKUP($M:$M,Data!$I:$J,2,FALSE)</f>
        <v>#N/A</v>
      </c>
      <c r="AB10" s="125"/>
    </row>
    <row r="11" ht="15.25" spans="2:28">
      <c r="B11" s="50">
        <v>1</v>
      </c>
      <c r="C11" s="51" t="str">
        <f>VLOOKUP("28/102/1",Data!$A$2:$E$1425,3,FALSE)</f>
        <v>12101 SIMON</v>
      </c>
      <c r="D11" s="52"/>
      <c r="E11" s="53"/>
      <c r="G11" s="50">
        <v>1</v>
      </c>
      <c r="H11" s="51" t="str">
        <f>VLOOKUP("28/119/1",Data!$A$2:$E$1425,3,FALSE)</f>
        <v>12104 ALBIN</v>
      </c>
      <c r="I11" s="52"/>
      <c r="J11" s="53"/>
      <c r="L11" s="14">
        <f>COUNTA(B13)+L10</f>
        <v>6</v>
      </c>
      <c r="M11" s="83">
        <f>C13</f>
        <v>0</v>
      </c>
      <c r="N11" s="84" t="s">
        <v>7430</v>
      </c>
      <c r="O11" s="85">
        <v>28</v>
      </c>
      <c r="P11" s="85">
        <v>102</v>
      </c>
      <c r="Q11" s="110"/>
      <c r="R11" s="110"/>
      <c r="S11" s="110"/>
      <c r="T11" s="110"/>
      <c r="U11" s="85">
        <f>B13</f>
        <v>3</v>
      </c>
      <c r="V11" s="105"/>
      <c r="W11" s="106"/>
      <c r="X11" s="111" t="str">
        <f t="shared" si="1"/>
        <v/>
      </c>
      <c r="Y11" s="111" t="str">
        <f t="shared" si="1"/>
        <v/>
      </c>
      <c r="Z11" s="127" t="s">
        <v>6763</v>
      </c>
      <c r="AA11" s="128" t="e">
        <f>VLOOKUP($M:$M,Data!$I:$J,2,FALSE)</f>
        <v>#N/A</v>
      </c>
      <c r="AB11" s="126"/>
    </row>
    <row r="12" spans="2:28">
      <c r="B12" s="50">
        <v>2</v>
      </c>
      <c r="C12" s="51" t="str">
        <f>VLOOKUP("28/102/2",Data!$A$2:$E$1425,3,FALSE)</f>
        <v>12102 NILS</v>
      </c>
      <c r="D12" s="54"/>
      <c r="E12" s="55"/>
      <c r="G12" s="50">
        <v>2</v>
      </c>
      <c r="H12" s="51" t="str">
        <f>VLOOKUP("28/119/2",Data!$A$2:$E$1425,3,FALSE)</f>
        <v>12105 MAX</v>
      </c>
      <c r="I12" s="54"/>
      <c r="J12" s="55"/>
      <c r="L12" s="6">
        <f>COUNTA(B15)+L11</f>
        <v>7</v>
      </c>
      <c r="M12" s="79" t="str">
        <f>C15</f>
        <v>12201 JESPER</v>
      </c>
      <c r="N12" s="80" t="s">
        <v>7430</v>
      </c>
      <c r="O12" s="81">
        <v>28</v>
      </c>
      <c r="P12" s="81">
        <v>103</v>
      </c>
      <c r="Q12" s="62" t="str">
        <f>_xlfn.IFS(COUNTA(B15:B17)=1,"Single",COUNTA(B15:B17)=2,"Double",COUNTA(B15:B17)=3,"Triple",COUNTA(B15:B17)=0,"Empty")</f>
        <v>Triple</v>
      </c>
      <c r="R12" s="62"/>
      <c r="S12" s="62"/>
      <c r="T12" s="62"/>
      <c r="U12" s="81">
        <f>B15</f>
        <v>1</v>
      </c>
      <c r="V12" s="100">
        <f>COUNT(B15:B17)</f>
        <v>3</v>
      </c>
      <c r="W12" s="101"/>
      <c r="X12" s="108" t="str">
        <f t="shared" ref="X12:Y14" si="2">IF(D15=0,"",D15)</f>
        <v/>
      </c>
      <c r="Y12" s="108" t="str">
        <f t="shared" si="2"/>
        <v/>
      </c>
      <c r="Z12" s="120" t="s">
        <v>7322</v>
      </c>
      <c r="AA12" s="121" t="e">
        <f>VLOOKUP($M:$M,Data!$I:$J,2,FALSE)</f>
        <v>#N/A</v>
      </c>
      <c r="AB12" s="122"/>
    </row>
    <row r="13" ht="15.25" spans="2:28">
      <c r="B13" s="58">
        <v>3</v>
      </c>
      <c r="C13" s="59">
        <f>VLOOKUP("28/102/3",Data!$A$2:$E$1425,3,FALSE)</f>
        <v>0</v>
      </c>
      <c r="D13" s="56"/>
      <c r="E13" s="57"/>
      <c r="G13" s="58">
        <v>3</v>
      </c>
      <c r="H13" s="59">
        <f>VLOOKUP("28/119/3",Data!$A$2:$E$1425,3,FALSE)</f>
        <v>0</v>
      </c>
      <c r="I13" s="56"/>
      <c r="J13" s="57"/>
      <c r="L13" s="9">
        <f>COUNTA(B16)+L12</f>
        <v>8</v>
      </c>
      <c r="M13" s="31" t="str">
        <f>C16</f>
        <v>12202 ADAM</v>
      </c>
      <c r="N13" s="82" t="s">
        <v>7430</v>
      </c>
      <c r="O13" s="36">
        <v>28</v>
      </c>
      <c r="P13" s="36">
        <v>103</v>
      </c>
      <c r="Q13" s="32"/>
      <c r="R13" s="32"/>
      <c r="S13" s="32"/>
      <c r="T13" s="32"/>
      <c r="U13" s="36">
        <f>B16</f>
        <v>2</v>
      </c>
      <c r="V13" s="103"/>
      <c r="W13" s="104"/>
      <c r="X13" s="109" t="str">
        <f t="shared" si="2"/>
        <v/>
      </c>
      <c r="Y13" s="109" t="str">
        <f t="shared" si="2"/>
        <v/>
      </c>
      <c r="Z13" s="123" t="s">
        <v>6938</v>
      </c>
      <c r="AA13" s="124" t="e">
        <f>VLOOKUP($M:$M,Data!$I:$J,2,FALSE)</f>
        <v>#N/A</v>
      </c>
      <c r="AB13" s="125"/>
    </row>
    <row r="14" ht="15.25" spans="2:28">
      <c r="B14" s="63">
        <v>103</v>
      </c>
      <c r="C14" s="64"/>
      <c r="D14" s="65" t="s">
        <v>6580</v>
      </c>
      <c r="E14" s="66" t="s">
        <v>6581</v>
      </c>
      <c r="G14" s="46">
        <v>118</v>
      </c>
      <c r="H14" s="47"/>
      <c r="I14" s="48" t="s">
        <v>6580</v>
      </c>
      <c r="J14" s="49" t="s">
        <v>6581</v>
      </c>
      <c r="L14" s="14">
        <f>COUNTA(B17)+L13</f>
        <v>9</v>
      </c>
      <c r="M14" s="83">
        <f>C17</f>
        <v>0</v>
      </c>
      <c r="N14" s="84" t="s">
        <v>7430</v>
      </c>
      <c r="O14" s="85">
        <v>28</v>
      </c>
      <c r="P14" s="85">
        <v>103</v>
      </c>
      <c r="Q14" s="110"/>
      <c r="R14" s="110"/>
      <c r="S14" s="110"/>
      <c r="T14" s="110"/>
      <c r="U14" s="85">
        <f>B17</f>
        <v>3</v>
      </c>
      <c r="V14" s="105"/>
      <c r="W14" s="106"/>
      <c r="X14" s="111" t="str">
        <f t="shared" si="2"/>
        <v/>
      </c>
      <c r="Y14" s="111" t="str">
        <f t="shared" si="2"/>
        <v/>
      </c>
      <c r="Z14" s="127" t="s">
        <v>7330</v>
      </c>
      <c r="AA14" s="128" t="e">
        <f>VLOOKUP($M:$M,Data!$I:$J,2,FALSE)</f>
        <v>#N/A</v>
      </c>
      <c r="AB14" s="126"/>
    </row>
    <row r="15" spans="2:28">
      <c r="B15" s="50">
        <v>1</v>
      </c>
      <c r="C15" s="51" t="str">
        <f>VLOOKUP("28/103/1",Data!$A$2:$E$1425,3,FALSE)</f>
        <v>12201 JESPER</v>
      </c>
      <c r="D15" s="52"/>
      <c r="E15" s="53"/>
      <c r="G15" s="50">
        <v>1</v>
      </c>
      <c r="H15" s="51" t="str">
        <f>VLOOKUP("28/118/1",Data!$A$2:$E$1425,3,FALSE)</f>
        <v>12103 FREDRIK</v>
      </c>
      <c r="I15" s="52"/>
      <c r="J15" s="53"/>
      <c r="L15" s="6">
        <f>COUNTA(B19)+L14</f>
        <v>10</v>
      </c>
      <c r="M15" s="79" t="str">
        <f>C19</f>
        <v>12107 JAKOB</v>
      </c>
      <c r="N15" s="80" t="s">
        <v>7430</v>
      </c>
      <c r="O15" s="81">
        <v>28</v>
      </c>
      <c r="P15" s="81">
        <v>104</v>
      </c>
      <c r="Q15" s="62" t="str">
        <f>_xlfn.IFS(COUNTA(B19:B21)=1,"Single",COUNTA(B19:B21)=2,"Double",COUNTA(B19:B21)=3,"Triple",COUNTA(B19:B21)=0,"Empty")</f>
        <v>Triple</v>
      </c>
      <c r="R15" s="62"/>
      <c r="S15" s="62"/>
      <c r="T15" s="62"/>
      <c r="U15" s="81">
        <f>B19</f>
        <v>1</v>
      </c>
      <c r="V15" s="100">
        <f>COUNT(B19:B21)</f>
        <v>3</v>
      </c>
      <c r="W15" s="101"/>
      <c r="X15" s="108" t="str">
        <f>IF(D19=0,"",D19)</f>
        <v/>
      </c>
      <c r="Y15" s="108" t="str">
        <f>IF(E19=0,"",E19)</f>
        <v/>
      </c>
      <c r="Z15" s="120" t="s">
        <v>7476</v>
      </c>
      <c r="AA15" s="121" t="e">
        <f>VLOOKUP($M:$M,Data!$I:$J,2,FALSE)</f>
        <v>#N/A</v>
      </c>
      <c r="AB15" s="122"/>
    </row>
    <row r="16" spans="2:28">
      <c r="B16" s="50">
        <v>2</v>
      </c>
      <c r="C16" s="51" t="str">
        <f>VLOOKUP("28/103/2",Data!$A$2:$E$1425,3,FALSE)</f>
        <v>12202 ADAM</v>
      </c>
      <c r="D16" s="54"/>
      <c r="E16" s="55"/>
      <c r="G16" s="50">
        <v>2</v>
      </c>
      <c r="H16" s="51">
        <f>VLOOKUP("28/118/2",Data!$A$2:$E$1425,3,FALSE)</f>
        <v>0</v>
      </c>
      <c r="I16" s="54"/>
      <c r="J16" s="55"/>
      <c r="L16" s="9">
        <f>COUNTA(B20)+L15</f>
        <v>11</v>
      </c>
      <c r="M16" s="31" t="str">
        <f>C20</f>
        <v>12108 JESPER</v>
      </c>
      <c r="N16" s="82" t="s">
        <v>7430</v>
      </c>
      <c r="O16" s="36">
        <v>28</v>
      </c>
      <c r="P16" s="36">
        <v>104</v>
      </c>
      <c r="Q16" s="32"/>
      <c r="R16" s="32"/>
      <c r="S16" s="32"/>
      <c r="T16" s="32"/>
      <c r="U16" s="36">
        <f>B20</f>
        <v>2</v>
      </c>
      <c r="V16" s="103"/>
      <c r="W16" s="104"/>
      <c r="X16" s="109" t="str">
        <f t="shared" ref="X16:Y17" si="3">IF(D20=0,"",D20)</f>
        <v/>
      </c>
      <c r="Y16" s="109" t="str">
        <f t="shared" si="3"/>
        <v/>
      </c>
      <c r="Z16" s="123" t="s">
        <v>7072</v>
      </c>
      <c r="AA16" s="124" t="e">
        <f>VLOOKUP($M:$M,Data!$I:$J,2,FALSE)</f>
        <v>#N/A</v>
      </c>
      <c r="AB16" s="125"/>
    </row>
    <row r="17" ht="15.25" spans="2:28">
      <c r="B17" s="58">
        <v>3</v>
      </c>
      <c r="C17" s="59">
        <f>VLOOKUP("28/103/3",Data!$A$2:$E$1425,3,FALSE)</f>
        <v>0</v>
      </c>
      <c r="D17" s="56"/>
      <c r="E17" s="57"/>
      <c r="G17" s="58">
        <v>3</v>
      </c>
      <c r="H17" s="59">
        <f>VLOOKUP("28/118/3",Data!$A$2:$E$1425,3,FALSE)</f>
        <v>0</v>
      </c>
      <c r="I17" s="56"/>
      <c r="J17" s="57"/>
      <c r="L17" s="14">
        <f>COUNTA(B21)+L16</f>
        <v>12</v>
      </c>
      <c r="M17" s="83">
        <f>C21</f>
        <v>0</v>
      </c>
      <c r="N17" s="84" t="s">
        <v>7430</v>
      </c>
      <c r="O17" s="85">
        <v>28</v>
      </c>
      <c r="P17" s="85">
        <v>104</v>
      </c>
      <c r="Q17" s="110"/>
      <c r="R17" s="110"/>
      <c r="S17" s="110"/>
      <c r="T17" s="110"/>
      <c r="U17" s="85">
        <f>B21</f>
        <v>3</v>
      </c>
      <c r="V17" s="105"/>
      <c r="W17" s="106"/>
      <c r="X17" s="111" t="str">
        <f t="shared" si="3"/>
        <v/>
      </c>
      <c r="Y17" s="111" t="str">
        <f t="shared" si="3"/>
        <v/>
      </c>
      <c r="Z17" s="127" t="s">
        <v>7477</v>
      </c>
      <c r="AA17" s="128" t="e">
        <f>VLOOKUP($M:$M,Data!$I:$J,2,FALSE)</f>
        <v>#N/A</v>
      </c>
      <c r="AB17" s="126"/>
    </row>
    <row r="18" spans="2:28">
      <c r="B18" s="46">
        <v>104</v>
      </c>
      <c r="C18" s="47"/>
      <c r="D18" s="48" t="s">
        <v>6580</v>
      </c>
      <c r="E18" s="49" t="s">
        <v>6581</v>
      </c>
      <c r="G18" s="46">
        <v>117</v>
      </c>
      <c r="H18" s="47"/>
      <c r="I18" s="48" t="s">
        <v>6580</v>
      </c>
      <c r="J18" s="49" t="s">
        <v>6581</v>
      </c>
      <c r="L18" s="6">
        <f>COUNTA(B23)+L17</f>
        <v>13</v>
      </c>
      <c r="M18" s="79" t="str">
        <f>C23</f>
        <v>12109 THERRAPHAN</v>
      </c>
      <c r="N18" s="80" t="s">
        <v>7430</v>
      </c>
      <c r="O18" s="81">
        <v>28</v>
      </c>
      <c r="P18" s="81">
        <v>105</v>
      </c>
      <c r="Q18" s="62" t="str">
        <f>_xlfn.IFS(COUNTA(B23:B25)=1,"Single",COUNTA(B23:B25)=2,"Double",COUNTA(B23:B25)=3,"Triple",COUNTA(B23:B25)=0,"Empty")</f>
        <v>Triple</v>
      </c>
      <c r="R18" s="62"/>
      <c r="S18" s="62"/>
      <c r="T18" s="62"/>
      <c r="U18" s="81">
        <f>B23</f>
        <v>1</v>
      </c>
      <c r="V18" s="100">
        <f>COUNT(B23:B25)</f>
        <v>3</v>
      </c>
      <c r="W18" s="101"/>
      <c r="X18" s="108" t="str">
        <f>IF(D23=0,"",D23)</f>
        <v/>
      </c>
      <c r="Y18" s="108" t="str">
        <f>IF(E23=0,"",E23)</f>
        <v/>
      </c>
      <c r="Z18" s="120" t="s">
        <v>6643</v>
      </c>
      <c r="AA18" s="121" t="e">
        <f>VLOOKUP($M:$M,Data!$I:$J,2,FALSE)</f>
        <v>#N/A</v>
      </c>
      <c r="AB18" s="122"/>
    </row>
    <row r="19" spans="2:28">
      <c r="B19" s="50">
        <v>1</v>
      </c>
      <c r="C19" s="51" t="str">
        <f>VLOOKUP("28/104/1",Data!$A$2:$E$1425,3,FALSE)</f>
        <v>12107 JAKOB</v>
      </c>
      <c r="D19" s="52"/>
      <c r="E19" s="53"/>
      <c r="G19" s="50">
        <v>1</v>
      </c>
      <c r="H19" s="51" t="str">
        <f>VLOOKUP("28/117/1",Data!$A$2:$E$1425,3,FALSE)</f>
        <v>12111 OSCAR </v>
      </c>
      <c r="I19" s="52"/>
      <c r="J19" s="53"/>
      <c r="L19" s="9">
        <f>COUNTA(B24)+L18</f>
        <v>14</v>
      </c>
      <c r="M19" s="31" t="str">
        <f>C24</f>
        <v>12110 ALEXANDER</v>
      </c>
      <c r="N19" s="82" t="s">
        <v>7430</v>
      </c>
      <c r="O19" s="36">
        <v>28</v>
      </c>
      <c r="P19" s="36">
        <v>105</v>
      </c>
      <c r="Q19" s="32"/>
      <c r="R19" s="32"/>
      <c r="S19" s="32"/>
      <c r="T19" s="32"/>
      <c r="U19" s="36">
        <f>B24</f>
        <v>2</v>
      </c>
      <c r="V19" s="103"/>
      <c r="W19" s="104"/>
      <c r="X19" s="109" t="str">
        <f t="shared" ref="X19:Y20" si="4">IF(D24=0,"",D24)</f>
        <v/>
      </c>
      <c r="Y19" s="109" t="str">
        <f t="shared" si="4"/>
        <v/>
      </c>
      <c r="Z19" s="123" t="s">
        <v>6714</v>
      </c>
      <c r="AA19" s="124" t="e">
        <f>VLOOKUP($M:$M,Data!$I:$J,2,FALSE)</f>
        <v>#N/A</v>
      </c>
      <c r="AB19" s="125"/>
    </row>
    <row r="20" ht="15.25" spans="2:28">
      <c r="B20" s="50">
        <v>2</v>
      </c>
      <c r="C20" s="51" t="str">
        <f>VLOOKUP("28/104/2",Data!$A$2:$E$1425,3,FALSE)</f>
        <v>12108 JESPER</v>
      </c>
      <c r="D20" s="54"/>
      <c r="E20" s="55"/>
      <c r="G20" s="50">
        <v>2</v>
      </c>
      <c r="H20" s="51" t="str">
        <f>VLOOKUP("28/117/2",Data!$A$2:$E$1425,3,FALSE)</f>
        <v>12106 OTTO</v>
      </c>
      <c r="I20" s="54"/>
      <c r="J20" s="55"/>
      <c r="L20" s="14">
        <f>COUNTA(B25)+L19</f>
        <v>15</v>
      </c>
      <c r="M20" s="83">
        <f>C25</f>
        <v>0</v>
      </c>
      <c r="N20" s="84" t="s">
        <v>7430</v>
      </c>
      <c r="O20" s="85">
        <v>28</v>
      </c>
      <c r="P20" s="85">
        <v>105</v>
      </c>
      <c r="Q20" s="110"/>
      <c r="R20" s="110"/>
      <c r="S20" s="110"/>
      <c r="T20" s="110"/>
      <c r="U20" s="85">
        <f>B25</f>
        <v>3</v>
      </c>
      <c r="V20" s="105"/>
      <c r="W20" s="106"/>
      <c r="X20" s="111" t="str">
        <f t="shared" si="4"/>
        <v/>
      </c>
      <c r="Y20" s="111" t="str">
        <f t="shared" si="4"/>
        <v/>
      </c>
      <c r="Z20" s="127" t="s">
        <v>7153</v>
      </c>
      <c r="AA20" s="128" t="e">
        <f>VLOOKUP($M:$M,Data!$I:$J,2,FALSE)</f>
        <v>#N/A</v>
      </c>
      <c r="AB20" s="126"/>
    </row>
    <row r="21" ht="15.25" spans="2:28">
      <c r="B21" s="58">
        <v>3</v>
      </c>
      <c r="C21" s="59">
        <f>VLOOKUP("28/104/3",Data!$A$2:$E$1425,3,FALSE)</f>
        <v>0</v>
      </c>
      <c r="D21" s="56"/>
      <c r="E21" s="57"/>
      <c r="G21" s="58"/>
      <c r="H21" s="59">
        <f>VLOOKUP("28/117/3",Data!$A$2:$E$1425,3,FALSE)</f>
        <v>0</v>
      </c>
      <c r="I21" s="56"/>
      <c r="J21" s="57"/>
      <c r="L21" s="6">
        <f>COUNTA(B27)+L20</f>
        <v>16</v>
      </c>
      <c r="M21" s="79" t="str">
        <f>C27</f>
        <v>12203 EMIL</v>
      </c>
      <c r="N21" s="80" t="s">
        <v>7430</v>
      </c>
      <c r="O21" s="81">
        <v>28</v>
      </c>
      <c r="P21" s="81">
        <v>106</v>
      </c>
      <c r="Q21" s="62" t="str">
        <f>_xlfn.IFS(COUNTA(B27:B29)=1,"Single",COUNTA(B27:B29)=2,"Double",COUNTA(B27:B29)=3,"Triple",COUNTA(B27:B29)=0,"Empty")</f>
        <v>Triple</v>
      </c>
      <c r="R21" s="62"/>
      <c r="S21" s="62"/>
      <c r="T21" s="62"/>
      <c r="U21" s="81">
        <f>B27</f>
        <v>1</v>
      </c>
      <c r="V21" s="100">
        <f>COUNT(B27:B29)</f>
        <v>3</v>
      </c>
      <c r="W21" s="101"/>
      <c r="X21" s="108" t="str">
        <f>IF(D27=0,"",D27)</f>
        <v/>
      </c>
      <c r="Y21" s="108" t="str">
        <f>IF(E27=0,"",E27)</f>
        <v/>
      </c>
      <c r="Z21" s="120" t="s">
        <v>7318</v>
      </c>
      <c r="AA21" s="121" t="e">
        <f>VLOOKUP($M:$M,Data!$I:$J,2,FALSE)</f>
        <v>#N/A</v>
      </c>
      <c r="AB21" s="122"/>
    </row>
    <row r="22" spans="2:28">
      <c r="B22" s="46">
        <v>105</v>
      </c>
      <c r="C22" s="47"/>
      <c r="D22" s="48" t="s">
        <v>6580</v>
      </c>
      <c r="E22" s="49" t="s">
        <v>6581</v>
      </c>
      <c r="G22" s="46">
        <v>116</v>
      </c>
      <c r="H22" s="47"/>
      <c r="I22" s="48" t="s">
        <v>6580</v>
      </c>
      <c r="J22" s="49" t="s">
        <v>6581</v>
      </c>
      <c r="L22" s="9">
        <f>COUNTA(B28)+L21</f>
        <v>17</v>
      </c>
      <c r="M22" s="31" t="str">
        <f>C28</f>
        <v>12205 WILIAM</v>
      </c>
      <c r="N22" s="82" t="s">
        <v>7430</v>
      </c>
      <c r="O22" s="36">
        <v>28</v>
      </c>
      <c r="P22" s="36">
        <v>106</v>
      </c>
      <c r="Q22" s="32"/>
      <c r="R22" s="32"/>
      <c r="S22" s="32"/>
      <c r="T22" s="32"/>
      <c r="U22" s="36">
        <f>B28</f>
        <v>2</v>
      </c>
      <c r="V22" s="103"/>
      <c r="W22" s="104"/>
      <c r="X22" s="109" t="str">
        <f t="shared" ref="X22:Y23" si="5">IF(D28=0,"",D28)</f>
        <v/>
      </c>
      <c r="Y22" s="109" t="str">
        <f t="shared" si="5"/>
        <v/>
      </c>
      <c r="Z22" s="123" t="s">
        <v>7146</v>
      </c>
      <c r="AA22" s="124" t="e">
        <f>VLOOKUP($M:$M,Data!$I:$J,2,FALSE)</f>
        <v>#N/A</v>
      </c>
      <c r="AB22" s="125"/>
    </row>
    <row r="23" ht="15.25" spans="2:28">
      <c r="B23" s="50">
        <v>1</v>
      </c>
      <c r="C23" s="51" t="str">
        <f>VLOOKUP("28/105/1",Data!$A$2:$E$1425,3,FALSE)</f>
        <v>12109 THERRAPHAN</v>
      </c>
      <c r="D23" s="52"/>
      <c r="E23" s="53"/>
      <c r="G23" s="50">
        <v>1</v>
      </c>
      <c r="H23" s="51" t="str">
        <f>VLOOKUP("28/116/1",Data!$A$2:$E$1425,3,FALSE)</f>
        <v>12204 JOAKIM</v>
      </c>
      <c r="I23" s="52"/>
      <c r="J23" s="53"/>
      <c r="L23" s="14">
        <f>COUNTA(B29)+L22</f>
        <v>18</v>
      </c>
      <c r="M23" s="83">
        <f>C29</f>
        <v>0</v>
      </c>
      <c r="N23" s="84" t="s">
        <v>7430</v>
      </c>
      <c r="O23" s="85">
        <v>28</v>
      </c>
      <c r="P23" s="85">
        <v>106</v>
      </c>
      <c r="Q23" s="110"/>
      <c r="R23" s="110"/>
      <c r="S23" s="110"/>
      <c r="T23" s="110"/>
      <c r="U23" s="85">
        <f>B29</f>
        <v>3</v>
      </c>
      <c r="V23" s="105"/>
      <c r="W23" s="106"/>
      <c r="X23" s="111" t="str">
        <f t="shared" si="5"/>
        <v/>
      </c>
      <c r="Y23" s="111" t="str">
        <f t="shared" si="5"/>
        <v/>
      </c>
      <c r="Z23" s="127" t="s">
        <v>6696</v>
      </c>
      <c r="AA23" s="128" t="e">
        <f>VLOOKUP($M:$M,Data!$I:$J,2,FALSE)</f>
        <v>#N/A</v>
      </c>
      <c r="AB23" s="126"/>
    </row>
    <row r="24" spans="2:28">
      <c r="B24" s="50">
        <v>2</v>
      </c>
      <c r="C24" s="51" t="str">
        <f>VLOOKUP("28/105/2",Data!$A$2:$E$1425,3,FALSE)</f>
        <v>12110 ALEXANDER</v>
      </c>
      <c r="D24" s="54"/>
      <c r="E24" s="55"/>
      <c r="G24" s="50">
        <v>2</v>
      </c>
      <c r="H24" s="51" t="str">
        <f>VLOOKUP("28/116/2",Data!$A$2:$E$1425,3,FALSE)</f>
        <v>12207 ELIAS</v>
      </c>
      <c r="I24" s="54"/>
      <c r="J24" s="55"/>
      <c r="L24" s="6">
        <f>COUNTA(B31)+L23</f>
        <v>19</v>
      </c>
      <c r="M24" s="79" t="str">
        <f>C31</f>
        <v>12210 ALEXANDER</v>
      </c>
      <c r="N24" s="80" t="s">
        <v>7430</v>
      </c>
      <c r="O24" s="81">
        <v>28</v>
      </c>
      <c r="P24" s="81">
        <v>107</v>
      </c>
      <c r="Q24" s="62" t="str">
        <f>_xlfn.IFS(COUNTA(B31:B33)=1,"Single",COUNTA(B31:B33)=2,"Double",COUNTA(B31:B33)=3,"Triple",COUNTA(B31:B33)=0,"Empty")</f>
        <v>Triple</v>
      </c>
      <c r="R24" s="62"/>
      <c r="S24" s="62"/>
      <c r="T24" s="62"/>
      <c r="U24" s="81">
        <f>B31</f>
        <v>1</v>
      </c>
      <c r="V24" s="100">
        <f>COUNT(B31:B33)</f>
        <v>3</v>
      </c>
      <c r="W24" s="101"/>
      <c r="X24" s="108" t="str">
        <f>IF(D31=0,"",D31)</f>
        <v/>
      </c>
      <c r="Y24" s="108" t="str">
        <f>IF(E31=0,"",E31)</f>
        <v/>
      </c>
      <c r="Z24" s="120" t="s">
        <v>7376</v>
      </c>
      <c r="AA24" s="121" t="e">
        <f>VLOOKUP($M:$M,Data!$I:$J,2,FALSE)</f>
        <v>#N/A</v>
      </c>
      <c r="AB24" s="122"/>
    </row>
    <row r="25" ht="15.25" spans="2:28">
      <c r="B25" s="58">
        <v>3</v>
      </c>
      <c r="C25" s="59">
        <f>VLOOKUP("28/105/3",Data!$A$2:$E$1425,3,FALSE)</f>
        <v>0</v>
      </c>
      <c r="D25" s="56"/>
      <c r="E25" s="57"/>
      <c r="G25" s="58"/>
      <c r="H25" s="59">
        <f>VLOOKUP("28/116/3",Data!$A$2:$E$1425,3,FALSE)</f>
        <v>0</v>
      </c>
      <c r="I25" s="56"/>
      <c r="J25" s="57"/>
      <c r="L25" s="9">
        <f>COUNTA(B32)+L24</f>
        <v>20</v>
      </c>
      <c r="M25" s="31" t="str">
        <f>C32</f>
        <v>12206 ELIAS</v>
      </c>
      <c r="N25" s="82" t="s">
        <v>7430</v>
      </c>
      <c r="O25" s="36">
        <v>28</v>
      </c>
      <c r="P25" s="36">
        <v>107</v>
      </c>
      <c r="Q25" s="32"/>
      <c r="R25" s="32"/>
      <c r="S25" s="32"/>
      <c r="T25" s="32"/>
      <c r="U25" s="36">
        <f>B32</f>
        <v>2</v>
      </c>
      <c r="V25" s="103"/>
      <c r="W25" s="104"/>
      <c r="X25" s="109" t="str">
        <f t="shared" ref="X25:Y26" si="6">IF(D32=0,"",D32)</f>
        <v/>
      </c>
      <c r="Y25" s="109" t="str">
        <f t="shared" si="6"/>
        <v/>
      </c>
      <c r="Z25" s="123" t="s">
        <v>7349</v>
      </c>
      <c r="AA25" s="124" t="e">
        <f>VLOOKUP($M:$M,Data!$I:$J,2,FALSE)</f>
        <v>#N/A</v>
      </c>
      <c r="AB25" s="125"/>
    </row>
    <row r="26" ht="15.25" spans="2:28">
      <c r="B26" s="46">
        <v>106</v>
      </c>
      <c r="C26" s="47"/>
      <c r="D26" s="48" t="s">
        <v>6580</v>
      </c>
      <c r="E26" s="49" t="s">
        <v>6581</v>
      </c>
      <c r="G26" s="67" t="s">
        <v>7435</v>
      </c>
      <c r="H26" s="68"/>
      <c r="I26" s="68"/>
      <c r="J26" s="86"/>
      <c r="L26" s="14">
        <f>COUNTA(B33)+L25</f>
        <v>21</v>
      </c>
      <c r="M26" s="83">
        <f>C33</f>
        <v>0</v>
      </c>
      <c r="N26" s="84" t="s">
        <v>7430</v>
      </c>
      <c r="O26" s="85">
        <v>28</v>
      </c>
      <c r="P26" s="85">
        <v>107</v>
      </c>
      <c r="Q26" s="110"/>
      <c r="R26" s="110"/>
      <c r="S26" s="110"/>
      <c r="T26" s="110"/>
      <c r="U26" s="85">
        <f>B33</f>
        <v>3</v>
      </c>
      <c r="V26" s="105"/>
      <c r="W26" s="106"/>
      <c r="X26" s="111" t="str">
        <f t="shared" si="6"/>
        <v/>
      </c>
      <c r="Y26" s="111" t="str">
        <f t="shared" si="6"/>
        <v/>
      </c>
      <c r="Z26" s="127" t="s">
        <v>7272</v>
      </c>
      <c r="AA26" s="128" t="e">
        <f>VLOOKUP($M:$M,Data!$I:$J,2,FALSE)</f>
        <v>#N/A</v>
      </c>
      <c r="AB26" s="126"/>
    </row>
    <row r="27" spans="2:28">
      <c r="B27" s="50">
        <v>1</v>
      </c>
      <c r="C27" s="51" t="str">
        <f>VLOOKUP("28/106/1",Data!$A$2:$E$1425,3,FALSE)</f>
        <v>12203 EMIL</v>
      </c>
      <c r="D27" s="52"/>
      <c r="E27" s="53"/>
      <c r="G27" s="69"/>
      <c r="H27" s="70"/>
      <c r="I27" s="70"/>
      <c r="J27" s="87"/>
      <c r="L27" s="6">
        <f>COUNTA(B35)+L26</f>
        <v>22</v>
      </c>
      <c r="M27" s="79" t="str">
        <f>C35</f>
        <v>12303 FILIP</v>
      </c>
      <c r="N27" s="80" t="s">
        <v>7430</v>
      </c>
      <c r="O27" s="81">
        <v>28</v>
      </c>
      <c r="P27" s="81">
        <v>108</v>
      </c>
      <c r="Q27" s="62" t="str">
        <f>_xlfn.IFS(COUNTA(B35:B37)=1,"Single",COUNTA(B35:B37)=2,"Double",COUNTA(B35:B37)=3,"Triple",COUNTA(B35:B37)=0,"Empty")</f>
        <v>Double</v>
      </c>
      <c r="R27" s="62"/>
      <c r="S27" s="62"/>
      <c r="T27" s="62"/>
      <c r="U27" s="81">
        <f>B35</f>
        <v>1</v>
      </c>
      <c r="V27" s="100">
        <f>COUNT(B35:B37)</f>
        <v>2</v>
      </c>
      <c r="W27" s="101"/>
      <c r="X27" s="108" t="str">
        <f>IF(D35=0,"",D35)</f>
        <v/>
      </c>
      <c r="Y27" s="108" t="str">
        <f>IF(E35=0,"",E35)</f>
        <v/>
      </c>
      <c r="Z27" s="120" t="s">
        <v>7344</v>
      </c>
      <c r="AA27" s="121" t="e">
        <f>VLOOKUP($M:$M,Data!$I:$J,2,FALSE)</f>
        <v>#N/A</v>
      </c>
      <c r="AB27" s="122"/>
    </row>
    <row r="28" spans="2:28">
      <c r="B28" s="50">
        <v>2</v>
      </c>
      <c r="C28" s="51" t="str">
        <f>VLOOKUP("28/106/2",Data!$A$2:$E$1425,3,FALSE)</f>
        <v>12205 WILIAM</v>
      </c>
      <c r="D28" s="54"/>
      <c r="E28" s="55"/>
      <c r="G28" s="69"/>
      <c r="H28" s="70"/>
      <c r="I28" s="70"/>
      <c r="J28" s="87"/>
      <c r="L28" s="9">
        <f>COUNTA(B36)+L27</f>
        <v>23</v>
      </c>
      <c r="M28" s="31" t="str">
        <f>C36</f>
        <v>12305 ALGOT</v>
      </c>
      <c r="N28" s="82" t="s">
        <v>7430</v>
      </c>
      <c r="O28" s="36">
        <v>28</v>
      </c>
      <c r="P28" s="36">
        <v>108</v>
      </c>
      <c r="Q28" s="32"/>
      <c r="R28" s="32"/>
      <c r="S28" s="32"/>
      <c r="T28" s="32"/>
      <c r="U28" s="36">
        <f>B36</f>
        <v>2</v>
      </c>
      <c r="V28" s="103"/>
      <c r="W28" s="104"/>
      <c r="X28" s="109" t="str">
        <f t="shared" ref="X28:Y29" si="7">IF(D36=0,"",D36)</f>
        <v/>
      </c>
      <c r="Y28" s="109" t="str">
        <f t="shared" si="7"/>
        <v/>
      </c>
      <c r="Z28" s="123" t="s">
        <v>6828</v>
      </c>
      <c r="AA28" s="124" t="e">
        <f>VLOOKUP($M:$M,Data!$I:$J,2,FALSE)</f>
        <v>#N/A</v>
      </c>
      <c r="AB28" s="125"/>
    </row>
    <row r="29" ht="15.25" spans="2:28">
      <c r="B29" s="58">
        <v>3</v>
      </c>
      <c r="C29" s="59">
        <f>VLOOKUP("28/106/3",Data!$A$2:$E$1425,3,FALSE)</f>
        <v>0</v>
      </c>
      <c r="D29" s="56"/>
      <c r="E29" s="57"/>
      <c r="G29" s="69"/>
      <c r="H29" s="70"/>
      <c r="I29" s="70"/>
      <c r="J29" s="87"/>
      <c r="L29" s="14">
        <f>COUNTA(B37)+L28</f>
        <v>23</v>
      </c>
      <c r="M29" s="83">
        <f>C37</f>
        <v>0</v>
      </c>
      <c r="N29" s="84" t="s">
        <v>7430</v>
      </c>
      <c r="O29" s="85">
        <v>28</v>
      </c>
      <c r="P29" s="85">
        <v>108</v>
      </c>
      <c r="Q29" s="110"/>
      <c r="R29" s="110"/>
      <c r="S29" s="110"/>
      <c r="T29" s="110"/>
      <c r="U29" s="85">
        <f>B37</f>
        <v>0</v>
      </c>
      <c r="V29" s="105"/>
      <c r="W29" s="106"/>
      <c r="X29" s="111" t="str">
        <f t="shared" si="7"/>
        <v/>
      </c>
      <c r="Y29" s="111" t="str">
        <f t="shared" si="7"/>
        <v/>
      </c>
      <c r="Z29" s="127"/>
      <c r="AA29" s="128" t="e">
        <f>VLOOKUP($M:$M,Data!$I:$J,2,FALSE)</f>
        <v>#N/A</v>
      </c>
      <c r="AB29" s="126"/>
    </row>
    <row r="30" spans="2:28">
      <c r="B30" s="46">
        <v>107</v>
      </c>
      <c r="C30" s="47"/>
      <c r="D30" s="48" t="s">
        <v>6580</v>
      </c>
      <c r="E30" s="49" t="s">
        <v>6581</v>
      </c>
      <c r="G30" s="69"/>
      <c r="H30" s="70"/>
      <c r="I30" s="70"/>
      <c r="J30" s="87"/>
      <c r="L30" s="6">
        <f>COUNTA(B39)+L29</f>
        <v>24</v>
      </c>
      <c r="M30" s="79" t="str">
        <f>C39</f>
        <v>12301 GUNNAR</v>
      </c>
      <c r="N30" s="80" t="s">
        <v>7430</v>
      </c>
      <c r="O30" s="81">
        <v>28</v>
      </c>
      <c r="P30" s="81">
        <v>109</v>
      </c>
      <c r="Q30" s="62" t="str">
        <f>_xlfn.IFS(COUNTA(B39:B41)=1,"Single",COUNTA(B39:B41)=2,"Double",COUNTA(B39:B41)=3,"Triple",COUNTA(B39:B41)=0,"Empty")</f>
        <v>Double</v>
      </c>
      <c r="R30" s="62"/>
      <c r="S30" s="62"/>
      <c r="T30" s="62"/>
      <c r="U30" s="81">
        <f>B39</f>
        <v>1</v>
      </c>
      <c r="V30" s="100">
        <f>COUNT(B39:B41)</f>
        <v>2</v>
      </c>
      <c r="W30" s="101"/>
      <c r="X30" s="108" t="str">
        <f>IF(D39=0,"",D39)</f>
        <v/>
      </c>
      <c r="Y30" s="108" t="str">
        <f>IF(E39=0,"",E39)</f>
        <v/>
      </c>
      <c r="Z30" s="120" t="s">
        <v>6717</v>
      </c>
      <c r="AA30" s="121" t="e">
        <f>VLOOKUP($M:$M,Data!$I:$J,2,FALSE)</f>
        <v>#N/A</v>
      </c>
      <c r="AB30" s="122"/>
    </row>
    <row r="31" spans="2:28">
      <c r="B31" s="50">
        <v>1</v>
      </c>
      <c r="C31" s="51" t="str">
        <f>VLOOKUP("28/107/1",Data!$A$2:$E$1425,3,FALSE)</f>
        <v>12210 ALEXANDER</v>
      </c>
      <c r="D31" s="52"/>
      <c r="E31" s="53"/>
      <c r="G31" s="69"/>
      <c r="H31" s="70"/>
      <c r="I31" s="70"/>
      <c r="J31" s="87"/>
      <c r="L31" s="9">
        <f>COUNTA(B40)+L30</f>
        <v>25</v>
      </c>
      <c r="M31" s="31" t="str">
        <f>C40</f>
        <v>12302 EMIL</v>
      </c>
      <c r="N31" s="82" t="s">
        <v>7430</v>
      </c>
      <c r="O31" s="36">
        <v>28</v>
      </c>
      <c r="P31" s="36">
        <v>109</v>
      </c>
      <c r="Q31" s="32"/>
      <c r="R31" s="32"/>
      <c r="S31" s="32"/>
      <c r="T31" s="32"/>
      <c r="U31" s="36">
        <f>B40</f>
        <v>2</v>
      </c>
      <c r="V31" s="103"/>
      <c r="W31" s="104"/>
      <c r="X31" s="109" t="str">
        <f t="shared" ref="X31:Y32" si="8">IF(D40=0,"",D40)</f>
        <v/>
      </c>
      <c r="Y31" s="109" t="str">
        <f t="shared" si="8"/>
        <v/>
      </c>
      <c r="Z31" s="123" t="s">
        <v>7316</v>
      </c>
      <c r="AA31" s="124" t="e">
        <f>VLOOKUP($M:$M,Data!$I:$J,2,FALSE)</f>
        <v>#N/A</v>
      </c>
      <c r="AB31" s="125"/>
    </row>
    <row r="32" ht="15.25" spans="2:28">
      <c r="B32" s="50">
        <v>2</v>
      </c>
      <c r="C32" s="51" t="str">
        <f>VLOOKUP("28/107/2",Data!$A$2:$E$1425,3,FALSE)</f>
        <v>12206 ELIAS</v>
      </c>
      <c r="D32" s="54"/>
      <c r="E32" s="55"/>
      <c r="G32" s="69"/>
      <c r="H32" s="70"/>
      <c r="I32" s="70"/>
      <c r="J32" s="87"/>
      <c r="L32" s="14">
        <f>COUNTA(B41)+L31</f>
        <v>25</v>
      </c>
      <c r="M32" s="83">
        <f>C41</f>
        <v>0</v>
      </c>
      <c r="N32" s="84" t="s">
        <v>7430</v>
      </c>
      <c r="O32" s="85">
        <v>28</v>
      </c>
      <c r="P32" s="85">
        <v>109</v>
      </c>
      <c r="Q32" s="110"/>
      <c r="R32" s="110"/>
      <c r="S32" s="110"/>
      <c r="T32" s="110"/>
      <c r="U32" s="85">
        <f>B41</f>
        <v>0</v>
      </c>
      <c r="V32" s="105"/>
      <c r="W32" s="106"/>
      <c r="X32" s="111" t="str">
        <f t="shared" si="8"/>
        <v/>
      </c>
      <c r="Y32" s="111" t="str">
        <f t="shared" si="8"/>
        <v/>
      </c>
      <c r="Z32" s="127"/>
      <c r="AA32" s="128" t="e">
        <f>VLOOKUP($M:$M,Data!$I:$J,2,FALSE)</f>
        <v>#N/A</v>
      </c>
      <c r="AB32" s="126"/>
    </row>
    <row r="33" ht="15.25" spans="2:28">
      <c r="B33" s="58">
        <v>3</v>
      </c>
      <c r="C33" s="59">
        <f>VLOOKUP("28/107/3",Data!$A$2:$E$1425,3,FALSE)</f>
        <v>0</v>
      </c>
      <c r="D33" s="56"/>
      <c r="E33" s="57"/>
      <c r="G33" s="71"/>
      <c r="H33" s="72"/>
      <c r="I33" s="72"/>
      <c r="J33" s="88"/>
      <c r="L33" s="6">
        <f>COUNTA(B43)+L32</f>
        <v>26</v>
      </c>
      <c r="M33" s="79" t="str">
        <f>C43</f>
        <v>12304 VIKTOR</v>
      </c>
      <c r="N33" s="80" t="s">
        <v>7430</v>
      </c>
      <c r="O33" s="81">
        <v>28</v>
      </c>
      <c r="P33" s="81">
        <v>110</v>
      </c>
      <c r="Q33" s="62" t="str">
        <f>_xlfn.IFS(COUNTA(B43:B45)=1,"Single",COUNTA(B43:B45)=2,"Double",COUNTA(B43:B45)=3,"Triple",COUNTA(B43:B45)=0,"Empty")</f>
        <v>Triple</v>
      </c>
      <c r="R33" s="62"/>
      <c r="S33" s="62"/>
      <c r="T33" s="62"/>
      <c r="U33" s="81">
        <f>B43</f>
        <v>1</v>
      </c>
      <c r="V33" s="100">
        <f>COUNT(B43:B45)</f>
        <v>3</v>
      </c>
      <c r="W33" s="101"/>
      <c r="X33" s="108" t="str">
        <f>IF(D43=0,"",D43)</f>
        <v/>
      </c>
      <c r="Y33" s="108" t="str">
        <f>IF(E43=0,"",E43)</f>
        <v/>
      </c>
      <c r="Z33" s="120" t="s">
        <v>7226</v>
      </c>
      <c r="AA33" s="121" t="e">
        <f>VLOOKUP($M:$M,Data!$I:$J,2,FALSE)</f>
        <v>#N/A</v>
      </c>
      <c r="AB33" s="122"/>
    </row>
    <row r="34" spans="2:28">
      <c r="B34" s="46">
        <v>108</v>
      </c>
      <c r="C34" s="47"/>
      <c r="D34" s="48" t="s">
        <v>6580</v>
      </c>
      <c r="E34" s="49" t="s">
        <v>6581</v>
      </c>
      <c r="G34" s="46">
        <v>115</v>
      </c>
      <c r="H34" s="47"/>
      <c r="I34" s="48" t="s">
        <v>6580</v>
      </c>
      <c r="J34" s="49" t="s">
        <v>6581</v>
      </c>
      <c r="L34" s="9">
        <f>COUNTA(B44)+L33</f>
        <v>27</v>
      </c>
      <c r="M34" s="31" t="str">
        <f>C44</f>
        <v>12307 ADAM</v>
      </c>
      <c r="N34" s="82" t="s">
        <v>7430</v>
      </c>
      <c r="O34" s="36">
        <v>28</v>
      </c>
      <c r="P34" s="36">
        <v>110</v>
      </c>
      <c r="Q34" s="32"/>
      <c r="R34" s="32"/>
      <c r="S34" s="32"/>
      <c r="T34" s="32"/>
      <c r="U34" s="36">
        <f>B44</f>
        <v>2</v>
      </c>
      <c r="V34" s="103"/>
      <c r="W34" s="104"/>
      <c r="X34" s="109" t="str">
        <f t="shared" ref="X34:Y35" si="9">IF(D44=0,"",D44)</f>
        <v/>
      </c>
      <c r="Y34" s="109" t="str">
        <f t="shared" si="9"/>
        <v/>
      </c>
      <c r="Z34" s="123" t="s">
        <v>7256</v>
      </c>
      <c r="AA34" s="124" t="e">
        <f>VLOOKUP($M:$M,Data!$I:$J,2,FALSE)</f>
        <v>#N/A</v>
      </c>
      <c r="AB34" s="125"/>
    </row>
    <row r="35" ht="15.25" spans="2:28">
      <c r="B35" s="50">
        <v>1</v>
      </c>
      <c r="C35" s="51" t="str">
        <f>VLOOKUP("28/108/1",Data!$A$2:$E$1425,3,FALSE)</f>
        <v>12303 FILIP</v>
      </c>
      <c r="D35" s="52"/>
      <c r="E35" s="53"/>
      <c r="G35" s="50">
        <v>1</v>
      </c>
      <c r="H35" s="51" t="str">
        <f>VLOOKUP("28/115/1",Data!$A$2:$E$1425,3,FALSE)</f>
        <v>12208 ZACK</v>
      </c>
      <c r="I35" s="52"/>
      <c r="J35" s="53"/>
      <c r="L35" s="14">
        <f>COUNTA(B45)+L34</f>
        <v>28</v>
      </c>
      <c r="M35" s="83">
        <f>C45</f>
        <v>0</v>
      </c>
      <c r="N35" s="84" t="s">
        <v>7430</v>
      </c>
      <c r="O35" s="85">
        <v>28</v>
      </c>
      <c r="P35" s="85">
        <v>110</v>
      </c>
      <c r="Q35" s="110"/>
      <c r="R35" s="110"/>
      <c r="S35" s="110"/>
      <c r="T35" s="110"/>
      <c r="U35" s="85">
        <f>B45</f>
        <v>3</v>
      </c>
      <c r="V35" s="105"/>
      <c r="W35" s="106"/>
      <c r="X35" s="111" t="str">
        <f t="shared" si="9"/>
        <v/>
      </c>
      <c r="Y35" s="111" t="str">
        <f t="shared" si="9"/>
        <v/>
      </c>
      <c r="Z35" s="127" t="s">
        <v>7478</v>
      </c>
      <c r="AA35" s="128" t="e">
        <f>VLOOKUP($M:$M,Data!$I:$J,2,FALSE)</f>
        <v>#N/A</v>
      </c>
      <c r="AB35" s="126"/>
    </row>
    <row r="36" spans="2:28">
      <c r="B36" s="50">
        <v>2</v>
      </c>
      <c r="C36" s="51" t="str">
        <f>VLOOKUP("28/108/2",Data!$A$2:$E$1425,3,FALSE)</f>
        <v>12305 ALGOT</v>
      </c>
      <c r="D36" s="54"/>
      <c r="E36" s="55"/>
      <c r="G36" s="50">
        <v>2</v>
      </c>
      <c r="H36" s="51" t="str">
        <f>VLOOKUP("28/115/2",Data!$A$2:$E$1425,3,FALSE)</f>
        <v>12209 THOMAS</v>
      </c>
      <c r="I36" s="54"/>
      <c r="J36" s="55"/>
      <c r="L36" s="6">
        <f>COUNTA(B47)+L35</f>
        <v>29</v>
      </c>
      <c r="M36" s="79" t="str">
        <f>C47</f>
        <v>12001 JAKOB</v>
      </c>
      <c r="N36" s="80" t="s">
        <v>7430</v>
      </c>
      <c r="O36" s="81">
        <v>28</v>
      </c>
      <c r="P36" s="81">
        <v>111</v>
      </c>
      <c r="Q36" s="62" t="str">
        <f>_xlfn.IFS(COUNTA(B47:B49)=1,"Single",COUNTA(B47:B49)=2,"Double",COUNTA(B47:B49)=3,"Triple",COUNTA(B47:B49)=0,"Empty")</f>
        <v>Triple</v>
      </c>
      <c r="R36" s="62"/>
      <c r="S36" s="62"/>
      <c r="T36" s="62"/>
      <c r="U36" s="81">
        <f>B47</f>
        <v>1</v>
      </c>
      <c r="V36" s="100">
        <f>COUNT(B47:B49)</f>
        <v>3</v>
      </c>
      <c r="W36" s="101"/>
      <c r="X36" s="108" t="str">
        <f>IF(D47=0,"",D47)</f>
        <v/>
      </c>
      <c r="Y36" s="108" t="str">
        <f>IF(E47=0,"",E47)</f>
        <v/>
      </c>
      <c r="Z36" s="120" t="s">
        <v>7296</v>
      </c>
      <c r="AA36" s="121" t="e">
        <f>VLOOKUP($M:$M,Data!$I:$J,2,FALSE)</f>
        <v>#N/A</v>
      </c>
      <c r="AB36" s="122"/>
    </row>
    <row r="37" ht="15.25" spans="2:28">
      <c r="B37" s="58"/>
      <c r="C37" s="59">
        <f>VLOOKUP("28/108/3",Data!$A$2:$E$1425,3,FALSE)</f>
        <v>0</v>
      </c>
      <c r="D37" s="56"/>
      <c r="E37" s="57"/>
      <c r="G37" s="58"/>
      <c r="H37" s="59">
        <f>VLOOKUP("28/115/3",Data!$A$2:$E$1425,3,FALSE)</f>
        <v>0</v>
      </c>
      <c r="I37" s="56"/>
      <c r="J37" s="57"/>
      <c r="L37" s="9">
        <f>COUNTA(B48)+L36</f>
        <v>30</v>
      </c>
      <c r="M37" s="31">
        <f>C48</f>
        <v>0</v>
      </c>
      <c r="N37" s="82" t="s">
        <v>7430</v>
      </c>
      <c r="O37" s="36">
        <v>28</v>
      </c>
      <c r="P37" s="36">
        <v>111</v>
      </c>
      <c r="Q37" s="32"/>
      <c r="R37" s="32"/>
      <c r="S37" s="32"/>
      <c r="T37" s="32"/>
      <c r="U37" s="36">
        <f>B48</f>
        <v>2</v>
      </c>
      <c r="V37" s="103"/>
      <c r="W37" s="104"/>
      <c r="X37" s="109" t="str">
        <f t="shared" ref="X37:Y38" si="10">IF(D48=0,"",D48)</f>
        <v/>
      </c>
      <c r="Y37" s="109" t="str">
        <f t="shared" si="10"/>
        <v/>
      </c>
      <c r="Z37" s="123" t="s">
        <v>7239</v>
      </c>
      <c r="AA37" s="124" t="e">
        <f>VLOOKUP($M:$M,Data!$I:$J,2,FALSE)</f>
        <v>#N/A</v>
      </c>
      <c r="AB37" s="125"/>
    </row>
    <row r="38" ht="15.25" spans="2:28">
      <c r="B38" s="46">
        <v>109</v>
      </c>
      <c r="C38" s="47"/>
      <c r="D38" s="48" t="s">
        <v>6580</v>
      </c>
      <c r="E38" s="49" t="s">
        <v>6581</v>
      </c>
      <c r="G38" s="46">
        <v>114</v>
      </c>
      <c r="H38" s="47"/>
      <c r="I38" s="48" t="s">
        <v>6580</v>
      </c>
      <c r="J38" s="49" t="s">
        <v>6581</v>
      </c>
      <c r="L38" s="14">
        <f>COUNTA(B49)+L37</f>
        <v>31</v>
      </c>
      <c r="M38" s="83">
        <f>C49</f>
        <v>0</v>
      </c>
      <c r="N38" s="84" t="s">
        <v>7430</v>
      </c>
      <c r="O38" s="85">
        <v>28</v>
      </c>
      <c r="P38" s="85">
        <v>111</v>
      </c>
      <c r="Q38" s="110"/>
      <c r="R38" s="110"/>
      <c r="S38" s="110"/>
      <c r="T38" s="110"/>
      <c r="U38" s="85">
        <f>B49</f>
        <v>3</v>
      </c>
      <c r="V38" s="105"/>
      <c r="W38" s="106"/>
      <c r="X38" s="111" t="str">
        <f t="shared" si="10"/>
        <v/>
      </c>
      <c r="Y38" s="111" t="str">
        <f t="shared" si="10"/>
        <v/>
      </c>
      <c r="Z38" s="127" t="s">
        <v>6910</v>
      </c>
      <c r="AA38" s="128" t="e">
        <f>VLOOKUP($M:$M,Data!$I:$J,2,FALSE)</f>
        <v>#N/A</v>
      </c>
      <c r="AB38" s="126"/>
    </row>
    <row r="39" spans="2:28">
      <c r="B39" s="50">
        <v>1</v>
      </c>
      <c r="C39" s="51" t="str">
        <f>VLOOKUP("28/109/1",Data!$A$2:$E$1425,3,FALSE)</f>
        <v>12301 GUNNAR</v>
      </c>
      <c r="D39" s="52"/>
      <c r="E39" s="53"/>
      <c r="G39" s="50">
        <v>1</v>
      </c>
      <c r="H39" s="51" t="str">
        <f>VLOOKUP("28/114/1",Data!$A$2:$E$1425,3,FALSE)</f>
        <v>12308 OLIVER</v>
      </c>
      <c r="I39" s="52"/>
      <c r="J39" s="53"/>
      <c r="L39" s="6">
        <f>COUNTA(G47)+L38</f>
        <v>32</v>
      </c>
      <c r="M39" s="79" t="str">
        <f>H47</f>
        <v>12002 NILS</v>
      </c>
      <c r="N39" s="80" t="s">
        <v>7430</v>
      </c>
      <c r="O39" s="81">
        <v>28</v>
      </c>
      <c r="P39" s="81">
        <v>112</v>
      </c>
      <c r="Q39" s="62" t="str">
        <f>_xlfn.IFS(COUNTA(G47:G49)=1,"Single",COUNTA(G47:G49)=2,"Double",COUNTA(G47:G49)=3,"Triple",COUNTA(G47:G49)=0,"Empty")</f>
        <v>Triple</v>
      </c>
      <c r="R39" s="62"/>
      <c r="S39" s="62"/>
      <c r="T39" s="62"/>
      <c r="U39" s="81">
        <f>G47</f>
        <v>1</v>
      </c>
      <c r="V39" s="100">
        <f>COUNT(G47:G49)</f>
        <v>3</v>
      </c>
      <c r="W39" s="101"/>
      <c r="X39" s="108" t="str">
        <f>IF(I47=0,"",I47)</f>
        <v/>
      </c>
      <c r="Y39" s="108" t="str">
        <f>IF(J47=0,"",J47)</f>
        <v/>
      </c>
      <c r="Z39" s="120" t="s">
        <v>6796</v>
      </c>
      <c r="AA39" s="121" t="e">
        <f>VLOOKUP($M:$M,Data!$I:$J,2,FALSE)</f>
        <v>#N/A</v>
      </c>
      <c r="AB39" s="122"/>
    </row>
    <row r="40" spans="2:28">
      <c r="B40" s="50">
        <v>2</v>
      </c>
      <c r="C40" s="51" t="str">
        <f>VLOOKUP("28/109/2",Data!$A$2:$E$1425,3,FALSE)</f>
        <v>12302 EMIL</v>
      </c>
      <c r="D40" s="54"/>
      <c r="E40" s="55"/>
      <c r="G40" s="50">
        <v>2</v>
      </c>
      <c r="H40" s="51" t="e">
        <f>VLOOKUP("28/114/2",Data!$A$2:$E$1425,3,FALSE)</f>
        <v>#N/A</v>
      </c>
      <c r="I40" s="54"/>
      <c r="J40" s="55"/>
      <c r="L40" s="9">
        <f>COUNTA(G48)+L39</f>
        <v>33</v>
      </c>
      <c r="M40" s="31">
        <f>H48</f>
        <v>0</v>
      </c>
      <c r="N40" s="82" t="s">
        <v>7430</v>
      </c>
      <c r="O40" s="36">
        <v>28</v>
      </c>
      <c r="P40" s="36">
        <v>112</v>
      </c>
      <c r="Q40" s="32"/>
      <c r="R40" s="32"/>
      <c r="S40" s="32"/>
      <c r="T40" s="32"/>
      <c r="U40" s="36">
        <f>G48</f>
        <v>2</v>
      </c>
      <c r="V40" s="103"/>
      <c r="W40" s="104"/>
      <c r="X40" s="109" t="str">
        <f t="shared" ref="X40:Y41" si="11">IF(I48=0,"",I48)</f>
        <v/>
      </c>
      <c r="Y40" s="109" t="str">
        <f t="shared" si="11"/>
        <v/>
      </c>
      <c r="Z40" s="123" t="s">
        <v>7479</v>
      </c>
      <c r="AA40" s="124" t="e">
        <f>VLOOKUP($M:$M,Data!$I:$J,2,FALSE)</f>
        <v>#N/A</v>
      </c>
      <c r="AB40" s="125"/>
    </row>
    <row r="41" ht="15.25" spans="2:28">
      <c r="B41" s="58"/>
      <c r="C41" s="59">
        <f>VLOOKUP("28/109/3",Data!$A$2:$E$1425,3,FALSE)</f>
        <v>0</v>
      </c>
      <c r="D41" s="56"/>
      <c r="E41" s="57"/>
      <c r="G41" s="58"/>
      <c r="H41" s="59" t="str">
        <f>VLOOKUP("28/114/3",Data!$A$2:$E$1425,3,FALSE)</f>
        <v>12310 Theodore</v>
      </c>
      <c r="I41" s="56"/>
      <c r="J41" s="57"/>
      <c r="L41" s="14">
        <f>COUNTA(G49)+L40</f>
        <v>34</v>
      </c>
      <c r="M41" s="83">
        <f>H49</f>
        <v>0</v>
      </c>
      <c r="N41" s="84" t="s">
        <v>7430</v>
      </c>
      <c r="O41" s="85">
        <v>28</v>
      </c>
      <c r="P41" s="85">
        <v>112</v>
      </c>
      <c r="Q41" s="110"/>
      <c r="R41" s="110"/>
      <c r="S41" s="110"/>
      <c r="T41" s="110"/>
      <c r="U41" s="85">
        <f>G49</f>
        <v>3</v>
      </c>
      <c r="V41" s="105"/>
      <c r="W41" s="106"/>
      <c r="X41" s="111" t="str">
        <f t="shared" si="11"/>
        <v/>
      </c>
      <c r="Y41" s="111" t="str">
        <f t="shared" si="11"/>
        <v/>
      </c>
      <c r="Z41" s="127" t="s">
        <v>7175</v>
      </c>
      <c r="AA41" s="128" t="e">
        <f>VLOOKUP($M:$M,Data!$I:$J,2,FALSE)</f>
        <v>#N/A</v>
      </c>
      <c r="AB41" s="126"/>
    </row>
    <row r="42" spans="2:28">
      <c r="B42" s="46">
        <v>110</v>
      </c>
      <c r="C42" s="47"/>
      <c r="D42" s="48" t="s">
        <v>6580</v>
      </c>
      <c r="E42" s="49" t="s">
        <v>6581</v>
      </c>
      <c r="G42" s="46">
        <v>113</v>
      </c>
      <c r="H42" s="47"/>
      <c r="I42" s="48" t="s">
        <v>6580</v>
      </c>
      <c r="J42" s="49" t="s">
        <v>6581</v>
      </c>
      <c r="L42" s="6">
        <f>COUNTA(G43)+L41</f>
        <v>35</v>
      </c>
      <c r="M42" s="79" t="str">
        <f>H43</f>
        <v>12309 MALTE</v>
      </c>
      <c r="N42" s="80" t="s">
        <v>7430</v>
      </c>
      <c r="O42" s="81">
        <v>28</v>
      </c>
      <c r="P42" s="81">
        <v>113</v>
      </c>
      <c r="Q42" s="62" t="str">
        <f>_xlfn.IFS(COUNTA(G43:G45)=1,"Single",COUNTA(G43:G45)=2,"Double",COUNTA(G43:G45)=3,"Triple",COUNTA(G43:G45)=0,"Empty")</f>
        <v>Triple</v>
      </c>
      <c r="R42" s="62"/>
      <c r="S42" s="62"/>
      <c r="T42" s="62"/>
      <c r="U42" s="81">
        <f>G43</f>
        <v>1</v>
      </c>
      <c r="V42" s="100">
        <f>COUNT(G43:G45)</f>
        <v>3</v>
      </c>
      <c r="W42" s="101"/>
      <c r="X42" s="108" t="str">
        <f>IF(I43=0,"",I43)</f>
        <v/>
      </c>
      <c r="Y42" s="108" t="str">
        <f>IF(J43=0,"",J43)</f>
        <v/>
      </c>
      <c r="Z42" s="120" t="s">
        <v>7204</v>
      </c>
      <c r="AA42" s="121" t="e">
        <f>VLOOKUP($M:$M,Data!$I:$J,2,FALSE)</f>
        <v>#N/A</v>
      </c>
      <c r="AB42" s="122"/>
    </row>
    <row r="43" spans="2:28">
      <c r="B43" s="50">
        <v>1</v>
      </c>
      <c r="C43" s="51" t="str">
        <f>VLOOKUP("28/110/1",Data!$A$2:$E$1425,3,FALSE)</f>
        <v>12304 VIKTOR</v>
      </c>
      <c r="D43" s="52"/>
      <c r="E43" s="53"/>
      <c r="G43" s="50">
        <v>1</v>
      </c>
      <c r="H43" s="51" t="str">
        <f>VLOOKUP("28/113/1",Data!$A$2:$E$1425,3,FALSE)</f>
        <v>12309 MALTE</v>
      </c>
      <c r="I43" s="52"/>
      <c r="J43" s="53"/>
      <c r="L43" s="9">
        <f>COUNTA(G44)+L42</f>
        <v>36</v>
      </c>
      <c r="M43" s="31" t="str">
        <f>H44</f>
        <v>12306 ADAM</v>
      </c>
      <c r="N43" s="82" t="s">
        <v>7430</v>
      </c>
      <c r="O43" s="36">
        <v>28</v>
      </c>
      <c r="P43" s="36">
        <v>113</v>
      </c>
      <c r="Q43" s="32"/>
      <c r="R43" s="32"/>
      <c r="S43" s="32"/>
      <c r="T43" s="32"/>
      <c r="U43" s="36">
        <f>G44</f>
        <v>2</v>
      </c>
      <c r="V43" s="103"/>
      <c r="W43" s="104"/>
      <c r="X43" s="109" t="str">
        <f t="shared" ref="X43:Y44" si="12">IF(I44=0,"",I44)</f>
        <v/>
      </c>
      <c r="Y43" s="109" t="str">
        <f t="shared" si="12"/>
        <v/>
      </c>
      <c r="Z43" s="123" t="s">
        <v>7480</v>
      </c>
      <c r="AA43" s="124" t="e">
        <f>VLOOKUP($M:$M,Data!$I:$J,2,FALSE)</f>
        <v>#N/A</v>
      </c>
      <c r="AB43" s="125"/>
    </row>
    <row r="44" ht="15.25" spans="2:28">
      <c r="B44" s="50">
        <v>2</v>
      </c>
      <c r="C44" s="51" t="str">
        <f>VLOOKUP("28/110/2",Data!$A$2:$E$1425,3,FALSE)</f>
        <v>12307 ADAM</v>
      </c>
      <c r="D44" s="54"/>
      <c r="E44" s="55"/>
      <c r="G44" s="50">
        <v>2</v>
      </c>
      <c r="H44" s="51" t="str">
        <f>VLOOKUP("28/113/2",Data!$A$2:$E$1425,3,FALSE)</f>
        <v>12306 ADAM</v>
      </c>
      <c r="I44" s="54"/>
      <c r="J44" s="55"/>
      <c r="L44" s="14">
        <f>COUNTA(G45)+L43</f>
        <v>37</v>
      </c>
      <c r="M44" s="83">
        <f>H45</f>
        <v>0</v>
      </c>
      <c r="N44" s="84" t="s">
        <v>7430</v>
      </c>
      <c r="O44" s="85">
        <v>28</v>
      </c>
      <c r="P44" s="85">
        <v>113</v>
      </c>
      <c r="Q44" s="110"/>
      <c r="R44" s="110"/>
      <c r="S44" s="110"/>
      <c r="T44" s="110"/>
      <c r="U44" s="85">
        <f>G45</f>
        <v>3</v>
      </c>
      <c r="V44" s="105"/>
      <c r="W44" s="106"/>
      <c r="X44" s="111" t="str">
        <f t="shared" si="12"/>
        <v/>
      </c>
      <c r="Y44" s="111" t="str">
        <f t="shared" si="12"/>
        <v/>
      </c>
      <c r="Z44" s="127" t="s">
        <v>7183</v>
      </c>
      <c r="AA44" s="128" t="e">
        <f>VLOOKUP($M:$M,Data!$I:$J,2,FALSE)</f>
        <v>#N/A</v>
      </c>
      <c r="AB44" s="126"/>
    </row>
    <row r="45" ht="15.25" spans="2:28">
      <c r="B45" s="58">
        <v>3</v>
      </c>
      <c r="C45" s="59">
        <f>VLOOKUP("28/110/3",Data!$A$2:$E$1425,3,FALSE)</f>
        <v>0</v>
      </c>
      <c r="D45" s="56"/>
      <c r="E45" s="57"/>
      <c r="G45" s="58">
        <v>3</v>
      </c>
      <c r="H45" s="59">
        <f>VLOOKUP("28/113/3",Data!$A$2:$E$1425,3,FALSE)</f>
        <v>0</v>
      </c>
      <c r="I45" s="56"/>
      <c r="J45" s="57"/>
      <c r="L45" s="6">
        <f>COUNTA(G39)+L44</f>
        <v>38</v>
      </c>
      <c r="M45" s="79" t="str">
        <f>H39</f>
        <v>12308 OLIVER</v>
      </c>
      <c r="N45" s="80" t="s">
        <v>7430</v>
      </c>
      <c r="O45" s="81">
        <v>28</v>
      </c>
      <c r="P45" s="81">
        <v>114</v>
      </c>
      <c r="Q45" s="62" t="str">
        <f>_xlfn.IFS(COUNTA(G39:G41)=1,"Single",COUNTA(G39:G41)=2,"Double",COUNTA(G39:G41)=3,"Triple",COUNTA(G39:G41)=0,"Empty")</f>
        <v>Double</v>
      </c>
      <c r="R45" s="62"/>
      <c r="S45" s="62"/>
      <c r="T45" s="62"/>
      <c r="U45" s="81">
        <f>G39</f>
        <v>1</v>
      </c>
      <c r="V45" s="100">
        <f>COUNT(G39:G41)</f>
        <v>2</v>
      </c>
      <c r="W45" s="101"/>
      <c r="X45" s="108" t="str">
        <f>IF(I39=0,"",I39)</f>
        <v/>
      </c>
      <c r="Y45" s="108" t="str">
        <f>IF(J39=0,"",J39)</f>
        <v/>
      </c>
      <c r="Z45" s="120" t="s">
        <v>6649</v>
      </c>
      <c r="AA45" s="121" t="e">
        <f>VLOOKUP($M:$M,Data!$I:$J,2,FALSE)</f>
        <v>#N/A</v>
      </c>
      <c r="AB45" s="122"/>
    </row>
    <row r="46" spans="2:28">
      <c r="B46" s="46">
        <v>111</v>
      </c>
      <c r="C46" s="47"/>
      <c r="D46" s="48" t="s">
        <v>6580</v>
      </c>
      <c r="E46" s="49" t="s">
        <v>6581</v>
      </c>
      <c r="G46" s="46">
        <v>112</v>
      </c>
      <c r="H46" s="47"/>
      <c r="I46" s="48" t="s">
        <v>6580</v>
      </c>
      <c r="J46" s="49" t="s">
        <v>6581</v>
      </c>
      <c r="L46" s="9">
        <f>COUNTA(G40)+L45</f>
        <v>39</v>
      </c>
      <c r="M46" s="31" t="e">
        <f>H40</f>
        <v>#N/A</v>
      </c>
      <c r="N46" s="82" t="s">
        <v>7430</v>
      </c>
      <c r="O46" s="36">
        <v>28</v>
      </c>
      <c r="P46" s="36">
        <v>114</v>
      </c>
      <c r="Q46" s="32"/>
      <c r="R46" s="32"/>
      <c r="S46" s="32"/>
      <c r="T46" s="32"/>
      <c r="U46" s="36">
        <f>G40</f>
        <v>2</v>
      </c>
      <c r="V46" s="103"/>
      <c r="W46" s="104"/>
      <c r="X46" s="109" t="str">
        <f t="shared" ref="X46:Y47" si="13">IF(I40=0,"",I40)</f>
        <v/>
      </c>
      <c r="Y46" s="109" t="str">
        <f t="shared" si="13"/>
        <v/>
      </c>
      <c r="Z46" s="123" t="s">
        <v>6628</v>
      </c>
      <c r="AA46" s="124" t="e">
        <f>VLOOKUP($M:$M,Data!$I:$J,2,FALSE)</f>
        <v>#N/A</v>
      </c>
      <c r="AB46" s="125"/>
    </row>
    <row r="47" ht="15.25" spans="2:28">
      <c r="B47" s="50">
        <v>1</v>
      </c>
      <c r="C47" s="51" t="str">
        <f>VLOOKUP("28/111/1",Data!$A$2:$E$1425,3,FALSE)</f>
        <v>12001 JAKOB</v>
      </c>
      <c r="D47" s="52"/>
      <c r="E47" s="53"/>
      <c r="G47" s="50">
        <v>1</v>
      </c>
      <c r="H47" s="51" t="str">
        <f>VLOOKUP("28/112/1",Data!$A$2:$E$1425,3,FALSE)</f>
        <v>12002 NILS</v>
      </c>
      <c r="I47" s="52"/>
      <c r="J47" s="53"/>
      <c r="L47" s="14">
        <f>COUNTA(G41)+L46</f>
        <v>39</v>
      </c>
      <c r="M47" s="83" t="str">
        <f>H41</f>
        <v>12310 Theodore</v>
      </c>
      <c r="N47" s="84" t="s">
        <v>7430</v>
      </c>
      <c r="O47" s="85">
        <v>28</v>
      </c>
      <c r="P47" s="85">
        <v>114</v>
      </c>
      <c r="Q47" s="110"/>
      <c r="R47" s="110"/>
      <c r="S47" s="110"/>
      <c r="T47" s="110"/>
      <c r="U47" s="85">
        <f>G41</f>
        <v>0</v>
      </c>
      <c r="V47" s="105"/>
      <c r="W47" s="106"/>
      <c r="X47" s="111" t="str">
        <f t="shared" si="13"/>
        <v/>
      </c>
      <c r="Y47" s="111" t="str">
        <f t="shared" si="13"/>
        <v/>
      </c>
      <c r="Z47" s="127"/>
      <c r="AA47" s="128" t="e">
        <f>VLOOKUP($M:$M,Data!$I:$J,2,FALSE)</f>
        <v>#N/A</v>
      </c>
      <c r="AB47" s="126"/>
    </row>
    <row r="48" spans="2:28">
      <c r="B48" s="50">
        <v>2</v>
      </c>
      <c r="C48" s="51">
        <f>VLOOKUP("28/111/2",Data!$A$2:$E$1425,3,FALSE)</f>
        <v>0</v>
      </c>
      <c r="D48" s="54"/>
      <c r="E48" s="55"/>
      <c r="G48" s="50">
        <v>2</v>
      </c>
      <c r="H48" s="51">
        <f>VLOOKUP("28/112/2",Data!$A$2:$E$1425,3,FALSE)</f>
        <v>0</v>
      </c>
      <c r="I48" s="54"/>
      <c r="J48" s="55"/>
      <c r="L48" s="6">
        <f>COUNTA(G35)+L47</f>
        <v>40</v>
      </c>
      <c r="M48" s="79" t="str">
        <f>H35</f>
        <v>12208 ZACK</v>
      </c>
      <c r="N48" s="80" t="s">
        <v>7430</v>
      </c>
      <c r="O48" s="81">
        <v>28</v>
      </c>
      <c r="P48" s="81">
        <v>115</v>
      </c>
      <c r="Q48" s="62" t="str">
        <f>_xlfn.IFS(COUNTA(G35:G37)=1,"Single",COUNTA(G35:G37)=2,"Double",COUNTA(G35:G37)=3,"Triple",COUNTA(G35:G37)=0,"Empty")</f>
        <v>Double</v>
      </c>
      <c r="R48" s="62"/>
      <c r="S48" s="62"/>
      <c r="T48" s="62"/>
      <c r="U48" s="81">
        <f>G35</f>
        <v>1</v>
      </c>
      <c r="V48" s="100">
        <f>COUNT(G35:G37)</f>
        <v>2</v>
      </c>
      <c r="W48" s="101"/>
      <c r="X48" s="108" t="str">
        <f>IF(I35=0,"",I35)</f>
        <v/>
      </c>
      <c r="Y48" s="108" t="str">
        <f>IF(J35=0,"",J35)</f>
        <v/>
      </c>
      <c r="Z48" s="120" t="s">
        <v>7193</v>
      </c>
      <c r="AA48" s="121" t="e">
        <f>VLOOKUP($M:$M,Data!$I:$J,2,FALSE)</f>
        <v>#N/A</v>
      </c>
      <c r="AB48" s="122"/>
    </row>
    <row r="49" ht="15.25" spans="2:28">
      <c r="B49" s="58">
        <v>3</v>
      </c>
      <c r="C49" s="59">
        <f>VLOOKUP("28/111/3",Data!$A$2:$E$1425,3,FALSE)</f>
        <v>0</v>
      </c>
      <c r="D49" s="56"/>
      <c r="E49" s="57"/>
      <c r="G49" s="58">
        <v>3</v>
      </c>
      <c r="H49" s="59">
        <f>VLOOKUP("28/112/3",Data!$A$2:$E$1425,3,FALSE)</f>
        <v>0</v>
      </c>
      <c r="I49" s="56"/>
      <c r="J49" s="57"/>
      <c r="L49" s="9">
        <f>COUNTA(G36)+L48</f>
        <v>41</v>
      </c>
      <c r="M49" s="31" t="str">
        <f>H36</f>
        <v>12209 THOMAS</v>
      </c>
      <c r="N49" s="82" t="s">
        <v>7430</v>
      </c>
      <c r="O49" s="36">
        <v>28</v>
      </c>
      <c r="P49" s="36">
        <v>115</v>
      </c>
      <c r="Q49" s="32"/>
      <c r="R49" s="32"/>
      <c r="S49" s="32"/>
      <c r="T49" s="32"/>
      <c r="U49" s="36">
        <f>G36</f>
        <v>2</v>
      </c>
      <c r="V49" s="103"/>
      <c r="W49" s="104"/>
      <c r="X49" s="109" t="str">
        <f t="shared" ref="X49:Y50" si="14">IF(I36=0,"",I36)</f>
        <v/>
      </c>
      <c r="Y49" s="109" t="str">
        <f t="shared" si="14"/>
        <v/>
      </c>
      <c r="Z49" s="123" t="s">
        <v>6784</v>
      </c>
      <c r="AA49" s="124" t="e">
        <f>VLOOKUP($M:$M,Data!$I:$J,2,FALSE)</f>
        <v>#N/A</v>
      </c>
      <c r="AB49" s="125"/>
    </row>
    <row r="50" ht="15.25" spans="12:28">
      <c r="L50" s="14">
        <f>COUNTA(G37)+L49</f>
        <v>41</v>
      </c>
      <c r="M50" s="83">
        <f>H37</f>
        <v>0</v>
      </c>
      <c r="N50" s="84" t="s">
        <v>7430</v>
      </c>
      <c r="O50" s="85">
        <v>28</v>
      </c>
      <c r="P50" s="85">
        <v>115</v>
      </c>
      <c r="Q50" s="110"/>
      <c r="R50" s="110"/>
      <c r="S50" s="110"/>
      <c r="T50" s="110"/>
      <c r="U50" s="85">
        <f>G37</f>
        <v>0</v>
      </c>
      <c r="V50" s="105"/>
      <c r="W50" s="106"/>
      <c r="X50" s="111" t="str">
        <f t="shared" si="14"/>
        <v/>
      </c>
      <c r="Y50" s="111" t="str">
        <f t="shared" si="14"/>
        <v/>
      </c>
      <c r="Z50" s="127"/>
      <c r="AA50" s="128" t="e">
        <f>VLOOKUP($M:$M,Data!$I:$J,2,FALSE)</f>
        <v>#N/A</v>
      </c>
      <c r="AB50" s="126"/>
    </row>
    <row r="51" spans="3:28">
      <c r="C51" s="1" t="s">
        <v>7481</v>
      </c>
      <c r="D51" s="1"/>
      <c r="E51" s="1"/>
      <c r="F51" s="1"/>
      <c r="G51" s="1"/>
      <c r="H51" s="1"/>
      <c r="I51" s="1"/>
      <c r="J51" s="89"/>
      <c r="L51" s="6">
        <f>COUNTA(G23)+L50</f>
        <v>42</v>
      </c>
      <c r="M51" s="79" t="str">
        <f>H23</f>
        <v>12204 JOAKIM</v>
      </c>
      <c r="N51" s="80" t="s">
        <v>7430</v>
      </c>
      <c r="O51" s="81">
        <v>28</v>
      </c>
      <c r="P51" s="81">
        <v>116</v>
      </c>
      <c r="Q51" s="62" t="str">
        <f>_xlfn.IFS(COUNTA(G23:G25)=1,"Single",COUNTA(G23:G25)=2,"Double",COUNTA(G23:G25)=3,"Triple",COUNTA(G23:G25)=0,"Empty")</f>
        <v>Double</v>
      </c>
      <c r="R51" s="62"/>
      <c r="S51" s="62"/>
      <c r="T51" s="62"/>
      <c r="U51" s="81">
        <f>G23</f>
        <v>1</v>
      </c>
      <c r="V51" s="100">
        <f>COUNT(G23:G25)</f>
        <v>2</v>
      </c>
      <c r="W51" s="101"/>
      <c r="X51" s="108" t="str">
        <f>IF(I23=0,"",I23)</f>
        <v/>
      </c>
      <c r="Y51" s="108" t="str">
        <f>IF(J23=0,"",J23)</f>
        <v/>
      </c>
      <c r="Z51" s="120" t="s">
        <v>7304</v>
      </c>
      <c r="AA51" s="121" t="e">
        <f>VLOOKUP($M:$M,Data!$I:$J,2,FALSE)</f>
        <v>#N/A</v>
      </c>
      <c r="AB51" s="122"/>
    </row>
    <row r="52" ht="15.25" spans="2:28">
      <c r="B52" s="45" t="s">
        <v>7427</v>
      </c>
      <c r="C52" s="45"/>
      <c r="D52" s="45"/>
      <c r="E52" s="45"/>
      <c r="G52" s="45" t="s">
        <v>7427</v>
      </c>
      <c r="H52" s="45"/>
      <c r="I52" s="45"/>
      <c r="J52" s="45"/>
      <c r="L52" s="9">
        <f>COUNTA(G24)+L51</f>
        <v>43</v>
      </c>
      <c r="M52" s="31" t="str">
        <f>H24</f>
        <v>12207 ELIAS</v>
      </c>
      <c r="N52" s="82" t="s">
        <v>7430</v>
      </c>
      <c r="O52" s="36">
        <v>28</v>
      </c>
      <c r="P52" s="36">
        <v>116</v>
      </c>
      <c r="Q52" s="32"/>
      <c r="R52" s="32"/>
      <c r="S52" s="32"/>
      <c r="T52" s="32"/>
      <c r="U52" s="36">
        <f>G24</f>
        <v>2</v>
      </c>
      <c r="V52" s="103"/>
      <c r="W52" s="104"/>
      <c r="X52" s="109" t="str">
        <f t="shared" ref="X52:Y53" si="15">IF(I24=0,"",I24)</f>
        <v/>
      </c>
      <c r="Y52" s="109" t="str">
        <f t="shared" si="15"/>
        <v/>
      </c>
      <c r="Z52" s="123" t="s">
        <v>7308</v>
      </c>
      <c r="AA52" s="124" t="e">
        <f>VLOOKUP($M:$M,Data!$I:$J,2,FALSE)</f>
        <v>#N/A</v>
      </c>
      <c r="AB52" s="125"/>
    </row>
    <row r="53" ht="15.25" spans="2:28">
      <c r="B53" s="46">
        <v>201</v>
      </c>
      <c r="C53" s="47"/>
      <c r="D53" s="48" t="s">
        <v>6580</v>
      </c>
      <c r="E53" s="49" t="s">
        <v>6581</v>
      </c>
      <c r="G53" s="46">
        <v>220</v>
      </c>
      <c r="H53" s="47"/>
      <c r="I53" s="48" t="s">
        <v>6580</v>
      </c>
      <c r="J53" s="49" t="s">
        <v>6581</v>
      </c>
      <c r="L53" s="14">
        <f>COUNTA(G25)+L52</f>
        <v>43</v>
      </c>
      <c r="M53" s="83">
        <f>H25</f>
        <v>0</v>
      </c>
      <c r="N53" s="82" t="s">
        <v>7430</v>
      </c>
      <c r="O53" s="85">
        <v>28</v>
      </c>
      <c r="P53" s="85">
        <v>116</v>
      </c>
      <c r="Q53" s="110"/>
      <c r="R53" s="110"/>
      <c r="S53" s="110"/>
      <c r="T53" s="110"/>
      <c r="U53" s="85">
        <f>G25</f>
        <v>0</v>
      </c>
      <c r="V53" s="105"/>
      <c r="W53" s="106"/>
      <c r="X53" s="111" t="str">
        <f t="shared" si="15"/>
        <v/>
      </c>
      <c r="Y53" s="111" t="str">
        <f t="shared" si="15"/>
        <v/>
      </c>
      <c r="Z53" s="127"/>
      <c r="AA53" s="128" t="e">
        <f>VLOOKUP($M:$M,Data!$I:$J,2,FALSE)</f>
        <v>#N/A</v>
      </c>
      <c r="AB53" s="126"/>
    </row>
    <row r="54" spans="2:28">
      <c r="B54" s="50">
        <v>1</v>
      </c>
      <c r="C54" s="51" t="str">
        <f>VLOOKUP("28/201/1",Data!$A$2:$E$1425,3,FALSE)</f>
        <v>10048 JONAS</v>
      </c>
      <c r="D54" s="52"/>
      <c r="E54" s="53"/>
      <c r="G54" s="50">
        <v>1</v>
      </c>
      <c r="H54" s="51" t="str">
        <f>VLOOKUP("28/220/1",Data!$A$2:$E$1425,3,FALSE)</f>
        <v>10041 JOHANNES</v>
      </c>
      <c r="I54" s="52"/>
      <c r="J54" s="53"/>
      <c r="L54" s="6">
        <f>COUNTA(G19)+L53</f>
        <v>44</v>
      </c>
      <c r="M54" s="79" t="str">
        <f>H19</f>
        <v>12111 OSCAR </v>
      </c>
      <c r="N54" s="80" t="s">
        <v>7430</v>
      </c>
      <c r="O54" s="81">
        <v>28</v>
      </c>
      <c r="P54" s="81">
        <v>117</v>
      </c>
      <c r="Q54" s="62" t="str">
        <f>_xlfn.IFS(COUNTA(G19:G21)=1,"Single",COUNTA(G19:G21)=2,"Double",COUNTA(G19:G21)=3,"Triple",COUNTA(G19:G21)=0,"Empty")</f>
        <v>Double</v>
      </c>
      <c r="R54" s="62"/>
      <c r="S54" s="62"/>
      <c r="T54" s="62"/>
      <c r="U54" s="81">
        <f>G19</f>
        <v>1</v>
      </c>
      <c r="V54" s="100">
        <f>COUNT(G19:G21)</f>
        <v>2</v>
      </c>
      <c r="W54" s="101"/>
      <c r="X54" s="108" t="str">
        <f>IF(I19=0,"",I19)</f>
        <v/>
      </c>
      <c r="Y54" s="108" t="str">
        <f>IF(J19=0,"",J19)</f>
        <v/>
      </c>
      <c r="Z54" s="120" t="s">
        <v>7251</v>
      </c>
      <c r="AA54" s="121" t="e">
        <f>VLOOKUP($M:$M,Data!$I:$J,2,FALSE)</f>
        <v>#N/A</v>
      </c>
      <c r="AB54" s="122"/>
    </row>
    <row r="55" spans="2:28">
      <c r="B55" s="50">
        <v>2</v>
      </c>
      <c r="C55" s="51">
        <f>VLOOKUP("28/201/2",Data!$A$2:$E$1425,3,FALSE)</f>
        <v>0</v>
      </c>
      <c r="D55" s="54"/>
      <c r="E55" s="55"/>
      <c r="G55" s="50">
        <v>2</v>
      </c>
      <c r="H55" s="51">
        <f>VLOOKUP("28/220/2",Data!$A$2:$E$1425,3,FALSE)</f>
        <v>0</v>
      </c>
      <c r="I55" s="54"/>
      <c r="J55" s="55"/>
      <c r="L55" s="9">
        <f>COUNTA(G20)+L54</f>
        <v>45</v>
      </c>
      <c r="M55" s="31" t="str">
        <f>H20</f>
        <v>12106 OTTO</v>
      </c>
      <c r="N55" s="82" t="s">
        <v>7430</v>
      </c>
      <c r="O55" s="36">
        <v>28</v>
      </c>
      <c r="P55" s="36">
        <v>117</v>
      </c>
      <c r="Q55" s="32"/>
      <c r="R55" s="32"/>
      <c r="S55" s="32"/>
      <c r="T55" s="32"/>
      <c r="U55" s="36">
        <f>G20</f>
        <v>2</v>
      </c>
      <c r="V55" s="103"/>
      <c r="W55" s="104"/>
      <c r="X55" s="109" t="str">
        <f t="shared" ref="X55:Y56" si="16">IF(I20=0,"",I20)</f>
        <v/>
      </c>
      <c r="Y55" s="109" t="str">
        <f t="shared" si="16"/>
        <v/>
      </c>
      <c r="Z55" s="123" t="s">
        <v>7085</v>
      </c>
      <c r="AA55" s="124" t="e">
        <f>VLOOKUP($M:$M,Data!$I:$J,2,FALSE)</f>
        <v>#N/A</v>
      </c>
      <c r="AB55" s="125"/>
    </row>
    <row r="56" ht="15.25" spans="2:28">
      <c r="B56" s="58">
        <v>3</v>
      </c>
      <c r="C56" s="59">
        <f>VLOOKUP("28/201/3",Data!$A$2:$E$1425,3,FALSE)</f>
        <v>0</v>
      </c>
      <c r="D56" s="56"/>
      <c r="E56" s="57"/>
      <c r="G56" s="58"/>
      <c r="H56" s="59">
        <f>VLOOKUP("28/220/3",Data!$A$2:$E$1425,3,FALSE)</f>
        <v>0</v>
      </c>
      <c r="I56" s="56"/>
      <c r="J56" s="57"/>
      <c r="L56" s="14">
        <f>COUNTA(G21)+L55</f>
        <v>45</v>
      </c>
      <c r="M56" s="83">
        <f>H21</f>
        <v>0</v>
      </c>
      <c r="N56" s="84" t="s">
        <v>7430</v>
      </c>
      <c r="O56" s="85">
        <v>28</v>
      </c>
      <c r="P56" s="85">
        <v>117</v>
      </c>
      <c r="Q56" s="110"/>
      <c r="R56" s="110"/>
      <c r="S56" s="110"/>
      <c r="T56" s="110"/>
      <c r="U56" s="85">
        <f>G21</f>
        <v>0</v>
      </c>
      <c r="V56" s="105"/>
      <c r="W56" s="106"/>
      <c r="X56" s="111" t="str">
        <f t="shared" si="16"/>
        <v/>
      </c>
      <c r="Y56" s="111" t="str">
        <f t="shared" si="16"/>
        <v/>
      </c>
      <c r="Z56" s="127"/>
      <c r="AA56" s="128" t="e">
        <f>VLOOKUP($M:$M,Data!$I:$J,2,FALSE)</f>
        <v>#N/A</v>
      </c>
      <c r="AB56" s="126"/>
    </row>
    <row r="57" spans="2:28">
      <c r="B57" s="46">
        <v>202</v>
      </c>
      <c r="C57" s="47"/>
      <c r="D57" s="48" t="s">
        <v>6580</v>
      </c>
      <c r="E57" s="49" t="s">
        <v>6581</v>
      </c>
      <c r="G57" s="46">
        <v>219</v>
      </c>
      <c r="H57" s="47"/>
      <c r="I57" s="48" t="s">
        <v>6580</v>
      </c>
      <c r="J57" s="49" t="s">
        <v>6581</v>
      </c>
      <c r="L57" s="6">
        <f>COUNTA(G15)+L56</f>
        <v>46</v>
      </c>
      <c r="M57" s="79" t="str">
        <f>H15</f>
        <v>12103 FREDRIK</v>
      </c>
      <c r="N57" s="80" t="s">
        <v>7430</v>
      </c>
      <c r="O57" s="81">
        <v>28</v>
      </c>
      <c r="P57" s="81">
        <v>118</v>
      </c>
      <c r="Q57" s="62" t="str">
        <f>_xlfn.IFS(COUNTA(G15:G17)=1,"Single",COUNTA(G15:G17)=2,"Double",COUNTA(G15:G17)=3,"Triple",COUNTA(G15:G17)=0,"Empty")</f>
        <v>Triple</v>
      </c>
      <c r="R57" s="62"/>
      <c r="S57" s="62"/>
      <c r="T57" s="62"/>
      <c r="U57" s="81">
        <f>G15</f>
        <v>1</v>
      </c>
      <c r="V57" s="100">
        <f>COUNT(G15:G17)</f>
        <v>3</v>
      </c>
      <c r="W57" s="101"/>
      <c r="X57" s="108" t="str">
        <f>IF(I15=0,"",I15)</f>
        <v/>
      </c>
      <c r="Y57" s="108" t="str">
        <f>IF(J15=0,"",J15)</f>
        <v/>
      </c>
      <c r="Z57" s="120" t="s">
        <v>6924</v>
      </c>
      <c r="AA57" s="121" t="e">
        <f>VLOOKUP($M:$M,Data!$I:$J,2,FALSE)</f>
        <v>#N/A</v>
      </c>
      <c r="AB57" s="122"/>
    </row>
    <row r="58" spans="2:28">
      <c r="B58" s="50">
        <v>1</v>
      </c>
      <c r="C58" s="51" t="str">
        <f>VLOOKUP("28/202/1",Data!$A$2:$E$1425,3,FALSE)</f>
        <v>13101 HUGO</v>
      </c>
      <c r="D58" s="52"/>
      <c r="E58" s="53"/>
      <c r="G58" s="50">
        <v>1</v>
      </c>
      <c r="H58" s="51" t="str">
        <f>VLOOKUP("28/219/1",Data!$A$2:$E$1425,3,FALSE)</f>
        <v>13104 MINA</v>
      </c>
      <c r="I58" s="52"/>
      <c r="J58" s="53"/>
      <c r="L58" s="9">
        <f>COUNTA(G16)+L57</f>
        <v>47</v>
      </c>
      <c r="M58" s="31">
        <f>H16</f>
        <v>0</v>
      </c>
      <c r="N58" s="82" t="s">
        <v>7430</v>
      </c>
      <c r="O58" s="36">
        <v>28</v>
      </c>
      <c r="P58" s="36">
        <v>118</v>
      </c>
      <c r="Q58" s="32"/>
      <c r="R58" s="32"/>
      <c r="S58" s="32"/>
      <c r="T58" s="32"/>
      <c r="U58" s="36">
        <f>G16</f>
        <v>2</v>
      </c>
      <c r="V58" s="103"/>
      <c r="W58" s="104"/>
      <c r="X58" s="109" t="str">
        <f t="shared" ref="X58:Y59" si="17">IF(I16=0,"",I16)</f>
        <v/>
      </c>
      <c r="Y58" s="109" t="str">
        <f t="shared" si="17"/>
        <v/>
      </c>
      <c r="Z58" s="123" t="s">
        <v>6718</v>
      </c>
      <c r="AA58" s="124" t="e">
        <f>VLOOKUP($M:$M,Data!$I:$J,2,FALSE)</f>
        <v>#N/A</v>
      </c>
      <c r="AB58" s="125"/>
    </row>
    <row r="59" ht="15.25" spans="2:28">
      <c r="B59" s="50">
        <v>2</v>
      </c>
      <c r="C59" s="51" t="str">
        <f>VLOOKUP("28/202/2",Data!$A$2:$E$1425,3,FALSE)</f>
        <v>13102 OLIVER</v>
      </c>
      <c r="D59" s="54"/>
      <c r="E59" s="55"/>
      <c r="G59" s="50">
        <v>2</v>
      </c>
      <c r="H59" s="51" t="str">
        <f>VLOOKUP("28/219/2",Data!$A$2:$E$1425,3,FALSE)</f>
        <v>13206 MOA</v>
      </c>
      <c r="I59" s="54"/>
      <c r="J59" s="55"/>
      <c r="L59" s="14">
        <f>COUNTA(G17)+L58</f>
        <v>48</v>
      </c>
      <c r="M59" s="83">
        <f>H17</f>
        <v>0</v>
      </c>
      <c r="N59" s="84" t="s">
        <v>7430</v>
      </c>
      <c r="O59" s="85">
        <v>28</v>
      </c>
      <c r="P59" s="85">
        <v>118</v>
      </c>
      <c r="Q59" s="110"/>
      <c r="R59" s="110"/>
      <c r="S59" s="110"/>
      <c r="T59" s="110"/>
      <c r="U59" s="85">
        <f>G17</f>
        <v>3</v>
      </c>
      <c r="V59" s="105"/>
      <c r="W59" s="106"/>
      <c r="X59" s="111" t="str">
        <f t="shared" si="17"/>
        <v/>
      </c>
      <c r="Y59" s="111" t="str">
        <f t="shared" si="17"/>
        <v/>
      </c>
      <c r="Z59" s="127" t="s">
        <v>7128</v>
      </c>
      <c r="AA59" s="128" t="e">
        <f>VLOOKUP($M:$M,Data!$I:$J,2,FALSE)</f>
        <v>#N/A</v>
      </c>
      <c r="AB59" s="126"/>
    </row>
    <row r="60" ht="15.25" spans="2:28">
      <c r="B60" s="58">
        <v>3</v>
      </c>
      <c r="C60" s="59">
        <f>VLOOKUP("28/202/3",Data!$A$2:$E$1425,3,FALSE)</f>
        <v>0</v>
      </c>
      <c r="D60" s="56"/>
      <c r="E60" s="57"/>
      <c r="G60" s="58"/>
      <c r="H60" s="59">
        <f>VLOOKUP("28/219/3",Data!$A$2:$E$1425,3,FALSE)</f>
        <v>0</v>
      </c>
      <c r="I60" s="56"/>
      <c r="J60" s="57"/>
      <c r="L60" s="6">
        <f>COUNTA(G11)+L59</f>
        <v>49</v>
      </c>
      <c r="M60" s="79" t="str">
        <f>H11</f>
        <v>12104 ALBIN</v>
      </c>
      <c r="N60" s="80" t="s">
        <v>7430</v>
      </c>
      <c r="O60" s="81">
        <v>28</v>
      </c>
      <c r="P60" s="81">
        <v>119</v>
      </c>
      <c r="Q60" s="62" t="str">
        <f>_xlfn.IFS(COUNTA(G11:G13)=1,"Single",COUNTA(G11:G13)=2,"Double",COUNTA(G11:G13)=3,"Triple",COUNTA(G11:G13)=0,"Empty")</f>
        <v>Triple</v>
      </c>
      <c r="R60" s="62"/>
      <c r="S60" s="62"/>
      <c r="T60" s="62"/>
      <c r="U60" s="81">
        <f>G11</f>
        <v>1</v>
      </c>
      <c r="V60" s="100">
        <f>COUNT(G11:G13)</f>
        <v>3</v>
      </c>
      <c r="W60" s="101"/>
      <c r="X60" s="108" t="str">
        <f>IF(I11=0,"",I11)</f>
        <v/>
      </c>
      <c r="Y60" s="108" t="str">
        <f>IF(J11=0,"",J11)</f>
        <v/>
      </c>
      <c r="Z60" s="120" t="s">
        <v>7278</v>
      </c>
      <c r="AA60" s="121" t="e">
        <f>VLOOKUP($M:$M,Data!$I:$J,2,FALSE)</f>
        <v>#N/A</v>
      </c>
      <c r="AB60" s="122"/>
    </row>
    <row r="61" spans="2:28">
      <c r="B61" s="46">
        <v>203</v>
      </c>
      <c r="C61" s="47"/>
      <c r="D61" s="48" t="s">
        <v>6580</v>
      </c>
      <c r="E61" s="49" t="s">
        <v>6581</v>
      </c>
      <c r="G61" s="46">
        <v>218</v>
      </c>
      <c r="H61" s="47"/>
      <c r="I61" s="48" t="s">
        <v>6580</v>
      </c>
      <c r="J61" s="49" t="s">
        <v>6581</v>
      </c>
      <c r="L61" s="9">
        <f>COUNTA(G12)+L60</f>
        <v>50</v>
      </c>
      <c r="M61" s="31" t="str">
        <f>H12</f>
        <v>12105 MAX</v>
      </c>
      <c r="N61" s="82" t="s">
        <v>7430</v>
      </c>
      <c r="O61" s="36">
        <v>28</v>
      </c>
      <c r="P61" s="36">
        <v>119</v>
      </c>
      <c r="Q61" s="32"/>
      <c r="R61" s="32"/>
      <c r="S61" s="32"/>
      <c r="T61" s="32"/>
      <c r="U61" s="36">
        <f>G12</f>
        <v>2</v>
      </c>
      <c r="V61" s="103"/>
      <c r="W61" s="104"/>
      <c r="X61" s="109" t="str">
        <f t="shared" ref="X61:Y62" si="18">IF(I12=0,"",I12)</f>
        <v/>
      </c>
      <c r="Y61" s="109" t="str">
        <f t="shared" si="18"/>
        <v/>
      </c>
      <c r="Z61" s="123" t="s">
        <v>6820</v>
      </c>
      <c r="AA61" s="124" t="e">
        <f>VLOOKUP($M:$M,Data!$I:$J,2,FALSE)</f>
        <v>#N/A</v>
      </c>
      <c r="AB61" s="125"/>
    </row>
    <row r="62" ht="15.25" spans="2:28">
      <c r="B62" s="50">
        <v>1</v>
      </c>
      <c r="C62" s="51" t="str">
        <f>VLOOKUP("28/203/1",Data!$A$2:$E$1425,3,FALSE)</f>
        <v>13210 LINUS</v>
      </c>
      <c r="D62" s="52"/>
      <c r="E62" s="53"/>
      <c r="G62" s="50">
        <v>1</v>
      </c>
      <c r="H62" s="51" t="str">
        <f>VLOOKUP("28/218/1",Data!$A$2:$E$1425,3,FALSE)</f>
        <v>13107 VALDEMAR</v>
      </c>
      <c r="I62" s="52"/>
      <c r="J62" s="53"/>
      <c r="L62" s="14">
        <f>COUNTA(G13)+L61</f>
        <v>51</v>
      </c>
      <c r="M62" s="83">
        <f>H13</f>
        <v>0</v>
      </c>
      <c r="N62" s="84" t="s">
        <v>7430</v>
      </c>
      <c r="O62" s="85">
        <v>28</v>
      </c>
      <c r="P62" s="85">
        <v>119</v>
      </c>
      <c r="Q62" s="110"/>
      <c r="R62" s="110"/>
      <c r="S62" s="110"/>
      <c r="T62" s="110"/>
      <c r="U62" s="85">
        <f>G13</f>
        <v>3</v>
      </c>
      <c r="V62" s="105"/>
      <c r="W62" s="106"/>
      <c r="X62" s="111" t="str">
        <f t="shared" si="18"/>
        <v/>
      </c>
      <c r="Y62" s="111" t="str">
        <f t="shared" si="18"/>
        <v/>
      </c>
      <c r="Z62" s="127" t="s">
        <v>7482</v>
      </c>
      <c r="AA62" s="128" t="e">
        <f>VLOOKUP($M:$M,Data!$I:$J,2,FALSE)</f>
        <v>#N/A</v>
      </c>
      <c r="AB62" s="126"/>
    </row>
    <row r="63" spans="2:28">
      <c r="B63" s="50">
        <v>2</v>
      </c>
      <c r="C63" s="51" t="str">
        <f>VLOOKUP("28/203/2",Data!$A$2:$E$1425,3,FALSE)</f>
        <v>13105 OSCAR</v>
      </c>
      <c r="D63" s="54"/>
      <c r="E63" s="55"/>
      <c r="G63" s="50">
        <v>2</v>
      </c>
      <c r="H63" s="51" t="str">
        <f>VLOOKUP("28/218/2",Data!$A$2:$E$1425,3,FALSE)</f>
        <v>13106 LOWE</v>
      </c>
      <c r="I63" s="54"/>
      <c r="J63" s="55"/>
      <c r="L63" s="6">
        <f>COUNTA(G7)+L62</f>
        <v>52</v>
      </c>
      <c r="M63" s="79" t="str">
        <f>H7</f>
        <v>10003 JEFF</v>
      </c>
      <c r="N63" s="80" t="s">
        <v>7430</v>
      </c>
      <c r="O63" s="81">
        <v>28</v>
      </c>
      <c r="P63" s="81">
        <v>120</v>
      </c>
      <c r="Q63" s="62" t="str">
        <f>_xlfn.IFS(COUNTA(G7:G9)=1,"Single",COUNTA(G7:G9)=2,"Double",COUNTA(G7:G9)=3,"Triple",COUNTA(G7:G9)=0,"Empty")</f>
        <v>Triple</v>
      </c>
      <c r="R63" s="62"/>
      <c r="S63" s="62"/>
      <c r="T63" s="62"/>
      <c r="U63" s="81">
        <f>G7</f>
        <v>1</v>
      </c>
      <c r="V63" s="100">
        <f>COUNT(G7:G9)</f>
        <v>3</v>
      </c>
      <c r="W63" s="101"/>
      <c r="X63" s="108" t="str">
        <f>IF(I7=0,"",I7)</f>
        <v/>
      </c>
      <c r="Y63" s="108" t="str">
        <f>IF(J7=0,"",J7)</f>
        <v/>
      </c>
      <c r="Z63" s="120" t="s">
        <v>6786</v>
      </c>
      <c r="AA63" s="121" t="e">
        <f>VLOOKUP($M:$M,Data!$I:$J,2,FALSE)</f>
        <v>#N/A</v>
      </c>
      <c r="AB63" s="122"/>
    </row>
    <row r="64" ht="15.25" spans="2:28">
      <c r="B64" s="58">
        <v>3</v>
      </c>
      <c r="C64" s="59">
        <f>VLOOKUP("28/203/3",Data!$A$2:$E$1425,3,FALSE)</f>
        <v>0</v>
      </c>
      <c r="D64" s="56"/>
      <c r="E64" s="57"/>
      <c r="G64" s="58">
        <v>3</v>
      </c>
      <c r="H64" s="59">
        <f>VLOOKUP("28/218/3",Data!$A$2:$E$1425,3,FALSE)</f>
        <v>0</v>
      </c>
      <c r="I64" s="56"/>
      <c r="J64" s="57"/>
      <c r="L64" s="9">
        <f>COUNTA(G8)+L63</f>
        <v>53</v>
      </c>
      <c r="M64" s="31">
        <f>H8</f>
        <v>0</v>
      </c>
      <c r="N64" s="82" t="s">
        <v>7430</v>
      </c>
      <c r="O64" s="36">
        <v>28</v>
      </c>
      <c r="P64" s="36">
        <v>120</v>
      </c>
      <c r="Q64" s="32"/>
      <c r="R64" s="32"/>
      <c r="S64" s="32"/>
      <c r="T64" s="32"/>
      <c r="U64" s="36">
        <f>G8</f>
        <v>2</v>
      </c>
      <c r="V64" s="103"/>
      <c r="W64" s="104"/>
      <c r="X64" s="109" t="str">
        <f t="shared" ref="X64:Y65" si="19">IF(I8=0,"",I8)</f>
        <v/>
      </c>
      <c r="Y64" s="109" t="str">
        <f t="shared" si="19"/>
        <v/>
      </c>
      <c r="Z64" s="123" t="s">
        <v>7063</v>
      </c>
      <c r="AA64" s="124" t="e">
        <f>VLOOKUP($M:$M,Data!$I:$J,2,FALSE)</f>
        <v>#N/A</v>
      </c>
      <c r="AB64" s="125"/>
    </row>
    <row r="65" ht="15.25" spans="2:28">
      <c r="B65" s="46">
        <v>204</v>
      </c>
      <c r="C65" s="47"/>
      <c r="D65" s="48" t="s">
        <v>6580</v>
      </c>
      <c r="E65" s="49" t="s">
        <v>6581</v>
      </c>
      <c r="G65" s="46">
        <v>217</v>
      </c>
      <c r="H65" s="47"/>
      <c r="I65" s="48" t="s">
        <v>6580</v>
      </c>
      <c r="J65" s="49" t="s">
        <v>6581</v>
      </c>
      <c r="L65" s="14">
        <f>COUNTA(G9)+L64</f>
        <v>54</v>
      </c>
      <c r="M65" s="83">
        <f>H9</f>
        <v>0</v>
      </c>
      <c r="N65" s="84" t="s">
        <v>7430</v>
      </c>
      <c r="O65" s="85">
        <v>28</v>
      </c>
      <c r="P65" s="85">
        <v>120</v>
      </c>
      <c r="Q65" s="110"/>
      <c r="R65" s="110"/>
      <c r="S65" s="110"/>
      <c r="T65" s="110"/>
      <c r="U65" s="85">
        <f>G9</f>
        <v>3</v>
      </c>
      <c r="V65" s="105"/>
      <c r="W65" s="106"/>
      <c r="X65" s="111" t="str">
        <f t="shared" si="19"/>
        <v/>
      </c>
      <c r="Y65" s="111" t="str">
        <f t="shared" si="19"/>
        <v/>
      </c>
      <c r="Z65" s="127" t="s">
        <v>7332</v>
      </c>
      <c r="AA65" s="128" t="e">
        <f>VLOOKUP($M:$M,Data!$I:$J,2,FALSE)</f>
        <v>#N/A</v>
      </c>
      <c r="AB65" s="126"/>
    </row>
    <row r="66" spans="2:28">
      <c r="B66" s="50">
        <v>1</v>
      </c>
      <c r="C66" s="51" t="str">
        <f>VLOOKUP("28/204/1",Data!$A$2:$E$1425,3,FALSE)</f>
        <v>13108 TRULS</v>
      </c>
      <c r="D66" s="52"/>
      <c r="E66" s="53"/>
      <c r="G66" s="50">
        <v>1</v>
      </c>
      <c r="H66" s="51" t="str">
        <f>VLOOKUP("28/217/1",Data!$A$2:$E$1425,3,FALSE)</f>
        <v>13110 DEAN</v>
      </c>
      <c r="I66" s="52"/>
      <c r="J66" s="53"/>
      <c r="L66" s="6">
        <f>COUNTA(B54)+L65</f>
        <v>55</v>
      </c>
      <c r="M66" s="79" t="str">
        <f>C54</f>
        <v>10048 JONAS</v>
      </c>
      <c r="N66" s="80" t="s">
        <v>7430</v>
      </c>
      <c r="O66" s="81">
        <v>28</v>
      </c>
      <c r="P66" s="81">
        <v>201</v>
      </c>
      <c r="Q66" s="62" t="str">
        <f>_xlfn.IFS(COUNTA(B54:B56)=1,"Single",COUNTA(B54:B56)=2,"Double",COUNTA(B54:B56)=3,"Triple",COUNTA(B54:B56)=0,"Empty")</f>
        <v>Triple</v>
      </c>
      <c r="R66" s="62"/>
      <c r="S66" s="62"/>
      <c r="T66" s="62"/>
      <c r="U66" s="81">
        <f>B54</f>
        <v>1</v>
      </c>
      <c r="V66" s="100">
        <f>COUNT(B54:B56)</f>
        <v>3</v>
      </c>
      <c r="W66" s="101"/>
      <c r="X66" s="108" t="str">
        <f>IF(D54=0,"",D54)</f>
        <v/>
      </c>
      <c r="Y66" s="108" t="str">
        <f>IF(E54=0,"",E54)</f>
        <v/>
      </c>
      <c r="Z66" s="120" t="s">
        <v>6788</v>
      </c>
      <c r="AA66" s="121" t="e">
        <f>VLOOKUP($M:$M,Data!$I:$J,2,FALSE)</f>
        <v>#N/A</v>
      </c>
      <c r="AB66" s="122"/>
    </row>
    <row r="67" spans="2:28">
      <c r="B67" s="50">
        <v>2</v>
      </c>
      <c r="C67" s="51" t="str">
        <f>VLOOKUP("28/204/2",Data!$A$2:$E$1425,3,FALSE)</f>
        <v>13109 ALEXANDER</v>
      </c>
      <c r="D67" s="54"/>
      <c r="E67" s="55"/>
      <c r="G67" s="50">
        <v>2</v>
      </c>
      <c r="H67" s="51" t="str">
        <f>VLOOKUP("28/217/2",Data!$A$2:$E$1425,3,FALSE)</f>
        <v>13111 ROY</v>
      </c>
      <c r="I67" s="54"/>
      <c r="J67" s="55"/>
      <c r="L67" s="9">
        <f>COUNTA(B55)+L66</f>
        <v>56</v>
      </c>
      <c r="M67" s="31">
        <f>C55</f>
        <v>0</v>
      </c>
      <c r="N67" s="82" t="s">
        <v>7430</v>
      </c>
      <c r="O67" s="36">
        <v>28</v>
      </c>
      <c r="P67" s="36">
        <v>201</v>
      </c>
      <c r="Q67" s="32"/>
      <c r="R67" s="32"/>
      <c r="S67" s="32"/>
      <c r="T67" s="32"/>
      <c r="U67" s="36">
        <f>B55</f>
        <v>2</v>
      </c>
      <c r="V67" s="103"/>
      <c r="W67" s="104"/>
      <c r="X67" s="109" t="str">
        <f t="shared" ref="X67:Y68" si="20">IF(D55=0,"",D55)</f>
        <v/>
      </c>
      <c r="Y67" s="109" t="str">
        <f t="shared" si="20"/>
        <v/>
      </c>
      <c r="Z67" s="123" t="s">
        <v>6803</v>
      </c>
      <c r="AA67" s="124" t="e">
        <f>VLOOKUP($M:$M,Data!$I:$J,2,FALSE)</f>
        <v>#N/A</v>
      </c>
      <c r="AB67" s="125"/>
    </row>
    <row r="68" ht="15.25" spans="2:28">
      <c r="B68" s="58">
        <v>3</v>
      </c>
      <c r="C68" s="59">
        <f>VLOOKUP("28/204/3",Data!$A$2:$E$1425,3,FALSE)</f>
        <v>0</v>
      </c>
      <c r="D68" s="56"/>
      <c r="E68" s="57"/>
      <c r="G68" s="58">
        <v>3</v>
      </c>
      <c r="H68" s="59">
        <f>VLOOKUP("28/217/3",Data!$A$2:$E$1425,3,FALSE)</f>
        <v>0</v>
      </c>
      <c r="I68" s="56"/>
      <c r="J68" s="57"/>
      <c r="L68" s="14">
        <f>COUNTA(B56)+L67</f>
        <v>57</v>
      </c>
      <c r="M68" s="83">
        <f>C56</f>
        <v>0</v>
      </c>
      <c r="N68" s="84" t="s">
        <v>7430</v>
      </c>
      <c r="O68" s="85">
        <v>28</v>
      </c>
      <c r="P68" s="85">
        <v>201</v>
      </c>
      <c r="Q68" s="110"/>
      <c r="R68" s="110"/>
      <c r="S68" s="110"/>
      <c r="T68" s="110"/>
      <c r="U68" s="85">
        <f>B56</f>
        <v>3</v>
      </c>
      <c r="V68" s="105"/>
      <c r="W68" s="106"/>
      <c r="X68" s="111" t="str">
        <f t="shared" si="20"/>
        <v/>
      </c>
      <c r="Y68" s="111" t="str">
        <f t="shared" si="20"/>
        <v/>
      </c>
      <c r="Z68" s="127" t="s">
        <v>7483</v>
      </c>
      <c r="AA68" s="128" t="e">
        <f>VLOOKUP($M:$M,Data!$I:$J,2,FALSE)</f>
        <v>#N/A</v>
      </c>
      <c r="AB68" s="126"/>
    </row>
    <row r="69" spans="2:28">
      <c r="B69" s="46">
        <v>205</v>
      </c>
      <c r="C69" s="47"/>
      <c r="D69" s="48" t="s">
        <v>6580</v>
      </c>
      <c r="E69" s="49" t="s">
        <v>6581</v>
      </c>
      <c r="G69" s="46">
        <v>216</v>
      </c>
      <c r="H69" s="47"/>
      <c r="I69" s="48" t="s">
        <v>6580</v>
      </c>
      <c r="J69" s="49" t="s">
        <v>6581</v>
      </c>
      <c r="L69" s="6">
        <f>COUNTA(B58)+L68</f>
        <v>58</v>
      </c>
      <c r="M69" s="79" t="str">
        <f>C58</f>
        <v>13101 HUGO</v>
      </c>
      <c r="N69" s="80" t="s">
        <v>7430</v>
      </c>
      <c r="O69" s="81">
        <v>28</v>
      </c>
      <c r="P69" s="81">
        <v>202</v>
      </c>
      <c r="Q69" s="62" t="str">
        <f>_xlfn.IFS(COUNTA(B58:B60)=1,"Single",COUNTA(B58:B60)=2,"Double",COUNTA(B58:B60)=3,"Triple",COUNTA(B58:B60)=0,"Empty")</f>
        <v>Triple</v>
      </c>
      <c r="R69" s="62"/>
      <c r="S69" s="62"/>
      <c r="T69" s="62"/>
      <c r="U69" s="81">
        <f>B58</f>
        <v>1</v>
      </c>
      <c r="V69" s="100">
        <f>COUNT(B58:B60)</f>
        <v>3</v>
      </c>
      <c r="W69" s="101"/>
      <c r="X69" s="108" t="str">
        <f>IF(D58=0,"",D58)</f>
        <v/>
      </c>
      <c r="Y69" s="108" t="str">
        <f>IF(E58=0,"",E58)</f>
        <v/>
      </c>
      <c r="Z69" s="120" t="s">
        <v>7484</v>
      </c>
      <c r="AA69" s="121" t="e">
        <f>VLOOKUP($M:$M,Data!$I:$J,2,FALSE)</f>
        <v>#N/A</v>
      </c>
      <c r="AB69" s="122"/>
    </row>
    <row r="70" spans="2:28">
      <c r="B70" s="50">
        <v>1</v>
      </c>
      <c r="C70" s="51" t="str">
        <f>VLOOKUP("28/205/1",Data!$A$2:$E$1425,3,FALSE)</f>
        <v>13204 VICTOR</v>
      </c>
      <c r="D70" s="52"/>
      <c r="E70" s="53"/>
      <c r="G70" s="50">
        <v>1</v>
      </c>
      <c r="H70" s="51" t="str">
        <f>VLOOKUP("28/216/1",Data!$A$2:$E$1425,3,FALSE)</f>
        <v>13201 GUSTAV</v>
      </c>
      <c r="I70" s="52"/>
      <c r="J70" s="53"/>
      <c r="L70" s="9">
        <f>COUNTA(B59)+L69</f>
        <v>59</v>
      </c>
      <c r="M70" s="31" t="str">
        <f>C59</f>
        <v>13102 OLIVER</v>
      </c>
      <c r="N70" s="82" t="s">
        <v>7430</v>
      </c>
      <c r="O70" s="36">
        <v>28</v>
      </c>
      <c r="P70" s="36">
        <v>202</v>
      </c>
      <c r="Q70" s="32"/>
      <c r="R70" s="32"/>
      <c r="S70" s="32"/>
      <c r="T70" s="32"/>
      <c r="U70" s="36">
        <f>B59</f>
        <v>2</v>
      </c>
      <c r="V70" s="103"/>
      <c r="W70" s="104"/>
      <c r="X70" s="109" t="str">
        <f t="shared" ref="X70:Y71" si="21">IF(D59=0,"",D59)</f>
        <v/>
      </c>
      <c r="Y70" s="109" t="str">
        <f t="shared" si="21"/>
        <v/>
      </c>
      <c r="Z70" s="123" t="s">
        <v>7155</v>
      </c>
      <c r="AA70" s="124" t="e">
        <f>VLOOKUP($M:$M,Data!$I:$J,2,FALSE)</f>
        <v>#N/A</v>
      </c>
      <c r="AB70" s="125"/>
    </row>
    <row r="71" ht="15.25" spans="2:28">
      <c r="B71" s="50">
        <v>2</v>
      </c>
      <c r="C71" s="51" t="str">
        <f>VLOOKUP("28/205/2",Data!$A$2:$E$1425,3,FALSE)</f>
        <v>13207 ANTE</v>
      </c>
      <c r="D71" s="54"/>
      <c r="E71" s="55"/>
      <c r="G71" s="50">
        <v>2</v>
      </c>
      <c r="H71" s="51" t="str">
        <f>VLOOKUP("28/216/2",Data!$A$2:$E$1425,3,FALSE)</f>
        <v>13202 CHRISTOPHER</v>
      </c>
      <c r="I71" s="54"/>
      <c r="J71" s="55"/>
      <c r="L71" s="14">
        <f>COUNTA(B60)+L70</f>
        <v>60</v>
      </c>
      <c r="M71" s="83">
        <f>C60</f>
        <v>0</v>
      </c>
      <c r="N71" s="84" t="s">
        <v>7430</v>
      </c>
      <c r="O71" s="85">
        <v>28</v>
      </c>
      <c r="P71" s="85">
        <v>202</v>
      </c>
      <c r="Q71" s="110"/>
      <c r="R71" s="110"/>
      <c r="S71" s="110"/>
      <c r="T71" s="110"/>
      <c r="U71" s="85">
        <f>B60</f>
        <v>3</v>
      </c>
      <c r="V71" s="105"/>
      <c r="W71" s="106"/>
      <c r="X71" s="111" t="str">
        <f t="shared" si="21"/>
        <v/>
      </c>
      <c r="Y71" s="111" t="str">
        <f t="shared" si="21"/>
        <v/>
      </c>
      <c r="Z71" s="127" t="s">
        <v>6641</v>
      </c>
      <c r="AA71" s="128" t="e">
        <f>VLOOKUP($M:$M,Data!$I:$J,2,FALSE)</f>
        <v>#N/A</v>
      </c>
      <c r="AB71" s="126"/>
    </row>
    <row r="72" ht="15.25" spans="2:28">
      <c r="B72" s="58"/>
      <c r="C72" s="59">
        <f>VLOOKUP("28/205/3",Data!$A$2:$E$1425,3,FALSE)</f>
        <v>0</v>
      </c>
      <c r="D72" s="56"/>
      <c r="E72" s="57"/>
      <c r="G72" s="58">
        <v>3</v>
      </c>
      <c r="H72" s="59">
        <f>VLOOKUP("28/216/3",Data!$A$2:$E$1425,3,FALSE)</f>
        <v>0</v>
      </c>
      <c r="I72" s="56"/>
      <c r="J72" s="57"/>
      <c r="L72" s="6">
        <f>COUNTA(B62)+L71</f>
        <v>61</v>
      </c>
      <c r="M72" s="79" t="str">
        <f>C62</f>
        <v>13210 LINUS</v>
      </c>
      <c r="N72" s="80" t="s">
        <v>7430</v>
      </c>
      <c r="O72" s="81">
        <v>28</v>
      </c>
      <c r="P72" s="81">
        <v>203</v>
      </c>
      <c r="Q72" s="62" t="str">
        <f>_xlfn.IFS(COUNTA(B62:B64)=1,"Single",COUNTA(B62:B64)=2,"Double",COUNTA(B62:B64)=3,"Triple",COUNTA(B62:B64)=0,"Empty")</f>
        <v>Triple</v>
      </c>
      <c r="R72" s="62"/>
      <c r="S72" s="62"/>
      <c r="T72" s="62"/>
      <c r="U72" s="81">
        <f>B62</f>
        <v>1</v>
      </c>
      <c r="V72" s="100">
        <f>COUNT(B62:B64)</f>
        <v>3</v>
      </c>
      <c r="W72" s="101"/>
      <c r="X72" s="108" t="str">
        <f>IF(D62=0,"",D62)</f>
        <v/>
      </c>
      <c r="Y72" s="108" t="str">
        <f>IF(E62=0,"",E62)</f>
        <v/>
      </c>
      <c r="Z72" s="120" t="s">
        <v>6916</v>
      </c>
      <c r="AA72" s="121" t="e">
        <f>VLOOKUP($M:$M,Data!$I:$J,2,FALSE)</f>
        <v>#N/A</v>
      </c>
      <c r="AB72" s="122"/>
    </row>
    <row r="73" spans="2:28">
      <c r="B73" s="46">
        <v>206</v>
      </c>
      <c r="C73" s="47"/>
      <c r="D73" s="48" t="s">
        <v>6580</v>
      </c>
      <c r="E73" s="49" t="s">
        <v>6581</v>
      </c>
      <c r="G73" s="67" t="s">
        <v>7435</v>
      </c>
      <c r="H73" s="68"/>
      <c r="I73" s="68"/>
      <c r="J73" s="86"/>
      <c r="L73" s="9">
        <f>COUNTA(B63)+L72</f>
        <v>62</v>
      </c>
      <c r="M73" s="31" t="str">
        <f>C63</f>
        <v>13105 OSCAR</v>
      </c>
      <c r="N73" s="82" t="s">
        <v>7430</v>
      </c>
      <c r="O73" s="36">
        <v>28</v>
      </c>
      <c r="P73" s="36">
        <v>203</v>
      </c>
      <c r="Q73" s="32"/>
      <c r="R73" s="32"/>
      <c r="S73" s="32"/>
      <c r="T73" s="32"/>
      <c r="U73" s="36">
        <f>B63</f>
        <v>2</v>
      </c>
      <c r="V73" s="103"/>
      <c r="W73" s="104"/>
      <c r="X73" s="109" t="str">
        <f t="shared" ref="X73:Y74" si="22">IF(D63=0,"",D63)</f>
        <v/>
      </c>
      <c r="Y73" s="109" t="str">
        <f t="shared" si="22"/>
        <v/>
      </c>
      <c r="Z73" s="123" t="s">
        <v>7294</v>
      </c>
      <c r="AA73" s="124" t="e">
        <f>VLOOKUP($M:$M,Data!$I:$J,2,FALSE)</f>
        <v>#N/A</v>
      </c>
      <c r="AB73" s="125"/>
    </row>
    <row r="74" ht="15.25" spans="2:28">
      <c r="B74" s="50">
        <v>1</v>
      </c>
      <c r="C74" s="51" t="str">
        <f>VLOOKUP("28/206/1",Data!$A$2:$E$1425,3,FALSE)</f>
        <v>13208 CORNELIUS</v>
      </c>
      <c r="D74" s="52"/>
      <c r="E74" s="53"/>
      <c r="G74" s="69"/>
      <c r="H74" s="70"/>
      <c r="I74" s="70"/>
      <c r="J74" s="87"/>
      <c r="L74" s="14">
        <f>COUNTA(B64)+L73</f>
        <v>63</v>
      </c>
      <c r="M74" s="83">
        <f>C64</f>
        <v>0</v>
      </c>
      <c r="N74" s="84" t="s">
        <v>7430</v>
      </c>
      <c r="O74" s="85">
        <v>28</v>
      </c>
      <c r="P74" s="85">
        <v>203</v>
      </c>
      <c r="Q74" s="110"/>
      <c r="R74" s="110"/>
      <c r="S74" s="110"/>
      <c r="T74" s="110"/>
      <c r="U74" s="85">
        <f>B64</f>
        <v>3</v>
      </c>
      <c r="V74" s="105"/>
      <c r="W74" s="106"/>
      <c r="X74" s="111" t="str">
        <f t="shared" si="22"/>
        <v/>
      </c>
      <c r="Y74" s="111" t="str">
        <f t="shared" si="22"/>
        <v/>
      </c>
      <c r="Z74" s="127" t="s">
        <v>6893</v>
      </c>
      <c r="AA74" s="128" t="e">
        <f>VLOOKUP($M:$M,Data!$I:$J,2,FALSE)</f>
        <v>#N/A</v>
      </c>
      <c r="AB74" s="126"/>
    </row>
    <row r="75" spans="2:28">
      <c r="B75" s="50">
        <v>2</v>
      </c>
      <c r="C75" s="51" t="str">
        <f>VLOOKUP("28/206/2",Data!$A$2:$E$1425,3,FALSE)</f>
        <v>13209 KIM</v>
      </c>
      <c r="D75" s="54"/>
      <c r="E75" s="55"/>
      <c r="G75" s="69"/>
      <c r="H75" s="70"/>
      <c r="I75" s="70"/>
      <c r="J75" s="87"/>
      <c r="L75" s="6">
        <f>COUNTA(B66)+L74</f>
        <v>64</v>
      </c>
      <c r="M75" s="79" t="str">
        <f>C66</f>
        <v>13108 TRULS</v>
      </c>
      <c r="N75" s="80" t="s">
        <v>7430</v>
      </c>
      <c r="O75" s="81">
        <v>28</v>
      </c>
      <c r="P75" s="81">
        <v>204</v>
      </c>
      <c r="Q75" s="62" t="str">
        <f>_xlfn.IFS(COUNTA(B66:B68)=1,"Single",COUNTA(B66:B68)=2,"Double",COUNTA(B66:B68)=3,"Triple",COUNTA(B66:B68)=0,"Empty")</f>
        <v>Triple</v>
      </c>
      <c r="R75" s="62"/>
      <c r="S75" s="62"/>
      <c r="T75" s="62"/>
      <c r="U75" s="81">
        <f>B66</f>
        <v>1</v>
      </c>
      <c r="V75" s="100">
        <f>COUNT(B66:B68)</f>
        <v>3</v>
      </c>
      <c r="W75" s="101"/>
      <c r="X75" s="108" t="str">
        <f>IF(D66=0,"",D66)</f>
        <v/>
      </c>
      <c r="Y75" s="108" t="str">
        <f>IF(E66=0,"",E66)</f>
        <v/>
      </c>
      <c r="Z75" s="120" t="s">
        <v>6779</v>
      </c>
      <c r="AA75" s="121" t="e">
        <f>VLOOKUP($M:$M,Data!$I:$J,2,FALSE)</f>
        <v>#N/A</v>
      </c>
      <c r="AB75" s="122"/>
    </row>
    <row r="76" ht="15.25" spans="2:28">
      <c r="B76" s="58">
        <v>3</v>
      </c>
      <c r="C76" s="59">
        <f>VLOOKUP("28/206/3",Data!$A$2:$E$1425,3,FALSE)</f>
        <v>0</v>
      </c>
      <c r="D76" s="56"/>
      <c r="E76" s="57"/>
      <c r="G76" s="69"/>
      <c r="H76" s="70"/>
      <c r="I76" s="70"/>
      <c r="J76" s="87"/>
      <c r="L76" s="9">
        <f>COUNTA(B67)+L75</f>
        <v>65</v>
      </c>
      <c r="M76" s="31" t="str">
        <f>C67</f>
        <v>13109 ALEXANDER</v>
      </c>
      <c r="N76" s="82" t="s">
        <v>7430</v>
      </c>
      <c r="O76" s="36">
        <v>28</v>
      </c>
      <c r="P76" s="36">
        <v>204</v>
      </c>
      <c r="Q76" s="32"/>
      <c r="R76" s="32"/>
      <c r="S76" s="32"/>
      <c r="T76" s="32"/>
      <c r="U76" s="36">
        <f>B67</f>
        <v>2</v>
      </c>
      <c r="V76" s="103"/>
      <c r="W76" s="104"/>
      <c r="X76" s="109" t="str">
        <f t="shared" ref="X76:Y77" si="23">IF(D67=0,"",D67)</f>
        <v/>
      </c>
      <c r="Y76" s="109" t="str">
        <f t="shared" si="23"/>
        <v/>
      </c>
      <c r="Z76" s="123" t="s">
        <v>7382</v>
      </c>
      <c r="AA76" s="124" t="e">
        <f>VLOOKUP($M:$M,Data!$I:$J,2,FALSE)</f>
        <v>#N/A</v>
      </c>
      <c r="AB76" s="125"/>
    </row>
    <row r="77" ht="15.25" spans="2:28">
      <c r="B77" s="46">
        <v>207</v>
      </c>
      <c r="C77" s="47"/>
      <c r="D77" s="48" t="s">
        <v>6580</v>
      </c>
      <c r="E77" s="49" t="s">
        <v>6581</v>
      </c>
      <c r="G77" s="69"/>
      <c r="H77" s="70"/>
      <c r="I77" s="70"/>
      <c r="J77" s="87"/>
      <c r="L77" s="14">
        <f>COUNTA(B68)+L76</f>
        <v>66</v>
      </c>
      <c r="M77" s="83">
        <f>C68</f>
        <v>0</v>
      </c>
      <c r="N77" s="84" t="s">
        <v>7430</v>
      </c>
      <c r="O77" s="85">
        <v>28</v>
      </c>
      <c r="P77" s="85">
        <v>204</v>
      </c>
      <c r="Q77" s="110"/>
      <c r="R77" s="110"/>
      <c r="S77" s="110"/>
      <c r="T77" s="110"/>
      <c r="U77" s="85">
        <f>B68</f>
        <v>3</v>
      </c>
      <c r="V77" s="105"/>
      <c r="W77" s="106"/>
      <c r="X77" s="111" t="str">
        <f t="shared" si="23"/>
        <v/>
      </c>
      <c r="Y77" s="111" t="str">
        <f t="shared" si="23"/>
        <v/>
      </c>
      <c r="Z77" s="127" t="s">
        <v>6761</v>
      </c>
      <c r="AA77" s="128" t="e">
        <f>VLOOKUP($M:$M,Data!$I:$J,2,FALSE)</f>
        <v>#N/A</v>
      </c>
      <c r="AB77" s="126"/>
    </row>
    <row r="78" spans="2:28">
      <c r="B78" s="50">
        <v>1</v>
      </c>
      <c r="C78" s="51" t="str">
        <f>VLOOKUP("28/207/1",Data!$A$2:$E$1425,3,FALSE)</f>
        <v>13103 ERIK</v>
      </c>
      <c r="D78" s="52"/>
      <c r="E78" s="53"/>
      <c r="G78" s="69"/>
      <c r="H78" s="70"/>
      <c r="I78" s="70"/>
      <c r="J78" s="87"/>
      <c r="L78" s="6">
        <f>COUNTA(B70)+L77</f>
        <v>67</v>
      </c>
      <c r="M78" s="79" t="str">
        <f>C70</f>
        <v>13204 VICTOR</v>
      </c>
      <c r="N78" s="80" t="s">
        <v>7430</v>
      </c>
      <c r="O78" s="81">
        <v>28</v>
      </c>
      <c r="P78" s="81">
        <v>205</v>
      </c>
      <c r="Q78" s="62" t="str">
        <f>_xlfn.IFS(COUNTA(B70:B72)=1,"Single",COUNTA(B70:B72)=2,"Double",COUNTA(B70:B72)=3,"Triple",COUNTA(B70:B72)=0,"Empty")</f>
        <v>Double</v>
      </c>
      <c r="R78" s="62"/>
      <c r="S78" s="62"/>
      <c r="T78" s="62"/>
      <c r="U78" s="81">
        <f>B70</f>
        <v>1</v>
      </c>
      <c r="V78" s="100">
        <f>COUNT(B70:B72)</f>
        <v>2</v>
      </c>
      <c r="W78" s="101"/>
      <c r="X78" s="108" t="str">
        <f>IF(D70=0,"",D70)</f>
        <v/>
      </c>
      <c r="Y78" s="108" t="str">
        <f>IF(E70=0,"",E70)</f>
        <v/>
      </c>
      <c r="Z78" s="120" t="s">
        <v>7326</v>
      </c>
      <c r="AA78" s="121" t="e">
        <f>VLOOKUP($M:$M,Data!$I:$J,2,FALSE)</f>
        <v>#N/A</v>
      </c>
      <c r="AB78" s="122"/>
    </row>
    <row r="79" spans="2:28">
      <c r="B79" s="50">
        <v>2</v>
      </c>
      <c r="C79" s="51">
        <f>VLOOKUP("28/207/2",Data!$A$2:$E$1425,3,FALSE)</f>
        <v>0</v>
      </c>
      <c r="D79" s="54"/>
      <c r="E79" s="55"/>
      <c r="G79" s="69"/>
      <c r="H79" s="70"/>
      <c r="I79" s="70"/>
      <c r="J79" s="87"/>
      <c r="L79" s="9">
        <f>COUNTA(B71)+L78</f>
        <v>68</v>
      </c>
      <c r="M79" s="31" t="str">
        <f>C71</f>
        <v>13207 ANTE</v>
      </c>
      <c r="N79" s="82" t="s">
        <v>7430</v>
      </c>
      <c r="O79" s="36">
        <v>28</v>
      </c>
      <c r="P79" s="36">
        <v>205</v>
      </c>
      <c r="Q79" s="32"/>
      <c r="R79" s="32"/>
      <c r="S79" s="32"/>
      <c r="T79" s="32"/>
      <c r="U79" s="36">
        <f>B71</f>
        <v>2</v>
      </c>
      <c r="V79" s="103"/>
      <c r="W79" s="104"/>
      <c r="X79" s="109" t="str">
        <f t="shared" ref="X79:Y80" si="24">IF(D71=0,"",D71)</f>
        <v/>
      </c>
      <c r="Y79" s="109" t="str">
        <f t="shared" si="24"/>
        <v/>
      </c>
      <c r="Z79" s="123" t="s">
        <v>7485</v>
      </c>
      <c r="AA79" s="124" t="e">
        <f>VLOOKUP($M:$M,Data!$I:$J,2,FALSE)</f>
        <v>#N/A</v>
      </c>
      <c r="AB79" s="125"/>
    </row>
    <row r="80" ht="15.25" spans="2:28">
      <c r="B80" s="58"/>
      <c r="C80" s="59">
        <f>VLOOKUP("28/207/3",Data!$A$2:$E$1425,3,FALSE)</f>
        <v>0</v>
      </c>
      <c r="D80" s="56"/>
      <c r="E80" s="57"/>
      <c r="G80" s="71"/>
      <c r="H80" s="72"/>
      <c r="I80" s="72"/>
      <c r="J80" s="88"/>
      <c r="L80" s="14">
        <f>COUNTA(B72)+L79</f>
        <v>68</v>
      </c>
      <c r="M80" s="83">
        <f>C72</f>
        <v>0</v>
      </c>
      <c r="N80" s="84" t="s">
        <v>7430</v>
      </c>
      <c r="O80" s="85">
        <v>28</v>
      </c>
      <c r="P80" s="85">
        <v>205</v>
      </c>
      <c r="Q80" s="110"/>
      <c r="R80" s="110"/>
      <c r="S80" s="110"/>
      <c r="T80" s="110"/>
      <c r="U80" s="85">
        <f>B72</f>
        <v>0</v>
      </c>
      <c r="V80" s="105"/>
      <c r="W80" s="106"/>
      <c r="X80" s="111" t="str">
        <f t="shared" si="24"/>
        <v/>
      </c>
      <c r="Y80" s="111" t="str">
        <f t="shared" si="24"/>
        <v/>
      </c>
      <c r="Z80" s="127"/>
      <c r="AA80" s="128" t="e">
        <f>VLOOKUP($M:$M,Data!$I:$J,2,FALSE)</f>
        <v>#N/A</v>
      </c>
      <c r="AB80" s="126"/>
    </row>
    <row r="81" spans="2:28">
      <c r="B81" s="46">
        <v>208</v>
      </c>
      <c r="C81" s="47"/>
      <c r="D81" s="48" t="s">
        <v>6580</v>
      </c>
      <c r="E81" s="49" t="s">
        <v>6581</v>
      </c>
      <c r="G81" s="46">
        <v>215</v>
      </c>
      <c r="H81" s="47"/>
      <c r="I81" s="48" t="s">
        <v>6580</v>
      </c>
      <c r="J81" s="49" t="s">
        <v>6581</v>
      </c>
      <c r="L81" s="6">
        <f>COUNTA(B74)+L80</f>
        <v>69</v>
      </c>
      <c r="M81" s="79" t="str">
        <f>C74</f>
        <v>13208 CORNELIUS</v>
      </c>
      <c r="N81" s="80" t="s">
        <v>7430</v>
      </c>
      <c r="O81" s="81">
        <v>28</v>
      </c>
      <c r="P81" s="81">
        <v>206</v>
      </c>
      <c r="Q81" s="62" t="str">
        <f>_xlfn.IFS(COUNTA(B74:B76)=1,"Single",COUNTA(B74:B76)=2,"Double",COUNTA(B74:B76)=3,"Triple",COUNTA(B74:B76)=0,"Empty")</f>
        <v>Triple</v>
      </c>
      <c r="R81" s="62"/>
      <c r="S81" s="62"/>
      <c r="T81" s="62"/>
      <c r="U81" s="81">
        <f>B74</f>
        <v>1</v>
      </c>
      <c r="V81" s="100">
        <f>COUNT(B74:B76)</f>
        <v>3</v>
      </c>
      <c r="W81" s="101"/>
      <c r="X81" s="108" t="str">
        <f>IF(D74=0,"",D74)</f>
        <v/>
      </c>
      <c r="Y81" s="108" t="str">
        <f>IF(E74=0,"",E74)</f>
        <v/>
      </c>
      <c r="Z81" s="120" t="s">
        <v>6705</v>
      </c>
      <c r="AA81" s="121" t="e">
        <f>VLOOKUP($M:$M,Data!$I:$J,2,FALSE)</f>
        <v>#N/A</v>
      </c>
      <c r="AB81" s="122"/>
    </row>
    <row r="82" spans="2:28">
      <c r="B82" s="50">
        <v>1</v>
      </c>
      <c r="C82" s="51" t="str">
        <f>VLOOKUP("28/208/1",Data!$A$2:$E$1425,3,FALSE)</f>
        <v>13301 ELIAS</v>
      </c>
      <c r="D82" s="52"/>
      <c r="E82" s="53"/>
      <c r="G82" s="50">
        <v>1</v>
      </c>
      <c r="H82" s="51" t="str">
        <f>VLOOKUP("28/215/1",Data!$A$2:$E$1425,3,FALSE)</f>
        <v>13203 BSHAR</v>
      </c>
      <c r="I82" s="52"/>
      <c r="J82" s="53"/>
      <c r="L82" s="9">
        <f>COUNTA(B75)+L81</f>
        <v>70</v>
      </c>
      <c r="M82" s="31" t="str">
        <f>C75</f>
        <v>13209 KIM</v>
      </c>
      <c r="N82" s="82" t="s">
        <v>7430</v>
      </c>
      <c r="O82" s="36">
        <v>28</v>
      </c>
      <c r="P82" s="36">
        <v>206</v>
      </c>
      <c r="Q82" s="32"/>
      <c r="R82" s="32"/>
      <c r="S82" s="32"/>
      <c r="T82" s="32"/>
      <c r="U82" s="36">
        <f>B75</f>
        <v>2</v>
      </c>
      <c r="V82" s="103"/>
      <c r="W82" s="104"/>
      <c r="X82" s="109" t="str">
        <f t="shared" ref="X82:Y83" si="25">IF(D75=0,"",D75)</f>
        <v/>
      </c>
      <c r="Y82" s="109" t="str">
        <f t="shared" si="25"/>
        <v/>
      </c>
      <c r="Z82" s="123" t="s">
        <v>7486</v>
      </c>
      <c r="AA82" s="124" t="e">
        <f>VLOOKUP($M:$M,Data!$I:$J,2,FALSE)</f>
        <v>#N/A</v>
      </c>
      <c r="AB82" s="125"/>
    </row>
    <row r="83" ht="15.25" spans="2:28">
      <c r="B83" s="50">
        <v>2</v>
      </c>
      <c r="C83" s="51" t="str">
        <f>VLOOKUP("28/208/2",Data!$A$2:$E$1425,3,FALSE)</f>
        <v>13302 JESPER</v>
      </c>
      <c r="D83" s="54"/>
      <c r="E83" s="55"/>
      <c r="G83" s="50">
        <v>2</v>
      </c>
      <c r="H83" s="51" t="str">
        <f>VLOOKUP("28/215/2",Data!$A$2:$E$1425,3,FALSE)</f>
        <v>13205 DENNIS</v>
      </c>
      <c r="I83" s="54"/>
      <c r="J83" s="55"/>
      <c r="L83" s="14">
        <f>COUNTA(B76)+L82</f>
        <v>71</v>
      </c>
      <c r="M83" s="83">
        <f>C76</f>
        <v>0</v>
      </c>
      <c r="N83" s="84" t="s">
        <v>7430</v>
      </c>
      <c r="O83" s="85">
        <v>28</v>
      </c>
      <c r="P83" s="85">
        <v>206</v>
      </c>
      <c r="Q83" s="110"/>
      <c r="R83" s="110"/>
      <c r="S83" s="110"/>
      <c r="T83" s="110"/>
      <c r="U83" s="85">
        <f>B76</f>
        <v>3</v>
      </c>
      <c r="V83" s="105"/>
      <c r="W83" s="106"/>
      <c r="X83" s="111" t="str">
        <f t="shared" si="25"/>
        <v/>
      </c>
      <c r="Y83" s="111" t="str">
        <f t="shared" si="25"/>
        <v/>
      </c>
      <c r="Z83" s="127"/>
      <c r="AA83" s="128" t="e">
        <f>VLOOKUP($M:$M,Data!$I:$J,2,FALSE)</f>
        <v>#N/A</v>
      </c>
      <c r="AB83" s="126"/>
    </row>
    <row r="84" ht="15.25" spans="2:28">
      <c r="B84" s="58">
        <v>3</v>
      </c>
      <c r="C84" s="59">
        <f>VLOOKUP("28/208/3",Data!$A$2:$E$1425,3,FALSE)</f>
        <v>0</v>
      </c>
      <c r="D84" s="56"/>
      <c r="E84" s="57"/>
      <c r="G84" s="58">
        <v>3</v>
      </c>
      <c r="H84" s="59">
        <f>VLOOKUP("28/215/3",Data!$A$2:$E$1425,3,FALSE)</f>
        <v>0</v>
      </c>
      <c r="I84" s="56"/>
      <c r="J84" s="57"/>
      <c r="L84" s="6">
        <f>COUNTA(B78)+L83</f>
        <v>72</v>
      </c>
      <c r="M84" s="79" t="str">
        <f>C78</f>
        <v>13103 ERIK</v>
      </c>
      <c r="N84" s="80" t="s">
        <v>7430</v>
      </c>
      <c r="O84" s="81">
        <v>28</v>
      </c>
      <c r="P84" s="81">
        <v>207</v>
      </c>
      <c r="Q84" s="62" t="str">
        <f>_xlfn.IFS(COUNTA(B78:B80)=1,"Single",COUNTA(B78:B80)=2,"Double",COUNTA(B78:B80)=3,"Triple",COUNTA(B78:B80)=0,"Empty")</f>
        <v>Double</v>
      </c>
      <c r="R84" s="62"/>
      <c r="S84" s="62"/>
      <c r="T84" s="62"/>
      <c r="U84" s="81">
        <f>B78</f>
        <v>1</v>
      </c>
      <c r="V84" s="100">
        <f>COUNT(B78:B80)</f>
        <v>2</v>
      </c>
      <c r="W84" s="101"/>
      <c r="X84" s="108" t="str">
        <f>IF(D78=0,"",D78)</f>
        <v/>
      </c>
      <c r="Y84" s="108" t="str">
        <f>IF(E78=0,"",E78)</f>
        <v/>
      </c>
      <c r="Z84" s="318" t="s">
        <v>7487</v>
      </c>
      <c r="AA84" s="121" t="e">
        <f>VLOOKUP($M:$M,Data!$I:$J,2,FALSE)</f>
        <v>#N/A</v>
      </c>
      <c r="AB84" s="122"/>
    </row>
    <row r="85" spans="2:28">
      <c r="B85" s="46">
        <v>209</v>
      </c>
      <c r="C85" s="47"/>
      <c r="D85" s="48" t="s">
        <v>6580</v>
      </c>
      <c r="E85" s="49" t="s">
        <v>6581</v>
      </c>
      <c r="G85" s="46">
        <v>214</v>
      </c>
      <c r="H85" s="47"/>
      <c r="I85" s="48" t="s">
        <v>6580</v>
      </c>
      <c r="J85" s="49" t="s">
        <v>6581</v>
      </c>
      <c r="L85" s="9">
        <f>COUNTA(B79)+L84</f>
        <v>73</v>
      </c>
      <c r="M85" s="31">
        <f>C79</f>
        <v>0</v>
      </c>
      <c r="N85" s="82" t="s">
        <v>7430</v>
      </c>
      <c r="O85" s="36">
        <v>28</v>
      </c>
      <c r="P85" s="36">
        <v>207</v>
      </c>
      <c r="Q85" s="32"/>
      <c r="R85" s="32"/>
      <c r="S85" s="32"/>
      <c r="T85" s="32"/>
      <c r="U85" s="36">
        <f>B79</f>
        <v>2</v>
      </c>
      <c r="V85" s="103"/>
      <c r="W85" s="104"/>
      <c r="X85" s="109" t="str">
        <f t="shared" ref="X85:Y86" si="26">IF(D79=0,"",D79)</f>
        <v/>
      </c>
      <c r="Y85" s="109" t="str">
        <f t="shared" si="26"/>
        <v/>
      </c>
      <c r="Z85" s="123" t="s">
        <v>7265</v>
      </c>
      <c r="AA85" s="124" t="e">
        <f>VLOOKUP($M:$M,Data!$I:$J,2,FALSE)</f>
        <v>#N/A</v>
      </c>
      <c r="AB85" s="125"/>
    </row>
    <row r="86" ht="15.25" spans="2:28">
      <c r="B86" s="50">
        <v>1</v>
      </c>
      <c r="C86" s="51" t="str">
        <f>VLOOKUP("28/209/1",Data!$A$2:$E$1425,3,FALSE)</f>
        <v>13304 SIMON</v>
      </c>
      <c r="D86" s="52"/>
      <c r="E86" s="53"/>
      <c r="G86" s="50">
        <v>1</v>
      </c>
      <c r="H86" s="51" t="str">
        <f>VLOOKUP("28/214/1",Data!$A$2:$E$1425,3,FALSE)</f>
        <v>13303 TAGE</v>
      </c>
      <c r="I86" s="52"/>
      <c r="J86" s="53"/>
      <c r="L86" s="14">
        <f>COUNTA(B80)+L85</f>
        <v>73</v>
      </c>
      <c r="M86" s="83">
        <f>C80</f>
        <v>0</v>
      </c>
      <c r="N86" s="84" t="s">
        <v>7430</v>
      </c>
      <c r="O86" s="85">
        <v>28</v>
      </c>
      <c r="P86" s="85">
        <v>207</v>
      </c>
      <c r="Q86" s="110"/>
      <c r="R86" s="110"/>
      <c r="S86" s="110"/>
      <c r="T86" s="110"/>
      <c r="U86" s="85">
        <f>B80</f>
        <v>0</v>
      </c>
      <c r="V86" s="105"/>
      <c r="W86" s="106"/>
      <c r="X86" s="111" t="str">
        <f t="shared" si="26"/>
        <v/>
      </c>
      <c r="Y86" s="111" t="str">
        <f t="shared" si="26"/>
        <v/>
      </c>
      <c r="Z86" s="127"/>
      <c r="AA86" s="128" t="e">
        <f>VLOOKUP($M:$M,Data!$I:$J,2,FALSE)</f>
        <v>#N/A</v>
      </c>
      <c r="AB86" s="126"/>
    </row>
    <row r="87" spans="2:28">
      <c r="B87" s="50"/>
      <c r="C87" s="51" t="str">
        <f>VLOOKUP("28/209/2",Data!$A$2:$E$1425,3,FALSE)</f>
        <v>13307 JEPPE</v>
      </c>
      <c r="D87" s="54"/>
      <c r="E87" s="55"/>
      <c r="G87" s="50">
        <v>2</v>
      </c>
      <c r="H87" s="51" t="str">
        <f>VLOOKUP("28/214/2",Data!$A$2:$E$1425,3,FALSE)</f>
        <v>13305 LINUS</v>
      </c>
      <c r="I87" s="54"/>
      <c r="J87" s="55"/>
      <c r="L87" s="6">
        <f>COUNTA(B82)+L86</f>
        <v>74</v>
      </c>
      <c r="M87" s="79" t="str">
        <f>C82</f>
        <v>13301 ELIAS</v>
      </c>
      <c r="N87" s="80" t="s">
        <v>7430</v>
      </c>
      <c r="O87" s="81">
        <v>28</v>
      </c>
      <c r="P87" s="81">
        <v>208</v>
      </c>
      <c r="Q87" s="62" t="str">
        <f>_xlfn.IFS(COUNTA(B82:B84)=1,"Single",COUNTA(B82:B84)=2,"Double",COUNTA(B82:B84)=3,"Triple",COUNTA(B82:B84)=0,"Empty")</f>
        <v>Triple</v>
      </c>
      <c r="R87" s="62"/>
      <c r="S87" s="62"/>
      <c r="T87" s="62"/>
      <c r="U87" s="81">
        <f>B82</f>
        <v>1</v>
      </c>
      <c r="V87" s="100">
        <f>COUNT(B82:B84)</f>
        <v>3</v>
      </c>
      <c r="W87" s="101"/>
      <c r="X87" s="108" t="str">
        <f>IF(D82=0,"",D82)</f>
        <v/>
      </c>
      <c r="Y87" s="108" t="str">
        <f>IF(E82=0,"",E82)</f>
        <v/>
      </c>
      <c r="Z87" s="120" t="s">
        <v>6626</v>
      </c>
      <c r="AA87" s="121" t="e">
        <f>VLOOKUP($M:$M,Data!$I:$J,2,FALSE)</f>
        <v>#N/A</v>
      </c>
      <c r="AB87" s="122"/>
    </row>
    <row r="88" ht="15.25" spans="2:28">
      <c r="B88" s="58">
        <v>3</v>
      </c>
      <c r="C88" s="59">
        <f>VLOOKUP("28/209/3",Data!$A$2:$E$1425,3,FALSE)</f>
        <v>0</v>
      </c>
      <c r="D88" s="56"/>
      <c r="E88" s="57"/>
      <c r="G88" s="58">
        <v>3</v>
      </c>
      <c r="H88" s="59">
        <f>VLOOKUP("28/214/3",Data!$A$2:$E$1425,3,FALSE)</f>
        <v>0</v>
      </c>
      <c r="I88" s="56"/>
      <c r="J88" s="57"/>
      <c r="L88" s="9">
        <f>COUNTA(B83)+L87</f>
        <v>75</v>
      </c>
      <c r="M88" s="31" t="str">
        <f>C83</f>
        <v>13302 JESPER</v>
      </c>
      <c r="N88" s="82" t="s">
        <v>7430</v>
      </c>
      <c r="O88" s="36">
        <v>28</v>
      </c>
      <c r="P88" s="36">
        <v>208</v>
      </c>
      <c r="Q88" s="32"/>
      <c r="R88" s="32"/>
      <c r="S88" s="32"/>
      <c r="T88" s="32"/>
      <c r="U88" s="36">
        <f>B83</f>
        <v>2</v>
      </c>
      <c r="V88" s="103"/>
      <c r="W88" s="104"/>
      <c r="X88" s="109" t="str">
        <f t="shared" ref="X88:Y89" si="27">IF(D83=0,"",D83)</f>
        <v/>
      </c>
      <c r="Y88" s="109" t="str">
        <f t="shared" si="27"/>
        <v/>
      </c>
      <c r="Z88" s="123" t="s">
        <v>7173</v>
      </c>
      <c r="AA88" s="124" t="e">
        <f>VLOOKUP($M:$M,Data!$I:$J,2,FALSE)</f>
        <v>#N/A</v>
      </c>
      <c r="AB88" s="125"/>
    </row>
    <row r="89" ht="15.25" spans="2:28">
      <c r="B89" s="46">
        <v>210</v>
      </c>
      <c r="C89" s="47"/>
      <c r="D89" s="48" t="s">
        <v>6580</v>
      </c>
      <c r="E89" s="49" t="s">
        <v>6581</v>
      </c>
      <c r="G89" s="46">
        <v>213</v>
      </c>
      <c r="H89" s="47"/>
      <c r="I89" s="48" t="s">
        <v>6580</v>
      </c>
      <c r="J89" s="49" t="s">
        <v>6581</v>
      </c>
      <c r="L89" s="14">
        <f>COUNTA(B84)+L88</f>
        <v>76</v>
      </c>
      <c r="M89" s="83">
        <f>C84</f>
        <v>0</v>
      </c>
      <c r="N89" s="84" t="s">
        <v>7430</v>
      </c>
      <c r="O89" s="85">
        <v>28</v>
      </c>
      <c r="P89" s="85">
        <v>208</v>
      </c>
      <c r="Q89" s="110"/>
      <c r="R89" s="110"/>
      <c r="S89" s="110"/>
      <c r="T89" s="110"/>
      <c r="U89" s="85">
        <f>B84</f>
        <v>3</v>
      </c>
      <c r="V89" s="105"/>
      <c r="W89" s="106"/>
      <c r="X89" s="111" t="str">
        <f t="shared" si="27"/>
        <v/>
      </c>
      <c r="Y89" s="111" t="str">
        <f t="shared" si="27"/>
        <v/>
      </c>
      <c r="Z89" s="127" t="s">
        <v>6920</v>
      </c>
      <c r="AA89" s="128" t="e">
        <f>VLOOKUP($M:$M,Data!$I:$J,2,FALSE)</f>
        <v>#N/A</v>
      </c>
      <c r="AB89" s="126"/>
    </row>
    <row r="90" spans="2:28">
      <c r="B90" s="50">
        <v>1</v>
      </c>
      <c r="C90" s="51" t="str">
        <f>VLOOKUP("28/210/1",Data!$A$2:$E$1425,3,FALSE)</f>
        <v>13310 JOSHUA</v>
      </c>
      <c r="D90" s="52"/>
      <c r="E90" s="53"/>
      <c r="G90" s="50">
        <v>1</v>
      </c>
      <c r="H90" s="51" t="str">
        <f>VLOOKUP("28/213/1",Data!$A$2:$E$1425,3,FALSE)</f>
        <v>13308 TEO</v>
      </c>
      <c r="I90" s="52"/>
      <c r="J90" s="53"/>
      <c r="L90" s="6">
        <f>COUNTA(B86)+L89</f>
        <v>77</v>
      </c>
      <c r="M90" s="79" t="str">
        <f>C86</f>
        <v>13304 SIMON</v>
      </c>
      <c r="N90" s="80" t="s">
        <v>7430</v>
      </c>
      <c r="O90" s="81">
        <v>28</v>
      </c>
      <c r="P90" s="81">
        <v>209</v>
      </c>
      <c r="Q90" s="62" t="str">
        <f>_xlfn.IFS(COUNTA(B86:B88)=1,"Single",COUNTA(B86:B88)=2,"Double",COUNTA(B86:B88)=3,"Triple",COUNTA(B86:B88)=0,"Empty")</f>
        <v>Double</v>
      </c>
      <c r="R90" s="62"/>
      <c r="S90" s="62"/>
      <c r="T90" s="62"/>
      <c r="U90" s="81">
        <f>B86</f>
        <v>1</v>
      </c>
      <c r="V90" s="100">
        <f>COUNT(B86:B88)</f>
        <v>2</v>
      </c>
      <c r="W90" s="101"/>
      <c r="X90" s="108" t="str">
        <f>IF(D86=0,"",D86)</f>
        <v/>
      </c>
      <c r="Y90" s="108" t="str">
        <f>IF(E86=0,"",E86)</f>
        <v/>
      </c>
      <c r="Z90" s="120" t="s">
        <v>7488</v>
      </c>
      <c r="AA90" s="121" t="e">
        <f>VLOOKUP($M:$M,Data!$I:$J,2,FALSE)</f>
        <v>#N/A</v>
      </c>
      <c r="AB90" s="122"/>
    </row>
    <row r="91" spans="2:28">
      <c r="B91" s="50">
        <v>2</v>
      </c>
      <c r="C91" s="51" t="str">
        <f>VLOOKUP("28/210/2",Data!$A$2:$E$1425,3,FALSE)</f>
        <v>13306 OLLE</v>
      </c>
      <c r="D91" s="54"/>
      <c r="E91" s="55"/>
      <c r="G91" s="50">
        <v>2</v>
      </c>
      <c r="H91" s="51" t="str">
        <f>VLOOKUP("28/213/2",Data!$A$2:$E$1425,3,FALSE)</f>
        <v>13309 ALMIR</v>
      </c>
      <c r="I91" s="54"/>
      <c r="J91" s="55"/>
      <c r="L91" s="9">
        <f>COUNTA(B87)+L90</f>
        <v>77</v>
      </c>
      <c r="M91" s="31" t="str">
        <f>C87</f>
        <v>13307 JEPPE</v>
      </c>
      <c r="N91" s="82" t="s">
        <v>7430</v>
      </c>
      <c r="O91" s="36">
        <v>28</v>
      </c>
      <c r="P91" s="36">
        <v>209</v>
      </c>
      <c r="Q91" s="32"/>
      <c r="R91" s="32"/>
      <c r="S91" s="32"/>
      <c r="T91" s="32"/>
      <c r="U91" s="36">
        <f>B87</f>
        <v>0</v>
      </c>
      <c r="V91" s="103"/>
      <c r="W91" s="104"/>
      <c r="X91" s="109" t="str">
        <f t="shared" ref="X91:Y92" si="28">IF(D87=0,"",D87)</f>
        <v/>
      </c>
      <c r="Y91" s="109" t="str">
        <f t="shared" si="28"/>
        <v/>
      </c>
      <c r="Z91" s="123"/>
      <c r="AA91" s="124" t="e">
        <f>VLOOKUP($M:$M,Data!$I:$J,2,FALSE)</f>
        <v>#N/A</v>
      </c>
      <c r="AB91" s="125"/>
    </row>
    <row r="92" ht="15.25" spans="2:28">
      <c r="B92" s="58"/>
      <c r="C92" s="59">
        <f>VLOOKUP("28/210/3",Data!$A$2:$E$1425,3,FALSE)</f>
        <v>0</v>
      </c>
      <c r="D92" s="56"/>
      <c r="E92" s="57"/>
      <c r="G92" s="58">
        <v>3</v>
      </c>
      <c r="H92" s="59">
        <f>VLOOKUP("28/213/3",Data!$A$2:$E$1425,3,FALSE)</f>
        <v>0</v>
      </c>
      <c r="I92" s="56"/>
      <c r="J92" s="57"/>
      <c r="L92" s="14">
        <f>COUNTA(B88)+L91</f>
        <v>78</v>
      </c>
      <c r="M92" s="83">
        <f>C88</f>
        <v>0</v>
      </c>
      <c r="N92" s="84" t="s">
        <v>7430</v>
      </c>
      <c r="O92" s="85">
        <v>28</v>
      </c>
      <c r="P92" s="85">
        <v>209</v>
      </c>
      <c r="Q92" s="110"/>
      <c r="R92" s="110"/>
      <c r="S92" s="110"/>
      <c r="T92" s="110"/>
      <c r="U92" s="85">
        <f>B88</f>
        <v>3</v>
      </c>
      <c r="V92" s="105"/>
      <c r="W92" s="106"/>
      <c r="X92" s="111" t="str">
        <f t="shared" si="28"/>
        <v/>
      </c>
      <c r="Y92" s="111" t="str">
        <f t="shared" si="28"/>
        <v/>
      </c>
      <c r="Z92" s="127" t="s">
        <v>7489</v>
      </c>
      <c r="AA92" s="128" t="e">
        <f>VLOOKUP($M:$M,Data!$I:$J,2,FALSE)</f>
        <v>#N/A</v>
      </c>
      <c r="AB92" s="126"/>
    </row>
    <row r="93" spans="2:28">
      <c r="B93" s="46">
        <v>211</v>
      </c>
      <c r="C93" s="47"/>
      <c r="D93" s="48" t="s">
        <v>6580</v>
      </c>
      <c r="E93" s="49" t="s">
        <v>6581</v>
      </c>
      <c r="G93" s="46">
        <v>212</v>
      </c>
      <c r="H93" s="47"/>
      <c r="I93" s="48" t="s">
        <v>6580</v>
      </c>
      <c r="J93" s="49" t="s">
        <v>6581</v>
      </c>
      <c r="L93" s="6">
        <f>COUNTA(B90)+L92</f>
        <v>79</v>
      </c>
      <c r="M93" s="79" t="str">
        <f>C90</f>
        <v>13310 JOSHUA</v>
      </c>
      <c r="N93" s="80" t="s">
        <v>7430</v>
      </c>
      <c r="O93" s="81">
        <v>28</v>
      </c>
      <c r="P93" s="81">
        <v>210</v>
      </c>
      <c r="Q93" s="62" t="str">
        <f>_xlfn.IFS(COUNTA(B90:B92)=1,"Single",COUNTA(B90:B92)=2,"Double",COUNTA(B90:B92)=3,"Triple",COUNTA(B90:B92)=0,"Empty")</f>
        <v>Double</v>
      </c>
      <c r="R93" s="62"/>
      <c r="S93" s="62"/>
      <c r="T93" s="62"/>
      <c r="U93" s="81">
        <f>B90</f>
        <v>1</v>
      </c>
      <c r="V93" s="100">
        <f>COUNT(B90:B92)</f>
        <v>2</v>
      </c>
      <c r="W93" s="101"/>
      <c r="X93" s="108" t="str">
        <f>IF(D90=0,"",D90)</f>
        <v/>
      </c>
      <c r="Y93" s="108" t="str">
        <f>IF(E90=0,"",E90)</f>
        <v/>
      </c>
      <c r="Z93" s="120" t="s">
        <v>7490</v>
      </c>
      <c r="AA93" s="121" t="e">
        <f>VLOOKUP($M:$M,Data!$I:$J,2,FALSE)</f>
        <v>#N/A</v>
      </c>
      <c r="AB93" s="122"/>
    </row>
    <row r="94" spans="2:28">
      <c r="B94" s="50">
        <v>1</v>
      </c>
      <c r="C94" s="51" t="str">
        <f>VLOOKUP("28/211/1",Data!$A$2:$E$1425,3,FALSE)</f>
        <v>13001 ERIK</v>
      </c>
      <c r="D94" s="52"/>
      <c r="E94" s="53"/>
      <c r="G94" s="50">
        <v>1</v>
      </c>
      <c r="H94" s="51" t="str">
        <f>VLOOKUP("28/212/1",Data!$A$2:$E$1425,3,FALSE)</f>
        <v>13002 PAR</v>
      </c>
      <c r="I94" s="52"/>
      <c r="J94" s="53"/>
      <c r="L94" s="9">
        <f>COUNTA(B91)+L93</f>
        <v>80</v>
      </c>
      <c r="M94" s="31" t="str">
        <f>C91</f>
        <v>13306 OLLE</v>
      </c>
      <c r="N94" s="82" t="s">
        <v>7430</v>
      </c>
      <c r="O94" s="36">
        <v>28</v>
      </c>
      <c r="P94" s="36">
        <v>210</v>
      </c>
      <c r="Q94" s="32"/>
      <c r="R94" s="32"/>
      <c r="S94" s="32"/>
      <c r="T94" s="32"/>
      <c r="U94" s="36">
        <f>B91</f>
        <v>2</v>
      </c>
      <c r="V94" s="103"/>
      <c r="W94" s="104"/>
      <c r="X94" s="109" t="str">
        <f t="shared" ref="X94:Y95" si="29">IF(D91=0,"",D91)</f>
        <v/>
      </c>
      <c r="Y94" s="109" t="str">
        <f t="shared" si="29"/>
        <v/>
      </c>
      <c r="Z94" s="123" t="s">
        <v>7491</v>
      </c>
      <c r="AA94" s="124" t="e">
        <f>VLOOKUP($M:$M,Data!$I:$J,2,FALSE)</f>
        <v>#N/A</v>
      </c>
      <c r="AB94" s="125"/>
    </row>
    <row r="95" ht="15.25" spans="2:28">
      <c r="B95" s="50">
        <v>2</v>
      </c>
      <c r="C95" s="51">
        <f>VLOOKUP("28/211/2",Data!$A$2:$E$1425,3,FALSE)</f>
        <v>0</v>
      </c>
      <c r="D95" s="54"/>
      <c r="E95" s="55"/>
      <c r="G95" s="50">
        <v>2</v>
      </c>
      <c r="H95" s="51">
        <f>VLOOKUP("28/212/2",Data!$A$2:$E$1425,3,FALSE)</f>
        <v>0</v>
      </c>
      <c r="I95" s="54"/>
      <c r="J95" s="55"/>
      <c r="L95" s="14">
        <f>COUNTA(B92)+L94</f>
        <v>80</v>
      </c>
      <c r="M95" s="83">
        <f>C92</f>
        <v>0</v>
      </c>
      <c r="N95" s="84" t="s">
        <v>7430</v>
      </c>
      <c r="O95" s="85">
        <v>28</v>
      </c>
      <c r="P95" s="85">
        <v>210</v>
      </c>
      <c r="Q95" s="110"/>
      <c r="R95" s="110"/>
      <c r="S95" s="110"/>
      <c r="T95" s="110"/>
      <c r="U95" s="85">
        <f>B92</f>
        <v>0</v>
      </c>
      <c r="V95" s="105"/>
      <c r="W95" s="106"/>
      <c r="X95" s="111" t="str">
        <f t="shared" si="29"/>
        <v/>
      </c>
      <c r="Y95" s="111" t="str">
        <f t="shared" si="29"/>
        <v/>
      </c>
      <c r="Z95" s="127"/>
      <c r="AA95" s="128" t="e">
        <f>VLOOKUP($M:$M,Data!$I:$J,2,FALSE)</f>
        <v>#N/A</v>
      </c>
      <c r="AB95" s="126"/>
    </row>
    <row r="96" ht="15.25" spans="2:28">
      <c r="B96" s="58">
        <v>3</v>
      </c>
      <c r="C96" s="59">
        <f>VLOOKUP("28/211/3",Data!$A$2:$E$1425,3,FALSE)</f>
        <v>0</v>
      </c>
      <c r="D96" s="56"/>
      <c r="E96" s="57"/>
      <c r="G96" s="58"/>
      <c r="H96" s="59">
        <f>VLOOKUP("28/212/3",Data!$A$2:$E$1425,3,FALSE)</f>
        <v>0</v>
      </c>
      <c r="I96" s="56"/>
      <c r="J96" s="57"/>
      <c r="L96" s="6">
        <f>COUNTA(B94)+L95</f>
        <v>81</v>
      </c>
      <c r="M96" s="79" t="str">
        <f>C94</f>
        <v>13001 ERIK</v>
      </c>
      <c r="N96" s="80" t="s">
        <v>7430</v>
      </c>
      <c r="O96" s="81">
        <v>28</v>
      </c>
      <c r="P96" s="81">
        <v>211</v>
      </c>
      <c r="Q96" s="62" t="str">
        <f>_xlfn.IFS(COUNTA(B94:B96)=1,"Single",COUNTA(B94:B96)=2,"Double",COUNTA(B94:B96)=3,"Triple",COUNTA(B94:B96)=0,"Empty")</f>
        <v>Triple</v>
      </c>
      <c r="R96" s="62"/>
      <c r="S96" s="62"/>
      <c r="T96" s="62"/>
      <c r="U96" s="81">
        <f>B94</f>
        <v>1</v>
      </c>
      <c r="V96" s="100">
        <f>COUNT(B94:B96)</f>
        <v>3</v>
      </c>
      <c r="W96" s="101"/>
      <c r="X96" s="108" t="str">
        <f>IF(D94=0,"",D94)</f>
        <v/>
      </c>
      <c r="Y96" s="108" t="str">
        <f>IF(E94=0,"",E94)</f>
        <v/>
      </c>
      <c r="Z96" s="120" t="s">
        <v>7292</v>
      </c>
      <c r="AA96" s="121" t="e">
        <f>VLOOKUP($M:$M,Data!$I:$J,2,FALSE)</f>
        <v>#N/A</v>
      </c>
      <c r="AB96" s="122"/>
    </row>
    <row r="97" spans="12:28">
      <c r="L97" s="9">
        <f>COUNTA(B95)+L96</f>
        <v>82</v>
      </c>
      <c r="M97" s="31">
        <f>C95</f>
        <v>0</v>
      </c>
      <c r="N97" s="82" t="s">
        <v>7430</v>
      </c>
      <c r="O97" s="36">
        <v>28</v>
      </c>
      <c r="P97" s="36">
        <v>211</v>
      </c>
      <c r="Q97" s="32"/>
      <c r="R97" s="32"/>
      <c r="S97" s="32"/>
      <c r="T97" s="32"/>
      <c r="U97" s="36">
        <f>B95</f>
        <v>2</v>
      </c>
      <c r="V97" s="103"/>
      <c r="W97" s="104"/>
      <c r="X97" s="109" t="str">
        <f t="shared" ref="X97:Y98" si="30">IF(D95=0,"",D95)</f>
        <v/>
      </c>
      <c r="Y97" s="109" t="str">
        <f t="shared" si="30"/>
        <v/>
      </c>
      <c r="Z97" s="123" t="s">
        <v>6634</v>
      </c>
      <c r="AA97" s="124" t="e">
        <f>VLOOKUP($M:$M,Data!$I:$J,2,FALSE)</f>
        <v>#N/A</v>
      </c>
      <c r="AB97" s="125"/>
    </row>
    <row r="98" ht="15.25" spans="12:28">
      <c r="L98" s="14">
        <f>COUNTA(B96)+L97</f>
        <v>83</v>
      </c>
      <c r="M98" s="83">
        <f>C96</f>
        <v>0</v>
      </c>
      <c r="N98" s="84" t="s">
        <v>7430</v>
      </c>
      <c r="O98" s="85">
        <v>28</v>
      </c>
      <c r="P98" s="85">
        <v>211</v>
      </c>
      <c r="Q98" s="110"/>
      <c r="R98" s="110"/>
      <c r="S98" s="110"/>
      <c r="T98" s="110"/>
      <c r="U98" s="85">
        <f>B96</f>
        <v>3</v>
      </c>
      <c r="V98" s="105"/>
      <c r="W98" s="106"/>
      <c r="X98" s="111" t="str">
        <f t="shared" si="30"/>
        <v/>
      </c>
      <c r="Y98" s="111" t="str">
        <f t="shared" si="30"/>
        <v/>
      </c>
      <c r="Z98" s="127" t="s">
        <v>7115</v>
      </c>
      <c r="AA98" s="128" t="e">
        <f>VLOOKUP($M:$M,Data!$I:$J,2,FALSE)</f>
        <v>#N/A</v>
      </c>
      <c r="AB98" s="126"/>
    </row>
    <row r="99" spans="12:28">
      <c r="L99" s="6">
        <f>COUNTA(G94)+L98</f>
        <v>84</v>
      </c>
      <c r="M99" s="79" t="str">
        <f>H94</f>
        <v>13002 PAR</v>
      </c>
      <c r="N99" s="80" t="s">
        <v>7430</v>
      </c>
      <c r="O99" s="81">
        <v>28</v>
      </c>
      <c r="P99" s="81">
        <v>212</v>
      </c>
      <c r="Q99" s="62" t="str">
        <f>_xlfn.IFS(COUNTA(G94:G96)=1,"Single",COUNTA(G94:G96)=2,"Double",COUNTA(G94:G96)=3,"Triple",COUNTA(G94:G96)=0,"Empty")</f>
        <v>Double</v>
      </c>
      <c r="R99" s="62"/>
      <c r="S99" s="62"/>
      <c r="T99" s="62"/>
      <c r="U99" s="81">
        <f>G94</f>
        <v>1</v>
      </c>
      <c r="V99" s="100">
        <f>COUNT(G94:G96)</f>
        <v>2</v>
      </c>
      <c r="W99" s="101"/>
      <c r="X99" s="108" t="str">
        <f>IF(I94=0,"",I94)</f>
        <v/>
      </c>
      <c r="Y99" s="108" t="str">
        <f>IF(J94=0,"",J94)</f>
        <v/>
      </c>
      <c r="Z99" s="120" t="s">
        <v>7492</v>
      </c>
      <c r="AA99" s="121" t="e">
        <f>VLOOKUP($M:$M,Data!$I:$J,2,FALSE)</f>
        <v>#N/A</v>
      </c>
      <c r="AB99" s="122" t="s">
        <v>7493</v>
      </c>
    </row>
    <row r="100" spans="12:28">
      <c r="L100" s="9">
        <f>COUNTA(G95)+L99</f>
        <v>85</v>
      </c>
      <c r="M100" s="31">
        <f>H95</f>
        <v>0</v>
      </c>
      <c r="N100" s="82" t="s">
        <v>7430</v>
      </c>
      <c r="O100" s="36">
        <v>28</v>
      </c>
      <c r="P100" s="36">
        <v>212</v>
      </c>
      <c r="Q100" s="32"/>
      <c r="R100" s="32"/>
      <c r="S100" s="32"/>
      <c r="T100" s="32"/>
      <c r="U100" s="36">
        <f>G95</f>
        <v>2</v>
      </c>
      <c r="V100" s="103"/>
      <c r="W100" s="104"/>
      <c r="X100" s="109" t="str">
        <f t="shared" ref="X100:Y101" si="31">IF(I95=0,"",I95)</f>
        <v/>
      </c>
      <c r="Y100" s="109" t="str">
        <f t="shared" si="31"/>
        <v/>
      </c>
      <c r="Z100" s="123" t="s">
        <v>6896</v>
      </c>
      <c r="AA100" s="124" t="e">
        <f>VLOOKUP($M:$M,Data!$I:$J,2,FALSE)</f>
        <v>#N/A</v>
      </c>
      <c r="AB100" s="125"/>
    </row>
    <row r="101" ht="15.25" spans="12:28">
      <c r="L101" s="14">
        <f>COUNTA(G96)+L100</f>
        <v>85</v>
      </c>
      <c r="M101" s="83">
        <f>H96</f>
        <v>0</v>
      </c>
      <c r="N101" s="84" t="s">
        <v>7430</v>
      </c>
      <c r="O101" s="85">
        <v>28</v>
      </c>
      <c r="P101" s="85">
        <v>212</v>
      </c>
      <c r="Q101" s="110"/>
      <c r="R101" s="110"/>
      <c r="S101" s="110"/>
      <c r="T101" s="110"/>
      <c r="U101" s="85">
        <f>G96</f>
        <v>0</v>
      </c>
      <c r="V101" s="105"/>
      <c r="W101" s="106"/>
      <c r="X101" s="111" t="str">
        <f t="shared" si="31"/>
        <v/>
      </c>
      <c r="Y101" s="111" t="str">
        <f t="shared" si="31"/>
        <v/>
      </c>
      <c r="Z101" s="127"/>
      <c r="AA101" s="128" t="e">
        <f>VLOOKUP($M:$M,Data!$I:$J,2,FALSE)</f>
        <v>#N/A</v>
      </c>
      <c r="AB101" s="126"/>
    </row>
    <row r="102" spans="12:28">
      <c r="L102" s="6">
        <f>COUNTA(G90)+L101</f>
        <v>86</v>
      </c>
      <c r="M102" s="79" t="str">
        <f>H90</f>
        <v>13308 TEO</v>
      </c>
      <c r="N102" s="80" t="s">
        <v>7430</v>
      </c>
      <c r="O102" s="81">
        <v>28</v>
      </c>
      <c r="P102" s="81">
        <v>213</v>
      </c>
      <c r="Q102" s="62" t="str">
        <f>_xlfn.IFS(COUNTA(G90:G92)=1,"Single",COUNTA(G90:G92)=2,"Double",COUNTA(G90:G92)=3,"Triple",COUNTA(G90:G92)=0,"Empty")</f>
        <v>Triple</v>
      </c>
      <c r="R102" s="62"/>
      <c r="S102" s="62"/>
      <c r="T102" s="62"/>
      <c r="U102" s="81">
        <f>G90</f>
        <v>1</v>
      </c>
      <c r="V102" s="100">
        <f>COUNT(G90:G92)</f>
        <v>3</v>
      </c>
      <c r="W102" s="101"/>
      <c r="X102" s="108" t="str">
        <f>IF(I90=0,"",I90)</f>
        <v/>
      </c>
      <c r="Y102" s="108" t="str">
        <f>IF(J90=0,"",J90)</f>
        <v/>
      </c>
      <c r="Z102" s="120" t="s">
        <v>6680</v>
      </c>
      <c r="AA102" s="121" t="e">
        <f>VLOOKUP($M:$M,Data!$I:$J,2,FALSE)</f>
        <v>#N/A</v>
      </c>
      <c r="AB102" s="122"/>
    </row>
    <row r="103" spans="12:28">
      <c r="L103" s="9">
        <f>COUNTA(G91)+L102</f>
        <v>87</v>
      </c>
      <c r="M103" s="31" t="str">
        <f>H91</f>
        <v>13309 ALMIR</v>
      </c>
      <c r="N103" s="82" t="s">
        <v>7430</v>
      </c>
      <c r="O103" s="36">
        <v>28</v>
      </c>
      <c r="P103" s="36">
        <v>213</v>
      </c>
      <c r="Q103" s="32"/>
      <c r="R103" s="32"/>
      <c r="S103" s="32"/>
      <c r="T103" s="32"/>
      <c r="U103" s="36">
        <f>G91</f>
        <v>2</v>
      </c>
      <c r="V103" s="103"/>
      <c r="W103" s="104"/>
      <c r="X103" s="109" t="str">
        <f t="shared" ref="X103:Y104" si="32">IF(I91=0,"",I91)</f>
        <v/>
      </c>
      <c r="Y103" s="109" t="str">
        <f t="shared" si="32"/>
        <v/>
      </c>
      <c r="Z103" s="123" t="s">
        <v>7053</v>
      </c>
      <c r="AA103" s="124" t="e">
        <f>VLOOKUP($M:$M,Data!$I:$J,2,FALSE)</f>
        <v>#N/A</v>
      </c>
      <c r="AB103" s="125"/>
    </row>
    <row r="104" ht="15.25" spans="12:28">
      <c r="L104" s="14">
        <f>COUNTA(G92)+L103</f>
        <v>88</v>
      </c>
      <c r="M104" s="83">
        <f>H92</f>
        <v>0</v>
      </c>
      <c r="N104" s="84" t="s">
        <v>7430</v>
      </c>
      <c r="O104" s="85">
        <v>28</v>
      </c>
      <c r="P104" s="85">
        <v>213</v>
      </c>
      <c r="Q104" s="110"/>
      <c r="R104" s="110"/>
      <c r="S104" s="110"/>
      <c r="T104" s="110"/>
      <c r="U104" s="85">
        <f>G92</f>
        <v>3</v>
      </c>
      <c r="V104" s="105"/>
      <c r="W104" s="106"/>
      <c r="X104" s="111" t="str">
        <f t="shared" si="32"/>
        <v/>
      </c>
      <c r="Y104" s="111" t="str">
        <f t="shared" si="32"/>
        <v/>
      </c>
      <c r="Z104" s="127" t="s">
        <v>6685</v>
      </c>
      <c r="AA104" s="128" t="e">
        <f>VLOOKUP($M:$M,Data!$I:$J,2,FALSE)</f>
        <v>#N/A</v>
      </c>
      <c r="AB104" s="126"/>
    </row>
    <row r="105" spans="12:28">
      <c r="L105" s="6">
        <f>COUNTA(G86)+L104</f>
        <v>89</v>
      </c>
      <c r="M105" s="79" t="str">
        <f>H86</f>
        <v>13303 TAGE</v>
      </c>
      <c r="N105" s="80" t="s">
        <v>7430</v>
      </c>
      <c r="O105" s="81">
        <v>28</v>
      </c>
      <c r="P105" s="81">
        <v>214</v>
      </c>
      <c r="Q105" s="62" t="str">
        <f>_xlfn.IFS(COUNTA(G86:G88)=1,"Single",COUNTA(G86:G88)=2,"Double",COUNTA(G86:G88)=3,"Triple",COUNTA(G86:G88)=0,"Empty")</f>
        <v>Triple</v>
      </c>
      <c r="R105" s="62"/>
      <c r="S105" s="62"/>
      <c r="T105" s="62"/>
      <c r="U105" s="81">
        <f>G86</f>
        <v>1</v>
      </c>
      <c r="V105" s="100">
        <f>COUNT(G86:G88)</f>
        <v>3</v>
      </c>
      <c r="W105" s="101"/>
      <c r="X105" s="108" t="str">
        <f>IF(I86=0,"",I86)</f>
        <v/>
      </c>
      <c r="Y105" s="108" t="str">
        <f>IF(J86=0,"",J86)</f>
        <v/>
      </c>
      <c r="Z105" s="120" t="s">
        <v>7298</v>
      </c>
      <c r="AA105" s="121" t="e">
        <f>VLOOKUP($M:$M,Data!$I:$J,2,FALSE)</f>
        <v>#N/A</v>
      </c>
      <c r="AB105" s="122"/>
    </row>
    <row r="106" spans="12:28">
      <c r="L106" s="9">
        <f>COUNTA(G87)+L105</f>
        <v>90</v>
      </c>
      <c r="M106" s="31" t="str">
        <f>H87</f>
        <v>13305 LINUS</v>
      </c>
      <c r="N106" s="82" t="s">
        <v>7430</v>
      </c>
      <c r="O106" s="36">
        <v>28</v>
      </c>
      <c r="P106" s="36">
        <v>214</v>
      </c>
      <c r="Q106" s="32"/>
      <c r="R106" s="32"/>
      <c r="S106" s="32"/>
      <c r="T106" s="32"/>
      <c r="U106" s="36">
        <f>G87</f>
        <v>2</v>
      </c>
      <c r="V106" s="103"/>
      <c r="W106" s="104"/>
      <c r="X106" s="109" t="str">
        <f t="shared" ref="X106:Y107" si="33">IF(I87=0,"",I87)</f>
        <v/>
      </c>
      <c r="Y106" s="109" t="str">
        <f t="shared" si="33"/>
        <v/>
      </c>
      <c r="Z106" s="123" t="s">
        <v>6627</v>
      </c>
      <c r="AA106" s="124" t="e">
        <f>VLOOKUP($M:$M,Data!$I:$J,2,FALSE)</f>
        <v>#N/A</v>
      </c>
      <c r="AB106" s="125"/>
    </row>
    <row r="107" ht="15.25" spans="12:28">
      <c r="L107" s="14">
        <f>COUNTA(G88)+L106</f>
        <v>91</v>
      </c>
      <c r="M107" s="83">
        <f>H88</f>
        <v>0</v>
      </c>
      <c r="N107" s="84" t="s">
        <v>7430</v>
      </c>
      <c r="O107" s="85">
        <v>28</v>
      </c>
      <c r="P107" s="85">
        <v>214</v>
      </c>
      <c r="Q107" s="110"/>
      <c r="R107" s="110"/>
      <c r="S107" s="110"/>
      <c r="T107" s="110"/>
      <c r="U107" s="85">
        <f>G88</f>
        <v>3</v>
      </c>
      <c r="V107" s="105"/>
      <c r="W107" s="106"/>
      <c r="X107" s="111" t="str">
        <f t="shared" si="33"/>
        <v/>
      </c>
      <c r="Y107" s="111" t="str">
        <f t="shared" si="33"/>
        <v/>
      </c>
      <c r="Z107" s="127" t="s">
        <v>6750</v>
      </c>
      <c r="AA107" s="128" t="e">
        <f>VLOOKUP($M:$M,Data!$I:$J,2,FALSE)</f>
        <v>#N/A</v>
      </c>
      <c r="AB107" s="126"/>
    </row>
    <row r="108" spans="12:28">
      <c r="L108" s="6">
        <f>COUNTA(G82)+L107</f>
        <v>92</v>
      </c>
      <c r="M108" s="79" t="str">
        <f>H82</f>
        <v>13203 BSHAR</v>
      </c>
      <c r="N108" s="80" t="s">
        <v>7430</v>
      </c>
      <c r="O108" s="81">
        <v>28</v>
      </c>
      <c r="P108" s="81">
        <v>215</v>
      </c>
      <c r="Q108" s="62" t="str">
        <f>_xlfn.IFS(COUNTA(G82:G84)=1,"Single",COUNTA(G82:G84)=2,"Double",COUNTA(G82:G84)=3,"Triple",COUNTA(G82:G84)=0,"Empty")</f>
        <v>Triple</v>
      </c>
      <c r="R108" s="62"/>
      <c r="S108" s="62"/>
      <c r="T108" s="62"/>
      <c r="U108" s="81">
        <f>G82</f>
        <v>1</v>
      </c>
      <c r="V108" s="100">
        <f>COUNT(G82:G84)</f>
        <v>3</v>
      </c>
      <c r="W108" s="101"/>
      <c r="X108" s="108" t="str">
        <f>IF(I82=0,"",I82)</f>
        <v/>
      </c>
      <c r="Y108" s="108" t="str">
        <f>IF(J82=0,"",J82)</f>
        <v/>
      </c>
      <c r="Z108" s="120" t="s">
        <v>7138</v>
      </c>
      <c r="AA108" s="121" t="e">
        <f>VLOOKUP($M:$M,Data!$I:$J,2,FALSE)</f>
        <v>#N/A</v>
      </c>
      <c r="AB108" s="122"/>
    </row>
    <row r="109" spans="12:28">
      <c r="L109" s="9">
        <f>COUNTA(G83)+L108</f>
        <v>93</v>
      </c>
      <c r="M109" s="31" t="str">
        <f>H83</f>
        <v>13205 DENNIS</v>
      </c>
      <c r="N109" s="82" t="s">
        <v>7430</v>
      </c>
      <c r="O109" s="36">
        <v>28</v>
      </c>
      <c r="P109" s="36">
        <v>215</v>
      </c>
      <c r="Q109" s="32"/>
      <c r="R109" s="32"/>
      <c r="S109" s="32"/>
      <c r="T109" s="32"/>
      <c r="U109" s="36">
        <f>G83</f>
        <v>2</v>
      </c>
      <c r="V109" s="103"/>
      <c r="W109" s="104"/>
      <c r="X109" s="109" t="str">
        <f t="shared" ref="X109:Y110" si="34">IF(I83=0,"",I83)</f>
        <v/>
      </c>
      <c r="Y109" s="109" t="str">
        <f t="shared" si="34"/>
        <v/>
      </c>
      <c r="Z109" s="123" t="s">
        <v>7097</v>
      </c>
      <c r="AA109" s="124" t="e">
        <f>VLOOKUP($M:$M,Data!$I:$J,2,FALSE)</f>
        <v>#N/A</v>
      </c>
      <c r="AB109" s="125"/>
    </row>
    <row r="110" ht="15.25" spans="12:28">
      <c r="L110" s="14">
        <f>COUNTA(G84)+L109</f>
        <v>94</v>
      </c>
      <c r="M110" s="83">
        <f>H84</f>
        <v>0</v>
      </c>
      <c r="N110" s="84" t="s">
        <v>7430</v>
      </c>
      <c r="O110" s="85">
        <v>28</v>
      </c>
      <c r="P110" s="85">
        <v>215</v>
      </c>
      <c r="Q110" s="110"/>
      <c r="R110" s="110"/>
      <c r="S110" s="110"/>
      <c r="T110" s="110"/>
      <c r="U110" s="85">
        <f>G84</f>
        <v>3</v>
      </c>
      <c r="V110" s="105"/>
      <c r="W110" s="106"/>
      <c r="X110" s="111" t="str">
        <f t="shared" si="34"/>
        <v/>
      </c>
      <c r="Y110" s="111" t="str">
        <f t="shared" si="34"/>
        <v/>
      </c>
      <c r="Z110" s="127" t="s">
        <v>7494</v>
      </c>
      <c r="AA110" s="128" t="e">
        <f>VLOOKUP($M:$M,Data!$I:$J,2,FALSE)</f>
        <v>#N/A</v>
      </c>
      <c r="AB110" s="126"/>
    </row>
    <row r="111" spans="12:28">
      <c r="L111" s="6">
        <f>COUNTA(G70)+L110</f>
        <v>95</v>
      </c>
      <c r="M111" s="79" t="str">
        <f>H70</f>
        <v>13201 GUSTAV</v>
      </c>
      <c r="N111" s="80" t="s">
        <v>7430</v>
      </c>
      <c r="O111" s="81">
        <v>28</v>
      </c>
      <c r="P111" s="81">
        <v>216</v>
      </c>
      <c r="Q111" s="62" t="str">
        <f>_xlfn.IFS(COUNTA(G70:G72)=1,"Single",COUNTA(G70:G72)=2,"Double",COUNTA(G70:G72)=3,"Triple",COUNTA(G70:G72)=0,"Empty")</f>
        <v>Triple</v>
      </c>
      <c r="R111" s="62"/>
      <c r="S111" s="62"/>
      <c r="T111" s="62"/>
      <c r="U111" s="81">
        <f>G70</f>
        <v>1</v>
      </c>
      <c r="V111" s="100">
        <f>COUNT(G70:G72)</f>
        <v>3</v>
      </c>
      <c r="W111" s="101"/>
      <c r="X111" s="108" t="str">
        <f>IF(I70=0,"",I70)</f>
        <v/>
      </c>
      <c r="Y111" s="108" t="str">
        <f>IF(J70=0,"",J70)</f>
        <v/>
      </c>
      <c r="Z111" s="120" t="s">
        <v>6888</v>
      </c>
      <c r="AA111" s="121" t="e">
        <f>VLOOKUP($M:$M,Data!$I:$J,2,FALSE)</f>
        <v>#N/A</v>
      </c>
      <c r="AB111" s="122"/>
    </row>
    <row r="112" spans="12:28">
      <c r="L112" s="9">
        <f>COUNTA(G71)+L111</f>
        <v>96</v>
      </c>
      <c r="M112" s="31" t="str">
        <f>H71</f>
        <v>13202 CHRISTOPHER</v>
      </c>
      <c r="N112" s="82" t="s">
        <v>7430</v>
      </c>
      <c r="O112" s="36">
        <v>28</v>
      </c>
      <c r="P112" s="36">
        <v>216</v>
      </c>
      <c r="Q112" s="32"/>
      <c r="R112" s="32"/>
      <c r="S112" s="32"/>
      <c r="T112" s="32"/>
      <c r="U112" s="36">
        <f>G71</f>
        <v>2</v>
      </c>
      <c r="V112" s="103"/>
      <c r="W112" s="104"/>
      <c r="X112" s="109" t="str">
        <f t="shared" ref="X112:Y113" si="35">IF(I71=0,"",I71)</f>
        <v/>
      </c>
      <c r="Y112" s="109" t="str">
        <f t="shared" si="35"/>
        <v/>
      </c>
      <c r="Z112" s="123" t="s">
        <v>6749</v>
      </c>
      <c r="AA112" s="124" t="e">
        <f>VLOOKUP($M:$M,Data!$I:$J,2,FALSE)</f>
        <v>#N/A</v>
      </c>
      <c r="AB112" s="125"/>
    </row>
    <row r="113" ht="15.25" spans="12:28">
      <c r="L113" s="14">
        <f>COUNTA(G72)+L112</f>
        <v>97</v>
      </c>
      <c r="M113" s="83">
        <f>H72</f>
        <v>0</v>
      </c>
      <c r="N113" s="84" t="s">
        <v>7430</v>
      </c>
      <c r="O113" s="85">
        <v>28</v>
      </c>
      <c r="P113" s="85">
        <v>216</v>
      </c>
      <c r="Q113" s="110"/>
      <c r="R113" s="110"/>
      <c r="S113" s="110"/>
      <c r="T113" s="110"/>
      <c r="U113" s="85">
        <f>G72</f>
        <v>3</v>
      </c>
      <c r="V113" s="105"/>
      <c r="W113" s="106"/>
      <c r="X113" s="111" t="str">
        <f t="shared" si="35"/>
        <v/>
      </c>
      <c r="Y113" s="111" t="str">
        <f t="shared" si="35"/>
        <v/>
      </c>
      <c r="Z113" s="127" t="s">
        <v>6735</v>
      </c>
      <c r="AA113" s="128" t="e">
        <f>VLOOKUP($M:$M,Data!$I:$J,2,FALSE)</f>
        <v>#N/A</v>
      </c>
      <c r="AB113" s="126"/>
    </row>
    <row r="114" spans="12:28">
      <c r="L114" s="6">
        <f>COUNTA(G66)+L113</f>
        <v>98</v>
      </c>
      <c r="M114" s="79" t="str">
        <f>H66</f>
        <v>13110 DEAN</v>
      </c>
      <c r="N114" s="80" t="s">
        <v>7430</v>
      </c>
      <c r="O114" s="81">
        <v>28</v>
      </c>
      <c r="P114" s="81">
        <v>217</v>
      </c>
      <c r="Q114" s="62" t="str">
        <f>_xlfn.IFS(COUNTA(G66:G68)=1,"Single",COUNTA(G66:G68)=2,"Double",COUNTA(G66:G68)=3,"Triple",COUNTA(G66:G68)=0,"Empty")</f>
        <v>Triple</v>
      </c>
      <c r="R114" s="62"/>
      <c r="S114" s="62"/>
      <c r="T114" s="62"/>
      <c r="U114" s="81">
        <f>G66</f>
        <v>1</v>
      </c>
      <c r="V114" s="100">
        <f>COUNT(G66:G68)</f>
        <v>3</v>
      </c>
      <c r="W114" s="101"/>
      <c r="X114" s="108" t="str">
        <f>IF(I66=0,"",I66)</f>
        <v/>
      </c>
      <c r="Y114" s="108" t="str">
        <f>IF(J66=0,"",J66)</f>
        <v/>
      </c>
      <c r="Z114" s="120" t="s">
        <v>7495</v>
      </c>
      <c r="AA114" s="121" t="e">
        <f>VLOOKUP($M:$M,Data!$I:$J,2,FALSE)</f>
        <v>#N/A</v>
      </c>
      <c r="AB114" s="122"/>
    </row>
    <row r="115" spans="12:28">
      <c r="L115" s="9">
        <f>COUNTA(G67)+L114</f>
        <v>99</v>
      </c>
      <c r="M115" s="31" t="str">
        <f>H67</f>
        <v>13111 ROY</v>
      </c>
      <c r="N115" s="82" t="s">
        <v>7430</v>
      </c>
      <c r="O115" s="36">
        <v>28</v>
      </c>
      <c r="P115" s="36">
        <v>217</v>
      </c>
      <c r="Q115" s="32"/>
      <c r="R115" s="32"/>
      <c r="S115" s="32"/>
      <c r="T115" s="32"/>
      <c r="U115" s="36">
        <f>G67</f>
        <v>2</v>
      </c>
      <c r="V115" s="103"/>
      <c r="W115" s="104"/>
      <c r="X115" s="109" t="str">
        <f t="shared" ref="X115:Y116" si="36">IF(I67=0,"",I67)</f>
        <v/>
      </c>
      <c r="Y115" s="109" t="str">
        <f t="shared" si="36"/>
        <v/>
      </c>
      <c r="Z115" s="123" t="s">
        <v>6747</v>
      </c>
      <c r="AA115" s="124" t="e">
        <f>VLOOKUP($M:$M,Data!$I:$J,2,FALSE)</f>
        <v>#N/A</v>
      </c>
      <c r="AB115" s="125"/>
    </row>
    <row r="116" ht="15.25" spans="12:28">
      <c r="L116" s="14">
        <f>COUNTA(G68)+L115</f>
        <v>100</v>
      </c>
      <c r="M116" s="83">
        <f>H68</f>
        <v>0</v>
      </c>
      <c r="N116" s="84" t="s">
        <v>7430</v>
      </c>
      <c r="O116" s="85">
        <v>28</v>
      </c>
      <c r="P116" s="85">
        <v>217</v>
      </c>
      <c r="Q116" s="110"/>
      <c r="R116" s="110"/>
      <c r="S116" s="110"/>
      <c r="T116" s="110"/>
      <c r="U116" s="85">
        <f>G68</f>
        <v>3</v>
      </c>
      <c r="V116" s="105"/>
      <c r="W116" s="106"/>
      <c r="X116" s="111" t="str">
        <f t="shared" si="36"/>
        <v/>
      </c>
      <c r="Y116" s="111" t="str">
        <f t="shared" si="36"/>
        <v/>
      </c>
      <c r="Z116" s="127" t="s">
        <v>6674</v>
      </c>
      <c r="AA116" s="128" t="e">
        <f>VLOOKUP($M:$M,Data!$I:$J,2,FALSE)</f>
        <v>#N/A</v>
      </c>
      <c r="AB116" s="126"/>
    </row>
    <row r="117" spans="12:28">
      <c r="L117" s="6">
        <f>COUNTA(G62)+L116</f>
        <v>101</v>
      </c>
      <c r="M117" s="79" t="str">
        <f>H62</f>
        <v>13107 VALDEMAR</v>
      </c>
      <c r="N117" s="80" t="s">
        <v>7430</v>
      </c>
      <c r="O117" s="81">
        <v>28</v>
      </c>
      <c r="P117" s="81">
        <v>218</v>
      </c>
      <c r="Q117" s="62" t="str">
        <f>_xlfn.IFS(COUNTA(G62:G64)=1,"Single",COUNTA(G62:G64)=2,"Double",COUNTA(G62:G64)=3,"Triple",COUNTA(G62:G64)=0,"Empty")</f>
        <v>Triple</v>
      </c>
      <c r="R117" s="62"/>
      <c r="S117" s="62"/>
      <c r="T117" s="62"/>
      <c r="U117" s="81">
        <f>G62</f>
        <v>1</v>
      </c>
      <c r="V117" s="100">
        <f>COUNT(G62:G64)</f>
        <v>3</v>
      </c>
      <c r="W117" s="101"/>
      <c r="X117" s="108" t="str">
        <f>IF(I62=0,"",I62)</f>
        <v/>
      </c>
      <c r="Y117" s="108" t="str">
        <f>IF(J62=0,"",J62)</f>
        <v/>
      </c>
      <c r="Z117" s="120" t="s">
        <v>7108</v>
      </c>
      <c r="AA117" s="121" t="e">
        <f>VLOOKUP($M:$M,Data!$I:$J,2,FALSE)</f>
        <v>#N/A</v>
      </c>
      <c r="AB117" s="122"/>
    </row>
    <row r="118" spans="12:28">
      <c r="L118" s="9">
        <f>COUNTA(G63)+L117</f>
        <v>102</v>
      </c>
      <c r="M118" s="31" t="str">
        <f>H63</f>
        <v>13106 LOWE</v>
      </c>
      <c r="N118" s="82" t="s">
        <v>7430</v>
      </c>
      <c r="O118" s="36">
        <v>28</v>
      </c>
      <c r="P118" s="36">
        <v>218</v>
      </c>
      <c r="Q118" s="32"/>
      <c r="R118" s="32"/>
      <c r="S118" s="32"/>
      <c r="T118" s="32"/>
      <c r="U118" s="36">
        <f>G63</f>
        <v>2</v>
      </c>
      <c r="V118" s="103"/>
      <c r="W118" s="104"/>
      <c r="X118" s="109" t="str">
        <f t="shared" ref="X118:Y119" si="37">IF(I63=0,"",I63)</f>
        <v/>
      </c>
      <c r="Y118" s="109" t="str">
        <f t="shared" si="37"/>
        <v/>
      </c>
      <c r="Z118" s="123" t="s">
        <v>6844</v>
      </c>
      <c r="AA118" s="124" t="e">
        <f>VLOOKUP($M:$M,Data!$I:$J,2,FALSE)</f>
        <v>#N/A</v>
      </c>
      <c r="AB118" s="125"/>
    </row>
    <row r="119" ht="15.25" spans="12:28">
      <c r="L119" s="14">
        <f>COUNTA(G64)+L118</f>
        <v>103</v>
      </c>
      <c r="M119" s="83">
        <f>H64</f>
        <v>0</v>
      </c>
      <c r="N119" s="84" t="s">
        <v>7430</v>
      </c>
      <c r="O119" s="85">
        <v>28</v>
      </c>
      <c r="P119" s="85">
        <v>218</v>
      </c>
      <c r="Q119" s="110"/>
      <c r="R119" s="110"/>
      <c r="S119" s="110"/>
      <c r="T119" s="110"/>
      <c r="U119" s="85">
        <f>G64</f>
        <v>3</v>
      </c>
      <c r="V119" s="105"/>
      <c r="W119" s="106"/>
      <c r="X119" s="111" t="str">
        <f t="shared" si="37"/>
        <v/>
      </c>
      <c r="Y119" s="111" t="str">
        <f t="shared" si="37"/>
        <v/>
      </c>
      <c r="Z119" s="127" t="s">
        <v>7276</v>
      </c>
      <c r="AA119" s="128" t="e">
        <f>VLOOKUP($M:$M,Data!$I:$J,2,FALSE)</f>
        <v>#N/A</v>
      </c>
      <c r="AB119" s="126"/>
    </row>
    <row r="120" spans="12:28">
      <c r="L120" s="6">
        <f>COUNTA(G58)+L119</f>
        <v>104</v>
      </c>
      <c r="M120" s="79" t="str">
        <f>H58</f>
        <v>13104 MINA</v>
      </c>
      <c r="N120" s="80" t="s">
        <v>7430</v>
      </c>
      <c r="O120" s="81">
        <v>28</v>
      </c>
      <c r="P120" s="81">
        <v>219</v>
      </c>
      <c r="Q120" s="62" t="str">
        <f>_xlfn.IFS(COUNTA(G58:G60)=1,"Single",COUNTA(G58:G60)=2,"Double",COUNTA(G58:G60)=3,"Triple",COUNTA(G58:G60)=0,"Empty")</f>
        <v>Double</v>
      </c>
      <c r="R120" s="62"/>
      <c r="S120" s="62"/>
      <c r="T120" s="62"/>
      <c r="U120" s="81">
        <f>G58</f>
        <v>1</v>
      </c>
      <c r="V120" s="100">
        <f>COUNT(G58:G60)</f>
        <v>2</v>
      </c>
      <c r="W120" s="101"/>
      <c r="X120" s="108" t="str">
        <f>IF(I58=0,"",I58)</f>
        <v/>
      </c>
      <c r="Y120" s="108" t="str">
        <f>IF(J58=0,"",J58)</f>
        <v/>
      </c>
      <c r="Z120" s="120" t="s">
        <v>6672</v>
      </c>
      <c r="AA120" s="121" t="e">
        <f>VLOOKUP($M:$M,Data!$I:$J,2,FALSE)</f>
        <v>#N/A</v>
      </c>
      <c r="AB120" s="122"/>
    </row>
    <row r="121" spans="12:28">
      <c r="L121" s="9">
        <f>COUNTA(G59)+L120</f>
        <v>105</v>
      </c>
      <c r="M121" s="31" t="str">
        <f>H59</f>
        <v>13206 MOA</v>
      </c>
      <c r="N121" s="82" t="s">
        <v>7430</v>
      </c>
      <c r="O121" s="36">
        <v>28</v>
      </c>
      <c r="P121" s="36">
        <v>219</v>
      </c>
      <c r="Q121" s="32"/>
      <c r="R121" s="32"/>
      <c r="S121" s="32"/>
      <c r="T121" s="32"/>
      <c r="U121" s="36">
        <f>G59</f>
        <v>2</v>
      </c>
      <c r="V121" s="103"/>
      <c r="W121" s="104"/>
      <c r="X121" s="109" t="str">
        <f t="shared" ref="X121:Y122" si="38">IF(I59=0,"",I59)</f>
        <v/>
      </c>
      <c r="Y121" s="109" t="str">
        <f t="shared" si="38"/>
        <v/>
      </c>
      <c r="Z121" s="123" t="s">
        <v>7095</v>
      </c>
      <c r="AA121" s="124" t="e">
        <f>VLOOKUP($M:$M,Data!$I:$J,2,FALSE)</f>
        <v>#N/A</v>
      </c>
      <c r="AB121" s="125"/>
    </row>
    <row r="122" ht="15.25" spans="12:28">
      <c r="L122" s="14">
        <f>COUNTA(G60)+L121</f>
        <v>105</v>
      </c>
      <c r="M122" s="83">
        <f>H60</f>
        <v>0</v>
      </c>
      <c r="N122" s="84" t="s">
        <v>7430</v>
      </c>
      <c r="O122" s="85">
        <v>28</v>
      </c>
      <c r="P122" s="85">
        <v>219</v>
      </c>
      <c r="Q122" s="110"/>
      <c r="R122" s="110"/>
      <c r="S122" s="110"/>
      <c r="T122" s="110"/>
      <c r="U122" s="85">
        <f>G60</f>
        <v>0</v>
      </c>
      <c r="V122" s="105"/>
      <c r="W122" s="106"/>
      <c r="X122" s="111" t="str">
        <f t="shared" si="38"/>
        <v/>
      </c>
      <c r="Y122" s="111" t="str">
        <f t="shared" si="38"/>
        <v/>
      </c>
      <c r="Z122" s="127"/>
      <c r="AA122" s="128" t="e">
        <f>VLOOKUP($M:$M,Data!$I:$J,2,FALSE)</f>
        <v>#N/A</v>
      </c>
      <c r="AB122" s="126"/>
    </row>
    <row r="123" spans="12:28">
      <c r="L123" s="6">
        <f>COUNTA(G54)+L122</f>
        <v>106</v>
      </c>
      <c r="M123" s="79" t="str">
        <f>H54</f>
        <v>10041 JOHANNES</v>
      </c>
      <c r="N123" s="80" t="s">
        <v>7430</v>
      </c>
      <c r="O123" s="81">
        <v>28</v>
      </c>
      <c r="P123" s="81">
        <v>220</v>
      </c>
      <c r="Q123" s="62" t="str">
        <f>_xlfn.IFS(COUNTA(G54:G56)=1,"Single",COUNTA(G54:G56)=2,"Double",COUNTA(G54:G56)=3,"Triple",COUNTA(G54:G56)=0,"Empty")</f>
        <v>Double</v>
      </c>
      <c r="R123" s="62"/>
      <c r="S123" s="62"/>
      <c r="T123" s="62"/>
      <c r="U123" s="81">
        <f>G54</f>
        <v>1</v>
      </c>
      <c r="V123" s="100">
        <f>COUNT(G54:G56)</f>
        <v>2</v>
      </c>
      <c r="W123" s="101"/>
      <c r="X123" s="108" t="str">
        <f>IF(I54=0,"",I54)</f>
        <v/>
      </c>
      <c r="Y123" s="108" t="str">
        <f>IF(J54=0,"",J54)</f>
        <v/>
      </c>
      <c r="Z123" s="120" t="s">
        <v>7186</v>
      </c>
      <c r="AA123" s="121" t="e">
        <f>VLOOKUP($M:$M,Data!$I:$J,2,FALSE)</f>
        <v>#N/A</v>
      </c>
      <c r="AB123" s="122" t="s">
        <v>7496</v>
      </c>
    </row>
    <row r="124" spans="12:28">
      <c r="L124" s="9">
        <f>COUNTA(G55)+L123</f>
        <v>107</v>
      </c>
      <c r="M124" s="31">
        <f t="shared" ref="M124:M125" si="39">H55</f>
        <v>0</v>
      </c>
      <c r="N124" s="82" t="s">
        <v>7430</v>
      </c>
      <c r="O124" s="36">
        <v>28</v>
      </c>
      <c r="P124" s="36">
        <v>220</v>
      </c>
      <c r="Q124" s="32"/>
      <c r="R124" s="32"/>
      <c r="S124" s="32"/>
      <c r="T124" s="32"/>
      <c r="U124" s="36">
        <f t="shared" ref="U124:U125" si="40">G55</f>
        <v>2</v>
      </c>
      <c r="V124" s="103"/>
      <c r="W124" s="104"/>
      <c r="X124" s="109" t="str">
        <f t="shared" ref="X124:Y125" si="41">IF(I55=0,"",I55)</f>
        <v/>
      </c>
      <c r="Y124" s="109" t="str">
        <f t="shared" si="41"/>
        <v/>
      </c>
      <c r="Z124" s="123" t="s">
        <v>7151</v>
      </c>
      <c r="AA124" s="124" t="e">
        <f>VLOOKUP($M:$M,Data!$I:$J,2,FALSE)</f>
        <v>#N/A</v>
      </c>
      <c r="AB124" s="125"/>
    </row>
    <row r="125" ht="15.25" spans="12:28">
      <c r="L125" s="14">
        <f>COUNTA(G56)+L124</f>
        <v>107</v>
      </c>
      <c r="M125" s="83">
        <f t="shared" si="39"/>
        <v>0</v>
      </c>
      <c r="N125" s="84" t="s">
        <v>7430</v>
      </c>
      <c r="O125" s="85">
        <v>28</v>
      </c>
      <c r="P125" s="85">
        <v>220</v>
      </c>
      <c r="Q125" s="110"/>
      <c r="R125" s="110"/>
      <c r="S125" s="110"/>
      <c r="T125" s="110"/>
      <c r="U125" s="85">
        <f t="shared" si="40"/>
        <v>0</v>
      </c>
      <c r="V125" s="105"/>
      <c r="W125" s="106"/>
      <c r="X125" s="111" t="str">
        <f t="shared" si="41"/>
        <v/>
      </c>
      <c r="Y125" s="111" t="str">
        <f t="shared" si="41"/>
        <v/>
      </c>
      <c r="Z125" s="127"/>
      <c r="AA125" s="128" t="e">
        <f>VLOOKUP($M:$M,Data!$I:$J,2,FALSE)</f>
        <v>#N/A</v>
      </c>
      <c r="AB125" s="126"/>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117:T119"/>
    <mergeCell ref="V117:W119"/>
    <mergeCell ref="Q120:T122"/>
    <mergeCell ref="V120:W122"/>
    <mergeCell ref="Q123:T125"/>
    <mergeCell ref="V123:W125"/>
    <mergeCell ref="Q108:T110"/>
    <mergeCell ref="V108:W110"/>
    <mergeCell ref="Q111:T113"/>
    <mergeCell ref="V111:W113"/>
    <mergeCell ref="Q114:T116"/>
    <mergeCell ref="V114:W116"/>
    <mergeCell ref="Q99:T101"/>
    <mergeCell ref="V99:W101"/>
    <mergeCell ref="Q102:T104"/>
    <mergeCell ref="V102:W104"/>
    <mergeCell ref="Q105:T107"/>
    <mergeCell ref="V105:W107"/>
    <mergeCell ref="Q93:T95"/>
    <mergeCell ref="V93:W95"/>
    <mergeCell ref="Q96:T98"/>
    <mergeCell ref="V96:W98"/>
    <mergeCell ref="Q87:T89"/>
    <mergeCell ref="V87:W89"/>
    <mergeCell ref="Q90:T92"/>
    <mergeCell ref="V90:W92"/>
    <mergeCell ref="Q81:T83"/>
    <mergeCell ref="V81:W83"/>
    <mergeCell ref="Q84:T86"/>
    <mergeCell ref="V84:W86"/>
    <mergeCell ref="Q72:T74"/>
    <mergeCell ref="V72:W74"/>
    <mergeCell ref="G73:J80"/>
    <mergeCell ref="Q75:T77"/>
    <mergeCell ref="V75:W77"/>
    <mergeCell ref="Q78:T80"/>
    <mergeCell ref="V78:W80"/>
    <mergeCell ref="Q66:T68"/>
    <mergeCell ref="V66:W68"/>
    <mergeCell ref="Q69:T71"/>
    <mergeCell ref="V69:W71"/>
    <mergeCell ref="Q60:T62"/>
    <mergeCell ref="V60:W62"/>
    <mergeCell ref="Q63:T65"/>
    <mergeCell ref="V63:W65"/>
    <mergeCell ref="Q54:T56"/>
    <mergeCell ref="V54:W56"/>
    <mergeCell ref="Q57:T59"/>
    <mergeCell ref="V57:W59"/>
    <mergeCell ref="Q48:T50"/>
    <mergeCell ref="V48:W50"/>
    <mergeCell ref="Q51:T53"/>
    <mergeCell ref="V51:W53"/>
    <mergeCell ref="Q42:T44"/>
    <mergeCell ref="V42:W44"/>
    <mergeCell ref="Q45:T47"/>
    <mergeCell ref="V45:W47"/>
    <mergeCell ref="Q36:T38"/>
    <mergeCell ref="V36:W38"/>
    <mergeCell ref="Q39:T41"/>
    <mergeCell ref="V39:W41"/>
    <mergeCell ref="Q30:T32"/>
    <mergeCell ref="V30:W32"/>
    <mergeCell ref="Q33:T35"/>
    <mergeCell ref="V33:W35"/>
    <mergeCell ref="Q21:T23"/>
    <mergeCell ref="V21:W23"/>
    <mergeCell ref="Q24:T26"/>
    <mergeCell ref="V24:W26"/>
    <mergeCell ref="G26:J33"/>
    <mergeCell ref="Q27:T29"/>
    <mergeCell ref="V27:W29"/>
    <mergeCell ref="Q15:T17"/>
    <mergeCell ref="V15:W17"/>
    <mergeCell ref="Q18:T20"/>
    <mergeCell ref="V18:W20"/>
    <mergeCell ref="Q9:T11"/>
    <mergeCell ref="V9:W11"/>
    <mergeCell ref="Q12:T14"/>
    <mergeCell ref="V12:W14"/>
    <mergeCell ref="Q6:T8"/>
    <mergeCell ref="V6:W8"/>
  </mergeCells>
  <conditionalFormatting sqref="L6">
    <cfRule type="cellIs" dxfId="12" priority="532" operator="equal">
      <formula>0</formula>
    </cfRule>
  </conditionalFormatting>
  <conditionalFormatting sqref="B7:B9">
    <cfRule type="cellIs" dxfId="27" priority="515" operator="notEqual">
      <formula>0</formula>
    </cfRule>
    <cfRule type="expression" dxfId="28" priority="516">
      <formula>COUNTA(C7)&lt;&gt;0</formula>
    </cfRule>
  </conditionalFormatting>
  <conditionalFormatting sqref="B11:B13">
    <cfRule type="cellIs" dxfId="27" priority="513" operator="notEqual">
      <formula>0</formula>
    </cfRule>
    <cfRule type="expression" dxfId="28" priority="514">
      <formula>COUNTA(C11)&lt;&gt;0</formula>
    </cfRule>
  </conditionalFormatting>
  <conditionalFormatting sqref="B15:B17">
    <cfRule type="cellIs" dxfId="27" priority="507" operator="notEqual">
      <formula>0</formula>
    </cfRule>
    <cfRule type="expression" dxfId="28" priority="508">
      <formula>COUNTA(C15)&lt;&gt;0</formula>
    </cfRule>
  </conditionalFormatting>
  <conditionalFormatting sqref="B19:B21">
    <cfRule type="cellIs" dxfId="27" priority="505" operator="notEqual">
      <formula>0</formula>
    </cfRule>
    <cfRule type="expression" dxfId="28" priority="506">
      <formula>COUNTA(C19)&lt;&gt;0</formula>
    </cfRule>
  </conditionalFormatting>
  <conditionalFormatting sqref="B23:B25">
    <cfRule type="cellIs" dxfId="27" priority="499" operator="notEqual">
      <formula>0</formula>
    </cfRule>
    <cfRule type="expression" dxfId="28" priority="500">
      <formula>COUNTA(C23)&lt;&gt;0</formula>
    </cfRule>
  </conditionalFormatting>
  <conditionalFormatting sqref="B27:B29">
    <cfRule type="cellIs" dxfId="27" priority="497" operator="notEqual">
      <formula>0</formula>
    </cfRule>
    <cfRule type="expression" dxfId="28" priority="498">
      <formula>COUNTA(C27)&lt;&gt;0</formula>
    </cfRule>
  </conditionalFormatting>
  <conditionalFormatting sqref="B31:B33">
    <cfRule type="cellIs" dxfId="27" priority="495" operator="notEqual">
      <formula>0</formula>
    </cfRule>
    <cfRule type="expression" dxfId="28" priority="496">
      <formula>COUNTA(C31)&lt;&gt;0</formula>
    </cfRule>
  </conditionalFormatting>
  <conditionalFormatting sqref="B35:B37">
    <cfRule type="cellIs" dxfId="27" priority="493" operator="notEqual">
      <formula>0</formula>
    </cfRule>
    <cfRule type="expression" dxfId="28" priority="494">
      <formula>COUNTA(C35)&lt;&gt;0</formula>
    </cfRule>
  </conditionalFormatting>
  <conditionalFormatting sqref="B39:B41">
    <cfRule type="cellIs" dxfId="27" priority="487" operator="notEqual">
      <formula>0</formula>
    </cfRule>
    <cfRule type="expression" dxfId="28" priority="488">
      <formula>COUNTA(C39)&lt;&gt;0</formula>
    </cfRule>
  </conditionalFormatting>
  <conditionalFormatting sqref="B43:B45">
    <cfRule type="cellIs" dxfId="27" priority="485" operator="notEqual">
      <formula>0</formula>
    </cfRule>
    <cfRule type="expression" dxfId="28" priority="486">
      <formula>COUNTA(C43)&lt;&gt;0</formula>
    </cfRule>
  </conditionalFormatting>
  <conditionalFormatting sqref="B47:B49">
    <cfRule type="cellIs" dxfId="27" priority="479" operator="notEqual">
      <formula>0</formula>
    </cfRule>
    <cfRule type="expression" dxfId="28" priority="480">
      <formula>COUNTA(C47)&lt;&gt;0</formula>
    </cfRule>
  </conditionalFormatting>
  <conditionalFormatting sqref="B54:B56">
    <cfRule type="cellIs" dxfId="27" priority="455" operator="notEqual">
      <formula>0</formula>
    </cfRule>
    <cfRule type="expression" dxfId="28" priority="456">
      <formula>COUNTA(C54)&lt;&gt;0</formula>
    </cfRule>
  </conditionalFormatting>
  <conditionalFormatting sqref="B58:B60">
    <cfRule type="cellIs" dxfId="27" priority="453" operator="notEqual">
      <formula>0</formula>
    </cfRule>
    <cfRule type="expression" dxfId="28" priority="454">
      <formula>COUNTA(C58)&lt;&gt;0</formula>
    </cfRule>
  </conditionalFormatting>
  <conditionalFormatting sqref="B62:B64">
    <cfRule type="cellIs" dxfId="27" priority="447" operator="notEqual">
      <formula>0</formula>
    </cfRule>
    <cfRule type="expression" dxfId="28" priority="448">
      <formula>COUNTA(C62)&lt;&gt;0</formula>
    </cfRule>
  </conditionalFormatting>
  <conditionalFormatting sqref="B66:B68">
    <cfRule type="cellIs" dxfId="27" priority="445" operator="notEqual">
      <formula>0</formula>
    </cfRule>
    <cfRule type="expression" dxfId="28" priority="446">
      <formula>COUNTA(C66)&lt;&gt;0</formula>
    </cfRule>
  </conditionalFormatting>
  <conditionalFormatting sqref="B70:B72">
    <cfRule type="cellIs" dxfId="27" priority="439" operator="notEqual">
      <formula>0</formula>
    </cfRule>
    <cfRule type="expression" dxfId="28" priority="440">
      <formula>COUNTA(C70)&lt;&gt;0</formula>
    </cfRule>
  </conditionalFormatting>
  <conditionalFormatting sqref="B74:B76">
    <cfRule type="cellIs" dxfId="27" priority="437" operator="notEqual">
      <formula>0</formula>
    </cfRule>
    <cfRule type="expression" dxfId="28" priority="438">
      <formula>COUNTA(C74)&lt;&gt;0</formula>
    </cfRule>
  </conditionalFormatting>
  <conditionalFormatting sqref="B78:B80">
    <cfRule type="cellIs" dxfId="27" priority="435" operator="notEqual">
      <formula>0</formula>
    </cfRule>
    <cfRule type="expression" dxfId="28" priority="436">
      <formula>COUNTA(C78)&lt;&gt;0</formula>
    </cfRule>
  </conditionalFormatting>
  <conditionalFormatting sqref="B82:B84">
    <cfRule type="cellIs" dxfId="27" priority="433" operator="notEqual">
      <formula>0</formula>
    </cfRule>
    <cfRule type="expression" dxfId="28" priority="434">
      <formula>COUNTA(C82)&lt;&gt;0</formula>
    </cfRule>
  </conditionalFormatting>
  <conditionalFormatting sqref="B86:B88">
    <cfRule type="cellIs" dxfId="27" priority="427" operator="notEqual">
      <formula>0</formula>
    </cfRule>
    <cfRule type="expression" dxfId="28" priority="428">
      <formula>COUNTA(C86)&lt;&gt;0</formula>
    </cfRule>
  </conditionalFormatting>
  <conditionalFormatting sqref="B90:B92">
    <cfRule type="cellIs" dxfId="27" priority="425" operator="notEqual">
      <formula>0</formula>
    </cfRule>
    <cfRule type="expression" dxfId="28" priority="426">
      <formula>COUNTA(C90)&lt;&gt;0</formula>
    </cfRule>
  </conditionalFormatting>
  <conditionalFormatting sqref="B94:B96">
    <cfRule type="cellIs" dxfId="27" priority="419" operator="notEqual">
      <formula>0</formula>
    </cfRule>
    <cfRule type="expression" dxfId="28" priority="420">
      <formula>COUNTA(C94)&lt;&gt;0</formula>
    </cfRule>
  </conditionalFormatting>
  <conditionalFormatting sqref="C7:C9">
    <cfRule type="cellIs" dxfId="2" priority="519" operator="notEqual">
      <formula>0</formula>
    </cfRule>
  </conditionalFormatting>
  <conditionalFormatting sqref="C11:C13">
    <cfRule type="cellIs" dxfId="2" priority="520" operator="notEqual">
      <formula>0</formula>
    </cfRule>
  </conditionalFormatting>
  <conditionalFormatting sqref="C15:C17">
    <cfRule type="cellIs" dxfId="2" priority="521" operator="notEqual">
      <formula>0</formula>
    </cfRule>
  </conditionalFormatting>
  <conditionalFormatting sqref="C19:C21">
    <cfRule type="cellIs" dxfId="2" priority="522" operator="notEqual">
      <formula>0</formula>
    </cfRule>
  </conditionalFormatting>
  <conditionalFormatting sqref="C23:C25">
    <cfRule type="cellIs" dxfId="2" priority="523" operator="notEqual">
      <formula>0</formula>
    </cfRule>
  </conditionalFormatting>
  <conditionalFormatting sqref="C27:C29">
    <cfRule type="cellIs" dxfId="2" priority="524" operator="notEqual">
      <formula>0</formula>
    </cfRule>
  </conditionalFormatting>
  <conditionalFormatting sqref="C31:C33">
    <cfRule type="cellIs" dxfId="2" priority="525" operator="notEqual">
      <formula>0</formula>
    </cfRule>
  </conditionalFormatting>
  <conditionalFormatting sqref="C35:C37">
    <cfRule type="cellIs" dxfId="2" priority="526" operator="notEqual">
      <formula>0</formula>
    </cfRule>
  </conditionalFormatting>
  <conditionalFormatting sqref="C39:C41">
    <cfRule type="cellIs" dxfId="2" priority="527" operator="notEqual">
      <formula>0</formula>
    </cfRule>
  </conditionalFormatting>
  <conditionalFormatting sqref="C43:C45">
    <cfRule type="cellIs" dxfId="2" priority="528" operator="notEqual">
      <formula>0</formula>
    </cfRule>
  </conditionalFormatting>
  <conditionalFormatting sqref="C47:C49">
    <cfRule type="cellIs" dxfId="2" priority="529" operator="notEqual">
      <formula>0</formula>
    </cfRule>
  </conditionalFormatting>
  <conditionalFormatting sqref="C54:C56">
    <cfRule type="cellIs" dxfId="2" priority="459" operator="notEqual">
      <formula>0</formula>
    </cfRule>
  </conditionalFormatting>
  <conditionalFormatting sqref="C58:C60">
    <cfRule type="cellIs" dxfId="2" priority="460" operator="notEqual">
      <formula>0</formula>
    </cfRule>
  </conditionalFormatting>
  <conditionalFormatting sqref="C62:C64">
    <cfRule type="cellIs" dxfId="2" priority="461" operator="notEqual">
      <formula>0</formula>
    </cfRule>
  </conditionalFormatting>
  <conditionalFormatting sqref="C66:C68">
    <cfRule type="cellIs" dxfId="2" priority="462" operator="notEqual">
      <formula>0</formula>
    </cfRule>
  </conditionalFormatting>
  <conditionalFormatting sqref="C70:C72">
    <cfRule type="cellIs" dxfId="2" priority="463" operator="notEqual">
      <formula>0</formula>
    </cfRule>
  </conditionalFormatting>
  <conditionalFormatting sqref="C74:C76">
    <cfRule type="cellIs" dxfId="2" priority="464" operator="notEqual">
      <formula>0</formula>
    </cfRule>
  </conditionalFormatting>
  <conditionalFormatting sqref="C78:C80">
    <cfRule type="cellIs" dxfId="2" priority="465" operator="notEqual">
      <formula>0</formula>
    </cfRule>
  </conditionalFormatting>
  <conditionalFormatting sqref="C82:C84">
    <cfRule type="cellIs" dxfId="2" priority="466" operator="notEqual">
      <formula>0</formula>
    </cfRule>
  </conditionalFormatting>
  <conditionalFormatting sqref="C86:C88">
    <cfRule type="cellIs" dxfId="2" priority="467" operator="notEqual">
      <formula>0</formula>
    </cfRule>
  </conditionalFormatting>
  <conditionalFormatting sqref="C90:C92">
    <cfRule type="cellIs" dxfId="2" priority="468" operator="notEqual">
      <formula>0</formula>
    </cfRule>
  </conditionalFormatting>
  <conditionalFormatting sqref="C94:C96">
    <cfRule type="cellIs" dxfId="2" priority="469" operator="notEqual">
      <formula>0</formula>
    </cfRule>
  </conditionalFormatting>
  <conditionalFormatting sqref="D7:D9">
    <cfRule type="cellIs" dxfId="22" priority="394" operator="equal">
      <formula>""</formula>
    </cfRule>
    <cfRule type="cellIs" dxfId="22" priority="395" operator="greaterThan">
      <formula>TODAY()</formula>
    </cfRule>
    <cfRule type="expression" dxfId="14" priority="405">
      <formula>AND(D7&lt;TODAY(),E7="")</formula>
    </cfRule>
    <cfRule type="expression" dxfId="13" priority="406">
      <formula>E7&lt;TODAY()</formula>
    </cfRule>
    <cfRule type="expression" dxfId="14" priority="407">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401" operator="equal">
      <formula>0</formula>
    </cfRule>
    <cfRule type="cellIs" dxfId="29" priority="402" operator="lessThan">
      <formula>D7</formula>
    </cfRule>
    <cfRule type="expression" dxfId="13" priority="403">
      <formula>E7&lt;TODAY()</formula>
    </cfRule>
    <cfRule type="expression" dxfId="14" priority="404">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517" operator="notEqual">
      <formula>0</formula>
    </cfRule>
    <cfRule type="expression" dxfId="28" priority="518">
      <formula>COUNTA(H7)&lt;&gt;0</formula>
    </cfRule>
  </conditionalFormatting>
  <conditionalFormatting sqref="G11:G13">
    <cfRule type="cellIs" dxfId="27" priority="511" operator="notEqual">
      <formula>0</formula>
    </cfRule>
    <cfRule type="expression" dxfId="28" priority="512">
      <formula>COUNTA(H11)&lt;&gt;0</formula>
    </cfRule>
  </conditionalFormatting>
  <conditionalFormatting sqref="G15:G17">
    <cfRule type="cellIs" dxfId="27" priority="509" operator="notEqual">
      <formula>0</formula>
    </cfRule>
    <cfRule type="expression" dxfId="28" priority="510">
      <formula>COUNTA(H15)&lt;&gt;0</formula>
    </cfRule>
  </conditionalFormatting>
  <conditionalFormatting sqref="G19:G21">
    <cfRule type="cellIs" dxfId="27" priority="503" operator="notEqual">
      <formula>0</formula>
    </cfRule>
    <cfRule type="expression" dxfId="28" priority="504">
      <formula>COUNTA(H19)&lt;&gt;0</formula>
    </cfRule>
  </conditionalFormatting>
  <conditionalFormatting sqref="G23:G25">
    <cfRule type="cellIs" dxfId="27" priority="501" operator="notEqual">
      <formula>0</formula>
    </cfRule>
    <cfRule type="expression" dxfId="28" priority="502">
      <formula>COUNTA(H23)&lt;&gt;0</formula>
    </cfRule>
  </conditionalFormatting>
  <conditionalFormatting sqref="G35:G37">
    <cfRule type="cellIs" dxfId="27" priority="491" operator="notEqual">
      <formula>0</formula>
    </cfRule>
    <cfRule type="expression" dxfId="28" priority="492">
      <formula>COUNTA(H35)&lt;&gt;0</formula>
    </cfRule>
  </conditionalFormatting>
  <conditionalFormatting sqref="G39:G41">
    <cfRule type="cellIs" dxfId="27" priority="489" operator="notEqual">
      <formula>0</formula>
    </cfRule>
    <cfRule type="expression" dxfId="28" priority="490">
      <formula>COUNTA(H39)&lt;&gt;0</formula>
    </cfRule>
  </conditionalFormatting>
  <conditionalFormatting sqref="G43:G45">
    <cfRule type="cellIs" dxfId="27" priority="483" operator="notEqual">
      <formula>0</formula>
    </cfRule>
    <cfRule type="expression" dxfId="28" priority="484">
      <formula>COUNTA(H43)&lt;&gt;0</formula>
    </cfRule>
  </conditionalFormatting>
  <conditionalFormatting sqref="G47:G49">
    <cfRule type="cellIs" dxfId="27" priority="481" operator="notEqual">
      <formula>0</formula>
    </cfRule>
    <cfRule type="expression" dxfId="28" priority="482">
      <formula>COUNTA(H47)&lt;&gt;0</formula>
    </cfRule>
  </conditionalFormatting>
  <conditionalFormatting sqref="G54:G56">
    <cfRule type="cellIs" dxfId="27" priority="457" operator="notEqual">
      <formula>0</formula>
    </cfRule>
    <cfRule type="expression" dxfId="28" priority="458">
      <formula>COUNTA(H54)&lt;&gt;0</formula>
    </cfRule>
  </conditionalFormatting>
  <conditionalFormatting sqref="G58:G60">
    <cfRule type="cellIs" dxfId="27" priority="451" operator="notEqual">
      <formula>0</formula>
    </cfRule>
    <cfRule type="expression" dxfId="28" priority="452">
      <formula>COUNTA(H58)&lt;&gt;0</formula>
    </cfRule>
  </conditionalFormatting>
  <conditionalFormatting sqref="G62:G64">
    <cfRule type="cellIs" dxfId="27" priority="449" operator="notEqual">
      <formula>0</formula>
    </cfRule>
    <cfRule type="expression" dxfId="28" priority="450">
      <formula>COUNTA(H62)&lt;&gt;0</formula>
    </cfRule>
  </conditionalFormatting>
  <conditionalFormatting sqref="G66:G68">
    <cfRule type="cellIs" dxfId="27" priority="443" operator="notEqual">
      <formula>0</formula>
    </cfRule>
    <cfRule type="expression" dxfId="28" priority="444">
      <formula>COUNTA(H66)&lt;&gt;0</formula>
    </cfRule>
  </conditionalFormatting>
  <conditionalFormatting sqref="G70:G72">
    <cfRule type="cellIs" dxfId="27" priority="441" operator="notEqual">
      <formula>0</formula>
    </cfRule>
    <cfRule type="expression" dxfId="28" priority="442">
      <formula>COUNTA(H70)&lt;&gt;0</formula>
    </cfRule>
  </conditionalFormatting>
  <conditionalFormatting sqref="G82:G84">
    <cfRule type="cellIs" dxfId="27" priority="431" operator="notEqual">
      <formula>0</formula>
    </cfRule>
    <cfRule type="expression" dxfId="28" priority="432">
      <formula>COUNTA(H82)&lt;&gt;0</formula>
    </cfRule>
  </conditionalFormatting>
  <conditionalFormatting sqref="G86:G88">
    <cfRule type="cellIs" dxfId="27" priority="429" operator="notEqual">
      <formula>0</formula>
    </cfRule>
    <cfRule type="expression" dxfId="28" priority="430">
      <formula>COUNTA(H86)&lt;&gt;0</formula>
    </cfRule>
  </conditionalFormatting>
  <conditionalFormatting sqref="G90:G92">
    <cfRule type="cellIs" dxfId="27" priority="423" operator="notEqual">
      <formula>0</formula>
    </cfRule>
    <cfRule type="expression" dxfId="28" priority="424">
      <formula>COUNTA(H90)&lt;&gt;0</formula>
    </cfRule>
  </conditionalFormatting>
  <conditionalFormatting sqref="G94:G96">
    <cfRule type="cellIs" dxfId="27" priority="421" operator="notEqual">
      <formula>0</formula>
    </cfRule>
    <cfRule type="expression" dxfId="28" priority="422">
      <formula>COUNTA(H94)&lt;&gt;0</formula>
    </cfRule>
  </conditionalFormatting>
  <conditionalFormatting sqref="H7:H9">
    <cfRule type="cellIs" dxfId="2" priority="470" operator="notEqual">
      <formula>0</formula>
    </cfRule>
  </conditionalFormatting>
  <conditionalFormatting sqref="H11:H13">
    <cfRule type="cellIs" dxfId="2" priority="471" operator="notEqual">
      <formula>0</formula>
    </cfRule>
  </conditionalFormatting>
  <conditionalFormatting sqref="H15:H17">
    <cfRule type="cellIs" dxfId="2" priority="472" operator="notEqual">
      <formula>0</formula>
    </cfRule>
  </conditionalFormatting>
  <conditionalFormatting sqref="H19:H21">
    <cfRule type="cellIs" dxfId="2" priority="473" operator="notEqual">
      <formula>0</formula>
    </cfRule>
  </conditionalFormatting>
  <conditionalFormatting sqref="H23:H25">
    <cfRule type="cellIs" dxfId="2" priority="474" operator="notEqual">
      <formula>0</formula>
    </cfRule>
  </conditionalFormatting>
  <conditionalFormatting sqref="H35:H37">
    <cfRule type="cellIs" dxfId="2" priority="475" operator="notEqual">
      <formula>0</formula>
    </cfRule>
  </conditionalFormatting>
  <conditionalFormatting sqref="H39:H41">
    <cfRule type="cellIs" dxfId="2" priority="476" operator="notEqual">
      <formula>0</formula>
    </cfRule>
  </conditionalFormatting>
  <conditionalFormatting sqref="H43:H45">
    <cfRule type="cellIs" dxfId="2" priority="477" operator="notEqual">
      <formula>0</formula>
    </cfRule>
  </conditionalFormatting>
  <conditionalFormatting sqref="H47:H49">
    <cfRule type="cellIs" dxfId="2" priority="478" operator="notEqual">
      <formula>0</formula>
    </cfRule>
  </conditionalFormatting>
  <conditionalFormatting sqref="H54:H56">
    <cfRule type="cellIs" dxfId="2" priority="410" operator="notEqual">
      <formula>0</formula>
    </cfRule>
  </conditionalFormatting>
  <conditionalFormatting sqref="H58:H60">
    <cfRule type="cellIs" dxfId="2" priority="411" operator="notEqual">
      <formula>0</formula>
    </cfRule>
  </conditionalFormatting>
  <conditionalFormatting sqref="H62:H64">
    <cfRule type="cellIs" dxfId="2" priority="412" operator="notEqual">
      <formula>0</formula>
    </cfRule>
  </conditionalFormatting>
  <conditionalFormatting sqref="H66:H68">
    <cfRule type="cellIs" dxfId="2" priority="413" operator="notEqual">
      <formula>0</formula>
    </cfRule>
  </conditionalFormatting>
  <conditionalFormatting sqref="H70:H72">
    <cfRule type="cellIs" dxfId="2" priority="414" operator="notEqual">
      <formula>0</formula>
    </cfRule>
  </conditionalFormatting>
  <conditionalFormatting sqref="H82:H84">
    <cfRule type="cellIs" dxfId="2" priority="415" operator="notEqual">
      <formula>0</formula>
    </cfRule>
  </conditionalFormatting>
  <conditionalFormatting sqref="H86:H88">
    <cfRule type="cellIs" dxfId="2" priority="416" operator="notEqual">
      <formula>0</formula>
    </cfRule>
  </conditionalFormatting>
  <conditionalFormatting sqref="H90:H92">
    <cfRule type="cellIs" dxfId="2" priority="417" operator="notEqual">
      <formula>0</formula>
    </cfRule>
  </conditionalFormatting>
  <conditionalFormatting sqref="H94:H96">
    <cfRule type="cellIs" dxfId="2" priority="418"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533" operator="equal">
      <formula>L6</formula>
    </cfRule>
  </conditionalFormatting>
  <conditionalFormatting sqref="M$1:M$1048576">
    <cfRule type="cellIs" dxfId="12" priority="530" operator="equal">
      <formula>0</formula>
    </cfRule>
  </conditionalFormatting>
  <conditionalFormatting sqref="U6:U125">
    <cfRule type="cellIs" dxfId="12" priority="531" operator="equal">
      <formula>0</formula>
    </cfRule>
  </conditionalFormatting>
  <conditionalFormatting sqref="X6:X125">
    <cfRule type="expression" dxfId="13" priority="399">
      <formula>Y6&lt;TODAY()</formula>
    </cfRule>
    <cfRule type="expression" dxfId="14" priority="400">
      <formula>X6&lt;TODAY()</formula>
    </cfRule>
  </conditionalFormatting>
  <conditionalFormatting sqref="Y6:Y125">
    <cfRule type="expression" dxfId="15" priority="393">
      <formula>AND(Y6&lt;X6,X6&lt;&gt;"")</formula>
    </cfRule>
    <cfRule type="expression" dxfId="13" priority="396">
      <formula>Y6&lt;TODAY()</formula>
    </cfRule>
    <cfRule type="expression" dxfId="14" priority="397">
      <formula>AND(Y6&gt;TODAY(),X6="")</formula>
    </cfRule>
    <cfRule type="expression" dxfId="14" priority="398">
      <formula>X6&lt;TODAY()</formula>
    </cfRule>
  </conditionalFormatting>
  <conditionalFormatting sqref="AB6:AB125">
    <cfRule type="cellIs" dxfId="30" priority="409"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392" operator="equal">
      <formula>""</formula>
    </cfRule>
  </conditionalFormatting>
  <conditionalFormatting sqref="D8:E9">
    <cfRule type="cellIs" dxfId="2" priority="408"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zoomScale="115" zoomScaleNormal="115" workbookViewId="0">
      <pane ySplit="5" topLeftCell="A74" activePane="bottomLeft" state="frozen"/>
      <selection/>
      <selection pane="bottomLeft" activeCell="B51" sqref="B51:J96"/>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75.4272727272727"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7497</v>
      </c>
      <c r="D4" s="44"/>
      <c r="E4" s="44"/>
      <c r="F4" s="44"/>
      <c r="G4" s="44"/>
      <c r="H4" s="44"/>
      <c r="I4" s="44"/>
      <c r="J4" s="75"/>
      <c r="L4" s="73"/>
      <c r="M4" s="73">
        <f>Q4+R4*2+S4*3</f>
        <v>104</v>
      </c>
      <c r="N4" s="76"/>
      <c r="O4" s="73"/>
      <c r="P4" s="73">
        <f>SUM(Q4:S4)</f>
        <v>39</v>
      </c>
      <c r="Q4" s="96">
        <f>COUNTIFS(Q6:T125,"=Single")</f>
        <v>1</v>
      </c>
      <c r="R4" s="96">
        <f>COUNTIFS(Q6:T125,"=Double")</f>
        <v>11</v>
      </c>
      <c r="S4" s="96">
        <f>COUNTIFS(Q6:T125,"=Triple")</f>
        <v>27</v>
      </c>
      <c r="T4" s="96">
        <f>COUNTIFS(Q6:T125,"=Empty")</f>
        <v>1</v>
      </c>
      <c r="U4" s="73">
        <f>COUNTIFS(V6:W125,"=1")</f>
        <v>1</v>
      </c>
      <c r="V4" s="73">
        <f>COUNTIFS(V6:W125,"=2")</f>
        <v>11</v>
      </c>
      <c r="W4" s="73">
        <f>COUNTIFS(V6:W125,"=3")</f>
        <v>27</v>
      </c>
      <c r="X4" s="97"/>
      <c r="Y4" s="97"/>
      <c r="Z4" s="115">
        <f>COUNTA(Z6:Z130)</f>
        <v>104</v>
      </c>
      <c r="AA4" s="115">
        <f>COUNTA(AA6:AA130)-SUM(COUNTIF(AA6:AA130,{"#N/A"}))</f>
        <v>0</v>
      </c>
      <c r="AB4" s="116"/>
    </row>
    <row r="5" ht="15.25" spans="2:28">
      <c r="B5" s="45" t="s">
        <v>7427</v>
      </c>
      <c r="C5" s="45"/>
      <c r="D5" s="45"/>
      <c r="E5" s="45"/>
      <c r="G5" s="45" t="s">
        <v>7427</v>
      </c>
      <c r="H5" s="45"/>
      <c r="I5" s="45"/>
      <c r="J5" s="45"/>
      <c r="L5" s="77"/>
      <c r="M5" s="78"/>
      <c r="N5" s="77"/>
      <c r="O5" s="77"/>
      <c r="P5" s="77"/>
      <c r="Q5" s="96"/>
      <c r="R5" s="96"/>
      <c r="S5" s="96"/>
      <c r="T5" s="96"/>
      <c r="U5" s="98">
        <f>SUM(V6:W125)</f>
        <v>104</v>
      </c>
      <c r="V5" s="73" t="s">
        <v>7428</v>
      </c>
      <c r="W5" s="98">
        <f>U4+V4+W4</f>
        <v>39</v>
      </c>
      <c r="X5" s="99"/>
      <c r="Y5" s="99"/>
      <c r="Z5" s="117"/>
      <c r="AA5" s="118"/>
      <c r="AB5" s="119"/>
    </row>
    <row r="6" spans="2:28">
      <c r="B6" s="46">
        <v>101</v>
      </c>
      <c r="C6" s="47"/>
      <c r="D6" s="48" t="s">
        <v>6580</v>
      </c>
      <c r="E6" s="49" t="s">
        <v>6581</v>
      </c>
      <c r="G6" s="46">
        <v>120</v>
      </c>
      <c r="H6" s="47"/>
      <c r="I6" s="48" t="s">
        <v>6580</v>
      </c>
      <c r="J6" s="49" t="s">
        <v>6581</v>
      </c>
      <c r="L6" s="6">
        <f>COUNTA(B7)</f>
        <v>1</v>
      </c>
      <c r="M6" s="79" t="str">
        <f>C7</f>
        <v>20001 Dan</v>
      </c>
      <c r="N6" s="80" t="s">
        <v>7430</v>
      </c>
      <c r="O6" s="81">
        <v>29</v>
      </c>
      <c r="P6" s="81">
        <v>101</v>
      </c>
      <c r="Q6" s="81" t="str">
        <f>_xlfn.IFS(COUNTA(B7:B9)=1,"Single",COUNTA(B7:B9)=2,"Double",COUNTA(B7:B9)=3,"Triple",COUNTA(B7:B9)=0,"Empty")</f>
        <v>Double</v>
      </c>
      <c r="R6" s="81"/>
      <c r="S6" s="81"/>
      <c r="T6" s="81"/>
      <c r="U6" s="81">
        <f>B7</f>
        <v>1</v>
      </c>
      <c r="V6" s="100">
        <f>COUNT(B7:B9)</f>
        <v>2</v>
      </c>
      <c r="W6" s="101"/>
      <c r="X6" s="102" t="str">
        <f>IF(D7=0,"",D7)</f>
        <v/>
      </c>
      <c r="Y6" s="108" t="str">
        <f t="shared" ref="X6:Y8" si="0">IF(E7=0,"",E7)</f>
        <v/>
      </c>
      <c r="Z6" s="120" t="s">
        <v>7181</v>
      </c>
      <c r="AA6" s="121" t="e">
        <f>VLOOKUP($M:$M,Data!$I:$J,2,FALSE)</f>
        <v>#N/A</v>
      </c>
      <c r="AB6" s="122"/>
    </row>
    <row r="7" spans="2:28">
      <c r="B7" s="50">
        <v>1</v>
      </c>
      <c r="C7" s="51" t="str">
        <f>VLOOKUP("29/101/1",Data!$A$2:$E$1425,3,FALSE)</f>
        <v>20001 Dan</v>
      </c>
      <c r="D7" s="52"/>
      <c r="E7" s="53"/>
      <c r="G7" s="50">
        <v>1</v>
      </c>
      <c r="H7" s="51" t="str">
        <f>VLOOKUP("29/120/1",Data!$A$2:$E$1425,3,FALSE)</f>
        <v>20048 Johan </v>
      </c>
      <c r="I7" s="52"/>
      <c r="J7" s="53"/>
      <c r="L7" s="9">
        <f>COUNTA(B8)+L6</f>
        <v>2</v>
      </c>
      <c r="M7" s="31">
        <f>C8</f>
        <v>0</v>
      </c>
      <c r="N7" s="82" t="s">
        <v>7430</v>
      </c>
      <c r="O7" s="36">
        <v>29</v>
      </c>
      <c r="P7" s="36">
        <v>101</v>
      </c>
      <c r="Q7" s="36"/>
      <c r="R7" s="36"/>
      <c r="S7" s="36"/>
      <c r="T7" s="36"/>
      <c r="U7" s="36">
        <f>B8</f>
        <v>2</v>
      </c>
      <c r="V7" s="103"/>
      <c r="W7" s="104"/>
      <c r="X7" s="52" t="str">
        <f t="shared" si="0"/>
        <v/>
      </c>
      <c r="Y7" s="109" t="str">
        <f t="shared" si="0"/>
        <v/>
      </c>
      <c r="Z7" s="317" t="s">
        <v>6644</v>
      </c>
      <c r="AA7" s="124" t="e">
        <f>VLOOKUP($M:$M,Data!$I:$J,2,FALSE)</f>
        <v>#N/A</v>
      </c>
      <c r="AB7" s="125"/>
    </row>
    <row r="8" ht="15.25" spans="2:28">
      <c r="B8" s="50">
        <v>2</v>
      </c>
      <c r="C8" s="51">
        <f>VLOOKUP("29/101/2",Data!$A$2:$E$1425,3,FALSE)</f>
        <v>0</v>
      </c>
      <c r="D8" s="54"/>
      <c r="E8" s="55"/>
      <c r="G8" s="50">
        <v>2</v>
      </c>
      <c r="H8" s="51">
        <f>VLOOKUP("29/120/2",Data!$A$2:$E$1425,3,FALSE)</f>
        <v>0</v>
      </c>
      <c r="I8" s="54"/>
      <c r="J8" s="55"/>
      <c r="L8" s="14">
        <f>COUNTA(B9)+L7</f>
        <v>2</v>
      </c>
      <c r="M8" s="83">
        <f>C9</f>
        <v>0</v>
      </c>
      <c r="N8" s="84" t="s">
        <v>7430</v>
      </c>
      <c r="O8" s="85">
        <v>29</v>
      </c>
      <c r="P8" s="85">
        <v>101</v>
      </c>
      <c r="Q8" s="85"/>
      <c r="R8" s="85"/>
      <c r="S8" s="85"/>
      <c r="T8" s="85"/>
      <c r="U8" s="85">
        <f>B9</f>
        <v>0</v>
      </c>
      <c r="V8" s="105"/>
      <c r="W8" s="106"/>
      <c r="X8" s="107" t="str">
        <f t="shared" si="0"/>
        <v/>
      </c>
      <c r="Y8" s="111" t="str">
        <f t="shared" si="0"/>
        <v/>
      </c>
      <c r="Z8" s="123"/>
      <c r="AA8" s="124" t="e">
        <f>VLOOKUP($M:$M,Data!$I:$J,2,FALSE)</f>
        <v>#N/A</v>
      </c>
      <c r="AB8" s="126"/>
    </row>
    <row r="9" ht="15.25" spans="2:28">
      <c r="B9" s="50"/>
      <c r="C9" s="51">
        <f>VLOOKUP("29/101/3",Data!$A$2:$E$1425,3,FALSE)</f>
        <v>0</v>
      </c>
      <c r="D9" s="56"/>
      <c r="E9" s="57"/>
      <c r="G9" s="58">
        <v>3</v>
      </c>
      <c r="H9" s="59">
        <f>VLOOKUP("29/120/3",Data!$A$2:$E$1425,3,FALSE)</f>
        <v>0</v>
      </c>
      <c r="I9" s="56"/>
      <c r="J9" s="57"/>
      <c r="L9" s="6">
        <f>COUNTA(B11)+L8</f>
        <v>3</v>
      </c>
      <c r="M9" s="79" t="str">
        <f>C11</f>
        <v>20002 Marten</v>
      </c>
      <c r="N9" s="80" t="s">
        <v>7430</v>
      </c>
      <c r="O9" s="81">
        <v>29</v>
      </c>
      <c r="P9" s="81">
        <v>102</v>
      </c>
      <c r="Q9" s="62" t="str">
        <f>_xlfn.IFS(COUNTA(B11:B13)=1,"Single",COUNTA(B11:B13)=2,"Double",COUNTA(B11:B13)=3,"Triple",COUNTA(B11:B13)=0,"Empty")</f>
        <v>Double</v>
      </c>
      <c r="R9" s="62"/>
      <c r="S9" s="62"/>
      <c r="T9" s="62"/>
      <c r="U9" s="81">
        <f>B11</f>
        <v>1</v>
      </c>
      <c r="V9" s="100">
        <f>COUNT(B11:B13)</f>
        <v>2</v>
      </c>
      <c r="W9" s="101"/>
      <c r="X9" s="108" t="str">
        <f t="shared" ref="X9:Y11" si="1">IF(D11=0,"",D11)</f>
        <v/>
      </c>
      <c r="Y9" s="108" t="str">
        <f t="shared" si="1"/>
        <v/>
      </c>
      <c r="Z9" s="120" t="s">
        <v>7498</v>
      </c>
      <c r="AA9" s="121" t="e">
        <f>VLOOKUP($M:$M,Data!$I:$J,2,FALSE)</f>
        <v>#N/A</v>
      </c>
      <c r="AB9" s="122"/>
    </row>
    <row r="10" spans="2:28">
      <c r="B10" s="60">
        <v>102</v>
      </c>
      <c r="C10" s="61"/>
      <c r="D10" s="62" t="s">
        <v>6580</v>
      </c>
      <c r="E10" s="8" t="s">
        <v>6581</v>
      </c>
      <c r="G10" s="46">
        <v>119</v>
      </c>
      <c r="H10" s="47"/>
      <c r="I10" s="48" t="s">
        <v>6580</v>
      </c>
      <c r="J10" s="49" t="s">
        <v>6581</v>
      </c>
      <c r="L10" s="9">
        <f>COUNTA(B12)+L9</f>
        <v>4</v>
      </c>
      <c r="M10" s="31">
        <f>C12</f>
        <v>0</v>
      </c>
      <c r="N10" s="82" t="s">
        <v>7430</v>
      </c>
      <c r="O10" s="36">
        <v>29</v>
      </c>
      <c r="P10" s="36">
        <v>102</v>
      </c>
      <c r="Q10" s="32"/>
      <c r="R10" s="32"/>
      <c r="S10" s="32"/>
      <c r="T10" s="32"/>
      <c r="U10" s="36">
        <f>B12</f>
        <v>2</v>
      </c>
      <c r="V10" s="103"/>
      <c r="W10" s="104"/>
      <c r="X10" s="109" t="str">
        <f t="shared" si="1"/>
        <v/>
      </c>
      <c r="Y10" s="109" t="str">
        <f t="shared" si="1"/>
        <v/>
      </c>
      <c r="Z10" s="123" t="s">
        <v>6775</v>
      </c>
      <c r="AA10" s="124" t="e">
        <f>VLOOKUP($M:$M,Data!$I:$J,2,FALSE)</f>
        <v>#N/A</v>
      </c>
      <c r="AB10" s="125"/>
    </row>
    <row r="11" ht="15.25" spans="2:28">
      <c r="B11" s="50">
        <v>1</v>
      </c>
      <c r="C11" s="51" t="str">
        <f>VLOOKUP("29/102/1",Data!$A$2:$E$1425,3,FALSE)</f>
        <v>20002 Marten</v>
      </c>
      <c r="D11" s="52"/>
      <c r="E11" s="53"/>
      <c r="G11" s="50">
        <v>1</v>
      </c>
      <c r="H11" s="51" t="str">
        <f>VLOOKUP("29/119/1",Data!$A$2:$E$1425,3,FALSE)</f>
        <v>21002 Klara </v>
      </c>
      <c r="I11" s="52"/>
      <c r="J11" s="53"/>
      <c r="L11" s="14">
        <f>COUNTA(B13)+L10</f>
        <v>4</v>
      </c>
      <c r="M11" s="83">
        <f>C13</f>
        <v>0</v>
      </c>
      <c r="N11" s="84" t="s">
        <v>7430</v>
      </c>
      <c r="O11" s="85">
        <v>29</v>
      </c>
      <c r="P11" s="85">
        <v>102</v>
      </c>
      <c r="Q11" s="110"/>
      <c r="R11" s="110"/>
      <c r="S11" s="110"/>
      <c r="T11" s="110"/>
      <c r="U11" s="85">
        <f>B13</f>
        <v>0</v>
      </c>
      <c r="V11" s="105"/>
      <c r="W11" s="106"/>
      <c r="X11" s="111" t="str">
        <f t="shared" si="1"/>
        <v/>
      </c>
      <c r="Y11" s="111" t="str">
        <f t="shared" si="1"/>
        <v/>
      </c>
      <c r="Z11" s="127"/>
      <c r="AA11" s="128" t="e">
        <f>VLOOKUP($M:$M,Data!$I:$J,2,FALSE)</f>
        <v>#N/A</v>
      </c>
      <c r="AB11" s="126"/>
    </row>
    <row r="12" spans="2:28">
      <c r="B12" s="50">
        <v>2</v>
      </c>
      <c r="C12" s="51">
        <f>VLOOKUP("29/102/2",Data!$A$2:$E$1425,3,FALSE)</f>
        <v>0</v>
      </c>
      <c r="D12" s="54"/>
      <c r="E12" s="55"/>
      <c r="G12" s="50">
        <v>2</v>
      </c>
      <c r="H12" s="51">
        <f>VLOOKUP("29/119/2",Data!$A$2:$E$1425,3,FALSE)</f>
        <v>0</v>
      </c>
      <c r="I12" s="54"/>
      <c r="J12" s="55"/>
      <c r="L12" s="6">
        <f>COUNTA(B15)+L11</f>
        <v>5</v>
      </c>
      <c r="M12" s="79" t="str">
        <f>C15</f>
        <v> 20003 Christoffer</v>
      </c>
      <c r="N12" s="80" t="s">
        <v>7430</v>
      </c>
      <c r="O12" s="81">
        <v>29</v>
      </c>
      <c r="P12" s="81">
        <v>103</v>
      </c>
      <c r="Q12" s="62" t="str">
        <f>_xlfn.IFS(COUNTA(B15:B17)=1,"Single",COUNTA(B15:B17)=2,"Double",COUNTA(B15:B17)=3,"Triple",COUNTA(B15:B17)=0,"Empty")</f>
        <v>Triple</v>
      </c>
      <c r="R12" s="62"/>
      <c r="S12" s="62"/>
      <c r="T12" s="62"/>
      <c r="U12" s="81">
        <f>B15</f>
        <v>1</v>
      </c>
      <c r="V12" s="100">
        <f>COUNT(B15:B17)</f>
        <v>3</v>
      </c>
      <c r="W12" s="101"/>
      <c r="X12" s="108" t="str">
        <f t="shared" ref="X12:Y14" si="2">IF(D15=0,"",D15)</f>
        <v/>
      </c>
      <c r="Y12" s="108" t="str">
        <f t="shared" si="2"/>
        <v/>
      </c>
      <c r="Z12" s="120" t="s">
        <v>7191</v>
      </c>
      <c r="AA12" s="121" t="e">
        <f>VLOOKUP($M:$M,Data!$I:$J,2,FALSE)</f>
        <v>#N/A</v>
      </c>
      <c r="AB12" s="122"/>
    </row>
    <row r="13" ht="15.25" spans="2:28">
      <c r="B13" s="58"/>
      <c r="C13" s="59">
        <f>VLOOKUP("29/102/3",Data!$A$2:$E$1425,3,FALSE)</f>
        <v>0</v>
      </c>
      <c r="D13" s="56"/>
      <c r="E13" s="57"/>
      <c r="G13" s="58">
        <v>3</v>
      </c>
      <c r="H13" s="59">
        <f>VLOOKUP("29/119/3",Data!$A$2:$E$1425,3,FALSE)</f>
        <v>0</v>
      </c>
      <c r="I13" s="56"/>
      <c r="J13" s="57"/>
      <c r="L13" s="9">
        <f>COUNTA(B16)+L12</f>
        <v>6</v>
      </c>
      <c r="M13" s="31">
        <f>C16</f>
        <v>0</v>
      </c>
      <c r="N13" s="82" t="s">
        <v>7430</v>
      </c>
      <c r="O13" s="36">
        <v>29</v>
      </c>
      <c r="P13" s="36">
        <v>103</v>
      </c>
      <c r="Q13" s="32"/>
      <c r="R13" s="32"/>
      <c r="S13" s="32"/>
      <c r="T13" s="32"/>
      <c r="U13" s="36">
        <f>B16</f>
        <v>2</v>
      </c>
      <c r="V13" s="103"/>
      <c r="W13" s="104"/>
      <c r="X13" s="109" t="str">
        <f t="shared" si="2"/>
        <v/>
      </c>
      <c r="Y13" s="109" t="str">
        <f t="shared" si="2"/>
        <v/>
      </c>
      <c r="Z13" s="123" t="s">
        <v>7282</v>
      </c>
      <c r="AA13" s="124" t="e">
        <f>VLOOKUP($M:$M,Data!$I:$J,2,FALSE)</f>
        <v>#N/A</v>
      </c>
      <c r="AB13" s="125"/>
    </row>
    <row r="14" ht="15.25" spans="2:28">
      <c r="B14" s="63">
        <v>103</v>
      </c>
      <c r="C14" s="64"/>
      <c r="D14" s="65" t="s">
        <v>6580</v>
      </c>
      <c r="E14" s="66" t="s">
        <v>6581</v>
      </c>
      <c r="G14" s="46">
        <v>118</v>
      </c>
      <c r="H14" s="47"/>
      <c r="I14" s="48" t="s">
        <v>6580</v>
      </c>
      <c r="J14" s="49" t="s">
        <v>6581</v>
      </c>
      <c r="L14" s="14">
        <f>COUNTA(B17)+L13</f>
        <v>7</v>
      </c>
      <c r="M14" s="83">
        <f>C17</f>
        <v>0</v>
      </c>
      <c r="N14" s="84" t="s">
        <v>7430</v>
      </c>
      <c r="O14" s="85">
        <v>29</v>
      </c>
      <c r="P14" s="85">
        <v>103</v>
      </c>
      <c r="Q14" s="110"/>
      <c r="R14" s="110"/>
      <c r="S14" s="110"/>
      <c r="T14" s="110"/>
      <c r="U14" s="85">
        <f>B17</f>
        <v>3</v>
      </c>
      <c r="V14" s="105"/>
      <c r="W14" s="106"/>
      <c r="X14" s="111" t="str">
        <f t="shared" si="2"/>
        <v/>
      </c>
      <c r="Y14" s="111" t="str">
        <f t="shared" si="2"/>
        <v/>
      </c>
      <c r="Z14" s="127" t="s">
        <v>7130</v>
      </c>
      <c r="AA14" s="128" t="e">
        <f>VLOOKUP($M:$M,Data!$I:$J,2,FALSE)</f>
        <v>#N/A</v>
      </c>
      <c r="AB14" s="126"/>
    </row>
    <row r="15" spans="2:28">
      <c r="B15" s="50">
        <v>1</v>
      </c>
      <c r="C15" s="51" t="str">
        <f>VLOOKUP("29/103/1",Data!$A$2:$E$1425,3,FALSE)</f>
        <v> 20003 Christoffer</v>
      </c>
      <c r="D15" s="52"/>
      <c r="E15" s="53"/>
      <c r="G15" s="50">
        <v>1</v>
      </c>
      <c r="H15" s="51" t="str">
        <f>VLOOKUP("29/118/1",Data!$A$2:$E$1425,3,FALSE)</f>
        <v>21001 Andre </v>
      </c>
      <c r="I15" s="52"/>
      <c r="J15" s="53"/>
      <c r="L15" s="6">
        <f>COUNTA(B19)+L14</f>
        <v>8</v>
      </c>
      <c r="M15" s="79" t="str">
        <f>C19</f>
        <v>20041 Rasmus </v>
      </c>
      <c r="N15" s="80" t="s">
        <v>7430</v>
      </c>
      <c r="O15" s="81">
        <v>29</v>
      </c>
      <c r="P15" s="81">
        <v>104</v>
      </c>
      <c r="Q15" s="62" t="str">
        <f>_xlfn.IFS(COUNTA(B19:B21)=1,"Single",COUNTA(B19:B21)=2,"Double",COUNTA(B19:B21)=3,"Triple",COUNTA(B19:B21)=0,"Empty")</f>
        <v>Triple</v>
      </c>
      <c r="R15" s="62"/>
      <c r="S15" s="62"/>
      <c r="T15" s="62"/>
      <c r="U15" s="81">
        <f>B19</f>
        <v>1</v>
      </c>
      <c r="V15" s="100">
        <f>COUNT(B19:B21)</f>
        <v>3</v>
      </c>
      <c r="W15" s="101"/>
      <c r="X15" s="108" t="str">
        <f>IF(D19=0,"",D19)</f>
        <v/>
      </c>
      <c r="Y15" s="108" t="str">
        <f>IF(E19=0,"",E19)</f>
        <v/>
      </c>
      <c r="Z15" s="120" t="s">
        <v>6706</v>
      </c>
      <c r="AA15" s="121" t="e">
        <f>VLOOKUP($M:$M,Data!$I:$J,2,FALSE)</f>
        <v>#N/A</v>
      </c>
      <c r="AB15" s="122"/>
    </row>
    <row r="16" spans="2:28">
      <c r="B16" s="50">
        <v>2</v>
      </c>
      <c r="C16" s="51">
        <f>VLOOKUP("29/103/2",Data!$A$2:$E$1425,3,FALSE)</f>
        <v>0</v>
      </c>
      <c r="D16" s="54"/>
      <c r="E16" s="55"/>
      <c r="G16" s="50">
        <v>2</v>
      </c>
      <c r="H16" s="51">
        <f>VLOOKUP("29/118/2",Data!$A$2:$E$1425,3,FALSE)</f>
        <v>0</v>
      </c>
      <c r="I16" s="54"/>
      <c r="J16" s="55"/>
      <c r="L16" s="9">
        <f>COUNTA(B20)+L15</f>
        <v>9</v>
      </c>
      <c r="M16" s="31">
        <f>C20</f>
        <v>0</v>
      </c>
      <c r="N16" s="82" t="s">
        <v>7430</v>
      </c>
      <c r="O16" s="36">
        <v>29</v>
      </c>
      <c r="P16" s="36">
        <v>104</v>
      </c>
      <c r="Q16" s="32"/>
      <c r="R16" s="32"/>
      <c r="S16" s="32"/>
      <c r="T16" s="32"/>
      <c r="U16" s="36">
        <f>B20</f>
        <v>2</v>
      </c>
      <c r="V16" s="103"/>
      <c r="W16" s="104"/>
      <c r="X16" s="109" t="str">
        <f t="shared" ref="X16:Y17" si="3">IF(D20=0,"",D20)</f>
        <v/>
      </c>
      <c r="Y16" s="109" t="str">
        <f t="shared" si="3"/>
        <v/>
      </c>
      <c r="Z16" s="123" t="s">
        <v>6936</v>
      </c>
      <c r="AA16" s="124" t="e">
        <f>VLOOKUP($M:$M,Data!$I:$J,2,FALSE)</f>
        <v>#N/A</v>
      </c>
      <c r="AB16" s="125"/>
    </row>
    <row r="17" ht="15.25" spans="2:28">
      <c r="B17" s="58">
        <v>3</v>
      </c>
      <c r="C17" s="59">
        <f>VLOOKUP("29/103/3",Data!$A$2:$E$1425,3,FALSE)</f>
        <v>0</v>
      </c>
      <c r="D17" s="56"/>
      <c r="E17" s="57"/>
      <c r="G17" s="58">
        <v>3</v>
      </c>
      <c r="H17" s="59">
        <f>VLOOKUP("29/118/3",Data!$A$2:$E$1425,3,FALSE)</f>
        <v>0</v>
      </c>
      <c r="I17" s="56"/>
      <c r="J17" s="57"/>
      <c r="L17" s="14">
        <f>COUNTA(B21)+L16</f>
        <v>10</v>
      </c>
      <c r="M17" s="83">
        <f>C21</f>
        <v>0</v>
      </c>
      <c r="N17" s="84" t="s">
        <v>7430</v>
      </c>
      <c r="O17" s="85">
        <v>29</v>
      </c>
      <c r="P17" s="85">
        <v>104</v>
      </c>
      <c r="Q17" s="110"/>
      <c r="R17" s="110"/>
      <c r="S17" s="110"/>
      <c r="T17" s="110"/>
      <c r="U17" s="85">
        <f>B21</f>
        <v>3</v>
      </c>
      <c r="V17" s="105"/>
      <c r="W17" s="106"/>
      <c r="X17" s="111" t="str">
        <f t="shared" si="3"/>
        <v/>
      </c>
      <c r="Y17" s="111" t="str">
        <f t="shared" si="3"/>
        <v/>
      </c>
      <c r="Z17" s="127" t="s">
        <v>7087</v>
      </c>
      <c r="AA17" s="128" t="e">
        <f>VLOOKUP($M:$M,Data!$I:$J,2,FALSE)</f>
        <v>#N/A</v>
      </c>
      <c r="AB17" s="126"/>
    </row>
    <row r="18" spans="2:28">
      <c r="B18" s="46">
        <v>104</v>
      </c>
      <c r="C18" s="47"/>
      <c r="D18" s="48" t="s">
        <v>6580</v>
      </c>
      <c r="E18" s="49" t="s">
        <v>6581</v>
      </c>
      <c r="G18" s="46">
        <v>117</v>
      </c>
      <c r="H18" s="47"/>
      <c r="I18" s="48" t="s">
        <v>6580</v>
      </c>
      <c r="J18" s="49" t="s">
        <v>6581</v>
      </c>
      <c r="L18" s="6">
        <f>COUNTA(B23)+L17</f>
        <v>11</v>
      </c>
      <c r="M18" s="79" t="str">
        <f>C23</f>
        <v>21101 Gustav</v>
      </c>
      <c r="N18" s="80" t="s">
        <v>7430</v>
      </c>
      <c r="O18" s="81">
        <v>29</v>
      </c>
      <c r="P18" s="81">
        <v>105</v>
      </c>
      <c r="Q18" s="62" t="str">
        <f>_xlfn.IFS(COUNTA(B23:B25)=1,"Single",COUNTA(B23:B25)=2,"Double",COUNTA(B23:B25)=3,"Triple",COUNTA(B23:B25)=0,"Empty")</f>
        <v>Triple</v>
      </c>
      <c r="R18" s="62"/>
      <c r="S18" s="62"/>
      <c r="T18" s="62"/>
      <c r="U18" s="81">
        <f>B23</f>
        <v>1</v>
      </c>
      <c r="V18" s="100">
        <f>COUNT(B23:B25)</f>
        <v>3</v>
      </c>
      <c r="W18" s="101"/>
      <c r="X18" s="108" t="str">
        <f>IF(D23=0,"",D23)</f>
        <v/>
      </c>
      <c r="Y18" s="108" t="str">
        <f>IF(E23=0,"",E23)</f>
        <v/>
      </c>
      <c r="Z18" s="120" t="s">
        <v>7237</v>
      </c>
      <c r="AA18" s="121" t="e">
        <f>VLOOKUP($M:$M,Data!$I:$J,2,FALSE)</f>
        <v>#N/A</v>
      </c>
      <c r="AB18" s="122"/>
    </row>
    <row r="19" spans="2:28">
      <c r="B19" s="50">
        <v>1</v>
      </c>
      <c r="C19" s="51" t="str">
        <f>VLOOKUP("29/104/1",Data!$A$2:$E$1425,3,FALSE)</f>
        <v>20041 Rasmus </v>
      </c>
      <c r="D19" s="52"/>
      <c r="E19" s="53"/>
      <c r="G19" s="50">
        <v>1</v>
      </c>
      <c r="H19" s="51" t="str">
        <f>VLOOKUP("29/117/1",Data!$A$2:$E$1425,3,FALSE)</f>
        <v>21309 Felix </v>
      </c>
      <c r="I19" s="52"/>
      <c r="J19" s="53"/>
      <c r="L19" s="9">
        <f>COUNTA(B24)+L18</f>
        <v>12</v>
      </c>
      <c r="M19" s="31" t="str">
        <f>C24</f>
        <v>21102 David </v>
      </c>
      <c r="N19" s="82" t="s">
        <v>7430</v>
      </c>
      <c r="O19" s="36">
        <v>29</v>
      </c>
      <c r="P19" s="36">
        <v>105</v>
      </c>
      <c r="Q19" s="32"/>
      <c r="R19" s="32"/>
      <c r="S19" s="32"/>
      <c r="T19" s="32"/>
      <c r="U19" s="36">
        <f>B24</f>
        <v>2</v>
      </c>
      <c r="V19" s="103"/>
      <c r="W19" s="104"/>
      <c r="X19" s="109" t="str">
        <f t="shared" ref="X19:Y20" si="4">IF(D24=0,"",D24)</f>
        <v/>
      </c>
      <c r="Y19" s="109" t="str">
        <f t="shared" si="4"/>
        <v/>
      </c>
      <c r="Z19" s="123" t="s">
        <v>7091</v>
      </c>
      <c r="AA19" s="124" t="e">
        <f>VLOOKUP($M:$M,Data!$I:$J,2,FALSE)</f>
        <v>#N/A</v>
      </c>
      <c r="AB19" s="125"/>
    </row>
    <row r="20" ht="15.25" spans="2:28">
      <c r="B20" s="50">
        <v>2</v>
      </c>
      <c r="C20" s="51">
        <f>VLOOKUP("29/104/2",Data!$A$2:$E$1425,3,FALSE)</f>
        <v>0</v>
      </c>
      <c r="D20" s="54"/>
      <c r="E20" s="55"/>
      <c r="G20" s="50">
        <v>2</v>
      </c>
      <c r="H20" s="51" t="str">
        <f>VLOOKUP("29/117/2",Data!$A$2:$E$1425,3,FALSE)</f>
        <v>21306 Jakub </v>
      </c>
      <c r="I20" s="54"/>
      <c r="J20" s="55"/>
      <c r="L20" s="14">
        <f>COUNTA(B25)+L19</f>
        <v>13</v>
      </c>
      <c r="M20" s="83">
        <f>C25</f>
        <v>0</v>
      </c>
      <c r="N20" s="84" t="s">
        <v>7430</v>
      </c>
      <c r="O20" s="85">
        <v>29</v>
      </c>
      <c r="P20" s="85">
        <v>105</v>
      </c>
      <c r="Q20" s="110"/>
      <c r="R20" s="110"/>
      <c r="S20" s="110"/>
      <c r="T20" s="110"/>
      <c r="U20" s="85">
        <f>B25</f>
        <v>3</v>
      </c>
      <c r="V20" s="105"/>
      <c r="W20" s="106"/>
      <c r="X20" s="111" t="str">
        <f t="shared" si="4"/>
        <v/>
      </c>
      <c r="Y20" s="111" t="str">
        <f t="shared" si="4"/>
        <v/>
      </c>
      <c r="Z20" s="127" t="s">
        <v>6760</v>
      </c>
      <c r="AA20" s="128" t="e">
        <f>VLOOKUP($M:$M,Data!$I:$J,2,FALSE)</f>
        <v>#N/A</v>
      </c>
      <c r="AB20" s="126"/>
    </row>
    <row r="21" ht="15.25" spans="2:28">
      <c r="B21" s="58">
        <v>3</v>
      </c>
      <c r="C21" s="59">
        <f>VLOOKUP("29/104/3",Data!$A$2:$E$1425,3,FALSE)</f>
        <v>0</v>
      </c>
      <c r="D21" s="56"/>
      <c r="E21" s="57"/>
      <c r="G21" s="58">
        <v>3</v>
      </c>
      <c r="H21" s="59">
        <f>VLOOKUP("29/117/3",Data!$A$2:$E$1425,3,FALSE)</f>
        <v>0</v>
      </c>
      <c r="I21" s="56"/>
      <c r="J21" s="57"/>
      <c r="L21" s="6">
        <f>COUNTA(B27)+L20</f>
        <v>14</v>
      </c>
      <c r="M21" s="79" t="str">
        <f>C27</f>
        <v>21103 Faraj</v>
      </c>
      <c r="N21" s="80" t="s">
        <v>7430</v>
      </c>
      <c r="O21" s="81">
        <v>29</v>
      </c>
      <c r="P21" s="81">
        <v>106</v>
      </c>
      <c r="Q21" s="62" t="str">
        <f>_xlfn.IFS(COUNTA(B27:B29)=1,"Single",COUNTA(B27:B29)=2,"Double",COUNTA(B27:B29)=3,"Triple",COUNTA(B27:B29)=0,"Empty")</f>
        <v>Triple</v>
      </c>
      <c r="R21" s="62"/>
      <c r="S21" s="62"/>
      <c r="T21" s="62"/>
      <c r="U21" s="81">
        <f>B27</f>
        <v>1</v>
      </c>
      <c r="V21" s="100">
        <f>COUNT(B27:B29)</f>
        <v>3</v>
      </c>
      <c r="W21" s="101"/>
      <c r="X21" s="108" t="str">
        <f>IF(D27=0,"",D27)</f>
        <v/>
      </c>
      <c r="Y21" s="108" t="str">
        <f>IF(E27=0,"",E27)</f>
        <v/>
      </c>
      <c r="Z21" s="120" t="s">
        <v>7263</v>
      </c>
      <c r="AA21" s="121" t="e">
        <f>VLOOKUP($M:$M,Data!$I:$J,2,FALSE)</f>
        <v>#N/A</v>
      </c>
      <c r="AB21" s="122"/>
    </row>
    <row r="22" spans="2:28">
      <c r="B22" s="46">
        <v>105</v>
      </c>
      <c r="C22" s="47"/>
      <c r="D22" s="48" t="s">
        <v>6580</v>
      </c>
      <c r="E22" s="49" t="s">
        <v>6581</v>
      </c>
      <c r="G22" s="46">
        <v>116</v>
      </c>
      <c r="H22" s="47"/>
      <c r="I22" s="48" t="s">
        <v>6580</v>
      </c>
      <c r="J22" s="49" t="s">
        <v>6581</v>
      </c>
      <c r="L22" s="9">
        <f>COUNTA(B28)+L21</f>
        <v>15</v>
      </c>
      <c r="M22" s="31" t="str">
        <f>C28</f>
        <v>21203 Leo </v>
      </c>
      <c r="N22" s="82" t="s">
        <v>7430</v>
      </c>
      <c r="O22" s="36">
        <v>29</v>
      </c>
      <c r="P22" s="36">
        <v>106</v>
      </c>
      <c r="Q22" s="32"/>
      <c r="R22" s="32"/>
      <c r="S22" s="32"/>
      <c r="T22" s="32"/>
      <c r="U22" s="36">
        <f>B28</f>
        <v>2</v>
      </c>
      <c r="V22" s="103"/>
      <c r="W22" s="104"/>
      <c r="X22" s="109" t="str">
        <f t="shared" ref="X22:Y23" si="5">IF(D28=0,"",D28)</f>
        <v/>
      </c>
      <c r="Y22" s="109" t="str">
        <f t="shared" si="5"/>
        <v/>
      </c>
      <c r="Z22" s="123" t="s">
        <v>6695</v>
      </c>
      <c r="AA22" s="124" t="e">
        <f>VLOOKUP($M:$M,Data!$I:$J,2,FALSE)</f>
        <v>#N/A</v>
      </c>
      <c r="AB22" s="125"/>
    </row>
    <row r="23" ht="15.25" spans="2:28">
      <c r="B23" s="50">
        <v>1</v>
      </c>
      <c r="C23" s="51" t="str">
        <f>VLOOKUP("29/105/1",Data!$A$2:$E$1425,3,FALSE)</f>
        <v>21101 Gustav</v>
      </c>
      <c r="D23" s="52"/>
      <c r="E23" s="53"/>
      <c r="G23" s="50"/>
      <c r="H23" s="51" t="str">
        <f>VLOOKUP("29/116/1",Data!$A$2:$E$1425,3,FALSE)</f>
        <v>21307 Elliot</v>
      </c>
      <c r="I23" s="52"/>
      <c r="J23" s="53"/>
      <c r="L23" s="14">
        <f>COUNTA(B29)+L22</f>
        <v>16</v>
      </c>
      <c r="M23" s="83">
        <f>C29</f>
        <v>0</v>
      </c>
      <c r="N23" s="84" t="s">
        <v>7430</v>
      </c>
      <c r="O23" s="85">
        <v>29</v>
      </c>
      <c r="P23" s="85">
        <v>106</v>
      </c>
      <c r="Q23" s="110"/>
      <c r="R23" s="110"/>
      <c r="S23" s="110"/>
      <c r="T23" s="110"/>
      <c r="U23" s="85">
        <f>B29</f>
        <v>3</v>
      </c>
      <c r="V23" s="105"/>
      <c r="W23" s="106"/>
      <c r="X23" s="111" t="str">
        <f t="shared" si="5"/>
        <v/>
      </c>
      <c r="Y23" s="111" t="str">
        <f t="shared" si="5"/>
        <v/>
      </c>
      <c r="Z23" s="127" t="s">
        <v>7126</v>
      </c>
      <c r="AA23" s="128" t="e">
        <f>VLOOKUP($M:$M,Data!$I:$J,2,FALSE)</f>
        <v>#N/A</v>
      </c>
      <c r="AB23" s="126"/>
    </row>
    <row r="24" spans="2:28">
      <c r="B24" s="50">
        <v>2</v>
      </c>
      <c r="C24" s="51" t="str">
        <f>VLOOKUP("29/105/2",Data!$A$2:$E$1425,3,FALSE)</f>
        <v>21102 David </v>
      </c>
      <c r="D24" s="54"/>
      <c r="E24" s="55"/>
      <c r="G24" s="50"/>
      <c r="H24" s="51" t="str">
        <f>VLOOKUP("29/116/2",Data!$A$2:$E$1425,3,FALSE)</f>
        <v>21308 Willy </v>
      </c>
      <c r="I24" s="54"/>
      <c r="J24" s="55"/>
      <c r="L24" s="6">
        <f>COUNTA(B31)+L23</f>
        <v>17</v>
      </c>
      <c r="M24" s="79" t="str">
        <f>C31</f>
        <v>21105 Gustav </v>
      </c>
      <c r="N24" s="80" t="s">
        <v>7430</v>
      </c>
      <c r="O24" s="81">
        <v>29</v>
      </c>
      <c r="P24" s="81">
        <v>107</v>
      </c>
      <c r="Q24" s="62" t="str">
        <f>_xlfn.IFS(COUNTA(B31:B33)=1,"Single",COUNTA(B31:B33)=2,"Double",COUNTA(B31:B33)=3,"Triple",COUNTA(B31:B33)=0,"Empty")</f>
        <v>Triple</v>
      </c>
      <c r="R24" s="62"/>
      <c r="S24" s="62"/>
      <c r="T24" s="62"/>
      <c r="U24" s="81">
        <f>B31</f>
        <v>1</v>
      </c>
      <c r="V24" s="100">
        <f>COUNT(B31:B33)</f>
        <v>3</v>
      </c>
      <c r="W24" s="101"/>
      <c r="X24" s="108" t="str">
        <f>IF(D31=0,"",D31)</f>
        <v/>
      </c>
      <c r="Y24" s="108" t="str">
        <f>IF(E31=0,"",E31)</f>
        <v/>
      </c>
      <c r="Z24" s="120" t="s">
        <v>6663</v>
      </c>
      <c r="AA24" s="121" t="e">
        <f>VLOOKUP($M:$M,Data!$I:$J,2,FALSE)</f>
        <v>#N/A</v>
      </c>
      <c r="AB24" s="122"/>
    </row>
    <row r="25" ht="15.25" spans="2:28">
      <c r="B25" s="58">
        <v>3</v>
      </c>
      <c r="C25" s="59">
        <f>VLOOKUP("29/105/3",Data!$A$2:$E$1425,3,FALSE)</f>
        <v>0</v>
      </c>
      <c r="D25" s="56"/>
      <c r="E25" s="57"/>
      <c r="G25" s="58"/>
      <c r="H25" s="59">
        <f>VLOOKUP("29/116/3",Data!$A$2:$E$1425,3,FALSE)</f>
        <v>0</v>
      </c>
      <c r="I25" s="56"/>
      <c r="J25" s="57"/>
      <c r="L25" s="9">
        <f>COUNTA(B32)+L24</f>
        <v>18</v>
      </c>
      <c r="M25" s="31" t="str">
        <f>C32</f>
        <v>21104 Bendeguz</v>
      </c>
      <c r="N25" s="82" t="s">
        <v>7430</v>
      </c>
      <c r="O25" s="36">
        <v>29</v>
      </c>
      <c r="P25" s="36">
        <v>107</v>
      </c>
      <c r="Q25" s="32"/>
      <c r="R25" s="32"/>
      <c r="S25" s="32"/>
      <c r="T25" s="32"/>
      <c r="U25" s="36">
        <f>B32</f>
        <v>2</v>
      </c>
      <c r="V25" s="103"/>
      <c r="W25" s="104"/>
      <c r="X25" s="109" t="str">
        <f t="shared" ref="X25:Y26" si="6">IF(D32=0,"",D32)</f>
        <v/>
      </c>
      <c r="Y25" s="109" t="str">
        <f t="shared" si="6"/>
        <v/>
      </c>
      <c r="Z25" s="123" t="s">
        <v>6657</v>
      </c>
      <c r="AA25" s="124" t="e">
        <f>VLOOKUP($M:$M,Data!$I:$J,2,FALSE)</f>
        <v>#N/A</v>
      </c>
      <c r="AB25" s="125"/>
    </row>
    <row r="26" ht="15.25" spans="2:28">
      <c r="B26" s="46">
        <v>106</v>
      </c>
      <c r="C26" s="47"/>
      <c r="D26" s="48" t="s">
        <v>6580</v>
      </c>
      <c r="E26" s="49" t="s">
        <v>6581</v>
      </c>
      <c r="G26" s="67" t="s">
        <v>7435</v>
      </c>
      <c r="H26" s="68"/>
      <c r="I26" s="68"/>
      <c r="J26" s="86"/>
      <c r="L26" s="14">
        <f>COUNTA(B33)+L25</f>
        <v>19</v>
      </c>
      <c r="M26" s="83">
        <f>C33</f>
        <v>0</v>
      </c>
      <c r="N26" s="84" t="s">
        <v>7430</v>
      </c>
      <c r="O26" s="85">
        <v>29</v>
      </c>
      <c r="P26" s="85">
        <v>107</v>
      </c>
      <c r="Q26" s="110"/>
      <c r="R26" s="110"/>
      <c r="S26" s="110"/>
      <c r="T26" s="110"/>
      <c r="U26" s="85">
        <f>B33</f>
        <v>3</v>
      </c>
      <c r="V26" s="105"/>
      <c r="W26" s="106"/>
      <c r="X26" s="111" t="str">
        <f t="shared" si="6"/>
        <v/>
      </c>
      <c r="Y26" s="111" t="str">
        <f t="shared" si="6"/>
        <v/>
      </c>
      <c r="Z26" s="127" t="s">
        <v>7136</v>
      </c>
      <c r="AA26" s="128" t="e">
        <f>VLOOKUP($M:$M,Data!$I:$J,2,FALSE)</f>
        <v>#N/A</v>
      </c>
      <c r="AB26" s="126"/>
    </row>
    <row r="27" spans="2:28">
      <c r="B27" s="50">
        <v>1</v>
      </c>
      <c r="C27" s="51" t="str">
        <f>VLOOKUP("29/106/1",Data!$A$2:$E$1425,3,FALSE)</f>
        <v>21103 Faraj</v>
      </c>
      <c r="D27" s="52"/>
      <c r="E27" s="53"/>
      <c r="G27" s="69"/>
      <c r="H27" s="70"/>
      <c r="I27" s="70"/>
      <c r="J27" s="87"/>
      <c r="L27" s="6">
        <f>COUNTA(B35)+L26</f>
        <v>20</v>
      </c>
      <c r="M27" s="79" t="str">
        <f>C35</f>
        <v>21107 Eskil </v>
      </c>
      <c r="N27" s="80" t="s">
        <v>7430</v>
      </c>
      <c r="O27" s="81">
        <v>29</v>
      </c>
      <c r="P27" s="81">
        <v>108</v>
      </c>
      <c r="Q27" s="62" t="str">
        <f>_xlfn.IFS(COUNTA(B35:B37)=1,"Single",COUNTA(B35:B37)=2,"Double",COUNTA(B35:B37)=3,"Triple",COUNTA(B35:B37)=0,"Empty")</f>
        <v>Triple</v>
      </c>
      <c r="R27" s="62"/>
      <c r="S27" s="62"/>
      <c r="T27" s="62"/>
      <c r="U27" s="81">
        <f>B35</f>
        <v>1</v>
      </c>
      <c r="V27" s="100">
        <f>COUNT(B35:B37)</f>
        <v>3</v>
      </c>
      <c r="W27" s="101"/>
      <c r="X27" s="108" t="str">
        <f>IF(D35=0,"",D35)</f>
        <v/>
      </c>
      <c r="Y27" s="108" t="str">
        <f>IF(E35=0,"",E35)</f>
        <v/>
      </c>
      <c r="Z27" s="120" t="s">
        <v>6662</v>
      </c>
      <c r="AA27" s="121" t="e">
        <f>VLOOKUP($M:$M,Data!$I:$J,2,FALSE)</f>
        <v>#N/A</v>
      </c>
      <c r="AB27" s="122"/>
    </row>
    <row r="28" spans="2:28">
      <c r="B28" s="50">
        <v>2</v>
      </c>
      <c r="C28" s="51" t="str">
        <f>VLOOKUP("29/106/2",Data!$A$2:$E$1425,3,FALSE)</f>
        <v>21203 Leo </v>
      </c>
      <c r="D28" s="54"/>
      <c r="E28" s="55"/>
      <c r="G28" s="69"/>
      <c r="H28" s="70"/>
      <c r="I28" s="70"/>
      <c r="J28" s="87"/>
      <c r="L28" s="9">
        <f>COUNTA(B36)+L27</f>
        <v>21</v>
      </c>
      <c r="M28" s="31" t="str">
        <f>C36</f>
        <v>21108 Hugo </v>
      </c>
      <c r="N28" s="82" t="s">
        <v>7430</v>
      </c>
      <c r="O28" s="36">
        <v>29</v>
      </c>
      <c r="P28" s="36">
        <v>108</v>
      </c>
      <c r="Q28" s="32"/>
      <c r="R28" s="32"/>
      <c r="S28" s="32"/>
      <c r="T28" s="32"/>
      <c r="U28" s="36">
        <f>B36</f>
        <v>2</v>
      </c>
      <c r="V28" s="103"/>
      <c r="W28" s="104"/>
      <c r="X28" s="109" t="str">
        <f t="shared" ref="X28:Y29" si="7">IF(D36=0,"",D36)</f>
        <v/>
      </c>
      <c r="Y28" s="109" t="str">
        <f t="shared" si="7"/>
        <v/>
      </c>
      <c r="Z28" s="123" t="s">
        <v>6772</v>
      </c>
      <c r="AA28" s="124" t="e">
        <f>VLOOKUP($M:$M,Data!$I:$J,2,FALSE)</f>
        <v>#N/A</v>
      </c>
      <c r="AB28" s="125"/>
    </row>
    <row r="29" ht="15.25" spans="2:28">
      <c r="B29" s="58">
        <v>3</v>
      </c>
      <c r="C29" s="59">
        <f>VLOOKUP("29/106/3",Data!$A$2:$E$1425,3,FALSE)</f>
        <v>0</v>
      </c>
      <c r="D29" s="56"/>
      <c r="E29" s="57"/>
      <c r="G29" s="69"/>
      <c r="H29" s="70"/>
      <c r="I29" s="70"/>
      <c r="J29" s="87"/>
      <c r="L29" s="14">
        <f>COUNTA(B37)+L28</f>
        <v>22</v>
      </c>
      <c r="M29" s="83">
        <f>C37</f>
        <v>0</v>
      </c>
      <c r="N29" s="84" t="s">
        <v>7430</v>
      </c>
      <c r="O29" s="85">
        <v>29</v>
      </c>
      <c r="P29" s="85">
        <v>108</v>
      </c>
      <c r="Q29" s="110"/>
      <c r="R29" s="110"/>
      <c r="S29" s="110"/>
      <c r="T29" s="110"/>
      <c r="U29" s="85">
        <f>B37</f>
        <v>3</v>
      </c>
      <c r="V29" s="105"/>
      <c r="W29" s="106"/>
      <c r="X29" s="111" t="str">
        <f t="shared" si="7"/>
        <v/>
      </c>
      <c r="Y29" s="111" t="str">
        <f t="shared" si="7"/>
        <v/>
      </c>
      <c r="Z29" s="127" t="s">
        <v>6647</v>
      </c>
      <c r="AA29" s="128" t="e">
        <f>VLOOKUP($M:$M,Data!$I:$J,2,FALSE)</f>
        <v>#N/A</v>
      </c>
      <c r="AB29" s="126"/>
    </row>
    <row r="30" spans="2:28">
      <c r="B30" s="46">
        <v>107</v>
      </c>
      <c r="C30" s="47"/>
      <c r="D30" s="48" t="s">
        <v>6580</v>
      </c>
      <c r="E30" s="49" t="s">
        <v>6581</v>
      </c>
      <c r="G30" s="69"/>
      <c r="H30" s="70"/>
      <c r="I30" s="70"/>
      <c r="J30" s="87"/>
      <c r="L30" s="6">
        <f>COUNTA(B39)+L29</f>
        <v>23</v>
      </c>
      <c r="M30" s="79" t="str">
        <f>C39</f>
        <v>21109 Jakob </v>
      </c>
      <c r="N30" s="80" t="s">
        <v>7430</v>
      </c>
      <c r="O30" s="81">
        <v>29</v>
      </c>
      <c r="P30" s="81">
        <v>109</v>
      </c>
      <c r="Q30" s="62" t="str">
        <f>_xlfn.IFS(COUNTA(B39:B41)=1,"Single",COUNTA(B39:B41)=2,"Double",COUNTA(B39:B41)=3,"Triple",COUNTA(B39:B41)=0,"Empty")</f>
        <v>Triple</v>
      </c>
      <c r="R30" s="62"/>
      <c r="S30" s="62"/>
      <c r="T30" s="62"/>
      <c r="U30" s="81">
        <f>B39</f>
        <v>1</v>
      </c>
      <c r="V30" s="100">
        <f>COUNT(B39:B41)</f>
        <v>3</v>
      </c>
      <c r="W30" s="101"/>
      <c r="X30" s="108" t="str">
        <f>IF(D39=0,"",D39)</f>
        <v/>
      </c>
      <c r="Y30" s="108" t="str">
        <f>IF(E39=0,"",E39)</f>
        <v/>
      </c>
      <c r="Z30" s="120" t="s">
        <v>7499</v>
      </c>
      <c r="AA30" s="121" t="e">
        <f>VLOOKUP($M:$M,Data!$I:$J,2,FALSE)</f>
        <v>#N/A</v>
      </c>
      <c r="AB30" s="122"/>
    </row>
    <row r="31" spans="2:28">
      <c r="B31" s="50">
        <v>1</v>
      </c>
      <c r="C31" s="51" t="str">
        <f>VLOOKUP("29/107/1",Data!$A$2:$E$1425,3,FALSE)</f>
        <v>21105 Gustav </v>
      </c>
      <c r="D31" s="52"/>
      <c r="E31" s="53"/>
      <c r="G31" s="69"/>
      <c r="H31" s="70"/>
      <c r="I31" s="70"/>
      <c r="J31" s="87"/>
      <c r="L31" s="9">
        <f>COUNTA(B40)+L30</f>
        <v>24</v>
      </c>
      <c r="M31" s="31" t="str">
        <f>C40</f>
        <v>21106 Carl </v>
      </c>
      <c r="N31" s="82" t="s">
        <v>7430</v>
      </c>
      <c r="O31" s="36">
        <v>29</v>
      </c>
      <c r="P31" s="36">
        <v>109</v>
      </c>
      <c r="Q31" s="32"/>
      <c r="R31" s="32"/>
      <c r="S31" s="32"/>
      <c r="T31" s="32"/>
      <c r="U31" s="36">
        <f>B40</f>
        <v>2</v>
      </c>
      <c r="V31" s="103"/>
      <c r="W31" s="104"/>
      <c r="X31" s="109" t="str">
        <f t="shared" ref="X31:Y32" si="8">IF(D40=0,"",D40)</f>
        <v/>
      </c>
      <c r="Y31" s="109" t="str">
        <f t="shared" si="8"/>
        <v/>
      </c>
      <c r="Z31" s="123" t="s">
        <v>7195</v>
      </c>
      <c r="AA31" s="124" t="e">
        <f>VLOOKUP($M:$M,Data!$I:$J,2,FALSE)</f>
        <v>#N/A</v>
      </c>
      <c r="AB31" s="125"/>
    </row>
    <row r="32" ht="15.25" spans="2:28">
      <c r="B32" s="50">
        <v>2</v>
      </c>
      <c r="C32" s="51" t="str">
        <f>VLOOKUP("29/107/2",Data!$A$2:$E$1425,3,FALSE)</f>
        <v>21104 Bendeguz</v>
      </c>
      <c r="D32" s="54"/>
      <c r="E32" s="55"/>
      <c r="G32" s="69"/>
      <c r="H32" s="70"/>
      <c r="I32" s="70"/>
      <c r="J32" s="87"/>
      <c r="L32" s="14">
        <f>COUNTA(B41)+L31</f>
        <v>25</v>
      </c>
      <c r="M32" s="83">
        <f>C41</f>
        <v>0</v>
      </c>
      <c r="N32" s="84" t="s">
        <v>7430</v>
      </c>
      <c r="O32" s="85">
        <v>29</v>
      </c>
      <c r="P32" s="85">
        <v>109</v>
      </c>
      <c r="Q32" s="110"/>
      <c r="R32" s="110"/>
      <c r="S32" s="110"/>
      <c r="T32" s="110"/>
      <c r="U32" s="85">
        <f>B41</f>
        <v>3</v>
      </c>
      <c r="V32" s="105"/>
      <c r="W32" s="106"/>
      <c r="X32" s="111" t="str">
        <f t="shared" si="8"/>
        <v/>
      </c>
      <c r="Y32" s="111" t="str">
        <f t="shared" si="8"/>
        <v/>
      </c>
      <c r="Z32" s="127" t="s">
        <v>6745</v>
      </c>
      <c r="AA32" s="128" t="e">
        <f>VLOOKUP($M:$M,Data!$I:$J,2,FALSE)</f>
        <v>#N/A</v>
      </c>
      <c r="AB32" s="126"/>
    </row>
    <row r="33" ht="15.25" spans="2:28">
      <c r="B33" s="58">
        <v>3</v>
      </c>
      <c r="C33" s="59">
        <f>VLOOKUP("29/107/3",Data!$A$2:$E$1425,3,FALSE)</f>
        <v>0</v>
      </c>
      <c r="D33" s="56"/>
      <c r="E33" s="57"/>
      <c r="G33" s="71"/>
      <c r="H33" s="72"/>
      <c r="I33" s="72"/>
      <c r="J33" s="88"/>
      <c r="L33" s="6">
        <f>COUNTA(B43)+L32</f>
        <v>26</v>
      </c>
      <c r="M33" s="79" t="str">
        <f>C43</f>
        <v>21201 Alexander </v>
      </c>
      <c r="N33" s="80" t="s">
        <v>7430</v>
      </c>
      <c r="O33" s="81">
        <v>29</v>
      </c>
      <c r="P33" s="81">
        <v>110</v>
      </c>
      <c r="Q33" s="62" t="str">
        <f>_xlfn.IFS(COUNTA(B43:B45)=1,"Single",COUNTA(B43:B45)=2,"Double",COUNTA(B43:B45)=3,"Triple",COUNTA(B43:B45)=0,"Empty")</f>
        <v>Triple</v>
      </c>
      <c r="R33" s="62"/>
      <c r="S33" s="62"/>
      <c r="T33" s="62"/>
      <c r="U33" s="81">
        <f>B43</f>
        <v>1</v>
      </c>
      <c r="V33" s="100">
        <f>COUNT(B43:B45)</f>
        <v>3</v>
      </c>
      <c r="W33" s="101"/>
      <c r="X33" s="108" t="str">
        <f>IF(D43=0,"",D43)</f>
        <v/>
      </c>
      <c r="Y33" s="108" t="str">
        <f>IF(E43=0,"",E43)</f>
        <v/>
      </c>
      <c r="Z33" s="120" t="s">
        <v>7399</v>
      </c>
      <c r="AA33" s="121" t="e">
        <f>VLOOKUP($M:$M,Data!$I:$J,2,FALSE)</f>
        <v>#N/A</v>
      </c>
      <c r="AB33" s="122"/>
    </row>
    <row r="34" spans="2:28">
      <c r="B34" s="46">
        <v>108</v>
      </c>
      <c r="C34" s="47"/>
      <c r="D34" s="48" t="s">
        <v>6580</v>
      </c>
      <c r="E34" s="49" t="s">
        <v>6581</v>
      </c>
      <c r="G34" s="46">
        <v>115</v>
      </c>
      <c r="H34" s="47"/>
      <c r="I34" s="48" t="s">
        <v>6580</v>
      </c>
      <c r="J34" s="49" t="s">
        <v>6581</v>
      </c>
      <c r="L34" s="9">
        <f>COUNTA(B44)+L33</f>
        <v>27</v>
      </c>
      <c r="M34" s="31" t="str">
        <f>C44</f>
        <v>21202 Axel </v>
      </c>
      <c r="N34" s="82" t="s">
        <v>7430</v>
      </c>
      <c r="O34" s="36">
        <v>29</v>
      </c>
      <c r="P34" s="36">
        <v>110</v>
      </c>
      <c r="Q34" s="32"/>
      <c r="R34" s="32"/>
      <c r="S34" s="32"/>
      <c r="T34" s="32"/>
      <c r="U34" s="36">
        <f>B44</f>
        <v>2</v>
      </c>
      <c r="V34" s="103"/>
      <c r="W34" s="104"/>
      <c r="X34" s="109" t="str">
        <f t="shared" ref="X34:Y35" si="9">IF(D44=0,"",D44)</f>
        <v/>
      </c>
      <c r="Y34" s="109" t="str">
        <f t="shared" si="9"/>
        <v/>
      </c>
      <c r="Z34" s="123" t="s">
        <v>6686</v>
      </c>
      <c r="AA34" s="124" t="e">
        <f>VLOOKUP($M:$M,Data!$I:$J,2,FALSE)</f>
        <v>#N/A</v>
      </c>
      <c r="AB34" s="125"/>
    </row>
    <row r="35" ht="15.25" spans="2:28">
      <c r="B35" s="50">
        <v>1</v>
      </c>
      <c r="C35" s="51" t="str">
        <f>VLOOKUP("29/108/1",Data!$A$2:$E$1425,3,FALSE)</f>
        <v>21107 Eskil </v>
      </c>
      <c r="D35" s="52"/>
      <c r="E35" s="53"/>
      <c r="G35" s="50">
        <v>1</v>
      </c>
      <c r="H35" s="51" t="str">
        <f>VLOOKUP("29/115/1",Data!$A$2:$E$1425,3,FALSE)</f>
        <v>21305 Linus </v>
      </c>
      <c r="I35" s="52"/>
      <c r="J35" s="53"/>
      <c r="L35" s="14">
        <f>COUNTA(B45)+L34</f>
        <v>28</v>
      </c>
      <c r="M35" s="83">
        <f>C45</f>
        <v>0</v>
      </c>
      <c r="N35" s="84" t="s">
        <v>7430</v>
      </c>
      <c r="O35" s="85">
        <v>29</v>
      </c>
      <c r="P35" s="85">
        <v>110</v>
      </c>
      <c r="Q35" s="110"/>
      <c r="R35" s="110"/>
      <c r="S35" s="110"/>
      <c r="T35" s="110"/>
      <c r="U35" s="85">
        <f>B45</f>
        <v>3</v>
      </c>
      <c r="V35" s="105"/>
      <c r="W35" s="106"/>
      <c r="X35" s="111" t="str">
        <f t="shared" si="9"/>
        <v/>
      </c>
      <c r="Y35" s="111" t="str">
        <f t="shared" si="9"/>
        <v/>
      </c>
      <c r="Z35" s="127" t="s">
        <v>7168</v>
      </c>
      <c r="AA35" s="128" t="e">
        <f>VLOOKUP($M:$M,Data!$I:$J,2,FALSE)</f>
        <v>#N/A</v>
      </c>
      <c r="AB35" s="126"/>
    </row>
    <row r="36" spans="2:28">
      <c r="B36" s="50">
        <v>2</v>
      </c>
      <c r="C36" s="51" t="str">
        <f>VLOOKUP("29/108/2",Data!$A$2:$E$1425,3,FALSE)</f>
        <v>21108 Hugo </v>
      </c>
      <c r="D36" s="54"/>
      <c r="E36" s="55"/>
      <c r="G36" s="50">
        <v>2</v>
      </c>
      <c r="H36" s="51" t="str">
        <f>VLOOKUP("29/115/2",Data!$A$2:$E$1425,3,FALSE)</f>
        <v>21304 Loke </v>
      </c>
      <c r="I36" s="54"/>
      <c r="J36" s="55"/>
      <c r="L36" s="6">
        <f>COUNTA(B47)+L35</f>
        <v>29</v>
      </c>
      <c r="M36" s="79" t="str">
        <f>C47</f>
        <v>21205 Melker</v>
      </c>
      <c r="N36" s="80" t="s">
        <v>7430</v>
      </c>
      <c r="O36" s="81">
        <v>29</v>
      </c>
      <c r="P36" s="81">
        <v>111</v>
      </c>
      <c r="Q36" s="62" t="str">
        <f>_xlfn.IFS(COUNTA(B47:B49)=1,"Single",COUNTA(B47:B49)=2,"Double",COUNTA(B47:B49)=3,"Triple",COUNTA(B47:B49)=0,"Empty")</f>
        <v>Triple</v>
      </c>
      <c r="R36" s="62"/>
      <c r="S36" s="62"/>
      <c r="T36" s="62"/>
      <c r="U36" s="81">
        <f>B47</f>
        <v>1</v>
      </c>
      <c r="V36" s="100">
        <f>COUNT(B47:B49)</f>
        <v>3</v>
      </c>
      <c r="W36" s="101"/>
      <c r="X36" s="108" t="str">
        <f>IF(D47=0,"",D47)</f>
        <v/>
      </c>
      <c r="Y36" s="108" t="str">
        <f>IF(E47=0,"",E47)</f>
        <v/>
      </c>
      <c r="Z36" s="120" t="s">
        <v>7112</v>
      </c>
      <c r="AA36" s="121" t="e">
        <f>VLOOKUP($M:$M,Data!$I:$J,2,FALSE)</f>
        <v>#N/A</v>
      </c>
      <c r="AB36" s="122"/>
    </row>
    <row r="37" ht="15.25" spans="2:28">
      <c r="B37" s="58">
        <v>3</v>
      </c>
      <c r="C37" s="59">
        <f>VLOOKUP("29/108/3",Data!$A$2:$E$1425,3,FALSE)</f>
        <v>0</v>
      </c>
      <c r="D37" s="56"/>
      <c r="E37" s="57"/>
      <c r="G37" s="58">
        <v>3</v>
      </c>
      <c r="H37" s="59">
        <f>VLOOKUP("29/115/3",Data!$A$2:$E$1425,3,FALSE)</f>
        <v>0</v>
      </c>
      <c r="I37" s="56"/>
      <c r="J37" s="57"/>
      <c r="L37" s="9">
        <f>COUNTA(B48)+L36</f>
        <v>30</v>
      </c>
      <c r="M37" s="31" t="str">
        <f>C48</f>
        <v>21204 Jacob </v>
      </c>
      <c r="N37" s="82" t="s">
        <v>7430</v>
      </c>
      <c r="O37" s="36">
        <v>29</v>
      </c>
      <c r="P37" s="36">
        <v>111</v>
      </c>
      <c r="Q37" s="32"/>
      <c r="R37" s="32"/>
      <c r="S37" s="32"/>
      <c r="T37" s="32"/>
      <c r="U37" s="36">
        <f>B48</f>
        <v>2</v>
      </c>
      <c r="V37" s="103"/>
      <c r="W37" s="104"/>
      <c r="X37" s="109" t="str">
        <f t="shared" ref="X37:Y38" si="10">IF(D48=0,"",D48)</f>
        <v/>
      </c>
      <c r="Y37" s="109" t="str">
        <f t="shared" si="10"/>
        <v/>
      </c>
      <c r="Z37" s="123" t="s">
        <v>6690</v>
      </c>
      <c r="AA37" s="124" t="e">
        <f>VLOOKUP($M:$M,Data!$I:$J,2,FALSE)</f>
        <v>#N/A</v>
      </c>
      <c r="AB37" s="125"/>
    </row>
    <row r="38" ht="15.25" spans="2:28">
      <c r="B38" s="46">
        <v>109</v>
      </c>
      <c r="C38" s="47"/>
      <c r="D38" s="48" t="s">
        <v>6580</v>
      </c>
      <c r="E38" s="49" t="s">
        <v>6581</v>
      </c>
      <c r="G38" s="46">
        <v>114</v>
      </c>
      <c r="H38" s="47"/>
      <c r="I38" s="48" t="s">
        <v>6580</v>
      </c>
      <c r="J38" s="49" t="s">
        <v>6581</v>
      </c>
      <c r="L38" s="14">
        <f>COUNTA(B49)+L37</f>
        <v>31</v>
      </c>
      <c r="M38" s="83">
        <f>C49</f>
        <v>0</v>
      </c>
      <c r="N38" s="84" t="s">
        <v>7430</v>
      </c>
      <c r="O38" s="85">
        <v>29</v>
      </c>
      <c r="P38" s="85">
        <v>111</v>
      </c>
      <c r="Q38" s="110"/>
      <c r="R38" s="110"/>
      <c r="S38" s="110"/>
      <c r="T38" s="110"/>
      <c r="U38" s="85">
        <f>B49</f>
        <v>3</v>
      </c>
      <c r="V38" s="105"/>
      <c r="W38" s="106"/>
      <c r="X38" s="111" t="str">
        <f t="shared" si="10"/>
        <v/>
      </c>
      <c r="Y38" s="111" t="str">
        <f t="shared" si="10"/>
        <v/>
      </c>
      <c r="Z38" s="127" t="s">
        <v>6660</v>
      </c>
      <c r="AA38" s="128" t="e">
        <f>VLOOKUP($M:$M,Data!$I:$J,2,FALSE)</f>
        <v>#N/A</v>
      </c>
      <c r="AB38" s="126"/>
    </row>
    <row r="39" spans="2:28">
      <c r="B39" s="50">
        <v>1</v>
      </c>
      <c r="C39" s="51" t="str">
        <f>VLOOKUP("29/109/1",Data!$A$2:$E$1425,3,FALSE)</f>
        <v>21109 Jakob </v>
      </c>
      <c r="D39" s="52"/>
      <c r="E39" s="53"/>
      <c r="G39" s="50">
        <v>1</v>
      </c>
      <c r="H39" s="51" t="str">
        <f>VLOOKUP("29/114/1",Data!$A$2:$E$1425,3,FALSE)</f>
        <v>21301 Hampus</v>
      </c>
      <c r="I39" s="52"/>
      <c r="J39" s="53"/>
      <c r="L39" s="6">
        <f>COUNTA(G47)+L38</f>
        <v>32</v>
      </c>
      <c r="M39" s="79" t="str">
        <f>H47</f>
        <v>21207 Joel </v>
      </c>
      <c r="N39" s="80" t="s">
        <v>7430</v>
      </c>
      <c r="O39" s="81">
        <v>29</v>
      </c>
      <c r="P39" s="81">
        <v>112</v>
      </c>
      <c r="Q39" s="62" t="str">
        <f>_xlfn.IFS(COUNTA(G47:G49)=1,"Single",COUNTA(G47:G49)=2,"Double",COUNTA(G47:G49)=3,"Triple",COUNTA(G47:G49)=0,"Empty")</f>
        <v>Triple</v>
      </c>
      <c r="R39" s="62"/>
      <c r="S39" s="62"/>
      <c r="T39" s="62"/>
      <c r="U39" s="81">
        <f>G47</f>
        <v>1</v>
      </c>
      <c r="V39" s="100">
        <f>COUNT(G47:G49)</f>
        <v>3</v>
      </c>
      <c r="W39" s="101"/>
      <c r="X39" s="108" t="str">
        <f>IF(I47=0,"",I47)</f>
        <v/>
      </c>
      <c r="Y39" s="108" t="str">
        <f>IF(J47=0,"",J47)</f>
        <v/>
      </c>
      <c r="Z39" s="120" t="s">
        <v>6688</v>
      </c>
      <c r="AA39" s="121" t="e">
        <f>VLOOKUP($M:$M,Data!$I:$J,2,FALSE)</f>
        <v>#N/A</v>
      </c>
      <c r="AB39" s="122"/>
    </row>
    <row r="40" spans="2:28">
      <c r="B40" s="50">
        <v>2</v>
      </c>
      <c r="C40" s="51" t="str">
        <f>VLOOKUP("29/109/2",Data!$A$2:$E$1425,3,FALSE)</f>
        <v>21106 Carl </v>
      </c>
      <c r="D40" s="54"/>
      <c r="E40" s="55"/>
      <c r="G40" s="50">
        <v>2</v>
      </c>
      <c r="H40" s="51" t="str">
        <f>VLOOKUP("29/114/2",Data!$A$2:$E$1425,3,FALSE)</f>
        <v>21302 Ludwig </v>
      </c>
      <c r="I40" s="54"/>
      <c r="J40" s="55"/>
      <c r="L40" s="9">
        <f>COUNTA(G48)+L39</f>
        <v>33</v>
      </c>
      <c r="M40" s="31" t="str">
        <f>H48</f>
        <v>21208 Hugo</v>
      </c>
      <c r="N40" s="82" t="s">
        <v>7430</v>
      </c>
      <c r="O40" s="36">
        <v>29</v>
      </c>
      <c r="P40" s="36">
        <v>112</v>
      </c>
      <c r="Q40" s="32"/>
      <c r="R40" s="32"/>
      <c r="S40" s="32"/>
      <c r="T40" s="32"/>
      <c r="U40" s="36">
        <f>G48</f>
        <v>2</v>
      </c>
      <c r="V40" s="103"/>
      <c r="W40" s="104"/>
      <c r="X40" s="109" t="str">
        <f t="shared" ref="X40:Y41" si="11">IF(I48=0,"",I48)</f>
        <v/>
      </c>
      <c r="Y40" s="109" t="str">
        <f t="shared" si="11"/>
        <v/>
      </c>
      <c r="Z40" s="123" t="s">
        <v>6639</v>
      </c>
      <c r="AA40" s="124" t="e">
        <f>VLOOKUP($M:$M,Data!$I:$J,2,FALSE)</f>
        <v>#N/A</v>
      </c>
      <c r="AB40" s="125"/>
    </row>
    <row r="41" ht="15.25" spans="2:28">
      <c r="B41" s="58">
        <v>3</v>
      </c>
      <c r="C41" s="59">
        <f>VLOOKUP("29/109/3",Data!$A$2:$E$1425,3,FALSE)</f>
        <v>0</v>
      </c>
      <c r="D41" s="56"/>
      <c r="E41" s="57"/>
      <c r="G41" s="58">
        <v>3</v>
      </c>
      <c r="H41" s="59">
        <f>VLOOKUP("29/114/3",Data!$A$2:$E$1425,3,FALSE)</f>
        <v>0</v>
      </c>
      <c r="I41" s="56"/>
      <c r="J41" s="57"/>
      <c r="L41" s="14">
        <f>COUNTA(G49)+L40</f>
        <v>34</v>
      </c>
      <c r="M41" s="83">
        <f>H49</f>
        <v>0</v>
      </c>
      <c r="N41" s="84" t="s">
        <v>7430</v>
      </c>
      <c r="O41" s="85">
        <v>29</v>
      </c>
      <c r="P41" s="85">
        <v>112</v>
      </c>
      <c r="Q41" s="110"/>
      <c r="R41" s="110"/>
      <c r="S41" s="110"/>
      <c r="T41" s="110"/>
      <c r="U41" s="85">
        <f>G49</f>
        <v>3</v>
      </c>
      <c r="V41" s="105"/>
      <c r="W41" s="106"/>
      <c r="X41" s="111" t="str">
        <f t="shared" si="11"/>
        <v/>
      </c>
      <c r="Y41" s="111" t="str">
        <f t="shared" si="11"/>
        <v/>
      </c>
      <c r="Z41" s="127" t="s">
        <v>7328</v>
      </c>
      <c r="AA41" s="128" t="e">
        <f>VLOOKUP($M:$M,Data!$I:$J,2,FALSE)</f>
        <v>#N/A</v>
      </c>
      <c r="AB41" s="126"/>
    </row>
    <row r="42" spans="2:28">
      <c r="B42" s="46">
        <v>110</v>
      </c>
      <c r="C42" s="47"/>
      <c r="D42" s="48" t="s">
        <v>6580</v>
      </c>
      <c r="E42" s="49" t="s">
        <v>6581</v>
      </c>
      <c r="G42" s="46">
        <v>113</v>
      </c>
      <c r="H42" s="47"/>
      <c r="I42" s="48" t="s">
        <v>6580</v>
      </c>
      <c r="J42" s="49" t="s">
        <v>6581</v>
      </c>
      <c r="L42" s="6">
        <f>COUNTA(G43)+L41</f>
        <v>35</v>
      </c>
      <c r="M42" s="79" t="str">
        <f>H43</f>
        <v>21209 Niklas </v>
      </c>
      <c r="N42" s="80" t="s">
        <v>7430</v>
      </c>
      <c r="O42" s="81">
        <v>29</v>
      </c>
      <c r="P42" s="81">
        <v>113</v>
      </c>
      <c r="Q42" s="62" t="str">
        <f>_xlfn.IFS(COUNTA(G43:G45)=1,"Single",COUNTA(G43:G45)=2,"Double",COUNTA(G43:G45)=3,"Triple",COUNTA(G43:G45)=0,"Empty")</f>
        <v>Triple</v>
      </c>
      <c r="R42" s="62"/>
      <c r="S42" s="62"/>
      <c r="T42" s="62"/>
      <c r="U42" s="81">
        <f>G43</f>
        <v>1</v>
      </c>
      <c r="V42" s="100">
        <f>COUNT(G43:G45)</f>
        <v>3</v>
      </c>
      <c r="W42" s="101"/>
      <c r="X42" s="108" t="str">
        <f>IF(I43=0,"",I43)</f>
        <v/>
      </c>
      <c r="Y42" s="108" t="str">
        <f>IF(J43=0,"",J43)</f>
        <v/>
      </c>
      <c r="Z42" s="120" t="s">
        <v>7500</v>
      </c>
      <c r="AA42" s="121" t="e">
        <f>VLOOKUP($M:$M,Data!$I:$J,2,FALSE)</f>
        <v>#N/A</v>
      </c>
      <c r="AB42" s="122"/>
    </row>
    <row r="43" spans="2:28">
      <c r="B43" s="50">
        <v>1</v>
      </c>
      <c r="C43" s="51" t="str">
        <f>VLOOKUP("29/110/1",Data!$A$2:$E$1425,3,FALSE)</f>
        <v>21201 Alexander </v>
      </c>
      <c r="D43" s="52"/>
      <c r="E43" s="53"/>
      <c r="G43" s="50">
        <v>1</v>
      </c>
      <c r="H43" s="51" t="str">
        <f>VLOOKUP("29/113/1",Data!$A$2:$E$1425,3,FALSE)</f>
        <v>21209 Niklas </v>
      </c>
      <c r="I43" s="52"/>
      <c r="J43" s="53"/>
      <c r="L43" s="9">
        <f>COUNTA(G44)+L42</f>
        <v>36</v>
      </c>
      <c r="M43" s="31" t="str">
        <f>H44</f>
        <v>21206 Carl </v>
      </c>
      <c r="N43" s="82" t="s">
        <v>7430</v>
      </c>
      <c r="O43" s="36">
        <v>29</v>
      </c>
      <c r="P43" s="36">
        <v>113</v>
      </c>
      <c r="Q43" s="32"/>
      <c r="R43" s="32"/>
      <c r="S43" s="32"/>
      <c r="T43" s="32"/>
      <c r="U43" s="36">
        <f>G44</f>
        <v>2</v>
      </c>
      <c r="V43" s="103"/>
      <c r="W43" s="104"/>
      <c r="X43" s="109" t="str">
        <f t="shared" ref="X43:Y44" si="12">IF(I44=0,"",I44)</f>
        <v/>
      </c>
      <c r="Y43" s="109" t="str">
        <f t="shared" si="12"/>
        <v/>
      </c>
      <c r="Z43" s="123" t="s">
        <v>7110</v>
      </c>
      <c r="AA43" s="124" t="e">
        <f>VLOOKUP($M:$M,Data!$I:$J,2,FALSE)</f>
        <v>#N/A</v>
      </c>
      <c r="AB43" s="125"/>
    </row>
    <row r="44" ht="15.25" spans="2:28">
      <c r="B44" s="50">
        <v>2</v>
      </c>
      <c r="C44" s="51" t="str">
        <f>VLOOKUP("29/110/2",Data!$A$2:$E$1425,3,FALSE)</f>
        <v>21202 Axel </v>
      </c>
      <c r="D44" s="54"/>
      <c r="E44" s="55"/>
      <c r="G44" s="50">
        <v>2</v>
      </c>
      <c r="H44" s="51" t="str">
        <f>VLOOKUP("29/113/2",Data!$A$2:$E$1425,3,FALSE)</f>
        <v>21206 Carl </v>
      </c>
      <c r="I44" s="54"/>
      <c r="J44" s="55"/>
      <c r="L44" s="14">
        <f>COUNTA(G45)+L43</f>
        <v>37</v>
      </c>
      <c r="M44" s="83">
        <f>H45</f>
        <v>0</v>
      </c>
      <c r="N44" s="84" t="s">
        <v>7430</v>
      </c>
      <c r="O44" s="85">
        <v>29</v>
      </c>
      <c r="P44" s="85">
        <v>113</v>
      </c>
      <c r="Q44" s="110"/>
      <c r="R44" s="110"/>
      <c r="S44" s="110"/>
      <c r="T44" s="110"/>
      <c r="U44" s="85">
        <f>G45</f>
        <v>3</v>
      </c>
      <c r="V44" s="105"/>
      <c r="W44" s="106"/>
      <c r="X44" s="111" t="str">
        <f t="shared" si="12"/>
        <v/>
      </c>
      <c r="Y44" s="111" t="str">
        <f t="shared" si="12"/>
        <v/>
      </c>
      <c r="Z44" s="127" t="s">
        <v>6671</v>
      </c>
      <c r="AA44" s="128" t="e">
        <f>VLOOKUP($M:$M,Data!$I:$J,2,FALSE)</f>
        <v>#N/A</v>
      </c>
      <c r="AB44" s="126"/>
    </row>
    <row r="45" ht="15.25" spans="2:28">
      <c r="B45" s="58">
        <v>3</v>
      </c>
      <c r="C45" s="59">
        <f>VLOOKUP("29/110/3",Data!$A$2:$E$1425,3,FALSE)</f>
        <v>0</v>
      </c>
      <c r="D45" s="56"/>
      <c r="E45" s="57"/>
      <c r="G45" s="58">
        <v>3</v>
      </c>
      <c r="H45" s="59">
        <f>VLOOKUP("29/113/3",Data!$A$2:$E$1425,3,FALSE)</f>
        <v>0</v>
      </c>
      <c r="I45" s="56"/>
      <c r="J45" s="57"/>
      <c r="L45" s="6">
        <f>COUNTA(G39)+L44</f>
        <v>38</v>
      </c>
      <c r="M45" s="79" t="str">
        <f>H39</f>
        <v>21301 Hampus</v>
      </c>
      <c r="N45" s="80" t="s">
        <v>7430</v>
      </c>
      <c r="O45" s="81">
        <v>29</v>
      </c>
      <c r="P45" s="81">
        <v>114</v>
      </c>
      <c r="Q45" s="62" t="str">
        <f>_xlfn.IFS(COUNTA(G39:G41)=1,"Single",COUNTA(G39:G41)=2,"Double",COUNTA(G39:G41)=3,"Triple",COUNTA(G39:G41)=0,"Empty")</f>
        <v>Triple</v>
      </c>
      <c r="R45" s="62"/>
      <c r="S45" s="62"/>
      <c r="T45" s="62"/>
      <c r="U45" s="81">
        <f>G39</f>
        <v>1</v>
      </c>
      <c r="V45" s="100">
        <f>COUNT(G39:G41)</f>
        <v>3</v>
      </c>
      <c r="W45" s="101"/>
      <c r="X45" s="108" t="str">
        <f>IF(I39=0,"",I39)</f>
        <v/>
      </c>
      <c r="Y45" s="108" t="str">
        <f>IF(J39=0,"",J39)</f>
        <v/>
      </c>
      <c r="Z45" s="120" t="s">
        <v>6629</v>
      </c>
      <c r="AA45" s="121" t="e">
        <f>VLOOKUP($M:$M,Data!$I:$J,2,FALSE)</f>
        <v>#N/A</v>
      </c>
      <c r="AB45" s="122"/>
    </row>
    <row r="46" spans="2:28">
      <c r="B46" s="46">
        <v>111</v>
      </c>
      <c r="C46" s="47"/>
      <c r="D46" s="48" t="s">
        <v>6580</v>
      </c>
      <c r="E46" s="49" t="s">
        <v>6581</v>
      </c>
      <c r="G46" s="46">
        <v>112</v>
      </c>
      <c r="H46" s="47"/>
      <c r="I46" s="48" t="s">
        <v>6580</v>
      </c>
      <c r="J46" s="49" t="s">
        <v>6581</v>
      </c>
      <c r="L46" s="9">
        <f>COUNTA(G40)+L45</f>
        <v>39</v>
      </c>
      <c r="M46" s="31" t="str">
        <f>H40</f>
        <v>21302 Ludwig </v>
      </c>
      <c r="N46" s="82" t="s">
        <v>7430</v>
      </c>
      <c r="O46" s="36">
        <v>29</v>
      </c>
      <c r="P46" s="36">
        <v>114</v>
      </c>
      <c r="Q46" s="32"/>
      <c r="R46" s="32"/>
      <c r="S46" s="32"/>
      <c r="T46" s="32"/>
      <c r="U46" s="36">
        <f>G40</f>
        <v>2</v>
      </c>
      <c r="V46" s="103"/>
      <c r="W46" s="104"/>
      <c r="X46" s="109" t="str">
        <f t="shared" ref="X46:Y47" si="13">IF(I40=0,"",I40)</f>
        <v/>
      </c>
      <c r="Y46" s="109" t="str">
        <f t="shared" si="13"/>
        <v/>
      </c>
      <c r="Z46" s="123" t="s">
        <v>6693</v>
      </c>
      <c r="AA46" s="124" t="e">
        <f>VLOOKUP($M:$M,Data!$I:$J,2,FALSE)</f>
        <v>#N/A</v>
      </c>
      <c r="AB46" s="125"/>
    </row>
    <row r="47" ht="15.25" spans="2:28">
      <c r="B47" s="50">
        <v>1</v>
      </c>
      <c r="C47" s="51" t="str">
        <f>VLOOKUP("29/111/1",Data!$A$2:$E$1425,3,FALSE)</f>
        <v>21205 Melker</v>
      </c>
      <c r="D47" s="52"/>
      <c r="E47" s="53"/>
      <c r="G47" s="50">
        <v>1</v>
      </c>
      <c r="H47" s="51" t="str">
        <f>VLOOKUP("29/112/1",Data!$A$2:$E$1425,3,FALSE)</f>
        <v>21207 Joel </v>
      </c>
      <c r="I47" s="52"/>
      <c r="J47" s="53"/>
      <c r="L47" s="14">
        <f>COUNTA(G41)+L46</f>
        <v>40</v>
      </c>
      <c r="M47" s="83">
        <f>H41</f>
        <v>0</v>
      </c>
      <c r="N47" s="84" t="s">
        <v>7430</v>
      </c>
      <c r="O47" s="85">
        <v>29</v>
      </c>
      <c r="P47" s="85">
        <v>114</v>
      </c>
      <c r="Q47" s="110"/>
      <c r="R47" s="110"/>
      <c r="S47" s="110"/>
      <c r="T47" s="110"/>
      <c r="U47" s="85">
        <f>G41</f>
        <v>3</v>
      </c>
      <c r="V47" s="105"/>
      <c r="W47" s="106"/>
      <c r="X47" s="111" t="str">
        <f t="shared" si="13"/>
        <v/>
      </c>
      <c r="Y47" s="111" t="str">
        <f t="shared" si="13"/>
        <v/>
      </c>
      <c r="Z47" s="127" t="s">
        <v>6656</v>
      </c>
      <c r="AA47" s="128" t="e">
        <f>VLOOKUP($M:$M,Data!$I:$J,2,FALSE)</f>
        <v>#N/A</v>
      </c>
      <c r="AB47" s="126"/>
    </row>
    <row r="48" spans="2:28">
      <c r="B48" s="50">
        <v>2</v>
      </c>
      <c r="C48" s="51" t="str">
        <f>VLOOKUP("29/111/2",Data!$A$2:$E$1425,3,FALSE)</f>
        <v>21204 Jacob </v>
      </c>
      <c r="D48" s="54"/>
      <c r="E48" s="55"/>
      <c r="G48" s="50">
        <v>2</v>
      </c>
      <c r="H48" s="51" t="str">
        <f>VLOOKUP("29/112/2",Data!$A$2:$E$1425,3,FALSE)</f>
        <v>21208 Hugo</v>
      </c>
      <c r="I48" s="54"/>
      <c r="J48" s="55"/>
      <c r="L48" s="6">
        <f>COUNTA(G35)+L47</f>
        <v>41</v>
      </c>
      <c r="M48" s="79" t="str">
        <f>H35</f>
        <v>21305 Linus </v>
      </c>
      <c r="N48" s="80" t="s">
        <v>7430</v>
      </c>
      <c r="O48" s="81">
        <v>29</v>
      </c>
      <c r="P48" s="81">
        <v>115</v>
      </c>
      <c r="Q48" s="62" t="str">
        <f>_xlfn.IFS(COUNTA(G35:G37)=1,"Single",COUNTA(G35:G37)=2,"Double",COUNTA(G35:G37)=3,"Triple",COUNTA(G35:G37)=0,"Empty")</f>
        <v>Triple</v>
      </c>
      <c r="R48" s="62"/>
      <c r="S48" s="62"/>
      <c r="T48" s="62"/>
      <c r="U48" s="81">
        <f>G35</f>
        <v>1</v>
      </c>
      <c r="V48" s="100">
        <f>COUNT(G35:G37)</f>
        <v>3</v>
      </c>
      <c r="W48" s="101"/>
      <c r="X48" s="108" t="str">
        <f>IF(I35=0,"",I35)</f>
        <v/>
      </c>
      <c r="Y48" s="108" t="str">
        <f>IF(J35=0,"",J35)</f>
        <v/>
      </c>
      <c r="Z48" s="120" t="s">
        <v>6710</v>
      </c>
      <c r="AA48" s="121" t="e">
        <f>VLOOKUP($M:$M,Data!$I:$J,2,FALSE)</f>
        <v>#N/A</v>
      </c>
      <c r="AB48" s="122"/>
    </row>
    <row r="49" ht="15.25" spans="2:28">
      <c r="B49" s="58">
        <v>3</v>
      </c>
      <c r="C49" s="59">
        <f>VLOOKUP("29/111/3",Data!$A$2:$E$1425,3,FALSE)</f>
        <v>0</v>
      </c>
      <c r="D49" s="56"/>
      <c r="E49" s="57"/>
      <c r="G49" s="58">
        <v>3</v>
      </c>
      <c r="H49" s="59">
        <f>VLOOKUP("29/112/3",Data!$A$2:$E$1425,3,FALSE)</f>
        <v>0</v>
      </c>
      <c r="I49" s="56"/>
      <c r="J49" s="57"/>
      <c r="L49" s="9">
        <f>COUNTA(G36)+L48</f>
        <v>42</v>
      </c>
      <c r="M49" s="31" t="str">
        <f>H36</f>
        <v>21304 Loke </v>
      </c>
      <c r="N49" s="82" t="s">
        <v>7430</v>
      </c>
      <c r="O49" s="36">
        <v>29</v>
      </c>
      <c r="P49" s="36">
        <v>115</v>
      </c>
      <c r="Q49" s="32"/>
      <c r="R49" s="32"/>
      <c r="S49" s="32"/>
      <c r="T49" s="32"/>
      <c r="U49" s="36">
        <f>G36</f>
        <v>2</v>
      </c>
      <c r="V49" s="103"/>
      <c r="W49" s="104"/>
      <c r="X49" s="109" t="str">
        <f t="shared" ref="X49:Y50" si="14">IF(I36=0,"",I36)</f>
        <v/>
      </c>
      <c r="Y49" s="109" t="str">
        <f t="shared" si="14"/>
        <v/>
      </c>
      <c r="Z49" s="123" t="s">
        <v>6631</v>
      </c>
      <c r="AA49" s="124" t="e">
        <f>VLOOKUP($M:$M,Data!$I:$J,2,FALSE)</f>
        <v>#N/A</v>
      </c>
      <c r="AB49" s="125"/>
    </row>
    <row r="50" ht="15.25" spans="12:28">
      <c r="L50" s="14">
        <f>COUNTA(G37)+L49</f>
        <v>43</v>
      </c>
      <c r="M50" s="83">
        <f>H37</f>
        <v>0</v>
      </c>
      <c r="N50" s="84" t="s">
        <v>7430</v>
      </c>
      <c r="O50" s="85">
        <v>29</v>
      </c>
      <c r="P50" s="85">
        <v>115</v>
      </c>
      <c r="Q50" s="110"/>
      <c r="R50" s="110"/>
      <c r="S50" s="110"/>
      <c r="T50" s="110"/>
      <c r="U50" s="85">
        <f>G37</f>
        <v>3</v>
      </c>
      <c r="V50" s="105"/>
      <c r="W50" s="106"/>
      <c r="X50" s="111" t="str">
        <f t="shared" si="14"/>
        <v/>
      </c>
      <c r="Y50" s="111" t="str">
        <f t="shared" si="14"/>
        <v/>
      </c>
      <c r="Z50" s="127" t="s">
        <v>6824</v>
      </c>
      <c r="AA50" s="128" t="e">
        <f>VLOOKUP($M:$M,Data!$I:$J,2,FALSE)</f>
        <v>#N/A</v>
      </c>
      <c r="AB50" s="126"/>
    </row>
    <row r="51" spans="3:28">
      <c r="C51" s="1" t="s">
        <v>7501</v>
      </c>
      <c r="D51" s="1"/>
      <c r="E51" s="1"/>
      <c r="F51" s="1"/>
      <c r="G51" s="1"/>
      <c r="H51" s="1"/>
      <c r="I51" s="1"/>
      <c r="J51" s="89"/>
      <c r="L51" s="6">
        <f>COUNTA(G23)+L50</f>
        <v>43</v>
      </c>
      <c r="M51" s="79" t="str">
        <f>H23</f>
        <v>21307 Elliot</v>
      </c>
      <c r="N51" s="80" t="s">
        <v>7430</v>
      </c>
      <c r="O51" s="81">
        <v>29</v>
      </c>
      <c r="P51" s="81">
        <v>116</v>
      </c>
      <c r="Q51" s="62" t="str">
        <f>_xlfn.IFS(COUNTA(G23:G25)=1,"Single",COUNTA(G23:G25)=2,"Double",COUNTA(G23:G25)=3,"Triple",COUNTA(G23:G25)=0,"Empty")</f>
        <v>Empty</v>
      </c>
      <c r="R51" s="62"/>
      <c r="S51" s="62"/>
      <c r="T51" s="62"/>
      <c r="U51" s="81">
        <f>G23</f>
        <v>0</v>
      </c>
      <c r="V51" s="100">
        <f>COUNT(G23:G25)</f>
        <v>0</v>
      </c>
      <c r="W51" s="101"/>
      <c r="X51" s="108" t="str">
        <f>IF(I23=0,"",I23)</f>
        <v/>
      </c>
      <c r="Y51" s="108" t="str">
        <f>IF(J23=0,"",J23)</f>
        <v/>
      </c>
      <c r="Z51" s="120" t="s">
        <v>7500</v>
      </c>
      <c r="AA51" s="121" t="e">
        <f>VLOOKUP($M:$M,Data!$I:$J,2,FALSE)</f>
        <v>#N/A</v>
      </c>
      <c r="AB51" s="122" t="s">
        <v>6589</v>
      </c>
    </row>
    <row r="52" ht="15.25" spans="2:28">
      <c r="B52" s="45" t="s">
        <v>7427</v>
      </c>
      <c r="C52" s="45"/>
      <c r="D52" s="45"/>
      <c r="E52" s="45"/>
      <c r="G52" s="45" t="s">
        <v>7427</v>
      </c>
      <c r="H52" s="45"/>
      <c r="I52" s="45"/>
      <c r="J52" s="45"/>
      <c r="L52" s="9">
        <f>COUNTA(G24)+L51</f>
        <v>43</v>
      </c>
      <c r="M52" s="31" t="str">
        <f>H24</f>
        <v>21308 Willy </v>
      </c>
      <c r="N52" s="82" t="s">
        <v>7430</v>
      </c>
      <c r="O52" s="36">
        <v>29</v>
      </c>
      <c r="P52" s="36">
        <v>116</v>
      </c>
      <c r="Q52" s="32"/>
      <c r="R52" s="32"/>
      <c r="S52" s="32"/>
      <c r="T52" s="32"/>
      <c r="U52" s="36">
        <f>G24</f>
        <v>0</v>
      </c>
      <c r="V52" s="103"/>
      <c r="W52" s="104"/>
      <c r="X52" s="109" t="str">
        <f t="shared" ref="X52:Y53" si="15">IF(I24=0,"",I24)</f>
        <v/>
      </c>
      <c r="Y52" s="109" t="str">
        <f t="shared" si="15"/>
        <v/>
      </c>
      <c r="Z52" s="123"/>
      <c r="AA52" s="124" t="e">
        <f>VLOOKUP($M:$M,Data!$I:$J,2,FALSE)</f>
        <v>#N/A</v>
      </c>
      <c r="AB52" s="125"/>
    </row>
    <row r="53" ht="15.25" spans="2:28">
      <c r="B53" s="46">
        <v>201</v>
      </c>
      <c r="C53" s="47"/>
      <c r="D53" s="48" t="s">
        <v>6580</v>
      </c>
      <c r="E53" s="49" t="s">
        <v>6581</v>
      </c>
      <c r="G53" s="46">
        <v>220</v>
      </c>
      <c r="H53" s="47"/>
      <c r="I53" s="48" t="s">
        <v>6580</v>
      </c>
      <c r="J53" s="49" t="s">
        <v>6581</v>
      </c>
      <c r="L53" s="14">
        <f>COUNTA(G25)+L52</f>
        <v>43</v>
      </c>
      <c r="M53" s="83">
        <f>H25</f>
        <v>0</v>
      </c>
      <c r="N53" s="82" t="s">
        <v>7430</v>
      </c>
      <c r="O53" s="85">
        <v>29</v>
      </c>
      <c r="P53" s="85">
        <v>116</v>
      </c>
      <c r="Q53" s="110"/>
      <c r="R53" s="110"/>
      <c r="S53" s="110"/>
      <c r="T53" s="110"/>
      <c r="U53" s="85">
        <f>G25</f>
        <v>0</v>
      </c>
      <c r="V53" s="105"/>
      <c r="W53" s="106"/>
      <c r="X53" s="111" t="str">
        <f t="shared" si="15"/>
        <v/>
      </c>
      <c r="Y53" s="111" t="str">
        <f t="shared" si="15"/>
        <v/>
      </c>
      <c r="Z53" s="127"/>
      <c r="AA53" s="128" t="e">
        <f>VLOOKUP($M:$M,Data!$I:$J,2,FALSE)</f>
        <v>#N/A</v>
      </c>
      <c r="AB53" s="126"/>
    </row>
    <row r="54" spans="2:28">
      <c r="B54" s="50">
        <v>1</v>
      </c>
      <c r="C54" s="51" t="str">
        <f>VLOOKUP("29/201/1",Data!$A$2:$E$1425,3,FALSE)</f>
        <v>22001 Anton</v>
      </c>
      <c r="D54" s="52"/>
      <c r="E54" s="53"/>
      <c r="G54" s="50">
        <v>1</v>
      </c>
      <c r="H54" s="51" t="str">
        <f>VLOOKUP("29/220/1",Data!$A$2:$E$1425,3,FALSE)</f>
        <v>23001 Hampus</v>
      </c>
      <c r="I54" s="52"/>
      <c r="J54" s="53"/>
      <c r="L54" s="6">
        <f>COUNTA(G19)+L53</f>
        <v>44</v>
      </c>
      <c r="M54" s="79" t="str">
        <f>H19</f>
        <v>21309 Felix </v>
      </c>
      <c r="N54" s="80" t="s">
        <v>7430</v>
      </c>
      <c r="O54" s="81">
        <v>29</v>
      </c>
      <c r="P54" s="81">
        <v>117</v>
      </c>
      <c r="Q54" s="62" t="str">
        <f>_xlfn.IFS(COUNTA(G19:G21)=1,"Single",COUNTA(G19:G21)=2,"Double",COUNTA(G19:G21)=3,"Triple",COUNTA(G19:G21)=0,"Empty")</f>
        <v>Triple</v>
      </c>
      <c r="R54" s="62"/>
      <c r="S54" s="62"/>
      <c r="T54" s="62"/>
      <c r="U54" s="81">
        <f>G19</f>
        <v>1</v>
      </c>
      <c r="V54" s="100">
        <f>COUNT(G19:G21)</f>
        <v>3</v>
      </c>
      <c r="W54" s="101"/>
      <c r="X54" s="108" t="str">
        <f>IF(I19=0,"",I19)</f>
        <v/>
      </c>
      <c r="Y54" s="108" t="str">
        <f>IF(J19=0,"",J19)</f>
        <v/>
      </c>
      <c r="Z54" s="120"/>
      <c r="AA54" s="121" t="e">
        <f>VLOOKUP($M:$M,Data!$I:$J,2,FALSE)</f>
        <v>#N/A</v>
      </c>
      <c r="AB54" s="122"/>
    </row>
    <row r="55" spans="2:28">
      <c r="B55" s="50">
        <v>2</v>
      </c>
      <c r="C55" s="51">
        <f>VLOOKUP("29/201/2",Data!$A$2:$E$1425,3,FALSE)</f>
        <v>0</v>
      </c>
      <c r="D55" s="54"/>
      <c r="E55" s="55"/>
      <c r="G55" s="50">
        <v>2</v>
      </c>
      <c r="H55" s="51">
        <f>VLOOKUP("29/220/2",Data!$A$2:$E$1425,3,FALSE)</f>
        <v>0</v>
      </c>
      <c r="I55" s="54"/>
      <c r="J55" s="55"/>
      <c r="L55" s="9">
        <f>COUNTA(G20)+L54</f>
        <v>45</v>
      </c>
      <c r="M55" s="31" t="str">
        <f>H20</f>
        <v>21306 Jakub </v>
      </c>
      <c r="N55" s="82" t="s">
        <v>7430</v>
      </c>
      <c r="O55" s="36">
        <v>29</v>
      </c>
      <c r="P55" s="36">
        <v>117</v>
      </c>
      <c r="Q55" s="32"/>
      <c r="R55" s="32"/>
      <c r="S55" s="32"/>
      <c r="T55" s="32"/>
      <c r="U55" s="36">
        <f>G20</f>
        <v>2</v>
      </c>
      <c r="V55" s="103"/>
      <c r="W55" s="104"/>
      <c r="X55" s="109" t="str">
        <f t="shared" ref="X55:Y56" si="16">IF(I20=0,"",I20)</f>
        <v/>
      </c>
      <c r="Y55" s="109" t="str">
        <f t="shared" si="16"/>
        <v/>
      </c>
      <c r="Z55" s="123" t="s">
        <v>7101</v>
      </c>
      <c r="AA55" s="124" t="e">
        <f>VLOOKUP($M:$M,Data!$I:$J,2,FALSE)</f>
        <v>#N/A</v>
      </c>
      <c r="AB55" s="125"/>
    </row>
    <row r="56" ht="15.25" spans="2:28">
      <c r="B56" s="58"/>
      <c r="C56" s="59">
        <f>VLOOKUP("29/201/3",Data!$A$2:$E$1425,3,FALSE)</f>
        <v>0</v>
      </c>
      <c r="D56" s="56"/>
      <c r="E56" s="57"/>
      <c r="G56" s="58"/>
      <c r="H56" s="59">
        <f>VLOOKUP("29/220/3",Data!$A$2:$E$1425,3,FALSE)</f>
        <v>0</v>
      </c>
      <c r="I56" s="56"/>
      <c r="J56" s="57"/>
      <c r="L56" s="14">
        <f>COUNTA(G21)+L55</f>
        <v>46</v>
      </c>
      <c r="M56" s="83">
        <f>H21</f>
        <v>0</v>
      </c>
      <c r="N56" s="84" t="s">
        <v>7430</v>
      </c>
      <c r="O56" s="85">
        <v>29</v>
      </c>
      <c r="P56" s="85">
        <v>117</v>
      </c>
      <c r="Q56" s="110"/>
      <c r="R56" s="110"/>
      <c r="S56" s="110"/>
      <c r="T56" s="110"/>
      <c r="U56" s="85">
        <f>G21</f>
        <v>3</v>
      </c>
      <c r="V56" s="105"/>
      <c r="W56" s="106"/>
      <c r="X56" s="111" t="str">
        <f t="shared" si="16"/>
        <v/>
      </c>
      <c r="Y56" s="111" t="str">
        <f t="shared" si="16"/>
        <v/>
      </c>
      <c r="Z56" s="127" t="s">
        <v>6692</v>
      </c>
      <c r="AA56" s="128" t="e">
        <f>VLOOKUP($M:$M,Data!$I:$J,2,FALSE)</f>
        <v>#N/A</v>
      </c>
      <c r="AB56" s="126"/>
    </row>
    <row r="57" spans="2:28">
      <c r="B57" s="46">
        <v>202</v>
      </c>
      <c r="C57" s="47"/>
      <c r="D57" s="48" t="s">
        <v>6580</v>
      </c>
      <c r="E57" s="49" t="s">
        <v>6581</v>
      </c>
      <c r="G57" s="46">
        <v>219</v>
      </c>
      <c r="H57" s="47"/>
      <c r="I57" s="48" t="s">
        <v>6580</v>
      </c>
      <c r="J57" s="49" t="s">
        <v>6581</v>
      </c>
      <c r="L57" s="6">
        <f>COUNTA(G15)+L56</f>
        <v>47</v>
      </c>
      <c r="M57" s="79" t="str">
        <f>H15</f>
        <v>21001 Andre </v>
      </c>
      <c r="N57" s="80" t="s">
        <v>7430</v>
      </c>
      <c r="O57" s="81">
        <v>29</v>
      </c>
      <c r="P57" s="81">
        <v>118</v>
      </c>
      <c r="Q57" s="62" t="str">
        <f>_xlfn.IFS(COUNTA(G15:G17)=1,"Single",COUNTA(G15:G17)=2,"Double",COUNTA(G15:G17)=3,"Triple",COUNTA(G15:G17)=0,"Empty")</f>
        <v>Triple</v>
      </c>
      <c r="R57" s="62"/>
      <c r="S57" s="62"/>
      <c r="T57" s="62"/>
      <c r="U57" s="81">
        <f>G15</f>
        <v>1</v>
      </c>
      <c r="V57" s="100">
        <f>COUNT(G15:G17)</f>
        <v>3</v>
      </c>
      <c r="W57" s="101"/>
      <c r="X57" s="108" t="str">
        <f>IF(I15=0,"",I15)</f>
        <v/>
      </c>
      <c r="Y57" s="108" t="str">
        <f>IF(J15=0,"",J15)</f>
        <v/>
      </c>
      <c r="Z57" s="120" t="s">
        <v>7093</v>
      </c>
      <c r="AA57" s="121" t="e">
        <f>VLOOKUP($M:$M,Data!$I:$J,2,FALSE)</f>
        <v>#N/A</v>
      </c>
      <c r="AB57" s="122"/>
    </row>
    <row r="58" spans="2:28">
      <c r="B58" s="50">
        <v>1</v>
      </c>
      <c r="C58" s="51" t="str">
        <f>VLOOKUP("29/202/1",Data!$A$2:$E$1425,3,FALSE)</f>
        <v>22002 Omar </v>
      </c>
      <c r="D58" s="52"/>
      <c r="E58" s="53"/>
      <c r="G58" s="50">
        <v>1</v>
      </c>
      <c r="H58" s="51" t="str">
        <f>VLOOKUP("29/219/1",Data!$A$2:$E$1425,3,FALSE)</f>
        <v>23002 Ludwig</v>
      </c>
      <c r="I58" s="52"/>
      <c r="J58" s="53"/>
      <c r="L58" s="9">
        <f>COUNTA(G16)+L57</f>
        <v>48</v>
      </c>
      <c r="M58" s="31">
        <f>H16</f>
        <v>0</v>
      </c>
      <c r="N58" s="82" t="s">
        <v>7430</v>
      </c>
      <c r="O58" s="36">
        <v>29</v>
      </c>
      <c r="P58" s="36">
        <v>118</v>
      </c>
      <c r="Q58" s="32"/>
      <c r="R58" s="32"/>
      <c r="S58" s="32"/>
      <c r="T58" s="32"/>
      <c r="U58" s="36">
        <f>G16</f>
        <v>2</v>
      </c>
      <c r="V58" s="103"/>
      <c r="W58" s="104"/>
      <c r="X58" s="109" t="str">
        <f t="shared" ref="X58:Y59" si="17">IF(I16=0,"",I16)</f>
        <v/>
      </c>
      <c r="Y58" s="109" t="str">
        <f t="shared" si="17"/>
        <v/>
      </c>
      <c r="Z58" s="123" t="s">
        <v>7105</v>
      </c>
      <c r="AA58" s="124" t="e">
        <f>VLOOKUP($M:$M,Data!$I:$J,2,FALSE)</f>
        <v>#N/A</v>
      </c>
      <c r="AB58" s="125"/>
    </row>
    <row r="59" ht="15.25" spans="2:28">
      <c r="B59" s="50">
        <v>2</v>
      </c>
      <c r="C59" s="51">
        <f>VLOOKUP("29/202/2",Data!$A$2:$E$1425,3,FALSE)</f>
        <v>0</v>
      </c>
      <c r="D59" s="54"/>
      <c r="E59" s="55"/>
      <c r="G59" s="50">
        <v>2</v>
      </c>
      <c r="H59" s="51">
        <f>VLOOKUP("29/219/2",Data!$A$2:$E$1425,3,FALSE)</f>
        <v>0</v>
      </c>
      <c r="I59" s="54"/>
      <c r="J59" s="55"/>
      <c r="L59" s="14">
        <f>COUNTA(G17)+L58</f>
        <v>49</v>
      </c>
      <c r="M59" s="83">
        <f>H17</f>
        <v>0</v>
      </c>
      <c r="N59" s="84" t="s">
        <v>7430</v>
      </c>
      <c r="O59" s="85">
        <v>29</v>
      </c>
      <c r="P59" s="85">
        <v>118</v>
      </c>
      <c r="Q59" s="110"/>
      <c r="R59" s="110"/>
      <c r="S59" s="110"/>
      <c r="T59" s="110"/>
      <c r="U59" s="85">
        <f>G17</f>
        <v>3</v>
      </c>
      <c r="V59" s="105"/>
      <c r="W59" s="106"/>
      <c r="X59" s="111" t="str">
        <f t="shared" si="17"/>
        <v/>
      </c>
      <c r="Y59" s="111" t="str">
        <f t="shared" si="17"/>
        <v/>
      </c>
      <c r="Z59" s="127" t="s">
        <v>6677</v>
      </c>
      <c r="AA59" s="128" t="e">
        <f>VLOOKUP($M:$M,Data!$I:$J,2,FALSE)</f>
        <v>#N/A</v>
      </c>
      <c r="AB59" s="126"/>
    </row>
    <row r="60" ht="15.25" spans="2:28">
      <c r="B60" s="58"/>
      <c r="C60" s="59">
        <f>VLOOKUP("29/202/3",Data!$A$2:$E$1425,3,FALSE)</f>
        <v>0</v>
      </c>
      <c r="D60" s="56"/>
      <c r="E60" s="57"/>
      <c r="G60" s="58"/>
      <c r="H60" s="59">
        <f>VLOOKUP("29/219/3",Data!$A$2:$E$1425,3,FALSE)</f>
        <v>0</v>
      </c>
      <c r="I60" s="56"/>
      <c r="J60" s="57"/>
      <c r="L60" s="6">
        <f>COUNTA(G11)+L59</f>
        <v>50</v>
      </c>
      <c r="M60" s="79" t="str">
        <f>H11</f>
        <v>21002 Klara </v>
      </c>
      <c r="N60" s="80" t="s">
        <v>7430</v>
      </c>
      <c r="O60" s="81">
        <v>29</v>
      </c>
      <c r="P60" s="81">
        <v>119</v>
      </c>
      <c r="Q60" s="62" t="str">
        <f>_xlfn.IFS(COUNTA(G11:G13)=1,"Single",COUNTA(G11:G13)=2,"Double",COUNTA(G11:G13)=3,"Triple",COUNTA(G11:G13)=0,"Empty")</f>
        <v>Triple</v>
      </c>
      <c r="R60" s="62"/>
      <c r="S60" s="62"/>
      <c r="T60" s="62"/>
      <c r="U60" s="81">
        <f>G11</f>
        <v>1</v>
      </c>
      <c r="V60" s="100">
        <f>COUNT(G11:G13)</f>
        <v>3</v>
      </c>
      <c r="W60" s="101"/>
      <c r="X60" s="108" t="str">
        <f>IF(I11=0,"",I11)</f>
        <v/>
      </c>
      <c r="Y60" s="108" t="str">
        <f>IF(J11=0,"",J11)</f>
        <v/>
      </c>
      <c r="Z60" s="120" t="s">
        <v>7065</v>
      </c>
      <c r="AA60" s="121" t="e">
        <f>VLOOKUP($M:$M,Data!$I:$J,2,FALSE)</f>
        <v>#N/A</v>
      </c>
      <c r="AB60" s="122"/>
    </row>
    <row r="61" spans="2:28">
      <c r="B61" s="46">
        <v>203</v>
      </c>
      <c r="C61" s="47"/>
      <c r="D61" s="48" t="s">
        <v>6580</v>
      </c>
      <c r="E61" s="49" t="s">
        <v>6581</v>
      </c>
      <c r="G61" s="46">
        <v>218</v>
      </c>
      <c r="H61" s="47"/>
      <c r="I61" s="48" t="s">
        <v>6580</v>
      </c>
      <c r="J61" s="49" t="s">
        <v>6581</v>
      </c>
      <c r="L61" s="9">
        <f>COUNTA(G12)+L60</f>
        <v>51</v>
      </c>
      <c r="M61" s="31">
        <f>H12</f>
        <v>0</v>
      </c>
      <c r="N61" s="82" t="s">
        <v>7430</v>
      </c>
      <c r="O61" s="36">
        <v>29</v>
      </c>
      <c r="P61" s="36">
        <v>119</v>
      </c>
      <c r="Q61" s="32"/>
      <c r="R61" s="32"/>
      <c r="S61" s="32"/>
      <c r="T61" s="32"/>
      <c r="U61" s="36">
        <f>G12</f>
        <v>2</v>
      </c>
      <c r="V61" s="103"/>
      <c r="W61" s="104"/>
      <c r="X61" s="109" t="str">
        <f t="shared" ref="X61:Y62" si="18">IF(I12=0,"",I12)</f>
        <v/>
      </c>
      <c r="Y61" s="109" t="str">
        <f t="shared" si="18"/>
        <v/>
      </c>
      <c r="Z61" s="123" t="s">
        <v>6729</v>
      </c>
      <c r="AA61" s="124" t="e">
        <f>VLOOKUP($M:$M,Data!$I:$J,2,FALSE)</f>
        <v>#N/A</v>
      </c>
      <c r="AB61" s="125"/>
    </row>
    <row r="62" ht="15.25" spans="2:28">
      <c r="B62" s="50">
        <v>1</v>
      </c>
      <c r="C62" s="51" t="str">
        <f>VLOOKUP("29/203/1",Data!$A$2:$E$1425,3,FALSE)</f>
        <v>22101 Jona </v>
      </c>
      <c r="D62" s="52"/>
      <c r="E62" s="53"/>
      <c r="G62" s="50">
        <v>1</v>
      </c>
      <c r="H62" s="51" t="str">
        <f>VLOOKUP("29/218/1",Data!$A$2:$E$1425,3,FALSE)</f>
        <v>23107 Sixten </v>
      </c>
      <c r="I62" s="52"/>
      <c r="J62" s="53"/>
      <c r="L62" s="14">
        <f>COUNTA(G13)+L61</f>
        <v>52</v>
      </c>
      <c r="M62" s="83">
        <f>H13</f>
        <v>0</v>
      </c>
      <c r="N62" s="84" t="s">
        <v>7430</v>
      </c>
      <c r="O62" s="85">
        <v>29</v>
      </c>
      <c r="P62" s="85">
        <v>119</v>
      </c>
      <c r="Q62" s="110"/>
      <c r="R62" s="110"/>
      <c r="S62" s="110"/>
      <c r="T62" s="110"/>
      <c r="U62" s="85">
        <f>G13</f>
        <v>3</v>
      </c>
      <c r="V62" s="105"/>
      <c r="W62" s="106"/>
      <c r="X62" s="111" t="str">
        <f t="shared" si="18"/>
        <v/>
      </c>
      <c r="Y62" s="111" t="str">
        <f t="shared" si="18"/>
        <v/>
      </c>
      <c r="Z62" s="127" t="s">
        <v>7502</v>
      </c>
      <c r="AA62" s="128" t="e">
        <f>VLOOKUP($M:$M,Data!$I:$J,2,FALSE)</f>
        <v>#N/A</v>
      </c>
      <c r="AB62" s="126"/>
    </row>
    <row r="63" spans="2:28">
      <c r="B63" s="50">
        <v>2</v>
      </c>
      <c r="C63" s="51" t="str">
        <f>VLOOKUP("29/203/2",Data!$A$2:$E$1425,3,FALSE)</f>
        <v>22102 Emil </v>
      </c>
      <c r="D63" s="54"/>
      <c r="E63" s="55"/>
      <c r="G63" s="50">
        <v>2</v>
      </c>
      <c r="H63" s="51" t="str">
        <f>VLOOKUP("29/218/2",Data!$A$2:$E$1425,3,FALSE)</f>
        <v>23108 Lukas </v>
      </c>
      <c r="I63" s="54"/>
      <c r="J63" s="55"/>
      <c r="L63" s="6">
        <f>COUNTA(G7)+L62</f>
        <v>53</v>
      </c>
      <c r="M63" s="79" t="str">
        <f>H7</f>
        <v>20048 Johan </v>
      </c>
      <c r="N63" s="80" t="s">
        <v>7430</v>
      </c>
      <c r="O63" s="81">
        <v>29</v>
      </c>
      <c r="P63" s="81">
        <v>120</v>
      </c>
      <c r="Q63" s="62" t="str">
        <f>_xlfn.IFS(COUNTA(G7:G9)=1,"Single",COUNTA(G7:G9)=2,"Double",COUNTA(G7:G9)=3,"Triple",COUNTA(G7:G9)=0,"Empty")</f>
        <v>Triple</v>
      </c>
      <c r="R63" s="62"/>
      <c r="S63" s="62"/>
      <c r="T63" s="62"/>
      <c r="U63" s="81">
        <f>G7</f>
        <v>1</v>
      </c>
      <c r="V63" s="100">
        <f>COUNT(G7:G9)</f>
        <v>3</v>
      </c>
      <c r="W63" s="101"/>
      <c r="X63" s="108" t="str">
        <f>IF(I7=0,"",I7)</f>
        <v/>
      </c>
      <c r="Y63" s="108" t="str">
        <f>IF(J7=0,"",J7)</f>
        <v/>
      </c>
      <c r="Z63" s="120" t="s">
        <v>6691</v>
      </c>
      <c r="AA63" s="121" t="e">
        <f>VLOOKUP($M:$M,Data!$I:$J,2,FALSE)</f>
        <v>#N/A</v>
      </c>
      <c r="AB63" s="122"/>
    </row>
    <row r="64" ht="15.25" spans="2:28">
      <c r="B64" s="58"/>
      <c r="C64" s="59">
        <f>VLOOKUP("29/203/3",Data!$A$2:$E$1425,3,FALSE)</f>
        <v>0</v>
      </c>
      <c r="D64" s="56"/>
      <c r="E64" s="57"/>
      <c r="G64" s="58"/>
      <c r="H64" s="59">
        <f>VLOOKUP("29/218/3",Data!$A$2:$E$1425,3,FALSE)</f>
        <v>0</v>
      </c>
      <c r="I64" s="56"/>
      <c r="J64" s="57"/>
      <c r="L64" s="9">
        <f>COUNTA(G8)+L63</f>
        <v>54</v>
      </c>
      <c r="M64" s="31">
        <f>H8</f>
        <v>0</v>
      </c>
      <c r="N64" s="82" t="s">
        <v>7430</v>
      </c>
      <c r="O64" s="36">
        <v>29</v>
      </c>
      <c r="P64" s="36">
        <v>120</v>
      </c>
      <c r="Q64" s="32"/>
      <c r="R64" s="32"/>
      <c r="S64" s="32"/>
      <c r="T64" s="32"/>
      <c r="U64" s="36">
        <f>G8</f>
        <v>2</v>
      </c>
      <c r="V64" s="103"/>
      <c r="W64" s="104"/>
      <c r="X64" s="109" t="str">
        <f t="shared" ref="X64:Y65" si="19">IF(I8=0,"",I8)</f>
        <v/>
      </c>
      <c r="Y64" s="109" t="str">
        <f t="shared" si="19"/>
        <v/>
      </c>
      <c r="Z64" s="123" t="s">
        <v>7503</v>
      </c>
      <c r="AA64" s="124" t="e">
        <f>VLOOKUP($M:$M,Data!$I:$J,2,FALSE)</f>
        <v>#N/A</v>
      </c>
      <c r="AB64" s="125"/>
    </row>
    <row r="65" ht="15.25" spans="2:28">
      <c r="B65" s="46">
        <v>204</v>
      </c>
      <c r="C65" s="47"/>
      <c r="D65" s="48" t="s">
        <v>6580</v>
      </c>
      <c r="E65" s="49" t="s">
        <v>6581</v>
      </c>
      <c r="G65" s="46">
        <v>217</v>
      </c>
      <c r="H65" s="47"/>
      <c r="I65" s="48" t="s">
        <v>6580</v>
      </c>
      <c r="J65" s="49" t="s">
        <v>6581</v>
      </c>
      <c r="L65" s="14">
        <f>COUNTA(G9)+L64</f>
        <v>55</v>
      </c>
      <c r="M65" s="83">
        <f>H9</f>
        <v>0</v>
      </c>
      <c r="N65" s="84" t="s">
        <v>7430</v>
      </c>
      <c r="O65" s="85">
        <v>29</v>
      </c>
      <c r="P65" s="85">
        <v>120</v>
      </c>
      <c r="Q65" s="110"/>
      <c r="R65" s="110"/>
      <c r="S65" s="110"/>
      <c r="T65" s="110"/>
      <c r="U65" s="85">
        <f>G9</f>
        <v>3</v>
      </c>
      <c r="V65" s="105"/>
      <c r="W65" s="106"/>
      <c r="X65" s="111" t="str">
        <f t="shared" si="19"/>
        <v/>
      </c>
      <c r="Y65" s="111" t="str">
        <f t="shared" si="19"/>
        <v/>
      </c>
      <c r="Z65" s="127" t="s">
        <v>6959</v>
      </c>
      <c r="AA65" s="128" t="e">
        <f>VLOOKUP($M:$M,Data!$I:$J,2,FALSE)</f>
        <v>#N/A</v>
      </c>
      <c r="AB65" s="126"/>
    </row>
    <row r="66" spans="2:28">
      <c r="B66" s="50">
        <v>1</v>
      </c>
      <c r="C66" s="51" t="str">
        <f>VLOOKUP("29/204/1",Data!$A$2:$E$1425,3,FALSE)</f>
        <v>22105 Gustav </v>
      </c>
      <c r="D66" s="52"/>
      <c r="E66" s="53"/>
      <c r="G66" s="50">
        <v>1</v>
      </c>
      <c r="H66" s="51" t="str">
        <f>VLOOKUP("29/217/1",Data!$A$2:$E$1425,3,FALSE)</f>
        <v>23101 Ludvig</v>
      </c>
      <c r="I66" s="52"/>
      <c r="J66" s="53"/>
      <c r="L66" s="6">
        <f>COUNTA(B54)+L65</f>
        <v>56</v>
      </c>
      <c r="M66" s="79" t="str">
        <f>C54</f>
        <v>22001 Anton</v>
      </c>
      <c r="N66" s="80" t="s">
        <v>7430</v>
      </c>
      <c r="O66" s="81">
        <v>29</v>
      </c>
      <c r="P66" s="81">
        <v>201</v>
      </c>
      <c r="Q66" s="62" t="str">
        <f>_xlfn.IFS(COUNTA(B54:B56)=1,"Single",COUNTA(B54:B56)=2,"Double",COUNTA(B54:B56)=3,"Triple",COUNTA(B54:B56)=0,"Empty")</f>
        <v>Double</v>
      </c>
      <c r="R66" s="62"/>
      <c r="S66" s="62"/>
      <c r="T66" s="62"/>
      <c r="U66" s="81">
        <f>B54</f>
        <v>1</v>
      </c>
      <c r="V66" s="100">
        <f>COUNT(B54:B56)</f>
        <v>2</v>
      </c>
      <c r="W66" s="101"/>
      <c r="X66" s="108" t="str">
        <f>IF(D54=0,"",D54)</f>
        <v/>
      </c>
      <c r="Y66" s="108" t="str">
        <f>IF(E54=0,"",E54)</f>
        <v/>
      </c>
      <c r="Z66" s="120" t="s">
        <v>7378</v>
      </c>
      <c r="AA66" s="121" t="e">
        <f>VLOOKUP($M:$M,Data!$I:$J,2,FALSE)</f>
        <v>#N/A</v>
      </c>
      <c r="AB66" s="122"/>
    </row>
    <row r="67" spans="2:28">
      <c r="B67" s="50"/>
      <c r="C67" s="51" t="str">
        <f>VLOOKUP("29/204/2",Data!$A$2:$E$1425,3,FALSE)</f>
        <v>22104 Maximilian</v>
      </c>
      <c r="D67" s="54"/>
      <c r="E67" s="55"/>
      <c r="G67" s="50">
        <v>2</v>
      </c>
      <c r="H67" s="51" t="str">
        <f>VLOOKUP("29/217/2",Data!$A$2:$E$1425,3,FALSE)</f>
        <v>23102 Joel </v>
      </c>
      <c r="I67" s="54"/>
      <c r="J67" s="55"/>
      <c r="L67" s="9">
        <f>COUNTA(B55)+L66</f>
        <v>57</v>
      </c>
      <c r="M67" s="31">
        <f>C55</f>
        <v>0</v>
      </c>
      <c r="N67" s="82" t="s">
        <v>7430</v>
      </c>
      <c r="O67" s="36">
        <v>29</v>
      </c>
      <c r="P67" s="36">
        <v>201</v>
      </c>
      <c r="Q67" s="32"/>
      <c r="R67" s="32"/>
      <c r="S67" s="32"/>
      <c r="T67" s="32"/>
      <c r="U67" s="36">
        <f>B55</f>
        <v>2</v>
      </c>
      <c r="V67" s="103"/>
      <c r="W67" s="104"/>
      <c r="X67" s="109" t="str">
        <f t="shared" ref="X67:Y68" si="20">IF(D55=0,"",D55)</f>
        <v/>
      </c>
      <c r="Y67" s="109" t="str">
        <f t="shared" si="20"/>
        <v/>
      </c>
      <c r="Z67" s="123" t="s">
        <v>7504</v>
      </c>
      <c r="AA67" s="124" t="e">
        <f>VLOOKUP($M:$M,Data!$I:$J,2,FALSE)</f>
        <v>#N/A</v>
      </c>
      <c r="AB67" s="125"/>
    </row>
    <row r="68" ht="15.25" spans="2:28">
      <c r="B68" s="58"/>
      <c r="C68" s="59">
        <f>VLOOKUP("29/204/3",Data!$A$2:$E$1425,3,FALSE)</f>
        <v>0</v>
      </c>
      <c r="D68" s="56"/>
      <c r="E68" s="57"/>
      <c r="G68" s="58"/>
      <c r="H68" s="59">
        <f>VLOOKUP("29/217/3",Data!$A$2:$E$1425,3,FALSE)</f>
        <v>0</v>
      </c>
      <c r="I68" s="56"/>
      <c r="J68" s="57"/>
      <c r="L68" s="14">
        <f>COUNTA(B56)+L67</f>
        <v>57</v>
      </c>
      <c r="M68" s="83">
        <f>C56</f>
        <v>0</v>
      </c>
      <c r="N68" s="84" t="s">
        <v>7430</v>
      </c>
      <c r="O68" s="85">
        <v>29</v>
      </c>
      <c r="P68" s="85">
        <v>201</v>
      </c>
      <c r="Q68" s="110"/>
      <c r="R68" s="110"/>
      <c r="S68" s="110"/>
      <c r="T68" s="110"/>
      <c r="U68" s="85">
        <f>B56</f>
        <v>0</v>
      </c>
      <c r="V68" s="105"/>
      <c r="W68" s="106"/>
      <c r="X68" s="111" t="str">
        <f t="shared" si="20"/>
        <v/>
      </c>
      <c r="Y68" s="111" t="str">
        <f t="shared" si="20"/>
        <v/>
      </c>
      <c r="Z68" s="127"/>
      <c r="AA68" s="128" t="e">
        <f>VLOOKUP($M:$M,Data!$I:$J,2,FALSE)</f>
        <v>#N/A</v>
      </c>
      <c r="AB68" s="126"/>
    </row>
    <row r="69" spans="2:28">
      <c r="B69" s="46">
        <v>205</v>
      </c>
      <c r="C69" s="47"/>
      <c r="D69" s="48" t="s">
        <v>6580</v>
      </c>
      <c r="E69" s="49" t="s">
        <v>6581</v>
      </c>
      <c r="G69" s="46">
        <v>216</v>
      </c>
      <c r="H69" s="47"/>
      <c r="I69" s="48" t="s">
        <v>6580</v>
      </c>
      <c r="J69" s="49" t="s">
        <v>6581</v>
      </c>
      <c r="L69" s="6">
        <f>COUNTA(B58)+L68</f>
        <v>58</v>
      </c>
      <c r="M69" s="79" t="str">
        <f>C58</f>
        <v>22002 Omar </v>
      </c>
      <c r="N69" s="80" t="s">
        <v>7430</v>
      </c>
      <c r="O69" s="81">
        <v>29</v>
      </c>
      <c r="P69" s="81">
        <v>202</v>
      </c>
      <c r="Q69" s="62" t="str">
        <f>_xlfn.IFS(COUNTA(B58:B60)=1,"Single",COUNTA(B58:B60)=2,"Double",COUNTA(B58:B60)=3,"Triple",COUNTA(B58:B60)=0,"Empty")</f>
        <v>Double</v>
      </c>
      <c r="R69" s="62"/>
      <c r="S69" s="62"/>
      <c r="T69" s="62"/>
      <c r="U69" s="81">
        <f>B58</f>
        <v>1</v>
      </c>
      <c r="V69" s="100">
        <f>COUNT(B58:B60)</f>
        <v>2</v>
      </c>
      <c r="W69" s="101"/>
      <c r="X69" s="108" t="str">
        <f>IF(D58=0,"",D58)</f>
        <v/>
      </c>
      <c r="Y69" s="108" t="str">
        <f>IF(E58=0,"",E58)</f>
        <v/>
      </c>
      <c r="Z69" s="120" t="s">
        <v>7215</v>
      </c>
      <c r="AA69" s="121" t="e">
        <f>VLOOKUP($M:$M,Data!$I:$J,2,FALSE)</f>
        <v>#N/A</v>
      </c>
      <c r="AB69" s="122"/>
    </row>
    <row r="70" spans="2:28">
      <c r="B70" s="50">
        <v>1</v>
      </c>
      <c r="C70" s="51" t="str">
        <f>VLOOKUP("29/205/1",Data!$A$2:$E$1425,3,FALSE)</f>
        <v>22107 Victor </v>
      </c>
      <c r="D70" s="52"/>
      <c r="E70" s="53"/>
      <c r="G70" s="50">
        <v>1</v>
      </c>
      <c r="H70" s="51" t="str">
        <f>VLOOKUP("29/216/1",Data!$A$2:$E$1425,3,FALSE)</f>
        <v>23105 Elliot </v>
      </c>
      <c r="I70" s="52"/>
      <c r="J70" s="53"/>
      <c r="L70" s="9">
        <f>COUNTA(B59)+L69</f>
        <v>59</v>
      </c>
      <c r="M70" s="31">
        <f>C59</f>
        <v>0</v>
      </c>
      <c r="N70" s="82" t="s">
        <v>7430</v>
      </c>
      <c r="O70" s="36">
        <v>29</v>
      </c>
      <c r="P70" s="36">
        <v>202</v>
      </c>
      <c r="Q70" s="32"/>
      <c r="R70" s="32"/>
      <c r="S70" s="32"/>
      <c r="T70" s="32"/>
      <c r="U70" s="36">
        <f>B59</f>
        <v>2</v>
      </c>
      <c r="V70" s="103"/>
      <c r="W70" s="104"/>
      <c r="X70" s="109" t="str">
        <f t="shared" ref="X70:Y71" si="21">IF(D59=0,"",D59)</f>
        <v/>
      </c>
      <c r="Y70" s="109" t="str">
        <f t="shared" si="21"/>
        <v/>
      </c>
      <c r="Z70" s="123" t="s">
        <v>7059</v>
      </c>
      <c r="AA70" s="124" t="e">
        <f>VLOOKUP($M:$M,Data!$I:$J,2,FALSE)</f>
        <v>#N/A</v>
      </c>
      <c r="AB70" s="125"/>
    </row>
    <row r="71" ht="15.25" spans="2:28">
      <c r="B71" s="50">
        <v>2</v>
      </c>
      <c r="C71" s="51" t="str">
        <f>VLOOKUP("29/205/2",Data!$A$2:$E$1425,3,FALSE)</f>
        <v>22110 Joel </v>
      </c>
      <c r="D71" s="54"/>
      <c r="E71" s="55"/>
      <c r="G71" s="50">
        <v>2</v>
      </c>
      <c r="H71" s="51" t="str">
        <f>VLOOKUP("29/216/2",Data!$A$2:$E$1425,3,FALSE)</f>
        <v>23104 Truls </v>
      </c>
      <c r="I71" s="54"/>
      <c r="J71" s="55"/>
      <c r="L71" s="14">
        <f>COUNTA(B60)+L70</f>
        <v>59</v>
      </c>
      <c r="M71" s="83">
        <f>C60</f>
        <v>0</v>
      </c>
      <c r="N71" s="84" t="s">
        <v>7430</v>
      </c>
      <c r="O71" s="85">
        <v>29</v>
      </c>
      <c r="P71" s="85">
        <v>202</v>
      </c>
      <c r="Q71" s="110"/>
      <c r="R71" s="110"/>
      <c r="S71" s="110"/>
      <c r="T71" s="110"/>
      <c r="U71" s="85">
        <f>B60</f>
        <v>0</v>
      </c>
      <c r="V71" s="105"/>
      <c r="W71" s="106"/>
      <c r="X71" s="111" t="str">
        <f t="shared" si="21"/>
        <v/>
      </c>
      <c r="Y71" s="111" t="str">
        <f t="shared" si="21"/>
        <v/>
      </c>
      <c r="Z71" s="127"/>
      <c r="AA71" s="128" t="e">
        <f>VLOOKUP($M:$M,Data!$I:$J,2,FALSE)</f>
        <v>#N/A</v>
      </c>
      <c r="AB71" s="126"/>
    </row>
    <row r="72" ht="15.25" spans="2:28">
      <c r="B72" s="58"/>
      <c r="C72" s="59">
        <f>VLOOKUP("29/205/3",Data!$A$2:$E$1425,3,FALSE)</f>
        <v>0</v>
      </c>
      <c r="D72" s="56"/>
      <c r="E72" s="57"/>
      <c r="G72" s="58">
        <v>3</v>
      </c>
      <c r="H72" s="59" t="str">
        <f>VLOOKUP("29/216/3",Data!$A$2:$E$1425,3,FALSE)</f>
        <v>23103 Olle</v>
      </c>
      <c r="I72" s="56"/>
      <c r="J72" s="57"/>
      <c r="L72" s="6">
        <f>COUNTA(B62)+L71</f>
        <v>60</v>
      </c>
      <c r="M72" s="79" t="str">
        <f>C62</f>
        <v>22101 Jona </v>
      </c>
      <c r="N72" s="80" t="s">
        <v>7430</v>
      </c>
      <c r="O72" s="81">
        <v>29</v>
      </c>
      <c r="P72" s="81">
        <v>203</v>
      </c>
      <c r="Q72" s="62" t="str">
        <f>_xlfn.IFS(COUNTA(B62:B64)=1,"Single",COUNTA(B62:B64)=2,"Double",COUNTA(B62:B64)=3,"Triple",COUNTA(B62:B64)=0,"Empty")</f>
        <v>Double</v>
      </c>
      <c r="R72" s="62"/>
      <c r="S72" s="62"/>
      <c r="T72" s="62"/>
      <c r="U72" s="81">
        <f>B62</f>
        <v>1</v>
      </c>
      <c r="V72" s="100">
        <f>COUNT(B62:B64)</f>
        <v>2</v>
      </c>
      <c r="W72" s="101"/>
      <c r="X72" s="108" t="str">
        <f>IF(D62=0,"",D62)</f>
        <v/>
      </c>
      <c r="Y72" s="108" t="str">
        <f>IF(E62=0,"",E62)</f>
        <v/>
      </c>
      <c r="Z72" s="120" t="s">
        <v>6948</v>
      </c>
      <c r="AA72" s="121" t="e">
        <f>VLOOKUP($M:$M,Data!$I:$J,2,FALSE)</f>
        <v>#N/A</v>
      </c>
      <c r="AB72" s="122"/>
    </row>
    <row r="73" spans="2:28">
      <c r="B73" s="46">
        <v>206</v>
      </c>
      <c r="C73" s="47"/>
      <c r="D73" s="48" t="s">
        <v>6580</v>
      </c>
      <c r="E73" s="49" t="s">
        <v>6581</v>
      </c>
      <c r="G73" s="67" t="s">
        <v>7435</v>
      </c>
      <c r="H73" s="68"/>
      <c r="I73" s="68"/>
      <c r="J73" s="86"/>
      <c r="L73" s="9">
        <f>COUNTA(B63)+L72</f>
        <v>61</v>
      </c>
      <c r="M73" s="31" t="str">
        <f>C63</f>
        <v>22102 Emil </v>
      </c>
      <c r="N73" s="82" t="s">
        <v>7430</v>
      </c>
      <c r="O73" s="36">
        <v>29</v>
      </c>
      <c r="P73" s="36">
        <v>203</v>
      </c>
      <c r="Q73" s="32"/>
      <c r="R73" s="32"/>
      <c r="S73" s="32"/>
      <c r="T73" s="32"/>
      <c r="U73" s="36">
        <f>B63</f>
        <v>2</v>
      </c>
      <c r="V73" s="103"/>
      <c r="W73" s="104"/>
      <c r="X73" s="109" t="str">
        <f t="shared" ref="X73:Y74" si="22">IF(D63=0,"",D63)</f>
        <v/>
      </c>
      <c r="Y73" s="109" t="str">
        <f t="shared" si="22"/>
        <v/>
      </c>
      <c r="Z73" s="123" t="s">
        <v>7024</v>
      </c>
      <c r="AA73" s="124" t="e">
        <f>VLOOKUP($M:$M,Data!$I:$J,2,FALSE)</f>
        <v>#N/A</v>
      </c>
      <c r="AB73" s="125"/>
    </row>
    <row r="74" ht="15.25" spans="2:28">
      <c r="B74" s="50">
        <v>1</v>
      </c>
      <c r="C74" s="51" t="str">
        <f>VLOOKUP("29/206/1",Data!$A$2:$E$1425,3,FALSE)</f>
        <v>22109 Lino</v>
      </c>
      <c r="D74" s="52"/>
      <c r="E74" s="53"/>
      <c r="G74" s="69"/>
      <c r="H74" s="70"/>
      <c r="I74" s="70"/>
      <c r="J74" s="87"/>
      <c r="L74" s="14">
        <f>COUNTA(B64)+L73</f>
        <v>61</v>
      </c>
      <c r="M74" s="83">
        <f>C64</f>
        <v>0</v>
      </c>
      <c r="N74" s="84" t="s">
        <v>7430</v>
      </c>
      <c r="O74" s="85">
        <v>29</v>
      </c>
      <c r="P74" s="85">
        <v>203</v>
      </c>
      <c r="Q74" s="110"/>
      <c r="R74" s="110"/>
      <c r="S74" s="110"/>
      <c r="T74" s="110"/>
      <c r="U74" s="85">
        <f>B64</f>
        <v>0</v>
      </c>
      <c r="V74" s="105"/>
      <c r="W74" s="106"/>
      <c r="X74" s="111" t="str">
        <f t="shared" si="22"/>
        <v/>
      </c>
      <c r="Y74" s="111" t="str">
        <f t="shared" si="22"/>
        <v/>
      </c>
      <c r="Z74" s="127"/>
      <c r="AA74" s="128" t="e">
        <f>VLOOKUP($M:$M,Data!$I:$J,2,FALSE)</f>
        <v>#N/A</v>
      </c>
      <c r="AB74" s="126"/>
    </row>
    <row r="75" spans="2:28">
      <c r="B75" s="50">
        <v>2</v>
      </c>
      <c r="C75" s="51" t="str">
        <f>VLOOKUP("29/206/2",Data!$A$2:$E$1425,3,FALSE)</f>
        <v>22108 Elliot </v>
      </c>
      <c r="D75" s="54"/>
      <c r="E75" s="55"/>
      <c r="G75" s="69"/>
      <c r="H75" s="70"/>
      <c r="I75" s="70"/>
      <c r="J75" s="87"/>
      <c r="L75" s="6">
        <f>COUNTA(B66)+L74</f>
        <v>62</v>
      </c>
      <c r="M75" s="79" t="str">
        <f>C66</f>
        <v>22105 Gustav </v>
      </c>
      <c r="N75" s="80" t="s">
        <v>7430</v>
      </c>
      <c r="O75" s="81">
        <v>29</v>
      </c>
      <c r="P75" s="81">
        <v>204</v>
      </c>
      <c r="Q75" s="62" t="str">
        <f>_xlfn.IFS(COUNTA(B66:B68)=1,"Single",COUNTA(B66:B68)=2,"Double",COUNTA(B66:B68)=3,"Triple",COUNTA(B66:B68)=0,"Empty")</f>
        <v>Single</v>
      </c>
      <c r="R75" s="62"/>
      <c r="S75" s="62"/>
      <c r="T75" s="62"/>
      <c r="U75" s="81">
        <f>B66</f>
        <v>1</v>
      </c>
      <c r="V75" s="100">
        <f>COUNT(B66:B68)</f>
        <v>1</v>
      </c>
      <c r="W75" s="101"/>
      <c r="X75" s="108" t="str">
        <f>IF(D66=0,"",D66)</f>
        <v/>
      </c>
      <c r="Y75" s="108" t="str">
        <f>IF(E66=0,"",E66)</f>
        <v/>
      </c>
      <c r="Z75" s="120" t="s">
        <v>7505</v>
      </c>
      <c r="AA75" s="121" t="e">
        <f>VLOOKUP($M:$M,Data!$I:$J,2,FALSE)</f>
        <v>#N/A</v>
      </c>
      <c r="AB75" s="122"/>
    </row>
    <row r="76" ht="15.25" spans="2:28">
      <c r="B76" s="58"/>
      <c r="C76" s="59">
        <f>VLOOKUP("29/206/3",Data!$A$2:$E$1425,3,FALSE)</f>
        <v>0</v>
      </c>
      <c r="D76" s="56"/>
      <c r="E76" s="57"/>
      <c r="G76" s="69"/>
      <c r="H76" s="70"/>
      <c r="I76" s="70"/>
      <c r="J76" s="87"/>
      <c r="L76" s="9">
        <f>COUNTA(B67)+L75</f>
        <v>62</v>
      </c>
      <c r="M76" s="31" t="str">
        <f>C67</f>
        <v>22104 Maximilian</v>
      </c>
      <c r="N76" s="82" t="s">
        <v>7430</v>
      </c>
      <c r="O76" s="36">
        <v>29</v>
      </c>
      <c r="P76" s="36">
        <v>204</v>
      </c>
      <c r="Q76" s="32"/>
      <c r="R76" s="32"/>
      <c r="S76" s="32"/>
      <c r="T76" s="32"/>
      <c r="U76" s="36">
        <f>B67</f>
        <v>0</v>
      </c>
      <c r="V76" s="103"/>
      <c r="W76" s="104"/>
      <c r="X76" s="109" t="str">
        <f t="shared" ref="X76:Y77" si="23">IF(D67=0,"",D67)</f>
        <v/>
      </c>
      <c r="Y76" s="109" t="str">
        <f t="shared" si="23"/>
        <v/>
      </c>
      <c r="Z76" s="123"/>
      <c r="AA76" s="124" t="e">
        <f>VLOOKUP($M:$M,Data!$I:$J,2,FALSE)</f>
        <v>#N/A</v>
      </c>
      <c r="AB76" s="125"/>
    </row>
    <row r="77" ht="15.25" spans="2:28">
      <c r="B77" s="46">
        <v>207</v>
      </c>
      <c r="C77" s="47"/>
      <c r="D77" s="48" t="s">
        <v>6580</v>
      </c>
      <c r="E77" s="49" t="s">
        <v>6581</v>
      </c>
      <c r="G77" s="69"/>
      <c r="H77" s="70"/>
      <c r="I77" s="70"/>
      <c r="J77" s="87"/>
      <c r="L77" s="14">
        <f>COUNTA(B68)+L76</f>
        <v>62</v>
      </c>
      <c r="M77" s="83">
        <f>C68</f>
        <v>0</v>
      </c>
      <c r="N77" s="84" t="s">
        <v>7430</v>
      </c>
      <c r="O77" s="85">
        <v>29</v>
      </c>
      <c r="P77" s="85">
        <v>204</v>
      </c>
      <c r="Q77" s="110"/>
      <c r="R77" s="110"/>
      <c r="S77" s="110"/>
      <c r="T77" s="110"/>
      <c r="U77" s="85">
        <f>B68</f>
        <v>0</v>
      </c>
      <c r="V77" s="105"/>
      <c r="W77" s="106"/>
      <c r="X77" s="111" t="str">
        <f t="shared" si="23"/>
        <v/>
      </c>
      <c r="Y77" s="111" t="str">
        <f t="shared" si="23"/>
        <v/>
      </c>
      <c r="Z77" s="127"/>
      <c r="AA77" s="128" t="e">
        <f>VLOOKUP($M:$M,Data!$I:$J,2,FALSE)</f>
        <v>#N/A</v>
      </c>
      <c r="AB77" s="126"/>
    </row>
    <row r="78" spans="2:28">
      <c r="B78" s="50">
        <v>1</v>
      </c>
      <c r="C78" s="51" t="str">
        <f>VLOOKUP("29/207/1",Data!$A$2:$E$1425,3,FALSE)</f>
        <v>22201 Gustaf </v>
      </c>
      <c r="D78" s="52"/>
      <c r="E78" s="53"/>
      <c r="G78" s="69"/>
      <c r="H78" s="70"/>
      <c r="I78" s="70"/>
      <c r="J78" s="87"/>
      <c r="L78" s="6">
        <f>COUNTA(B70)+L77</f>
        <v>63</v>
      </c>
      <c r="M78" s="79" t="str">
        <f>C70</f>
        <v>22107 Victor </v>
      </c>
      <c r="N78" s="80" t="s">
        <v>7430</v>
      </c>
      <c r="O78" s="81">
        <v>29</v>
      </c>
      <c r="P78" s="81">
        <v>205</v>
      </c>
      <c r="Q78" s="62" t="str">
        <f>_xlfn.IFS(COUNTA(B70:B72)=1,"Single",COUNTA(B70:B72)=2,"Double",COUNTA(B70:B72)=3,"Triple",COUNTA(B70:B72)=0,"Empty")</f>
        <v>Double</v>
      </c>
      <c r="R78" s="62"/>
      <c r="S78" s="62"/>
      <c r="T78" s="62"/>
      <c r="U78" s="81">
        <f>B70</f>
        <v>1</v>
      </c>
      <c r="V78" s="100">
        <f>COUNT(B70:B72)</f>
        <v>2</v>
      </c>
      <c r="W78" s="101"/>
      <c r="X78" s="108" t="str">
        <f>IF(D70=0,"",D70)</f>
        <v/>
      </c>
      <c r="Y78" s="108" t="str">
        <f>IF(E70=0,"",E70)</f>
        <v/>
      </c>
      <c r="Z78" s="120" t="s">
        <v>7506</v>
      </c>
      <c r="AA78" s="121" t="e">
        <f>VLOOKUP($M:$M,Data!$I:$J,2,FALSE)</f>
        <v>#N/A</v>
      </c>
      <c r="AB78" s="122"/>
    </row>
    <row r="79" spans="2:28">
      <c r="B79" s="50">
        <v>2</v>
      </c>
      <c r="C79" s="51" t="str">
        <f>VLOOKUP("29/207/2",Data!$A$2:$E$1425,3,FALSE)</f>
        <v>22208 Elias </v>
      </c>
      <c r="D79" s="54"/>
      <c r="E79" s="55"/>
      <c r="G79" s="69"/>
      <c r="H79" s="70"/>
      <c r="I79" s="70"/>
      <c r="J79" s="87"/>
      <c r="L79" s="9">
        <f>COUNTA(B71)+L78</f>
        <v>64</v>
      </c>
      <c r="M79" s="31" t="str">
        <f>C71</f>
        <v>22110 Joel </v>
      </c>
      <c r="N79" s="82" t="s">
        <v>7430</v>
      </c>
      <c r="O79" s="36">
        <v>29</v>
      </c>
      <c r="P79" s="36">
        <v>205</v>
      </c>
      <c r="Q79" s="32"/>
      <c r="R79" s="32"/>
      <c r="S79" s="32"/>
      <c r="T79" s="32"/>
      <c r="U79" s="36">
        <f>B71</f>
        <v>2</v>
      </c>
      <c r="V79" s="103"/>
      <c r="W79" s="104"/>
      <c r="X79" s="109" t="str">
        <f t="shared" ref="X79:Y80" si="24">IF(D71=0,"",D71)</f>
        <v/>
      </c>
      <c r="Y79" s="109" t="str">
        <f t="shared" si="24"/>
        <v/>
      </c>
      <c r="Z79" s="123" t="s">
        <v>6751</v>
      </c>
      <c r="AA79" s="124" t="e">
        <f>VLOOKUP($M:$M,Data!$I:$J,2,FALSE)</f>
        <v>#N/A</v>
      </c>
      <c r="AB79" s="125"/>
    </row>
    <row r="80" ht="15.25" spans="2:28">
      <c r="B80" s="58">
        <v>3</v>
      </c>
      <c r="C80" s="59">
        <f>VLOOKUP("29/207/3",Data!$A$2:$E$1425,3,FALSE)</f>
        <v>0</v>
      </c>
      <c r="D80" s="56"/>
      <c r="E80" s="57"/>
      <c r="G80" s="71"/>
      <c r="H80" s="72"/>
      <c r="I80" s="72"/>
      <c r="J80" s="88"/>
      <c r="L80" s="14">
        <f>COUNTA(B72)+L79</f>
        <v>64</v>
      </c>
      <c r="M80" s="83">
        <f>C72</f>
        <v>0</v>
      </c>
      <c r="N80" s="84" t="s">
        <v>7430</v>
      </c>
      <c r="O80" s="85">
        <v>29</v>
      </c>
      <c r="P80" s="85">
        <v>205</v>
      </c>
      <c r="Q80" s="110"/>
      <c r="R80" s="110"/>
      <c r="S80" s="110"/>
      <c r="T80" s="110"/>
      <c r="U80" s="85">
        <f>B72</f>
        <v>0</v>
      </c>
      <c r="V80" s="105"/>
      <c r="W80" s="106"/>
      <c r="X80" s="111" t="str">
        <f t="shared" si="24"/>
        <v/>
      </c>
      <c r="Y80" s="111" t="str">
        <f t="shared" si="24"/>
        <v/>
      </c>
      <c r="Z80" s="127"/>
      <c r="AA80" s="128" t="e">
        <f>VLOOKUP($M:$M,Data!$I:$J,2,FALSE)</f>
        <v>#N/A</v>
      </c>
      <c r="AB80" s="126"/>
    </row>
    <row r="81" spans="2:28">
      <c r="B81" s="46">
        <v>208</v>
      </c>
      <c r="C81" s="47"/>
      <c r="D81" s="48" t="s">
        <v>6580</v>
      </c>
      <c r="E81" s="49" t="s">
        <v>6581</v>
      </c>
      <c r="G81" s="46">
        <v>215</v>
      </c>
      <c r="H81" s="47"/>
      <c r="I81" s="48" t="s">
        <v>6580</v>
      </c>
      <c r="J81" s="49" t="s">
        <v>6581</v>
      </c>
      <c r="L81" s="6">
        <f>COUNTA(B74)+L80</f>
        <v>65</v>
      </c>
      <c r="M81" s="79" t="str">
        <f>C74</f>
        <v>22109 Lino</v>
      </c>
      <c r="N81" s="80" t="s">
        <v>7430</v>
      </c>
      <c r="O81" s="81">
        <v>29</v>
      </c>
      <c r="P81" s="81">
        <v>206</v>
      </c>
      <c r="Q81" s="62" t="str">
        <f>_xlfn.IFS(COUNTA(B74:B76)=1,"Single",COUNTA(B74:B76)=2,"Double",COUNTA(B74:B76)=3,"Triple",COUNTA(B74:B76)=0,"Empty")</f>
        <v>Double</v>
      </c>
      <c r="R81" s="62"/>
      <c r="S81" s="62"/>
      <c r="T81" s="62"/>
      <c r="U81" s="81">
        <f>B74</f>
        <v>1</v>
      </c>
      <c r="V81" s="100">
        <f>COUNT(B74:B76)</f>
        <v>2</v>
      </c>
      <c r="W81" s="101"/>
      <c r="X81" s="108" t="str">
        <f>IF(D74=0,"",D74)</f>
        <v/>
      </c>
      <c r="Y81" s="108" t="str">
        <f>IF(E74=0,"",E74)</f>
        <v/>
      </c>
      <c r="Z81" s="120" t="s">
        <v>7507</v>
      </c>
      <c r="AA81" s="121" t="e">
        <f>VLOOKUP($M:$M,Data!$I:$J,2,FALSE)</f>
        <v>#N/A</v>
      </c>
      <c r="AB81" s="122"/>
    </row>
    <row r="82" spans="2:28">
      <c r="B82" s="50">
        <v>1</v>
      </c>
      <c r="C82" s="51" t="str">
        <f>VLOOKUP("29/208/1",Data!$A$2:$E$1425,3,FALSE)</f>
        <v>22205 Oskar </v>
      </c>
      <c r="D82" s="52"/>
      <c r="E82" s="53"/>
      <c r="G82" s="50">
        <v>1</v>
      </c>
      <c r="H82" s="51" t="str">
        <f>VLOOKUP("29/215/1",Data!$A$2:$E$1425,3,FALSE)</f>
        <v>22103 Evelina </v>
      </c>
      <c r="I82" s="52"/>
      <c r="J82" s="53"/>
      <c r="L82" s="9">
        <f>COUNTA(B75)+L81</f>
        <v>66</v>
      </c>
      <c r="M82" s="31" t="str">
        <f>C75</f>
        <v>22108 Elliot </v>
      </c>
      <c r="N82" s="82" t="s">
        <v>7430</v>
      </c>
      <c r="O82" s="36">
        <v>29</v>
      </c>
      <c r="P82" s="36">
        <v>206</v>
      </c>
      <c r="Q82" s="32"/>
      <c r="R82" s="32"/>
      <c r="S82" s="32"/>
      <c r="T82" s="32"/>
      <c r="U82" s="36">
        <f>B75</f>
        <v>2</v>
      </c>
      <c r="V82" s="103"/>
      <c r="W82" s="104"/>
      <c r="X82" s="109" t="str">
        <f t="shared" ref="X82:Y83" si="25">IF(D75=0,"",D75)</f>
        <v/>
      </c>
      <c r="Y82" s="109" t="str">
        <f t="shared" si="25"/>
        <v/>
      </c>
      <c r="Z82" s="123" t="s">
        <v>7395</v>
      </c>
      <c r="AA82" s="124" t="e">
        <f>VLOOKUP($M:$M,Data!$I:$J,2,FALSE)</f>
        <v>#N/A</v>
      </c>
      <c r="AB82" s="125"/>
    </row>
    <row r="83" ht="15.25" spans="2:28">
      <c r="B83" s="50">
        <v>2</v>
      </c>
      <c r="C83" s="51" t="str">
        <f>VLOOKUP("29/208/2",Data!$A$2:$E$1425,3,FALSE)</f>
        <v>22204 Felix </v>
      </c>
      <c r="D83" s="54"/>
      <c r="E83" s="55"/>
      <c r="G83" s="50">
        <v>2</v>
      </c>
      <c r="H83" s="51">
        <f>VLOOKUP("29/215/2",Data!$A$2:$E$1425,3,FALSE)</f>
        <v>0</v>
      </c>
      <c r="I83" s="54"/>
      <c r="J83" s="55"/>
      <c r="L83" s="14">
        <f>COUNTA(B76)+L82</f>
        <v>66</v>
      </c>
      <c r="M83" s="83">
        <f>C76</f>
        <v>0</v>
      </c>
      <c r="N83" s="84" t="s">
        <v>7430</v>
      </c>
      <c r="O83" s="85">
        <v>29</v>
      </c>
      <c r="P83" s="85">
        <v>206</v>
      </c>
      <c r="Q83" s="110"/>
      <c r="R83" s="110"/>
      <c r="S83" s="110"/>
      <c r="T83" s="110"/>
      <c r="U83" s="85">
        <f>B76</f>
        <v>0</v>
      </c>
      <c r="V83" s="105"/>
      <c r="W83" s="106"/>
      <c r="X83" s="111" t="str">
        <f t="shared" si="25"/>
        <v/>
      </c>
      <c r="Y83" s="111" t="str">
        <f t="shared" si="25"/>
        <v/>
      </c>
      <c r="Z83" s="127"/>
      <c r="AA83" s="128" t="e">
        <f>VLOOKUP($M:$M,Data!$I:$J,2,FALSE)</f>
        <v>#N/A</v>
      </c>
      <c r="AB83" s="126"/>
    </row>
    <row r="84" ht="15.25" spans="2:28">
      <c r="B84" s="58">
        <v>3</v>
      </c>
      <c r="C84" s="59">
        <f>VLOOKUP("29/208/3",Data!$A$2:$E$1425,3,FALSE)</f>
        <v>0</v>
      </c>
      <c r="D84" s="56"/>
      <c r="E84" s="57"/>
      <c r="G84" s="58">
        <v>3</v>
      </c>
      <c r="H84" s="59">
        <f>VLOOKUP("29/215/3",Data!$A$2:$E$1425,3,FALSE)</f>
        <v>0</v>
      </c>
      <c r="I84" s="56"/>
      <c r="J84" s="57"/>
      <c r="L84" s="6">
        <f>COUNTA(B78)+L83</f>
        <v>67</v>
      </c>
      <c r="M84" s="79" t="str">
        <f>C78</f>
        <v>22201 Gustaf </v>
      </c>
      <c r="N84" s="80" t="s">
        <v>7430</v>
      </c>
      <c r="O84" s="81">
        <v>29</v>
      </c>
      <c r="P84" s="81">
        <v>207</v>
      </c>
      <c r="Q84" s="62" t="str">
        <f>_xlfn.IFS(COUNTA(B78:B80)=1,"Single",COUNTA(B78:B80)=2,"Double",COUNTA(B78:B80)=3,"Triple",COUNTA(B78:B80)=0,"Empty")</f>
        <v>Triple</v>
      </c>
      <c r="R84" s="62"/>
      <c r="S84" s="62"/>
      <c r="T84" s="62"/>
      <c r="U84" s="81">
        <f>B78</f>
        <v>1</v>
      </c>
      <c r="V84" s="100">
        <f>COUNT(B78:B80)</f>
        <v>3</v>
      </c>
      <c r="W84" s="101"/>
      <c r="X84" s="108" t="str">
        <f>IF(D78=0,"",D78)</f>
        <v/>
      </c>
      <c r="Y84" s="108" t="str">
        <f>IF(E78=0,"",E78)</f>
        <v/>
      </c>
      <c r="Z84" s="318" t="s">
        <v>7043</v>
      </c>
      <c r="AA84" s="121" t="e">
        <f>VLOOKUP($M:$M,Data!$I:$J,2,FALSE)</f>
        <v>#N/A</v>
      </c>
      <c r="AB84" s="122"/>
    </row>
    <row r="85" spans="2:28">
      <c r="B85" s="46">
        <v>209</v>
      </c>
      <c r="C85" s="47"/>
      <c r="D85" s="48" t="s">
        <v>6580</v>
      </c>
      <c r="E85" s="49" t="s">
        <v>6581</v>
      </c>
      <c r="G85" s="46">
        <v>214</v>
      </c>
      <c r="H85" s="47"/>
      <c r="I85" s="48" t="s">
        <v>6580</v>
      </c>
      <c r="J85" s="49" t="s">
        <v>6581</v>
      </c>
      <c r="L85" s="9">
        <f>COUNTA(B79)+L84</f>
        <v>68</v>
      </c>
      <c r="M85" s="31" t="str">
        <f>C79</f>
        <v>22208 Elias </v>
      </c>
      <c r="N85" s="82" t="s">
        <v>7430</v>
      </c>
      <c r="O85" s="36">
        <v>29</v>
      </c>
      <c r="P85" s="36">
        <v>207</v>
      </c>
      <c r="Q85" s="32"/>
      <c r="R85" s="32"/>
      <c r="S85" s="32"/>
      <c r="T85" s="32"/>
      <c r="U85" s="36">
        <f>B79</f>
        <v>2</v>
      </c>
      <c r="V85" s="103"/>
      <c r="W85" s="104"/>
      <c r="X85" s="109" t="str">
        <f t="shared" ref="X85:Y86" si="26">IF(D79=0,"",D79)</f>
        <v/>
      </c>
      <c r="Y85" s="109" t="str">
        <f t="shared" si="26"/>
        <v/>
      </c>
      <c r="Z85" s="123" t="s">
        <v>7416</v>
      </c>
      <c r="AA85" s="124" t="e">
        <f>VLOOKUP($M:$M,Data!$I:$J,2,FALSE)</f>
        <v>#N/A</v>
      </c>
      <c r="AB85" s="125"/>
    </row>
    <row r="86" ht="15.25" spans="2:28">
      <c r="B86" s="50">
        <v>1</v>
      </c>
      <c r="C86" s="51" t="str">
        <f>VLOOKUP("29/209/1",Data!$A$2:$E$1425,3,FALSE)</f>
        <v>22202 Theo </v>
      </c>
      <c r="D86" s="52"/>
      <c r="E86" s="53"/>
      <c r="G86" s="50">
        <v>1</v>
      </c>
      <c r="H86" s="51" t="str">
        <f>VLOOKUP("29/214/1",Data!$A$2:$E$1425,3,FALSE)</f>
        <v>22309 Victor</v>
      </c>
      <c r="I86" s="52"/>
      <c r="J86" s="53"/>
      <c r="L86" s="14">
        <f>COUNTA(B80)+L85</f>
        <v>69</v>
      </c>
      <c r="M86" s="83">
        <f>C80</f>
        <v>0</v>
      </c>
      <c r="N86" s="84" t="s">
        <v>7430</v>
      </c>
      <c r="O86" s="85">
        <v>29</v>
      </c>
      <c r="P86" s="85">
        <v>207</v>
      </c>
      <c r="Q86" s="110"/>
      <c r="R86" s="110"/>
      <c r="S86" s="110"/>
      <c r="T86" s="110"/>
      <c r="U86" s="85">
        <f>B80</f>
        <v>3</v>
      </c>
      <c r="V86" s="105"/>
      <c r="W86" s="106"/>
      <c r="X86" s="111" t="str">
        <f t="shared" si="26"/>
        <v/>
      </c>
      <c r="Y86" s="111" t="str">
        <f t="shared" si="26"/>
        <v/>
      </c>
      <c r="Z86" s="127" t="s">
        <v>7508</v>
      </c>
      <c r="AA86" s="128" t="e">
        <f>VLOOKUP($M:$M,Data!$I:$J,2,FALSE)</f>
        <v>#N/A</v>
      </c>
      <c r="AB86" s="126"/>
    </row>
    <row r="87" spans="2:28">
      <c r="B87" s="50">
        <v>2</v>
      </c>
      <c r="C87" s="51" t="str">
        <f>VLOOKUP("29/209/2",Data!$A$2:$E$1425,3,FALSE)</f>
        <v>22210 Gustav </v>
      </c>
      <c r="D87" s="54"/>
      <c r="E87" s="55"/>
      <c r="G87" s="50">
        <v>2</v>
      </c>
      <c r="H87" s="51" t="str">
        <f>VLOOKUP("29/214/2",Data!$A$2:$E$1425,3,FALSE)</f>
        <v>22308 Gustav </v>
      </c>
      <c r="I87" s="54"/>
      <c r="J87" s="55"/>
      <c r="L87" s="6">
        <f>COUNTA(B82)+L86</f>
        <v>70</v>
      </c>
      <c r="M87" s="79" t="str">
        <f>C82</f>
        <v>22205 Oskar </v>
      </c>
      <c r="N87" s="80" t="s">
        <v>7430</v>
      </c>
      <c r="O87" s="81">
        <v>29</v>
      </c>
      <c r="P87" s="81">
        <v>208</v>
      </c>
      <c r="Q87" s="62" t="str">
        <f>_xlfn.IFS(COUNTA(B82:B84)=1,"Single",COUNTA(B82:B84)=2,"Double",COUNTA(B82:B84)=3,"Triple",COUNTA(B82:B84)=0,"Empty")</f>
        <v>Triple</v>
      </c>
      <c r="R87" s="62"/>
      <c r="S87" s="62"/>
      <c r="T87" s="62"/>
      <c r="U87" s="81">
        <f>B82</f>
        <v>1</v>
      </c>
      <c r="V87" s="100">
        <f>COUNT(B82:B84)</f>
        <v>3</v>
      </c>
      <c r="W87" s="101"/>
      <c r="X87" s="108" t="str">
        <f>IF(D82=0,"",D82)</f>
        <v/>
      </c>
      <c r="Y87" s="108" t="str">
        <f>IF(E82=0,"",E82)</f>
        <v/>
      </c>
      <c r="Z87" s="120" t="s">
        <v>7014</v>
      </c>
      <c r="AA87" s="121" t="e">
        <f>VLOOKUP($M:$M,Data!$I:$J,2,FALSE)</f>
        <v>#N/A</v>
      </c>
      <c r="AB87" s="122"/>
    </row>
    <row r="88" ht="15.25" spans="2:28">
      <c r="B88" s="58">
        <v>3</v>
      </c>
      <c r="C88" s="59">
        <f>VLOOKUP("29/209/3",Data!$A$2:$E$1425,3,FALSE)</f>
        <v>0</v>
      </c>
      <c r="D88" s="56"/>
      <c r="E88" s="57"/>
      <c r="G88" s="58">
        <v>3</v>
      </c>
      <c r="H88" s="59">
        <f>VLOOKUP("29/214/3",Data!$A$2:$E$1425,3,FALSE)</f>
        <v>0</v>
      </c>
      <c r="I88" s="56"/>
      <c r="J88" s="57"/>
      <c r="L88" s="9">
        <f>COUNTA(B83)+L87</f>
        <v>71</v>
      </c>
      <c r="M88" s="31" t="str">
        <f>C83</f>
        <v>22204 Felix </v>
      </c>
      <c r="N88" s="82" t="s">
        <v>7430</v>
      </c>
      <c r="O88" s="36">
        <v>29</v>
      </c>
      <c r="P88" s="36">
        <v>208</v>
      </c>
      <c r="Q88" s="32"/>
      <c r="R88" s="32"/>
      <c r="S88" s="32"/>
      <c r="T88" s="32"/>
      <c r="U88" s="36">
        <f>B83</f>
        <v>2</v>
      </c>
      <c r="V88" s="103"/>
      <c r="W88" s="104"/>
      <c r="X88" s="109" t="str">
        <f t="shared" ref="X88:Y89" si="27">IF(D83=0,"",D83)</f>
        <v/>
      </c>
      <c r="Y88" s="109" t="str">
        <f t="shared" si="27"/>
        <v/>
      </c>
      <c r="Z88" s="123" t="s">
        <v>7061</v>
      </c>
      <c r="AA88" s="124" t="e">
        <f>VLOOKUP($M:$M,Data!$I:$J,2,FALSE)</f>
        <v>#N/A</v>
      </c>
      <c r="AB88" s="125"/>
    </row>
    <row r="89" ht="15.25" spans="2:28">
      <c r="B89" s="46">
        <v>210</v>
      </c>
      <c r="C89" s="47"/>
      <c r="D89" s="48" t="s">
        <v>6580</v>
      </c>
      <c r="E89" s="49" t="s">
        <v>6581</v>
      </c>
      <c r="G89" s="46">
        <v>213</v>
      </c>
      <c r="H89" s="47"/>
      <c r="I89" s="48" t="s">
        <v>6580</v>
      </c>
      <c r="J89" s="49" t="s">
        <v>6581</v>
      </c>
      <c r="L89" s="14">
        <f>COUNTA(B84)+L88</f>
        <v>72</v>
      </c>
      <c r="M89" s="83">
        <f>C84</f>
        <v>0</v>
      </c>
      <c r="N89" s="84" t="s">
        <v>7430</v>
      </c>
      <c r="O89" s="85">
        <v>29</v>
      </c>
      <c r="P89" s="85">
        <v>208</v>
      </c>
      <c r="Q89" s="110"/>
      <c r="R89" s="110"/>
      <c r="S89" s="110"/>
      <c r="T89" s="110"/>
      <c r="U89" s="85">
        <f>B84</f>
        <v>3</v>
      </c>
      <c r="V89" s="105"/>
      <c r="W89" s="106"/>
      <c r="X89" s="111" t="str">
        <f t="shared" si="27"/>
        <v/>
      </c>
      <c r="Y89" s="111" t="str">
        <f t="shared" si="27"/>
        <v/>
      </c>
      <c r="Z89" s="127" t="s">
        <v>7509</v>
      </c>
      <c r="AA89" s="128" t="e">
        <f>VLOOKUP($M:$M,Data!$I:$J,2,FALSE)</f>
        <v>#N/A</v>
      </c>
      <c r="AB89" s="126"/>
    </row>
    <row r="90" spans="2:28">
      <c r="B90" s="50">
        <v>1</v>
      </c>
      <c r="C90" s="51" t="str">
        <f>VLOOKUP("29/210/1",Data!$A$2:$E$1425,3,FALSE)</f>
        <v>22209 Kevin</v>
      </c>
      <c r="D90" s="52"/>
      <c r="E90" s="53"/>
      <c r="G90" s="50">
        <v>1</v>
      </c>
      <c r="H90" s="51" t="str">
        <f>VLOOKUP("29/213/1",Data!$A$2:$E$1425,3,FALSE)</f>
        <v>22310 Anton </v>
      </c>
      <c r="I90" s="52"/>
      <c r="J90" s="53"/>
      <c r="L90" s="6">
        <f>COUNTA(B86)+L89</f>
        <v>73</v>
      </c>
      <c r="M90" s="79" t="str">
        <f>C86</f>
        <v>22202 Theo </v>
      </c>
      <c r="N90" s="80" t="s">
        <v>7430</v>
      </c>
      <c r="O90" s="81">
        <v>29</v>
      </c>
      <c r="P90" s="81">
        <v>209</v>
      </c>
      <c r="Q90" s="62" t="str">
        <f>_xlfn.IFS(COUNTA(B86:B88)=1,"Single",COUNTA(B86:B88)=2,"Double",COUNTA(B86:B88)=3,"Triple",COUNTA(B86:B88)=0,"Empty")</f>
        <v>Triple</v>
      </c>
      <c r="R90" s="62"/>
      <c r="S90" s="62"/>
      <c r="T90" s="62"/>
      <c r="U90" s="81">
        <f>B86</f>
        <v>1</v>
      </c>
      <c r="V90" s="100">
        <f>COUNT(B86:B88)</f>
        <v>3</v>
      </c>
      <c r="W90" s="101"/>
      <c r="X90" s="108" t="str">
        <f>IF(D86=0,"",D86)</f>
        <v/>
      </c>
      <c r="Y90" s="108" t="str">
        <f>IF(E86=0,"",E86)</f>
        <v/>
      </c>
      <c r="Z90" s="120" t="s">
        <v>7049</v>
      </c>
      <c r="AA90" s="121" t="e">
        <f>VLOOKUP($M:$M,Data!$I:$J,2,FALSE)</f>
        <v>#N/A</v>
      </c>
      <c r="AB90" s="122"/>
    </row>
    <row r="91" spans="2:28">
      <c r="B91" s="50">
        <v>2</v>
      </c>
      <c r="C91" s="51" t="str">
        <f>VLOOKUP("29/210/2",Data!$A$2:$E$1425,3,FALSE)</f>
        <v>22207 Adam</v>
      </c>
      <c r="D91" s="54"/>
      <c r="E91" s="55"/>
      <c r="G91" s="50">
        <v>2</v>
      </c>
      <c r="H91" s="51" t="str">
        <f>VLOOKUP("29/213/2",Data!$A$2:$E$1425,3,FALSE)</f>
        <v>22307 Måns</v>
      </c>
      <c r="I91" s="54"/>
      <c r="J91" s="55"/>
      <c r="L91" s="9">
        <f>COUNTA(B87)+L90</f>
        <v>74</v>
      </c>
      <c r="M91" s="31" t="str">
        <f>C87</f>
        <v>22210 Gustav </v>
      </c>
      <c r="N91" s="82" t="s">
        <v>7430</v>
      </c>
      <c r="O91" s="36">
        <v>29</v>
      </c>
      <c r="P91" s="36">
        <v>209</v>
      </c>
      <c r="Q91" s="32"/>
      <c r="R91" s="32"/>
      <c r="S91" s="32"/>
      <c r="T91" s="32"/>
      <c r="U91" s="36">
        <f>B87</f>
        <v>2</v>
      </c>
      <c r="V91" s="103"/>
      <c r="W91" s="104"/>
      <c r="X91" s="109" t="str">
        <f t="shared" ref="X91:Y92" si="28">IF(D87=0,"",D87)</f>
        <v/>
      </c>
      <c r="Y91" s="109" t="str">
        <f t="shared" si="28"/>
        <v/>
      </c>
      <c r="Z91" s="123" t="s">
        <v>6755</v>
      </c>
      <c r="AA91" s="124" t="e">
        <f>VLOOKUP($M:$M,Data!$I:$J,2,FALSE)</f>
        <v>#N/A</v>
      </c>
      <c r="AB91" s="125"/>
    </row>
    <row r="92" ht="15.25" spans="2:28">
      <c r="B92" s="58">
        <v>3</v>
      </c>
      <c r="C92" s="59">
        <f>VLOOKUP("29/210/3",Data!$A$2:$E$1425,3,FALSE)</f>
        <v>0</v>
      </c>
      <c r="D92" s="56"/>
      <c r="E92" s="57"/>
      <c r="G92" s="58">
        <v>3</v>
      </c>
      <c r="H92" s="59">
        <f>VLOOKUP("29/213/3",Data!$A$2:$E$1425,3,FALSE)</f>
        <v>0</v>
      </c>
      <c r="I92" s="56"/>
      <c r="J92" s="57"/>
      <c r="L92" s="14">
        <f>COUNTA(B88)+L91</f>
        <v>75</v>
      </c>
      <c r="M92" s="83">
        <f>C88</f>
        <v>0</v>
      </c>
      <c r="N92" s="84" t="s">
        <v>7430</v>
      </c>
      <c r="O92" s="85">
        <v>29</v>
      </c>
      <c r="P92" s="85">
        <v>209</v>
      </c>
      <c r="Q92" s="110"/>
      <c r="R92" s="110"/>
      <c r="S92" s="110"/>
      <c r="T92" s="110"/>
      <c r="U92" s="85">
        <f>B88</f>
        <v>3</v>
      </c>
      <c r="V92" s="105"/>
      <c r="W92" s="106"/>
      <c r="X92" s="111" t="str">
        <f t="shared" si="28"/>
        <v/>
      </c>
      <c r="Y92" s="111" t="str">
        <f t="shared" si="28"/>
        <v/>
      </c>
      <c r="Z92" s="127" t="s">
        <v>6708</v>
      </c>
      <c r="AA92" s="128" t="e">
        <f>VLOOKUP($M:$M,Data!$I:$J,2,FALSE)</f>
        <v>#N/A</v>
      </c>
      <c r="AB92" s="126"/>
    </row>
    <row r="93" spans="2:28">
      <c r="B93" s="46">
        <v>211</v>
      </c>
      <c r="C93" s="47"/>
      <c r="D93" s="48" t="s">
        <v>6580</v>
      </c>
      <c r="E93" s="49" t="s">
        <v>6581</v>
      </c>
      <c r="G93" s="46">
        <v>212</v>
      </c>
      <c r="H93" s="47"/>
      <c r="I93" s="48" t="s">
        <v>6580</v>
      </c>
      <c r="J93" s="49" t="s">
        <v>6581</v>
      </c>
      <c r="L93" s="6">
        <f>COUNTA(B90)+L92</f>
        <v>76</v>
      </c>
      <c r="M93" s="79" t="str">
        <f>C90</f>
        <v>22209 Kevin</v>
      </c>
      <c r="N93" s="80" t="s">
        <v>7430</v>
      </c>
      <c r="O93" s="81">
        <v>29</v>
      </c>
      <c r="P93" s="81">
        <v>210</v>
      </c>
      <c r="Q93" s="62" t="str">
        <f>_xlfn.IFS(COUNTA(B90:B92)=1,"Single",COUNTA(B90:B92)=2,"Double",COUNTA(B90:B92)=3,"Triple",COUNTA(B90:B92)=0,"Empty")</f>
        <v>Triple</v>
      </c>
      <c r="R93" s="62"/>
      <c r="S93" s="62"/>
      <c r="T93" s="62"/>
      <c r="U93" s="81">
        <f>B90</f>
        <v>1</v>
      </c>
      <c r="V93" s="100">
        <f>COUNT(B90:B92)</f>
        <v>3</v>
      </c>
      <c r="W93" s="101"/>
      <c r="X93" s="108" t="str">
        <f>IF(D90=0,"",D90)</f>
        <v/>
      </c>
      <c r="Y93" s="108" t="str">
        <f>IF(E90=0,"",E90)</f>
        <v/>
      </c>
      <c r="Z93" s="120" t="s">
        <v>6822</v>
      </c>
      <c r="AA93" s="121" t="e">
        <f>VLOOKUP($M:$M,Data!$I:$J,2,FALSE)</f>
        <v>#N/A</v>
      </c>
      <c r="AB93" s="122"/>
    </row>
    <row r="94" spans="2:28">
      <c r="B94" s="50">
        <v>1</v>
      </c>
      <c r="C94" s="51" t="str">
        <f>VLOOKUP("29/211/1",Data!$A$2:$E$1425,3,FALSE)</f>
        <v>22301 Nils </v>
      </c>
      <c r="D94" s="52"/>
      <c r="E94" s="53"/>
      <c r="G94" s="50">
        <v>1</v>
      </c>
      <c r="H94" s="51" t="str">
        <f>VLOOKUP("29/212/1",Data!$A$2:$E$1425,3,FALSE)</f>
        <v>22305 Isac</v>
      </c>
      <c r="I94" s="52"/>
      <c r="J94" s="53"/>
      <c r="L94" s="9">
        <f>COUNTA(B91)+L93</f>
        <v>77</v>
      </c>
      <c r="M94" s="31" t="str">
        <f>C91</f>
        <v>22207 Adam</v>
      </c>
      <c r="N94" s="82" t="s">
        <v>7430</v>
      </c>
      <c r="O94" s="36">
        <v>29</v>
      </c>
      <c r="P94" s="36">
        <v>210</v>
      </c>
      <c r="Q94" s="32"/>
      <c r="R94" s="32"/>
      <c r="S94" s="32"/>
      <c r="T94" s="32"/>
      <c r="U94" s="36">
        <f>B91</f>
        <v>2</v>
      </c>
      <c r="V94" s="103"/>
      <c r="W94" s="104"/>
      <c r="X94" s="109" t="str">
        <f t="shared" ref="X94:Y95" si="29">IF(D91=0,"",D91)</f>
        <v/>
      </c>
      <c r="Y94" s="109" t="str">
        <f t="shared" si="29"/>
        <v/>
      </c>
      <c r="Z94" s="123" t="s">
        <v>6876</v>
      </c>
      <c r="AA94" s="124" t="e">
        <f>VLOOKUP($M:$M,Data!$I:$J,2,FALSE)</f>
        <v>#N/A</v>
      </c>
      <c r="AB94" s="125"/>
    </row>
    <row r="95" ht="15.25" spans="2:28">
      <c r="B95" s="50">
        <v>2</v>
      </c>
      <c r="C95" s="51" t="str">
        <f>VLOOKUP("29/211/2",Data!$A$2:$E$1425,3,FALSE)</f>
        <v>22302 Elias </v>
      </c>
      <c r="D95" s="54"/>
      <c r="E95" s="55"/>
      <c r="G95" s="50">
        <v>2</v>
      </c>
      <c r="H95" s="51" t="str">
        <f>VLOOKUP("29/212/2",Data!$A$2:$E$1425,3,FALSE)</f>
        <v>22304 Leon </v>
      </c>
      <c r="I95" s="54"/>
      <c r="J95" s="55"/>
      <c r="L95" s="14">
        <f>COUNTA(B92)+L94</f>
        <v>78</v>
      </c>
      <c r="M95" s="83">
        <f>C92</f>
        <v>0</v>
      </c>
      <c r="N95" s="84" t="s">
        <v>7430</v>
      </c>
      <c r="O95" s="85">
        <v>29</v>
      </c>
      <c r="P95" s="85">
        <v>210</v>
      </c>
      <c r="Q95" s="110"/>
      <c r="R95" s="110"/>
      <c r="S95" s="110"/>
      <c r="T95" s="110"/>
      <c r="U95" s="85">
        <f>B92</f>
        <v>3</v>
      </c>
      <c r="V95" s="105"/>
      <c r="W95" s="106"/>
      <c r="X95" s="111" t="str">
        <f t="shared" si="29"/>
        <v/>
      </c>
      <c r="Y95" s="111" t="str">
        <f t="shared" si="29"/>
        <v/>
      </c>
      <c r="Z95" s="127" t="s">
        <v>6697</v>
      </c>
      <c r="AA95" s="128" t="e">
        <f>VLOOKUP($M:$M,Data!$I:$J,2,FALSE)</f>
        <v>#N/A</v>
      </c>
      <c r="AB95" s="126"/>
    </row>
    <row r="96" ht="15.25" spans="2:28">
      <c r="B96" s="58">
        <v>3</v>
      </c>
      <c r="C96" s="59">
        <f>VLOOKUP("29/211/3",Data!$A$2:$E$1425,3,FALSE)</f>
        <v>0</v>
      </c>
      <c r="D96" s="56"/>
      <c r="E96" s="57"/>
      <c r="G96" s="58">
        <v>3</v>
      </c>
      <c r="H96" s="59">
        <f>VLOOKUP("29/212/3",Data!$A$2:$E$1425,3,FALSE)</f>
        <v>0</v>
      </c>
      <c r="I96" s="56"/>
      <c r="J96" s="57"/>
      <c r="L96" s="6">
        <f>COUNTA(B94)+L95</f>
        <v>79</v>
      </c>
      <c r="M96" s="79" t="str">
        <f>C94</f>
        <v>22301 Nils </v>
      </c>
      <c r="N96" s="80" t="s">
        <v>7430</v>
      </c>
      <c r="O96" s="81">
        <v>29</v>
      </c>
      <c r="P96" s="81">
        <v>211</v>
      </c>
      <c r="Q96" s="62" t="str">
        <f>_xlfn.IFS(COUNTA(B94:B96)=1,"Single",COUNTA(B94:B96)=2,"Double",COUNTA(B94:B96)=3,"Triple",COUNTA(B94:B96)=0,"Empty")</f>
        <v>Triple</v>
      </c>
      <c r="R96" s="62"/>
      <c r="S96" s="62"/>
      <c r="T96" s="62"/>
      <c r="U96" s="81">
        <f>B94</f>
        <v>1</v>
      </c>
      <c r="V96" s="100">
        <f>COUNT(B94:B96)</f>
        <v>3</v>
      </c>
      <c r="W96" s="101"/>
      <c r="X96" s="108" t="str">
        <f>IF(D94=0,"",D94)</f>
        <v/>
      </c>
      <c r="Y96" s="108" t="str">
        <f>IF(E94=0,"",E94)</f>
        <v/>
      </c>
      <c r="Z96" s="120" t="s">
        <v>6739</v>
      </c>
      <c r="AA96" s="121" t="e">
        <f>VLOOKUP($M:$M,Data!$I:$J,2,FALSE)</f>
        <v>#N/A</v>
      </c>
      <c r="AB96" s="122"/>
    </row>
    <row r="97" spans="12:28">
      <c r="L97" s="9">
        <f>COUNTA(B95)+L96</f>
        <v>80</v>
      </c>
      <c r="M97" s="31" t="str">
        <f>C95</f>
        <v>22302 Elias </v>
      </c>
      <c r="N97" s="82" t="s">
        <v>7430</v>
      </c>
      <c r="O97" s="36">
        <v>29</v>
      </c>
      <c r="P97" s="36">
        <v>211</v>
      </c>
      <c r="Q97" s="32"/>
      <c r="R97" s="32"/>
      <c r="S97" s="32"/>
      <c r="T97" s="32"/>
      <c r="U97" s="36">
        <f>B95</f>
        <v>2</v>
      </c>
      <c r="V97" s="103"/>
      <c r="W97" s="104"/>
      <c r="X97" s="109" t="str">
        <f t="shared" ref="X97:Y98" si="30">IF(D95=0,"",D95)</f>
        <v/>
      </c>
      <c r="Y97" s="109" t="str">
        <f t="shared" si="30"/>
        <v/>
      </c>
      <c r="Z97" s="123" t="s">
        <v>7284</v>
      </c>
      <c r="AA97" s="124" t="e">
        <f>VLOOKUP($M:$M,Data!$I:$J,2,FALSE)</f>
        <v>#N/A</v>
      </c>
      <c r="AB97" s="125"/>
    </row>
    <row r="98" ht="15.25" spans="12:28">
      <c r="L98" s="14">
        <f>COUNTA(B96)+L97</f>
        <v>81</v>
      </c>
      <c r="M98" s="83">
        <f>C96</f>
        <v>0</v>
      </c>
      <c r="N98" s="84" t="s">
        <v>7430</v>
      </c>
      <c r="O98" s="85">
        <v>29</v>
      </c>
      <c r="P98" s="85">
        <v>211</v>
      </c>
      <c r="Q98" s="110"/>
      <c r="R98" s="110"/>
      <c r="S98" s="110"/>
      <c r="T98" s="110"/>
      <c r="U98" s="85">
        <f>B96</f>
        <v>3</v>
      </c>
      <c r="V98" s="105"/>
      <c r="W98" s="106"/>
      <c r="X98" s="111" t="str">
        <f t="shared" si="30"/>
        <v/>
      </c>
      <c r="Y98" s="111" t="str">
        <f t="shared" si="30"/>
        <v/>
      </c>
      <c r="Z98" s="127" t="s">
        <v>6698</v>
      </c>
      <c r="AA98" s="128" t="e">
        <f>VLOOKUP($M:$M,Data!$I:$J,2,FALSE)</f>
        <v>#N/A</v>
      </c>
      <c r="AB98" s="126"/>
    </row>
    <row r="99" spans="12:28">
      <c r="L99" s="6">
        <f>COUNTA(G94)+L98</f>
        <v>82</v>
      </c>
      <c r="M99" s="79" t="str">
        <f>H94</f>
        <v>22305 Isac</v>
      </c>
      <c r="N99" s="80" t="s">
        <v>7430</v>
      </c>
      <c r="O99" s="81">
        <v>29</v>
      </c>
      <c r="P99" s="81">
        <v>212</v>
      </c>
      <c r="Q99" s="62" t="str">
        <f>_xlfn.IFS(COUNTA(G94:G96)=1,"Single",COUNTA(G94:G96)=2,"Double",COUNTA(G94:G96)=3,"Triple",COUNTA(G94:G96)=0,"Empty")</f>
        <v>Triple</v>
      </c>
      <c r="R99" s="62"/>
      <c r="S99" s="62"/>
      <c r="T99" s="62"/>
      <c r="U99" s="81">
        <f>G94</f>
        <v>1</v>
      </c>
      <c r="V99" s="100">
        <f>COUNT(G94:G96)</f>
        <v>3</v>
      </c>
      <c r="W99" s="101"/>
      <c r="X99" s="108" t="str">
        <f>IF(I94=0,"",I94)</f>
        <v/>
      </c>
      <c r="Y99" s="108" t="str">
        <f>IF(J94=0,"",J94)</f>
        <v/>
      </c>
      <c r="Z99" s="120" t="s">
        <v>7310</v>
      </c>
      <c r="AA99" s="121" t="e">
        <f>VLOOKUP($M:$M,Data!$I:$J,2,FALSE)</f>
        <v>#N/A</v>
      </c>
      <c r="AB99" s="122"/>
    </row>
    <row r="100" spans="12:28">
      <c r="L100" s="9">
        <f>COUNTA(G95)+L99</f>
        <v>83</v>
      </c>
      <c r="M100" s="31" t="str">
        <f>H95</f>
        <v>22304 Leon </v>
      </c>
      <c r="N100" s="82" t="s">
        <v>7430</v>
      </c>
      <c r="O100" s="36">
        <v>29</v>
      </c>
      <c r="P100" s="36">
        <v>212</v>
      </c>
      <c r="Q100" s="32"/>
      <c r="R100" s="32"/>
      <c r="S100" s="32"/>
      <c r="T100" s="32"/>
      <c r="U100" s="36">
        <f>G95</f>
        <v>2</v>
      </c>
      <c r="V100" s="103"/>
      <c r="W100" s="104"/>
      <c r="X100" s="109" t="str">
        <f t="shared" ref="X100:Y101" si="31">IF(I95=0,"",I95)</f>
        <v/>
      </c>
      <c r="Y100" s="109" t="str">
        <f t="shared" si="31"/>
        <v/>
      </c>
      <c r="Z100" s="123" t="s">
        <v>6781</v>
      </c>
      <c r="AA100" s="124" t="e">
        <f>VLOOKUP($M:$M,Data!$I:$J,2,FALSE)</f>
        <v>#N/A</v>
      </c>
      <c r="AB100" s="125"/>
    </row>
    <row r="101" ht="15.25" spans="12:28">
      <c r="L101" s="14">
        <f>COUNTA(G96)+L100</f>
        <v>84</v>
      </c>
      <c r="M101" s="83">
        <f>H96</f>
        <v>0</v>
      </c>
      <c r="N101" s="84" t="s">
        <v>7430</v>
      </c>
      <c r="O101" s="85">
        <v>29</v>
      </c>
      <c r="P101" s="85">
        <v>212</v>
      </c>
      <c r="Q101" s="110"/>
      <c r="R101" s="110"/>
      <c r="S101" s="110"/>
      <c r="T101" s="110"/>
      <c r="U101" s="85">
        <f>G96</f>
        <v>3</v>
      </c>
      <c r="V101" s="105"/>
      <c r="W101" s="106"/>
      <c r="X101" s="111" t="str">
        <f t="shared" si="31"/>
        <v/>
      </c>
      <c r="Y101" s="111" t="str">
        <f t="shared" si="31"/>
        <v/>
      </c>
      <c r="Z101" s="127" t="s">
        <v>7510</v>
      </c>
      <c r="AA101" s="128" t="e">
        <f>VLOOKUP($M:$M,Data!$I:$J,2,FALSE)</f>
        <v>#N/A</v>
      </c>
      <c r="AB101" s="126"/>
    </row>
    <row r="102" spans="12:28">
      <c r="L102" s="6">
        <f>COUNTA(G90)+L101</f>
        <v>85</v>
      </c>
      <c r="M102" s="79" t="str">
        <f>H90</f>
        <v>22310 Anton </v>
      </c>
      <c r="N102" s="80" t="s">
        <v>7430</v>
      </c>
      <c r="O102" s="81">
        <v>29</v>
      </c>
      <c r="P102" s="81">
        <v>213</v>
      </c>
      <c r="Q102" s="62" t="str">
        <f>_xlfn.IFS(COUNTA(G90:G92)=1,"Single",COUNTA(G90:G92)=2,"Double",COUNTA(G90:G92)=3,"Triple",COUNTA(G90:G92)=0,"Empty")</f>
        <v>Triple</v>
      </c>
      <c r="R102" s="62"/>
      <c r="S102" s="62"/>
      <c r="T102" s="62"/>
      <c r="U102" s="81">
        <f>G90</f>
        <v>1</v>
      </c>
      <c r="V102" s="100">
        <f>COUNT(G90:G92)</f>
        <v>3</v>
      </c>
      <c r="W102" s="101"/>
      <c r="X102" s="108" t="str">
        <f>IF(I90=0,"",I90)</f>
        <v/>
      </c>
      <c r="Y102" s="108" t="str">
        <f>IF(J90=0,"",J90)</f>
        <v/>
      </c>
      <c r="Z102" s="120" t="s">
        <v>7511</v>
      </c>
      <c r="AA102" s="121" t="e">
        <f>VLOOKUP($M:$M,Data!$I:$J,2,FALSE)</f>
        <v>#N/A</v>
      </c>
      <c r="AB102" s="122"/>
    </row>
    <row r="103" spans="12:28">
      <c r="L103" s="9">
        <f>COUNTA(G91)+L102</f>
        <v>86</v>
      </c>
      <c r="M103" s="31" t="str">
        <f>H91</f>
        <v>22307 Måns</v>
      </c>
      <c r="N103" s="82" t="s">
        <v>7430</v>
      </c>
      <c r="O103" s="36">
        <v>29</v>
      </c>
      <c r="P103" s="36">
        <v>213</v>
      </c>
      <c r="Q103" s="32"/>
      <c r="R103" s="32"/>
      <c r="S103" s="32"/>
      <c r="T103" s="32"/>
      <c r="U103" s="36">
        <f>G91</f>
        <v>2</v>
      </c>
      <c r="V103" s="103"/>
      <c r="W103" s="104"/>
      <c r="X103" s="109" t="str">
        <f t="shared" ref="X103:Y104" si="32">IF(I91=0,"",I91)</f>
        <v/>
      </c>
      <c r="Y103" s="109" t="str">
        <f t="shared" si="32"/>
        <v/>
      </c>
      <c r="Z103" s="123" t="s">
        <v>7387</v>
      </c>
      <c r="AA103" s="124" t="e">
        <f>VLOOKUP($M:$M,Data!$I:$J,2,FALSE)</f>
        <v>#N/A</v>
      </c>
      <c r="AB103" s="125"/>
    </row>
    <row r="104" ht="15.25" spans="12:28">
      <c r="L104" s="14">
        <f>COUNTA(G92)+L103</f>
        <v>87</v>
      </c>
      <c r="M104" s="83">
        <f>H92</f>
        <v>0</v>
      </c>
      <c r="N104" s="84" t="s">
        <v>7430</v>
      </c>
      <c r="O104" s="85">
        <v>29</v>
      </c>
      <c r="P104" s="85">
        <v>213</v>
      </c>
      <c r="Q104" s="110"/>
      <c r="R104" s="110"/>
      <c r="S104" s="110"/>
      <c r="T104" s="110"/>
      <c r="U104" s="85">
        <f>G92</f>
        <v>3</v>
      </c>
      <c r="V104" s="105"/>
      <c r="W104" s="106"/>
      <c r="X104" s="111" t="str">
        <f t="shared" si="32"/>
        <v/>
      </c>
      <c r="Y104" s="111" t="str">
        <f t="shared" si="32"/>
        <v/>
      </c>
      <c r="Z104" s="127" t="s">
        <v>7045</v>
      </c>
      <c r="AA104" s="128" t="e">
        <f>VLOOKUP($M:$M,Data!$I:$J,2,FALSE)</f>
        <v>#N/A</v>
      </c>
      <c r="AB104" s="126"/>
    </row>
    <row r="105" spans="12:28">
      <c r="L105" s="6">
        <f>COUNTA(G86)+L104</f>
        <v>88</v>
      </c>
      <c r="M105" s="79" t="str">
        <f>H86</f>
        <v>22309 Victor</v>
      </c>
      <c r="N105" s="80" t="s">
        <v>7430</v>
      </c>
      <c r="O105" s="81">
        <v>29</v>
      </c>
      <c r="P105" s="81">
        <v>214</v>
      </c>
      <c r="Q105" s="62" t="str">
        <f>_xlfn.IFS(COUNTA(G86:G88)=1,"Single",COUNTA(G86:G88)=2,"Double",COUNTA(G86:G88)=3,"Triple",COUNTA(G86:G88)=0,"Empty")</f>
        <v>Triple</v>
      </c>
      <c r="R105" s="62"/>
      <c r="S105" s="62"/>
      <c r="T105" s="62"/>
      <c r="U105" s="81">
        <f>G86</f>
        <v>1</v>
      </c>
      <c r="V105" s="100">
        <f>COUNT(G86:G88)</f>
        <v>3</v>
      </c>
      <c r="W105" s="101"/>
      <c r="X105" s="108" t="str">
        <f>IF(I86=0,"",I86)</f>
        <v/>
      </c>
      <c r="Y105" s="108" t="str">
        <f>IF(J86=0,"",J86)</f>
        <v/>
      </c>
      <c r="Z105" s="120" t="s">
        <v>7035</v>
      </c>
      <c r="AA105" s="121" t="e">
        <f>VLOOKUP($M:$M,Data!$I:$J,2,FALSE)</f>
        <v>#N/A</v>
      </c>
      <c r="AB105" s="122"/>
    </row>
    <row r="106" spans="12:28">
      <c r="L106" s="9">
        <f>COUNTA(G87)+L105</f>
        <v>89</v>
      </c>
      <c r="M106" s="31" t="str">
        <f>H87</f>
        <v>22308 Gustav </v>
      </c>
      <c r="N106" s="82" t="s">
        <v>7430</v>
      </c>
      <c r="O106" s="36">
        <v>29</v>
      </c>
      <c r="P106" s="36">
        <v>214</v>
      </c>
      <c r="Q106" s="32"/>
      <c r="R106" s="32"/>
      <c r="S106" s="32"/>
      <c r="T106" s="32"/>
      <c r="U106" s="36">
        <f>G87</f>
        <v>2</v>
      </c>
      <c r="V106" s="103"/>
      <c r="W106" s="104"/>
      <c r="X106" s="109" t="str">
        <f t="shared" ref="X106:Y107" si="33">IF(I87=0,"",I87)</f>
        <v/>
      </c>
      <c r="Y106" s="109" t="str">
        <f t="shared" si="33"/>
        <v/>
      </c>
      <c r="Z106" s="123" t="s">
        <v>7512</v>
      </c>
      <c r="AA106" s="124" t="e">
        <f>VLOOKUP($M:$M,Data!$I:$J,2,FALSE)</f>
        <v>#N/A</v>
      </c>
      <c r="AB106" s="125"/>
    </row>
    <row r="107" ht="15.25" spans="12:28">
      <c r="L107" s="14">
        <f>COUNTA(G88)+L106</f>
        <v>90</v>
      </c>
      <c r="M107" s="83">
        <f>H88</f>
        <v>0</v>
      </c>
      <c r="N107" s="84" t="s">
        <v>7430</v>
      </c>
      <c r="O107" s="85">
        <v>29</v>
      </c>
      <c r="P107" s="85">
        <v>214</v>
      </c>
      <c r="Q107" s="110"/>
      <c r="R107" s="110"/>
      <c r="S107" s="110"/>
      <c r="T107" s="110"/>
      <c r="U107" s="85">
        <f>G88</f>
        <v>3</v>
      </c>
      <c r="V107" s="105"/>
      <c r="W107" s="106"/>
      <c r="X107" s="111" t="str">
        <f t="shared" si="33"/>
        <v/>
      </c>
      <c r="Y107" s="111" t="str">
        <f t="shared" si="33"/>
        <v/>
      </c>
      <c r="Z107" s="127" t="s">
        <v>7070</v>
      </c>
      <c r="AA107" s="128" t="e">
        <f>VLOOKUP($M:$M,Data!$I:$J,2,FALSE)</f>
        <v>#N/A</v>
      </c>
      <c r="AB107" s="126"/>
    </row>
    <row r="108" spans="12:28">
      <c r="L108" s="6">
        <f>COUNTA(G82)+L107</f>
        <v>91</v>
      </c>
      <c r="M108" s="79" t="str">
        <f>H82</f>
        <v>22103 Evelina </v>
      </c>
      <c r="N108" s="80" t="s">
        <v>7430</v>
      </c>
      <c r="O108" s="81">
        <v>29</v>
      </c>
      <c r="P108" s="81">
        <v>215</v>
      </c>
      <c r="Q108" s="62" t="str">
        <f>_xlfn.IFS(COUNTA(G82:G84)=1,"Single",COUNTA(G82:G84)=2,"Double",COUNTA(G82:G84)=3,"Triple",COUNTA(G82:G84)=0,"Empty")</f>
        <v>Triple</v>
      </c>
      <c r="R108" s="62"/>
      <c r="S108" s="62"/>
      <c r="T108" s="62"/>
      <c r="U108" s="81">
        <f>G82</f>
        <v>1</v>
      </c>
      <c r="V108" s="100">
        <f>COUNT(G82:G84)</f>
        <v>3</v>
      </c>
      <c r="W108" s="101"/>
      <c r="X108" s="108" t="str">
        <f>IF(I82=0,"",I82)</f>
        <v/>
      </c>
      <c r="Y108" s="108" t="str">
        <f>IF(J82=0,"",J82)</f>
        <v/>
      </c>
      <c r="Z108" s="120" t="s">
        <v>7513</v>
      </c>
      <c r="AA108" s="121" t="e">
        <f>VLOOKUP($M:$M,Data!$I:$J,2,FALSE)</f>
        <v>#N/A</v>
      </c>
      <c r="AB108" s="122"/>
    </row>
    <row r="109" spans="12:28">
      <c r="L109" s="9">
        <f>COUNTA(G83)+L108</f>
        <v>92</v>
      </c>
      <c r="M109" s="31">
        <f>H83</f>
        <v>0</v>
      </c>
      <c r="N109" s="82" t="s">
        <v>7430</v>
      </c>
      <c r="O109" s="36">
        <v>29</v>
      </c>
      <c r="P109" s="36">
        <v>215</v>
      </c>
      <c r="Q109" s="32"/>
      <c r="R109" s="32"/>
      <c r="S109" s="32"/>
      <c r="T109" s="32"/>
      <c r="U109" s="36">
        <f>G83</f>
        <v>2</v>
      </c>
      <c r="V109" s="103"/>
      <c r="W109" s="104"/>
      <c r="X109" s="109" t="str">
        <f t="shared" ref="X109:Y110" si="34">IF(I83=0,"",I83)</f>
        <v/>
      </c>
      <c r="Y109" s="109" t="str">
        <f t="shared" si="34"/>
        <v/>
      </c>
      <c r="Z109" s="123" t="s">
        <v>7286</v>
      </c>
      <c r="AA109" s="124" t="e">
        <f>VLOOKUP($M:$M,Data!$I:$J,2,FALSE)</f>
        <v>#N/A</v>
      </c>
      <c r="AB109" s="125"/>
    </row>
    <row r="110" ht="15.25" spans="12:28">
      <c r="L110" s="14">
        <f>COUNTA(G84)+L109</f>
        <v>93</v>
      </c>
      <c r="M110" s="83">
        <f>H84</f>
        <v>0</v>
      </c>
      <c r="N110" s="84" t="s">
        <v>7430</v>
      </c>
      <c r="O110" s="85">
        <v>29</v>
      </c>
      <c r="P110" s="85">
        <v>215</v>
      </c>
      <c r="Q110" s="110"/>
      <c r="R110" s="110"/>
      <c r="S110" s="110"/>
      <c r="T110" s="110"/>
      <c r="U110" s="85">
        <f>G84</f>
        <v>3</v>
      </c>
      <c r="V110" s="105"/>
      <c r="W110" s="106"/>
      <c r="X110" s="111" t="str">
        <f t="shared" si="34"/>
        <v/>
      </c>
      <c r="Y110" s="111" t="str">
        <f t="shared" si="34"/>
        <v/>
      </c>
      <c r="Z110" s="127" t="s">
        <v>6815</v>
      </c>
      <c r="AA110" s="128" t="e">
        <f>VLOOKUP($M:$M,Data!$I:$J,2,FALSE)</f>
        <v>#N/A</v>
      </c>
      <c r="AB110" s="126"/>
    </row>
    <row r="111" spans="12:28">
      <c r="L111" s="6">
        <f>COUNTA(G70)+L110</f>
        <v>94</v>
      </c>
      <c r="M111" s="79" t="str">
        <f>H70</f>
        <v>23105 Elliot </v>
      </c>
      <c r="N111" s="80" t="s">
        <v>7430</v>
      </c>
      <c r="O111" s="81">
        <v>29</v>
      </c>
      <c r="P111" s="81">
        <v>216</v>
      </c>
      <c r="Q111" s="62" t="str">
        <f>_xlfn.IFS(COUNTA(G70:G72)=1,"Single",COUNTA(G70:G72)=2,"Double",COUNTA(G70:G72)=3,"Triple",COUNTA(G70:G72)=0,"Empty")</f>
        <v>Triple</v>
      </c>
      <c r="R111" s="62"/>
      <c r="S111" s="62"/>
      <c r="T111" s="62"/>
      <c r="U111" s="81">
        <f>G70</f>
        <v>1</v>
      </c>
      <c r="V111" s="100">
        <f>COUNT(G70:G72)</f>
        <v>3</v>
      </c>
      <c r="W111" s="101"/>
      <c r="X111" s="108" t="str">
        <f>IF(I70=0,"",I70)</f>
        <v/>
      </c>
      <c r="Y111" s="108" t="str">
        <f>IF(J70=0,"",J70)</f>
        <v/>
      </c>
      <c r="Z111" s="120" t="s">
        <v>7041</v>
      </c>
      <c r="AA111" s="121" t="e">
        <f>VLOOKUP($M:$M,Data!$I:$J,2,FALSE)</f>
        <v>#N/A</v>
      </c>
      <c r="AB111" s="122"/>
    </row>
    <row r="112" spans="12:28">
      <c r="L112" s="9">
        <f>COUNTA(G71)+L111</f>
        <v>95</v>
      </c>
      <c r="M112" s="31" t="str">
        <f>H71</f>
        <v>23104 Truls </v>
      </c>
      <c r="N112" s="82" t="s">
        <v>7430</v>
      </c>
      <c r="O112" s="36">
        <v>29</v>
      </c>
      <c r="P112" s="36">
        <v>216</v>
      </c>
      <c r="Q112" s="32"/>
      <c r="R112" s="32"/>
      <c r="S112" s="32"/>
      <c r="T112" s="32"/>
      <c r="U112" s="36">
        <f>G71</f>
        <v>2</v>
      </c>
      <c r="V112" s="103"/>
      <c r="W112" s="104"/>
      <c r="X112" s="109" t="str">
        <f t="shared" ref="X112:Y113" si="35">IF(I71=0,"",I71)</f>
        <v/>
      </c>
      <c r="Y112" s="109" t="str">
        <f t="shared" si="35"/>
        <v/>
      </c>
      <c r="Z112" s="123" t="s">
        <v>7362</v>
      </c>
      <c r="AA112" s="124" t="e">
        <f>VLOOKUP($M:$M,Data!$I:$J,2,FALSE)</f>
        <v>#N/A</v>
      </c>
      <c r="AB112" s="125"/>
    </row>
    <row r="113" ht="15.25" spans="12:28">
      <c r="L113" s="14">
        <f>COUNTA(G72)+L112</f>
        <v>96</v>
      </c>
      <c r="M113" s="83" t="str">
        <f>H72</f>
        <v>23103 Olle</v>
      </c>
      <c r="N113" s="84" t="s">
        <v>7430</v>
      </c>
      <c r="O113" s="85">
        <v>29</v>
      </c>
      <c r="P113" s="85">
        <v>216</v>
      </c>
      <c r="Q113" s="110"/>
      <c r="R113" s="110"/>
      <c r="S113" s="110"/>
      <c r="T113" s="110"/>
      <c r="U113" s="85">
        <f>G72</f>
        <v>3</v>
      </c>
      <c r="V113" s="105"/>
      <c r="W113" s="106"/>
      <c r="X113" s="111" t="str">
        <f t="shared" si="35"/>
        <v/>
      </c>
      <c r="Y113" s="111" t="str">
        <f t="shared" si="35"/>
        <v/>
      </c>
      <c r="Z113" s="127" t="s">
        <v>7245</v>
      </c>
      <c r="AA113" s="128" t="e">
        <f>VLOOKUP($M:$M,Data!$I:$J,2,FALSE)</f>
        <v>#N/A</v>
      </c>
      <c r="AB113" s="126"/>
    </row>
    <row r="114" spans="12:28">
      <c r="L114" s="6">
        <f>COUNTA(G66)+L113</f>
        <v>97</v>
      </c>
      <c r="M114" s="79" t="str">
        <f>H66</f>
        <v>23101 Ludvig</v>
      </c>
      <c r="N114" s="80" t="s">
        <v>7430</v>
      </c>
      <c r="O114" s="81">
        <v>29</v>
      </c>
      <c r="P114" s="81">
        <v>217</v>
      </c>
      <c r="Q114" s="62" t="str">
        <f>_xlfn.IFS(COUNTA(G66:G68)=1,"Single",COUNTA(G66:G68)=2,"Double",COUNTA(G66:G68)=3,"Triple",COUNTA(G66:G68)=0,"Empty")</f>
        <v>Double</v>
      </c>
      <c r="R114" s="62"/>
      <c r="S114" s="62"/>
      <c r="T114" s="62"/>
      <c r="U114" s="81">
        <f>G66</f>
        <v>1</v>
      </c>
      <c r="V114" s="100">
        <f>COUNT(G66:G68)</f>
        <v>2</v>
      </c>
      <c r="W114" s="101"/>
      <c r="X114" s="108" t="str">
        <f>IF(I66=0,"",I66)</f>
        <v/>
      </c>
      <c r="Y114" s="108" t="str">
        <f>IF(J66=0,"",J66)</f>
        <v/>
      </c>
      <c r="Z114" s="120" t="s">
        <v>7280</v>
      </c>
      <c r="AA114" s="121" t="e">
        <f>VLOOKUP($M:$M,Data!$I:$J,2,FALSE)</f>
        <v>#N/A</v>
      </c>
      <c r="AB114" s="122"/>
    </row>
    <row r="115" spans="12:28">
      <c r="L115" s="9">
        <f>COUNTA(G67)+L114</f>
        <v>98</v>
      </c>
      <c r="M115" s="31" t="str">
        <f>H67</f>
        <v>23102 Joel </v>
      </c>
      <c r="N115" s="82" t="s">
        <v>7430</v>
      </c>
      <c r="O115" s="36">
        <v>29</v>
      </c>
      <c r="P115" s="36">
        <v>217</v>
      </c>
      <c r="Q115" s="32"/>
      <c r="R115" s="32"/>
      <c r="S115" s="32"/>
      <c r="T115" s="32"/>
      <c r="U115" s="36">
        <f>G67</f>
        <v>2</v>
      </c>
      <c r="V115" s="103"/>
      <c r="W115" s="104"/>
      <c r="X115" s="109" t="str">
        <f t="shared" ref="X115:Y116" si="36">IF(I67=0,"",I67)</f>
        <v/>
      </c>
      <c r="Y115" s="109" t="str">
        <f t="shared" si="36"/>
        <v/>
      </c>
      <c r="Z115" s="123" t="s">
        <v>6957</v>
      </c>
      <c r="AA115" s="124" t="e">
        <f>VLOOKUP($M:$M,Data!$I:$J,2,FALSE)</f>
        <v>#N/A</v>
      </c>
      <c r="AB115" s="125"/>
    </row>
    <row r="116" ht="15.25" spans="12:28">
      <c r="L116" s="14">
        <f>COUNTA(G68)+L115</f>
        <v>98</v>
      </c>
      <c r="M116" s="83">
        <f>H68</f>
        <v>0</v>
      </c>
      <c r="N116" s="84" t="s">
        <v>7430</v>
      </c>
      <c r="O116" s="85">
        <v>29</v>
      </c>
      <c r="P116" s="85">
        <v>217</v>
      </c>
      <c r="Q116" s="110"/>
      <c r="R116" s="110"/>
      <c r="S116" s="110"/>
      <c r="T116" s="110"/>
      <c r="U116" s="85">
        <f>G68</f>
        <v>0</v>
      </c>
      <c r="V116" s="105"/>
      <c r="W116" s="106"/>
      <c r="X116" s="111" t="str">
        <f t="shared" si="36"/>
        <v/>
      </c>
      <c r="Y116" s="111" t="str">
        <f t="shared" si="36"/>
        <v/>
      </c>
      <c r="Z116" s="127"/>
      <c r="AA116" s="128" t="e">
        <f>VLOOKUP($M:$M,Data!$I:$J,2,FALSE)</f>
        <v>#N/A</v>
      </c>
      <c r="AB116" s="126"/>
    </row>
    <row r="117" spans="12:28">
      <c r="L117" s="6">
        <f>COUNTA(G62)+L116</f>
        <v>99</v>
      </c>
      <c r="M117" s="79" t="str">
        <f>H62</f>
        <v>23107 Sixten </v>
      </c>
      <c r="N117" s="80" t="s">
        <v>7430</v>
      </c>
      <c r="O117" s="81">
        <v>29</v>
      </c>
      <c r="P117" s="81">
        <v>218</v>
      </c>
      <c r="Q117" s="62" t="str">
        <f>_xlfn.IFS(COUNTA(G62:G64)=1,"Single",COUNTA(G62:G64)=2,"Double",COUNTA(G62:G64)=3,"Triple",COUNTA(G62:G64)=0,"Empty")</f>
        <v>Double</v>
      </c>
      <c r="R117" s="62"/>
      <c r="S117" s="62"/>
      <c r="T117" s="62"/>
      <c r="U117" s="81">
        <f>G62</f>
        <v>1</v>
      </c>
      <c r="V117" s="100">
        <f>COUNT(G62:G64)</f>
        <v>2</v>
      </c>
      <c r="W117" s="101"/>
      <c r="X117" s="108" t="str">
        <f>IF(I62=0,"",I62)</f>
        <v/>
      </c>
      <c r="Y117" s="108" t="str">
        <f>IF(J62=0,"",J62)</f>
        <v/>
      </c>
      <c r="Z117" s="120" t="s">
        <v>6757</v>
      </c>
      <c r="AA117" s="121" t="e">
        <f>VLOOKUP($M:$M,Data!$I:$J,2,FALSE)</f>
        <v>#N/A</v>
      </c>
      <c r="AB117" s="122"/>
    </row>
    <row r="118" spans="12:28">
      <c r="L118" s="9">
        <f>COUNTA(G63)+L117</f>
        <v>100</v>
      </c>
      <c r="M118" s="31" t="str">
        <f>H63</f>
        <v>23108 Lukas </v>
      </c>
      <c r="N118" s="82" t="s">
        <v>7430</v>
      </c>
      <c r="O118" s="36">
        <v>29</v>
      </c>
      <c r="P118" s="36">
        <v>218</v>
      </c>
      <c r="Q118" s="32"/>
      <c r="R118" s="32"/>
      <c r="S118" s="32"/>
      <c r="T118" s="32"/>
      <c r="U118" s="36">
        <f>G63</f>
        <v>2</v>
      </c>
      <c r="V118" s="103"/>
      <c r="W118" s="104"/>
      <c r="X118" s="109" t="str">
        <f t="shared" ref="X118:Y119" si="37">IF(I63=0,"",I63)</f>
        <v/>
      </c>
      <c r="Y118" s="109" t="str">
        <f t="shared" si="37"/>
        <v/>
      </c>
      <c r="Z118" s="123" t="s">
        <v>7514</v>
      </c>
      <c r="AA118" s="124" t="e">
        <f>VLOOKUP($M:$M,Data!$I:$J,2,FALSE)</f>
        <v>#N/A</v>
      </c>
      <c r="AB118" s="125"/>
    </row>
    <row r="119" ht="15.25" spans="12:28">
      <c r="L119" s="14">
        <f>COUNTA(G64)+L118</f>
        <v>100</v>
      </c>
      <c r="M119" s="83">
        <f>H64</f>
        <v>0</v>
      </c>
      <c r="N119" s="84" t="s">
        <v>7430</v>
      </c>
      <c r="O119" s="85">
        <v>29</v>
      </c>
      <c r="P119" s="85">
        <v>218</v>
      </c>
      <c r="Q119" s="110"/>
      <c r="R119" s="110"/>
      <c r="S119" s="110"/>
      <c r="T119" s="110"/>
      <c r="U119" s="85">
        <f>G64</f>
        <v>0</v>
      </c>
      <c r="V119" s="105"/>
      <c r="W119" s="106"/>
      <c r="X119" s="111" t="str">
        <f t="shared" si="37"/>
        <v/>
      </c>
      <c r="Y119" s="111" t="str">
        <f t="shared" si="37"/>
        <v/>
      </c>
      <c r="Z119" s="127"/>
      <c r="AA119" s="128" t="e">
        <f>VLOOKUP($M:$M,Data!$I:$J,2,FALSE)</f>
        <v>#N/A</v>
      </c>
      <c r="AB119" s="126"/>
    </row>
    <row r="120" spans="12:28">
      <c r="L120" s="6">
        <f>COUNTA(G58)+L119</f>
        <v>101</v>
      </c>
      <c r="M120" s="79" t="str">
        <f>H58</f>
        <v>23002 Ludwig</v>
      </c>
      <c r="N120" s="80" t="s">
        <v>7430</v>
      </c>
      <c r="O120" s="81">
        <v>29</v>
      </c>
      <c r="P120" s="81">
        <v>219</v>
      </c>
      <c r="Q120" s="62" t="str">
        <f>_xlfn.IFS(COUNTA(G58:G60)=1,"Single",COUNTA(G58:G60)=2,"Double",COUNTA(G58:G60)=3,"Triple",COUNTA(G58:G60)=0,"Empty")</f>
        <v>Double</v>
      </c>
      <c r="R120" s="62"/>
      <c r="S120" s="62"/>
      <c r="T120" s="62"/>
      <c r="U120" s="81">
        <f>G58</f>
        <v>1</v>
      </c>
      <c r="V120" s="100">
        <f>COUNT(G58:G60)</f>
        <v>2</v>
      </c>
      <c r="W120" s="101"/>
      <c r="X120" s="108" t="str">
        <f>IF(I58=0,"",I58)</f>
        <v/>
      </c>
      <c r="Y120" s="108" t="str">
        <f>IF(J58=0,"",J58)</f>
        <v/>
      </c>
      <c r="Z120" s="120" t="s">
        <v>6961</v>
      </c>
      <c r="AA120" s="121" t="e">
        <f>VLOOKUP($M:$M,Data!$I:$J,2,FALSE)</f>
        <v>#N/A</v>
      </c>
      <c r="AB120" s="122"/>
    </row>
    <row r="121" spans="12:28">
      <c r="L121" s="9">
        <f>COUNTA(G59)+L120</f>
        <v>102</v>
      </c>
      <c r="M121" s="31">
        <f>H59</f>
        <v>0</v>
      </c>
      <c r="N121" s="82" t="s">
        <v>7430</v>
      </c>
      <c r="O121" s="36">
        <v>29</v>
      </c>
      <c r="P121" s="36">
        <v>219</v>
      </c>
      <c r="Q121" s="32"/>
      <c r="R121" s="32"/>
      <c r="S121" s="32"/>
      <c r="T121" s="32"/>
      <c r="U121" s="36">
        <f>G59</f>
        <v>2</v>
      </c>
      <c r="V121" s="103"/>
      <c r="W121" s="104"/>
      <c r="X121" s="109" t="str">
        <f t="shared" ref="X121:Y122" si="38">IF(I59=0,"",I59)</f>
        <v/>
      </c>
      <c r="Y121" s="109" t="str">
        <f t="shared" si="38"/>
        <v/>
      </c>
      <c r="Z121" s="123" t="s">
        <v>7515</v>
      </c>
      <c r="AA121" s="124" t="e">
        <f>VLOOKUP($M:$M,Data!$I:$J,2,FALSE)</f>
        <v>#N/A</v>
      </c>
      <c r="AB121" s="125"/>
    </row>
    <row r="122" ht="15.25" spans="12:28">
      <c r="L122" s="14">
        <f>COUNTA(G60)+L121</f>
        <v>102</v>
      </c>
      <c r="M122" s="83">
        <f>H60</f>
        <v>0</v>
      </c>
      <c r="N122" s="84" t="s">
        <v>7430</v>
      </c>
      <c r="O122" s="85">
        <v>29</v>
      </c>
      <c r="P122" s="85">
        <v>219</v>
      </c>
      <c r="Q122" s="110"/>
      <c r="R122" s="110"/>
      <c r="S122" s="110"/>
      <c r="T122" s="110"/>
      <c r="U122" s="85">
        <f>G60</f>
        <v>0</v>
      </c>
      <c r="V122" s="105"/>
      <c r="W122" s="106"/>
      <c r="X122" s="111" t="str">
        <f t="shared" si="38"/>
        <v/>
      </c>
      <c r="Y122" s="111" t="str">
        <f t="shared" si="38"/>
        <v/>
      </c>
      <c r="Z122" s="127"/>
      <c r="AA122" s="128" t="e">
        <f>VLOOKUP($M:$M,Data!$I:$J,2,FALSE)</f>
        <v>#N/A</v>
      </c>
      <c r="AB122" s="126"/>
    </row>
    <row r="123" spans="12:28">
      <c r="L123" s="6">
        <f>COUNTA(G54)+L122</f>
        <v>103</v>
      </c>
      <c r="M123" s="79" t="str">
        <f>H54</f>
        <v>23001 Hampus</v>
      </c>
      <c r="N123" s="80" t="s">
        <v>7430</v>
      </c>
      <c r="O123" s="81">
        <v>29</v>
      </c>
      <c r="P123" s="81">
        <v>220</v>
      </c>
      <c r="Q123" s="62" t="str">
        <f>_xlfn.IFS(COUNTA(G54:G56)=1,"Single",COUNTA(G54:G56)=2,"Double",COUNTA(G54:G56)=3,"Triple",COUNTA(G54:G56)=0,"Empty")</f>
        <v>Double</v>
      </c>
      <c r="R123" s="62"/>
      <c r="S123" s="62"/>
      <c r="T123" s="62"/>
      <c r="U123" s="81">
        <f>G54</f>
        <v>1</v>
      </c>
      <c r="V123" s="100">
        <f>COUNT(G54:G56)</f>
        <v>2</v>
      </c>
      <c r="W123" s="101"/>
      <c r="X123" s="108" t="str">
        <f>IF(I54=0,"",I54)</f>
        <v/>
      </c>
      <c r="Y123" s="108" t="str">
        <f>IF(J54=0,"",J54)</f>
        <v/>
      </c>
      <c r="Z123" s="120" t="s">
        <v>7188</v>
      </c>
      <c r="AA123" s="121" t="e">
        <f>VLOOKUP($M:$M,Data!$I:$J,2,FALSE)</f>
        <v>#N/A</v>
      </c>
      <c r="AB123" s="122"/>
    </row>
    <row r="124" spans="12:28">
      <c r="L124" s="9">
        <f>COUNTA(G55)+L123</f>
        <v>104</v>
      </c>
      <c r="M124" s="31">
        <f t="shared" ref="M124:M125" si="39">H55</f>
        <v>0</v>
      </c>
      <c r="N124" s="82" t="s">
        <v>7430</v>
      </c>
      <c r="O124" s="36">
        <v>29</v>
      </c>
      <c r="P124" s="36">
        <v>220</v>
      </c>
      <c r="Q124" s="32"/>
      <c r="R124" s="32"/>
      <c r="S124" s="32"/>
      <c r="T124" s="32"/>
      <c r="U124" s="36">
        <f t="shared" ref="U124:U125" si="40">G55</f>
        <v>2</v>
      </c>
      <c r="V124" s="103"/>
      <c r="W124" s="104"/>
      <c r="X124" s="109" t="str">
        <f t="shared" ref="X124:Y125" si="41">IF(I55=0,"",I55)</f>
        <v/>
      </c>
      <c r="Y124" s="109" t="str">
        <f t="shared" si="41"/>
        <v/>
      </c>
      <c r="Z124" s="123" t="s">
        <v>7368</v>
      </c>
      <c r="AA124" s="124" t="e">
        <f>VLOOKUP($M:$M,Data!$I:$J,2,FALSE)</f>
        <v>#N/A</v>
      </c>
      <c r="AB124" s="125"/>
    </row>
    <row r="125" ht="15.25" spans="12:28">
      <c r="L125" s="14">
        <f>COUNTA(G56)+L124</f>
        <v>104</v>
      </c>
      <c r="M125" s="83">
        <f t="shared" si="39"/>
        <v>0</v>
      </c>
      <c r="N125" s="84" t="s">
        <v>7430</v>
      </c>
      <c r="O125" s="85">
        <v>29</v>
      </c>
      <c r="P125" s="85">
        <v>220</v>
      </c>
      <c r="Q125" s="110"/>
      <c r="R125" s="110"/>
      <c r="S125" s="110"/>
      <c r="T125" s="110"/>
      <c r="U125" s="85">
        <f t="shared" si="40"/>
        <v>0</v>
      </c>
      <c r="V125" s="105"/>
      <c r="W125" s="106"/>
      <c r="X125" s="111" t="str">
        <f t="shared" si="41"/>
        <v/>
      </c>
      <c r="Y125" s="111" t="str">
        <f t="shared" si="41"/>
        <v/>
      </c>
      <c r="Z125" s="127"/>
      <c r="AA125" s="128" t="e">
        <f>VLOOKUP($M:$M,Data!$I:$J,2,FALSE)</f>
        <v>#N/A</v>
      </c>
      <c r="AB125" s="126"/>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117:T119"/>
    <mergeCell ref="V117:W119"/>
    <mergeCell ref="Q120:T122"/>
    <mergeCell ref="V120:W122"/>
    <mergeCell ref="Q123:T125"/>
    <mergeCell ref="V123:W125"/>
    <mergeCell ref="Q108:T110"/>
    <mergeCell ref="V108:W110"/>
    <mergeCell ref="Q111:T113"/>
    <mergeCell ref="V111:W113"/>
    <mergeCell ref="Q114:T116"/>
    <mergeCell ref="V114:W116"/>
    <mergeCell ref="Q99:T101"/>
    <mergeCell ref="V99:W101"/>
    <mergeCell ref="Q102:T104"/>
    <mergeCell ref="V102:W104"/>
    <mergeCell ref="Q105:T107"/>
    <mergeCell ref="V105:W107"/>
    <mergeCell ref="Q93:T95"/>
    <mergeCell ref="V93:W95"/>
    <mergeCell ref="Q96:T98"/>
    <mergeCell ref="V96:W98"/>
    <mergeCell ref="Q87:T89"/>
    <mergeCell ref="V87:W89"/>
    <mergeCell ref="Q90:T92"/>
    <mergeCell ref="V90:W92"/>
    <mergeCell ref="Q81:T83"/>
    <mergeCell ref="V81:W83"/>
    <mergeCell ref="Q84:T86"/>
    <mergeCell ref="V84:W86"/>
    <mergeCell ref="Q72:T74"/>
    <mergeCell ref="V72:W74"/>
    <mergeCell ref="G73:J80"/>
    <mergeCell ref="Q75:T77"/>
    <mergeCell ref="V75:W77"/>
    <mergeCell ref="Q78:T80"/>
    <mergeCell ref="V78:W80"/>
    <mergeCell ref="Q66:T68"/>
    <mergeCell ref="V66:W68"/>
    <mergeCell ref="Q69:T71"/>
    <mergeCell ref="V69:W71"/>
    <mergeCell ref="Q60:T62"/>
    <mergeCell ref="V60:W62"/>
    <mergeCell ref="Q63:T65"/>
    <mergeCell ref="V63:W65"/>
    <mergeCell ref="Q54:T56"/>
    <mergeCell ref="V54:W56"/>
    <mergeCell ref="Q57:T59"/>
    <mergeCell ref="V57:W59"/>
    <mergeCell ref="Q48:T50"/>
    <mergeCell ref="V48:W50"/>
    <mergeCell ref="Q51:T53"/>
    <mergeCell ref="V51:W53"/>
    <mergeCell ref="Q42:T44"/>
    <mergeCell ref="V42:W44"/>
    <mergeCell ref="Q45:T47"/>
    <mergeCell ref="V45:W47"/>
    <mergeCell ref="Q36:T38"/>
    <mergeCell ref="V36:W38"/>
    <mergeCell ref="Q39:T41"/>
    <mergeCell ref="V39:W41"/>
    <mergeCell ref="Q30:T32"/>
    <mergeCell ref="V30:W32"/>
    <mergeCell ref="Q33:T35"/>
    <mergeCell ref="V33:W35"/>
    <mergeCell ref="Q21:T23"/>
    <mergeCell ref="V21:W23"/>
    <mergeCell ref="Q24:T26"/>
    <mergeCell ref="V24:W26"/>
    <mergeCell ref="G26:J33"/>
    <mergeCell ref="Q27:T29"/>
    <mergeCell ref="V27:W29"/>
    <mergeCell ref="Q15:T17"/>
    <mergeCell ref="V15:W17"/>
    <mergeCell ref="Q18:T20"/>
    <mergeCell ref="V18:W20"/>
    <mergeCell ref="Q9:T11"/>
    <mergeCell ref="V9:W11"/>
    <mergeCell ref="Q12:T14"/>
    <mergeCell ref="V12:W14"/>
    <mergeCell ref="Q6:T8"/>
    <mergeCell ref="V6:W8"/>
  </mergeCells>
  <conditionalFormatting sqref="L6">
    <cfRule type="cellIs" dxfId="12" priority="532" operator="equal">
      <formula>0</formula>
    </cfRule>
  </conditionalFormatting>
  <conditionalFormatting sqref="B7:B9">
    <cfRule type="cellIs" dxfId="27" priority="515" operator="notEqual">
      <formula>0</formula>
    </cfRule>
    <cfRule type="expression" dxfId="28" priority="516">
      <formula>COUNTA(C7)&lt;&gt;0</formula>
    </cfRule>
  </conditionalFormatting>
  <conditionalFormatting sqref="B11:B13">
    <cfRule type="cellIs" dxfId="27" priority="513" operator="notEqual">
      <formula>0</formula>
    </cfRule>
    <cfRule type="expression" dxfId="28" priority="514">
      <formula>COUNTA(C11)&lt;&gt;0</formula>
    </cfRule>
  </conditionalFormatting>
  <conditionalFormatting sqref="B15:B17">
    <cfRule type="cellIs" dxfId="27" priority="507" operator="notEqual">
      <formula>0</formula>
    </cfRule>
    <cfRule type="expression" dxfId="28" priority="508">
      <formula>COUNTA(C15)&lt;&gt;0</formula>
    </cfRule>
  </conditionalFormatting>
  <conditionalFormatting sqref="B19:B21">
    <cfRule type="cellIs" dxfId="27" priority="505" operator="notEqual">
      <formula>0</formula>
    </cfRule>
    <cfRule type="expression" dxfId="28" priority="506">
      <formula>COUNTA(C19)&lt;&gt;0</formula>
    </cfRule>
  </conditionalFormatting>
  <conditionalFormatting sqref="B23:B25">
    <cfRule type="cellIs" dxfId="27" priority="499" operator="notEqual">
      <formula>0</formula>
    </cfRule>
    <cfRule type="expression" dxfId="28" priority="500">
      <formula>COUNTA(C23)&lt;&gt;0</formula>
    </cfRule>
  </conditionalFormatting>
  <conditionalFormatting sqref="B27:B29">
    <cfRule type="cellIs" dxfId="27" priority="497" operator="notEqual">
      <formula>0</formula>
    </cfRule>
    <cfRule type="expression" dxfId="28" priority="498">
      <formula>COUNTA(C27)&lt;&gt;0</formula>
    </cfRule>
  </conditionalFormatting>
  <conditionalFormatting sqref="B31:B33">
    <cfRule type="cellIs" dxfId="27" priority="495" operator="notEqual">
      <formula>0</formula>
    </cfRule>
    <cfRule type="expression" dxfId="28" priority="496">
      <formula>COUNTA(C31)&lt;&gt;0</formula>
    </cfRule>
  </conditionalFormatting>
  <conditionalFormatting sqref="B35:B37">
    <cfRule type="cellIs" dxfId="27" priority="493" operator="notEqual">
      <formula>0</formula>
    </cfRule>
    <cfRule type="expression" dxfId="28" priority="494">
      <formula>COUNTA(C35)&lt;&gt;0</formula>
    </cfRule>
  </conditionalFormatting>
  <conditionalFormatting sqref="B39:B41">
    <cfRule type="cellIs" dxfId="27" priority="487" operator="notEqual">
      <formula>0</formula>
    </cfRule>
    <cfRule type="expression" dxfId="28" priority="488">
      <formula>COUNTA(C39)&lt;&gt;0</formula>
    </cfRule>
  </conditionalFormatting>
  <conditionalFormatting sqref="B43:B45">
    <cfRule type="cellIs" dxfId="27" priority="485" operator="notEqual">
      <formula>0</formula>
    </cfRule>
    <cfRule type="expression" dxfId="28" priority="486">
      <formula>COUNTA(C43)&lt;&gt;0</formula>
    </cfRule>
  </conditionalFormatting>
  <conditionalFormatting sqref="B47:B49">
    <cfRule type="cellIs" dxfId="27" priority="479" operator="notEqual">
      <formula>0</formula>
    </cfRule>
    <cfRule type="expression" dxfId="28" priority="480">
      <formula>COUNTA(C47)&lt;&gt;0</formula>
    </cfRule>
  </conditionalFormatting>
  <conditionalFormatting sqref="B54:B56">
    <cfRule type="cellIs" dxfId="27" priority="455" operator="notEqual">
      <formula>0</formula>
    </cfRule>
    <cfRule type="expression" dxfId="28" priority="456">
      <formula>COUNTA(C54)&lt;&gt;0</formula>
    </cfRule>
  </conditionalFormatting>
  <conditionalFormatting sqref="B58:B60">
    <cfRule type="cellIs" dxfId="27" priority="453" operator="notEqual">
      <formula>0</formula>
    </cfRule>
    <cfRule type="expression" dxfId="28" priority="454">
      <formula>COUNTA(C58)&lt;&gt;0</formula>
    </cfRule>
  </conditionalFormatting>
  <conditionalFormatting sqref="B62:B64">
    <cfRule type="cellIs" dxfId="27" priority="447" operator="notEqual">
      <formula>0</formula>
    </cfRule>
    <cfRule type="expression" dxfId="28" priority="448">
      <formula>COUNTA(C62)&lt;&gt;0</formula>
    </cfRule>
  </conditionalFormatting>
  <conditionalFormatting sqref="B66:B68">
    <cfRule type="cellIs" dxfId="27" priority="445" operator="notEqual">
      <formula>0</formula>
    </cfRule>
    <cfRule type="expression" dxfId="28" priority="446">
      <formula>COUNTA(C66)&lt;&gt;0</formula>
    </cfRule>
  </conditionalFormatting>
  <conditionalFormatting sqref="B70:B72">
    <cfRule type="cellIs" dxfId="27" priority="439" operator="notEqual">
      <formula>0</formula>
    </cfRule>
    <cfRule type="expression" dxfId="28" priority="440">
      <formula>COUNTA(C70)&lt;&gt;0</formula>
    </cfRule>
  </conditionalFormatting>
  <conditionalFormatting sqref="B74:B76">
    <cfRule type="cellIs" dxfId="27" priority="437" operator="notEqual">
      <formula>0</formula>
    </cfRule>
    <cfRule type="expression" dxfId="28" priority="438">
      <formula>COUNTA(C74)&lt;&gt;0</formula>
    </cfRule>
  </conditionalFormatting>
  <conditionalFormatting sqref="B78:B80">
    <cfRule type="cellIs" dxfId="27" priority="435" operator="notEqual">
      <formula>0</formula>
    </cfRule>
    <cfRule type="expression" dxfId="28" priority="436">
      <formula>COUNTA(C78)&lt;&gt;0</formula>
    </cfRule>
  </conditionalFormatting>
  <conditionalFormatting sqref="B82:B84">
    <cfRule type="cellIs" dxfId="27" priority="433" operator="notEqual">
      <formula>0</formula>
    </cfRule>
    <cfRule type="expression" dxfId="28" priority="434">
      <formula>COUNTA(C82)&lt;&gt;0</formula>
    </cfRule>
  </conditionalFormatting>
  <conditionalFormatting sqref="B86:B88">
    <cfRule type="cellIs" dxfId="27" priority="427" operator="notEqual">
      <formula>0</formula>
    </cfRule>
    <cfRule type="expression" dxfId="28" priority="428">
      <formula>COUNTA(C86)&lt;&gt;0</formula>
    </cfRule>
  </conditionalFormatting>
  <conditionalFormatting sqref="B90:B92">
    <cfRule type="cellIs" dxfId="27" priority="425" operator="notEqual">
      <formula>0</formula>
    </cfRule>
    <cfRule type="expression" dxfId="28" priority="426">
      <formula>COUNTA(C90)&lt;&gt;0</formula>
    </cfRule>
  </conditionalFormatting>
  <conditionalFormatting sqref="B94:B96">
    <cfRule type="cellIs" dxfId="27" priority="419" operator="notEqual">
      <formula>0</formula>
    </cfRule>
    <cfRule type="expression" dxfId="28" priority="420">
      <formula>COUNTA(C94)&lt;&gt;0</formula>
    </cfRule>
  </conditionalFormatting>
  <conditionalFormatting sqref="C7:C9">
    <cfRule type="cellIs" dxfId="2" priority="519" operator="notEqual">
      <formula>0</formula>
    </cfRule>
  </conditionalFormatting>
  <conditionalFormatting sqref="C11:C13">
    <cfRule type="cellIs" dxfId="2" priority="520" operator="notEqual">
      <formula>0</formula>
    </cfRule>
  </conditionalFormatting>
  <conditionalFormatting sqref="C15:C17">
    <cfRule type="cellIs" dxfId="2" priority="521" operator="notEqual">
      <formula>0</formula>
    </cfRule>
  </conditionalFormatting>
  <conditionalFormatting sqref="C19:C21">
    <cfRule type="cellIs" dxfId="2" priority="522" operator="notEqual">
      <formula>0</formula>
    </cfRule>
  </conditionalFormatting>
  <conditionalFormatting sqref="C23:C25">
    <cfRule type="cellIs" dxfId="2" priority="523" operator="notEqual">
      <formula>0</formula>
    </cfRule>
  </conditionalFormatting>
  <conditionalFormatting sqref="C27:C29">
    <cfRule type="cellIs" dxfId="2" priority="524" operator="notEqual">
      <formula>0</formula>
    </cfRule>
  </conditionalFormatting>
  <conditionalFormatting sqref="C31:C33">
    <cfRule type="cellIs" dxfId="2" priority="525" operator="notEqual">
      <formula>0</formula>
    </cfRule>
  </conditionalFormatting>
  <conditionalFormatting sqref="C35:C37">
    <cfRule type="cellIs" dxfId="2" priority="526" operator="notEqual">
      <formula>0</formula>
    </cfRule>
  </conditionalFormatting>
  <conditionalFormatting sqref="C39:C41">
    <cfRule type="cellIs" dxfId="2" priority="527" operator="notEqual">
      <formula>0</formula>
    </cfRule>
  </conditionalFormatting>
  <conditionalFormatting sqref="C43:C45">
    <cfRule type="cellIs" dxfId="2" priority="528" operator="notEqual">
      <formula>0</formula>
    </cfRule>
  </conditionalFormatting>
  <conditionalFormatting sqref="C47:C49">
    <cfRule type="cellIs" dxfId="2" priority="529" operator="notEqual">
      <formula>0</formula>
    </cfRule>
  </conditionalFormatting>
  <conditionalFormatting sqref="C54:C56">
    <cfRule type="cellIs" dxfId="2" priority="459" operator="notEqual">
      <formula>0</formula>
    </cfRule>
  </conditionalFormatting>
  <conditionalFormatting sqref="C58:C60">
    <cfRule type="cellIs" dxfId="2" priority="460" operator="notEqual">
      <formula>0</formula>
    </cfRule>
  </conditionalFormatting>
  <conditionalFormatting sqref="C62:C64">
    <cfRule type="cellIs" dxfId="2" priority="461" operator="notEqual">
      <formula>0</formula>
    </cfRule>
  </conditionalFormatting>
  <conditionalFormatting sqref="C66:C68">
    <cfRule type="cellIs" dxfId="2" priority="462" operator="notEqual">
      <formula>0</formula>
    </cfRule>
  </conditionalFormatting>
  <conditionalFormatting sqref="C70:C72">
    <cfRule type="cellIs" dxfId="2" priority="463" operator="notEqual">
      <formula>0</formula>
    </cfRule>
  </conditionalFormatting>
  <conditionalFormatting sqref="C74:C76">
    <cfRule type="cellIs" dxfId="2" priority="464" operator="notEqual">
      <formula>0</formula>
    </cfRule>
  </conditionalFormatting>
  <conditionalFormatting sqref="C78:C80">
    <cfRule type="cellIs" dxfId="2" priority="465" operator="notEqual">
      <formula>0</formula>
    </cfRule>
  </conditionalFormatting>
  <conditionalFormatting sqref="C82:C84">
    <cfRule type="cellIs" dxfId="2" priority="466" operator="notEqual">
      <formula>0</formula>
    </cfRule>
  </conditionalFormatting>
  <conditionalFormatting sqref="C86:C88">
    <cfRule type="cellIs" dxfId="2" priority="467" operator="notEqual">
      <formula>0</formula>
    </cfRule>
  </conditionalFormatting>
  <conditionalFormatting sqref="C90:C92">
    <cfRule type="cellIs" dxfId="2" priority="468" operator="notEqual">
      <formula>0</formula>
    </cfRule>
  </conditionalFormatting>
  <conditionalFormatting sqref="C94:C96">
    <cfRule type="cellIs" dxfId="2" priority="469" operator="notEqual">
      <formula>0</formula>
    </cfRule>
  </conditionalFormatting>
  <conditionalFormatting sqref="D7:D9">
    <cfRule type="cellIs" dxfId="22" priority="394" operator="equal">
      <formula>""</formula>
    </cfRule>
    <cfRule type="cellIs" dxfId="22" priority="395" operator="greaterThan">
      <formula>TODAY()</formula>
    </cfRule>
    <cfRule type="expression" dxfId="14" priority="405">
      <formula>AND(D7&lt;TODAY(),E7="")</formula>
    </cfRule>
    <cfRule type="expression" dxfId="13" priority="406">
      <formula>E7&lt;TODAY()</formula>
    </cfRule>
    <cfRule type="expression" dxfId="14" priority="407">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401" operator="equal">
      <formula>0</formula>
    </cfRule>
    <cfRule type="cellIs" dxfId="29" priority="402" operator="lessThan">
      <formula>D7</formula>
    </cfRule>
    <cfRule type="expression" dxfId="13" priority="403">
      <formula>E7&lt;TODAY()</formula>
    </cfRule>
    <cfRule type="expression" dxfId="14" priority="404">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517" operator="notEqual">
      <formula>0</formula>
    </cfRule>
    <cfRule type="expression" dxfId="28" priority="518">
      <formula>COUNTA(H7)&lt;&gt;0</formula>
    </cfRule>
  </conditionalFormatting>
  <conditionalFormatting sqref="G11:G13">
    <cfRule type="cellIs" dxfId="27" priority="511" operator="notEqual">
      <formula>0</formula>
    </cfRule>
    <cfRule type="expression" dxfId="28" priority="512">
      <formula>COUNTA(H11)&lt;&gt;0</formula>
    </cfRule>
  </conditionalFormatting>
  <conditionalFormatting sqref="G15:G17">
    <cfRule type="cellIs" dxfId="27" priority="509" operator="notEqual">
      <formula>0</formula>
    </cfRule>
    <cfRule type="expression" dxfId="28" priority="510">
      <formula>COUNTA(H15)&lt;&gt;0</formula>
    </cfRule>
  </conditionalFormatting>
  <conditionalFormatting sqref="G19:G21">
    <cfRule type="cellIs" dxfId="27" priority="503" operator="notEqual">
      <formula>0</formula>
    </cfRule>
    <cfRule type="expression" dxfId="28" priority="504">
      <formula>COUNTA(H19)&lt;&gt;0</formula>
    </cfRule>
  </conditionalFormatting>
  <conditionalFormatting sqref="G23:G25">
    <cfRule type="cellIs" dxfId="27" priority="501" operator="notEqual">
      <formula>0</formula>
    </cfRule>
    <cfRule type="expression" dxfId="28" priority="502">
      <formula>COUNTA(H23)&lt;&gt;0</formula>
    </cfRule>
  </conditionalFormatting>
  <conditionalFormatting sqref="G35:G37">
    <cfRule type="cellIs" dxfId="27" priority="491" operator="notEqual">
      <formula>0</formula>
    </cfRule>
    <cfRule type="expression" dxfId="28" priority="492">
      <formula>COUNTA(H35)&lt;&gt;0</formula>
    </cfRule>
  </conditionalFormatting>
  <conditionalFormatting sqref="G39:G41">
    <cfRule type="cellIs" dxfId="27" priority="489" operator="notEqual">
      <formula>0</formula>
    </cfRule>
    <cfRule type="expression" dxfId="28" priority="490">
      <formula>COUNTA(H39)&lt;&gt;0</formula>
    </cfRule>
  </conditionalFormatting>
  <conditionalFormatting sqref="G43:G45">
    <cfRule type="cellIs" dxfId="27" priority="483" operator="notEqual">
      <formula>0</formula>
    </cfRule>
    <cfRule type="expression" dxfId="28" priority="484">
      <formula>COUNTA(H43)&lt;&gt;0</formula>
    </cfRule>
  </conditionalFormatting>
  <conditionalFormatting sqref="G47:G49">
    <cfRule type="cellIs" dxfId="27" priority="481" operator="notEqual">
      <formula>0</formula>
    </cfRule>
    <cfRule type="expression" dxfId="28" priority="482">
      <formula>COUNTA(H47)&lt;&gt;0</formula>
    </cfRule>
  </conditionalFormatting>
  <conditionalFormatting sqref="G54:G56">
    <cfRule type="cellIs" dxfId="27" priority="457" operator="notEqual">
      <formula>0</formula>
    </cfRule>
    <cfRule type="expression" dxfId="28" priority="458">
      <formula>COUNTA(H54)&lt;&gt;0</formula>
    </cfRule>
  </conditionalFormatting>
  <conditionalFormatting sqref="G58:G60">
    <cfRule type="cellIs" dxfId="27" priority="451" operator="notEqual">
      <formula>0</formula>
    </cfRule>
    <cfRule type="expression" dxfId="28" priority="452">
      <formula>COUNTA(H58)&lt;&gt;0</formula>
    </cfRule>
  </conditionalFormatting>
  <conditionalFormatting sqref="G62:G64">
    <cfRule type="cellIs" dxfId="27" priority="449" operator="notEqual">
      <formula>0</formula>
    </cfRule>
    <cfRule type="expression" dxfId="28" priority="450">
      <formula>COUNTA(H62)&lt;&gt;0</formula>
    </cfRule>
  </conditionalFormatting>
  <conditionalFormatting sqref="G66:G68">
    <cfRule type="cellIs" dxfId="27" priority="443" operator="notEqual">
      <formula>0</formula>
    </cfRule>
    <cfRule type="expression" dxfId="28" priority="444">
      <formula>COUNTA(H66)&lt;&gt;0</formula>
    </cfRule>
  </conditionalFormatting>
  <conditionalFormatting sqref="G70:G72">
    <cfRule type="cellIs" dxfId="27" priority="441" operator="notEqual">
      <formula>0</formula>
    </cfRule>
    <cfRule type="expression" dxfId="28" priority="442">
      <formula>COUNTA(H70)&lt;&gt;0</formula>
    </cfRule>
  </conditionalFormatting>
  <conditionalFormatting sqref="G82:G84">
    <cfRule type="cellIs" dxfId="27" priority="431" operator="notEqual">
      <formula>0</formula>
    </cfRule>
    <cfRule type="expression" dxfId="28" priority="432">
      <formula>COUNTA(H82)&lt;&gt;0</formula>
    </cfRule>
  </conditionalFormatting>
  <conditionalFormatting sqref="G86:G88">
    <cfRule type="cellIs" dxfId="27" priority="429" operator="notEqual">
      <formula>0</formula>
    </cfRule>
    <cfRule type="expression" dxfId="28" priority="430">
      <formula>COUNTA(H86)&lt;&gt;0</formula>
    </cfRule>
  </conditionalFormatting>
  <conditionalFormatting sqref="G90:G92">
    <cfRule type="cellIs" dxfId="27" priority="423" operator="notEqual">
      <formula>0</formula>
    </cfRule>
    <cfRule type="expression" dxfId="28" priority="424">
      <formula>COUNTA(H90)&lt;&gt;0</formula>
    </cfRule>
  </conditionalFormatting>
  <conditionalFormatting sqref="G94:G96">
    <cfRule type="cellIs" dxfId="27" priority="421" operator="notEqual">
      <formula>0</formula>
    </cfRule>
    <cfRule type="expression" dxfId="28" priority="422">
      <formula>COUNTA(H94)&lt;&gt;0</formula>
    </cfRule>
  </conditionalFormatting>
  <conditionalFormatting sqref="H7:H9">
    <cfRule type="cellIs" dxfId="2" priority="470" operator="notEqual">
      <formula>0</formula>
    </cfRule>
  </conditionalFormatting>
  <conditionalFormatting sqref="H11:H13">
    <cfRule type="cellIs" dxfId="2" priority="471" operator="notEqual">
      <formula>0</formula>
    </cfRule>
  </conditionalFormatting>
  <conditionalFormatting sqref="H15:H17">
    <cfRule type="cellIs" dxfId="2" priority="472" operator="notEqual">
      <formula>0</formula>
    </cfRule>
  </conditionalFormatting>
  <conditionalFormatting sqref="H19:H21">
    <cfRule type="cellIs" dxfId="2" priority="473" operator="notEqual">
      <formula>0</formula>
    </cfRule>
  </conditionalFormatting>
  <conditionalFormatting sqref="H23:H25">
    <cfRule type="cellIs" dxfId="2" priority="474" operator="notEqual">
      <formula>0</formula>
    </cfRule>
  </conditionalFormatting>
  <conditionalFormatting sqref="H35:H37">
    <cfRule type="cellIs" dxfId="2" priority="475" operator="notEqual">
      <formula>0</formula>
    </cfRule>
  </conditionalFormatting>
  <conditionalFormatting sqref="H39:H41">
    <cfRule type="cellIs" dxfId="2" priority="476" operator="notEqual">
      <formula>0</formula>
    </cfRule>
  </conditionalFormatting>
  <conditionalFormatting sqref="H43:H45">
    <cfRule type="cellIs" dxfId="2" priority="477" operator="notEqual">
      <formula>0</formula>
    </cfRule>
  </conditionalFormatting>
  <conditionalFormatting sqref="H47:H49">
    <cfRule type="cellIs" dxfId="2" priority="478" operator="notEqual">
      <formula>0</formula>
    </cfRule>
  </conditionalFormatting>
  <conditionalFormatting sqref="H54:H56">
    <cfRule type="cellIs" dxfId="2" priority="410" operator="notEqual">
      <formula>0</formula>
    </cfRule>
  </conditionalFormatting>
  <conditionalFormatting sqref="H58:H60">
    <cfRule type="cellIs" dxfId="2" priority="411" operator="notEqual">
      <formula>0</formula>
    </cfRule>
  </conditionalFormatting>
  <conditionalFormatting sqref="H62:H64">
    <cfRule type="cellIs" dxfId="2" priority="412" operator="notEqual">
      <formula>0</formula>
    </cfRule>
  </conditionalFormatting>
  <conditionalFormatting sqref="H66:H68">
    <cfRule type="cellIs" dxfId="2" priority="413" operator="notEqual">
      <formula>0</formula>
    </cfRule>
  </conditionalFormatting>
  <conditionalFormatting sqref="H70:H72">
    <cfRule type="cellIs" dxfId="2" priority="414" operator="notEqual">
      <formula>0</formula>
    </cfRule>
  </conditionalFormatting>
  <conditionalFormatting sqref="H82:H84">
    <cfRule type="cellIs" dxfId="2" priority="415" operator="notEqual">
      <formula>0</formula>
    </cfRule>
  </conditionalFormatting>
  <conditionalFormatting sqref="H86:H88">
    <cfRule type="cellIs" dxfId="2" priority="416" operator="notEqual">
      <formula>0</formula>
    </cfRule>
  </conditionalFormatting>
  <conditionalFormatting sqref="H90:H92">
    <cfRule type="cellIs" dxfId="2" priority="417" operator="notEqual">
      <formula>0</formula>
    </cfRule>
  </conditionalFormatting>
  <conditionalFormatting sqref="H94:H96">
    <cfRule type="cellIs" dxfId="2" priority="418"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533" operator="equal">
      <formula>L6</formula>
    </cfRule>
  </conditionalFormatting>
  <conditionalFormatting sqref="M$1:M$1048576">
    <cfRule type="cellIs" dxfId="12" priority="530" operator="equal">
      <formula>0</formula>
    </cfRule>
  </conditionalFormatting>
  <conditionalFormatting sqref="U6:U125">
    <cfRule type="cellIs" dxfId="12" priority="531" operator="equal">
      <formula>0</formula>
    </cfRule>
  </conditionalFormatting>
  <conditionalFormatting sqref="X6:X125">
    <cfRule type="expression" dxfId="13" priority="399">
      <formula>Y6&lt;TODAY()</formula>
    </cfRule>
    <cfRule type="expression" dxfId="14" priority="400">
      <formula>X6&lt;TODAY()</formula>
    </cfRule>
  </conditionalFormatting>
  <conditionalFormatting sqref="Y6:Y125">
    <cfRule type="expression" dxfId="15" priority="393">
      <formula>AND(Y6&lt;X6,X6&lt;&gt;"")</formula>
    </cfRule>
    <cfRule type="expression" dxfId="13" priority="396">
      <formula>Y6&lt;TODAY()</formula>
    </cfRule>
    <cfRule type="expression" dxfId="14" priority="397">
      <formula>AND(Y6&gt;TODAY(),X6="")</formula>
    </cfRule>
    <cfRule type="expression" dxfId="14" priority="398">
      <formula>X6&lt;TODAY()</formula>
    </cfRule>
  </conditionalFormatting>
  <conditionalFormatting sqref="AB6:AB125">
    <cfRule type="cellIs" dxfId="30" priority="409"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392" operator="equal">
      <formula>""</formula>
    </cfRule>
  </conditionalFormatting>
  <conditionalFormatting sqref="D8:E9">
    <cfRule type="cellIs" dxfId="2" priority="408"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zoomScale="70" zoomScaleNormal="70" workbookViewId="0">
      <pane ySplit="5" topLeftCell="A55" activePane="bottomLeft" state="frozen"/>
      <selection/>
      <selection pane="bottomLeft" activeCell="B51" sqref="B51:J96"/>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71.4272727272727"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7516</v>
      </c>
      <c r="D4" s="44"/>
      <c r="E4" s="44"/>
      <c r="F4" s="44"/>
      <c r="G4" s="44"/>
      <c r="H4" s="44"/>
      <c r="I4" s="44"/>
      <c r="J4" s="75"/>
      <c r="L4" s="73"/>
      <c r="M4" s="73">
        <f>Q4+R4*2+S4*3</f>
        <v>111</v>
      </c>
      <c r="N4" s="76"/>
      <c r="O4" s="73"/>
      <c r="P4" s="73">
        <f>SUM(Q4:S4)</f>
        <v>40</v>
      </c>
      <c r="Q4" s="96">
        <f>COUNTIFS(Q6:T125,"=Single")</f>
        <v>0</v>
      </c>
      <c r="R4" s="96">
        <f>COUNTIFS(Q6:T125,"=Double")</f>
        <v>9</v>
      </c>
      <c r="S4" s="96">
        <f>COUNTIFS(Q6:T125,"=Triple")</f>
        <v>31</v>
      </c>
      <c r="T4" s="96">
        <f>COUNTIFS(Q6:T125,"=Empty")</f>
        <v>0</v>
      </c>
      <c r="U4" s="73">
        <f>COUNTIFS(V6:W125,"=1")</f>
        <v>0</v>
      </c>
      <c r="V4" s="73">
        <f>COUNTIFS(V6:W125,"=2")</f>
        <v>9</v>
      </c>
      <c r="W4" s="73">
        <f>COUNTIFS(V6:W125,"=3")</f>
        <v>31</v>
      </c>
      <c r="X4" s="97"/>
      <c r="Y4" s="97"/>
      <c r="Z4" s="115">
        <f>COUNTA(Z6:Z130)</f>
        <v>113</v>
      </c>
      <c r="AA4" s="115">
        <f>COUNTA(AA6:AA130)-SUM(COUNTIF(AA6:AA130,{"#N/A"}))</f>
        <v>0</v>
      </c>
      <c r="AB4" s="116"/>
    </row>
    <row r="5" ht="15.25" spans="2:28">
      <c r="B5" s="45" t="s">
        <v>7427</v>
      </c>
      <c r="C5" s="45"/>
      <c r="D5" s="45"/>
      <c r="E5" s="45"/>
      <c r="G5" s="45" t="s">
        <v>7427</v>
      </c>
      <c r="H5" s="45"/>
      <c r="I5" s="45"/>
      <c r="J5" s="45"/>
      <c r="L5" s="77"/>
      <c r="M5" s="78"/>
      <c r="N5" s="77"/>
      <c r="O5" s="77"/>
      <c r="P5" s="77"/>
      <c r="Q5" s="96"/>
      <c r="R5" s="96"/>
      <c r="S5" s="96"/>
      <c r="T5" s="96"/>
      <c r="U5" s="98">
        <f>SUM(V6:W125)</f>
        <v>111</v>
      </c>
      <c r="V5" s="73" t="s">
        <v>7428</v>
      </c>
      <c r="W5" s="98">
        <f>U4+V4+W4</f>
        <v>40</v>
      </c>
      <c r="X5" s="99"/>
      <c r="Y5" s="99"/>
      <c r="Z5" s="117"/>
      <c r="AA5" s="118"/>
      <c r="AB5" s="119"/>
    </row>
    <row r="6" spans="2:28">
      <c r="B6" s="46">
        <v>101</v>
      </c>
      <c r="C6" s="47"/>
      <c r="D6" s="48" t="s">
        <v>6580</v>
      </c>
      <c r="E6" s="49" t="s">
        <v>6581</v>
      </c>
      <c r="G6" s="46">
        <v>120</v>
      </c>
      <c r="H6" s="47"/>
      <c r="I6" s="48" t="s">
        <v>6580</v>
      </c>
      <c r="J6" s="49" t="s">
        <v>6581</v>
      </c>
      <c r="L6" s="6">
        <f>COUNTA(B7)</f>
        <v>1</v>
      </c>
      <c r="M6" s="79" t="str">
        <f>C7</f>
        <v>52303 Agnes </v>
      </c>
      <c r="N6" s="80" t="s">
        <v>7430</v>
      </c>
      <c r="O6" s="81">
        <v>30</v>
      </c>
      <c r="P6" s="81">
        <v>101</v>
      </c>
      <c r="Q6" s="81" t="str">
        <f>_xlfn.IFS(COUNTA(B7:B9)=1,"Single",COUNTA(B7:B9)=2,"Double",COUNTA(B7:B9)=3,"Triple",COUNTA(B7:B9)=0,"Empty")</f>
        <v>Double</v>
      </c>
      <c r="R6" s="81"/>
      <c r="S6" s="81"/>
      <c r="T6" s="81"/>
      <c r="U6" s="81">
        <f>B7</f>
        <v>1</v>
      </c>
      <c r="V6" s="100">
        <f>COUNT(B7:B9)</f>
        <v>2</v>
      </c>
      <c r="W6" s="101"/>
      <c r="X6" s="102" t="str">
        <f>IF(D7=0,"",D7)</f>
        <v/>
      </c>
      <c r="Y6" s="108" t="str">
        <f t="shared" ref="X6:Y8" si="0">IF(E7=0,"",E7)</f>
        <v/>
      </c>
      <c r="Z6" s="120" t="s">
        <v>7018</v>
      </c>
      <c r="AA6" s="121" t="e">
        <f>VLOOKUP($M:$M,Data!$I:$J,2,FALSE)</f>
        <v>#N/A</v>
      </c>
      <c r="AB6" s="122"/>
    </row>
    <row r="7" spans="2:28">
      <c r="B7" s="50">
        <v>1</v>
      </c>
      <c r="C7" s="51" t="str">
        <f>VLOOKUP("30/101/1",Data!$A$2:$E$1425,3,FALSE)</f>
        <v>52303 Agnes </v>
      </c>
      <c r="D7" s="52"/>
      <c r="E7" s="53"/>
      <c r="G7" s="50">
        <v>1</v>
      </c>
      <c r="H7" s="51" t="str">
        <f>VLOOKUP("30/120/1",Data!$A$2:$E$1425,3,FALSE)</f>
        <v>52001 Filip </v>
      </c>
      <c r="I7" s="52"/>
      <c r="J7" s="53"/>
      <c r="L7" s="9">
        <f>COUNTA(B8)+L6</f>
        <v>2</v>
      </c>
      <c r="M7" s="31" t="str">
        <f>C8</f>
        <v>52103 Siri </v>
      </c>
      <c r="N7" s="82" t="s">
        <v>7430</v>
      </c>
      <c r="O7" s="36">
        <v>30</v>
      </c>
      <c r="P7" s="36">
        <v>101</v>
      </c>
      <c r="Q7" s="36"/>
      <c r="R7" s="36"/>
      <c r="S7" s="36"/>
      <c r="T7" s="36"/>
      <c r="U7" s="36">
        <f>B8</f>
        <v>2</v>
      </c>
      <c r="V7" s="103"/>
      <c r="W7" s="104"/>
      <c r="X7" s="52" t="str">
        <f t="shared" si="0"/>
        <v/>
      </c>
      <c r="Y7" s="109" t="str">
        <f t="shared" si="0"/>
        <v/>
      </c>
      <c r="Z7" s="317" t="s">
        <v>7517</v>
      </c>
      <c r="AA7" s="124" t="e">
        <f>VLOOKUP($M:$M,Data!$I:$J,2,FALSE)</f>
        <v>#N/A</v>
      </c>
      <c r="AB7" s="125"/>
    </row>
    <row r="8" ht="15.25" spans="2:28">
      <c r="B8" s="50">
        <v>2</v>
      </c>
      <c r="C8" s="51" t="str">
        <f>VLOOKUP("30/101/2",Data!$A$2:$E$1425,3,FALSE)</f>
        <v>52103 Siri </v>
      </c>
      <c r="D8" s="54"/>
      <c r="E8" s="55"/>
      <c r="G8" s="50">
        <v>2</v>
      </c>
      <c r="H8" s="51">
        <f>VLOOKUP("30/120/2",Data!$A$2:$E$1425,3,FALSE)</f>
        <v>0</v>
      </c>
      <c r="I8" s="54"/>
      <c r="J8" s="55"/>
      <c r="L8" s="14">
        <f>COUNTA(B9)+L7</f>
        <v>2</v>
      </c>
      <c r="M8" s="83">
        <f>C9</f>
        <v>0</v>
      </c>
      <c r="N8" s="84" t="s">
        <v>7430</v>
      </c>
      <c r="O8" s="85">
        <v>30</v>
      </c>
      <c r="P8" s="85">
        <v>101</v>
      </c>
      <c r="Q8" s="85"/>
      <c r="R8" s="85"/>
      <c r="S8" s="85"/>
      <c r="T8" s="85"/>
      <c r="U8" s="85">
        <f>B9</f>
        <v>0</v>
      </c>
      <c r="V8" s="105"/>
      <c r="W8" s="106"/>
      <c r="X8" s="107" t="str">
        <f t="shared" si="0"/>
        <v/>
      </c>
      <c r="Y8" s="111" t="str">
        <f t="shared" si="0"/>
        <v/>
      </c>
      <c r="Z8" s="123"/>
      <c r="AA8" s="124" t="e">
        <f>VLOOKUP($M:$M,Data!$I:$J,2,FALSE)</f>
        <v>#N/A</v>
      </c>
      <c r="AB8" s="126"/>
    </row>
    <row r="9" ht="15.25" spans="2:28">
      <c r="B9" s="50"/>
      <c r="C9" s="51">
        <f>VLOOKUP("30/101/3",Data!$A$2:$E$1425,3,FALSE)</f>
        <v>0</v>
      </c>
      <c r="D9" s="56"/>
      <c r="E9" s="57"/>
      <c r="G9" s="58"/>
      <c r="H9" s="59">
        <f>VLOOKUP("30/120/3",Data!$A$2:$E$1425,3,FALSE)</f>
        <v>0</v>
      </c>
      <c r="I9" s="56"/>
      <c r="J9" s="57"/>
      <c r="L9" s="6">
        <f>COUNTA(B11)+L8</f>
        <v>3</v>
      </c>
      <c r="M9" s="79" t="str">
        <f>C11</f>
        <v>52313 Simon </v>
      </c>
      <c r="N9" s="80" t="s">
        <v>7430</v>
      </c>
      <c r="O9" s="81">
        <v>30</v>
      </c>
      <c r="P9" s="81">
        <v>102</v>
      </c>
      <c r="Q9" s="62" t="str">
        <f>_xlfn.IFS(COUNTA(B11:B13)=1,"Single",COUNTA(B11:B13)=2,"Double",COUNTA(B11:B13)=3,"Triple",COUNTA(B11:B13)=0,"Empty")</f>
        <v>Triple</v>
      </c>
      <c r="R9" s="62"/>
      <c r="S9" s="62"/>
      <c r="T9" s="62"/>
      <c r="U9" s="81">
        <f>B11</f>
        <v>1</v>
      </c>
      <c r="V9" s="100">
        <f>COUNT(B11:B13)</f>
        <v>3</v>
      </c>
      <c r="W9" s="101"/>
      <c r="X9" s="108" t="str">
        <f t="shared" ref="X9:Y11" si="1">IF(D11=0,"",D11)</f>
        <v/>
      </c>
      <c r="Y9" s="108" t="str">
        <f t="shared" si="1"/>
        <v/>
      </c>
      <c r="Z9" s="120" t="s">
        <v>7047</v>
      </c>
      <c r="AA9" s="121" t="e">
        <f>VLOOKUP($M:$M,Data!$I:$J,2,FALSE)</f>
        <v>#N/A</v>
      </c>
      <c r="AB9" s="122"/>
    </row>
    <row r="10" spans="2:28">
      <c r="B10" s="60">
        <v>102</v>
      </c>
      <c r="C10" s="61"/>
      <c r="D10" s="62" t="s">
        <v>6580</v>
      </c>
      <c r="E10" s="8" t="s">
        <v>6581</v>
      </c>
      <c r="G10" s="46">
        <v>119</v>
      </c>
      <c r="H10" s="47"/>
      <c r="I10" s="48" t="s">
        <v>6580</v>
      </c>
      <c r="J10" s="49" t="s">
        <v>6581</v>
      </c>
      <c r="L10" s="9">
        <f>COUNTA(B12)+L9</f>
        <v>4</v>
      </c>
      <c r="M10" s="31" t="str">
        <f>C12</f>
        <v>52312 Oliver </v>
      </c>
      <c r="N10" s="82" t="s">
        <v>7430</v>
      </c>
      <c r="O10" s="36">
        <v>30</v>
      </c>
      <c r="P10" s="36">
        <v>102</v>
      </c>
      <c r="Q10" s="32"/>
      <c r="R10" s="32"/>
      <c r="S10" s="32"/>
      <c r="T10" s="32"/>
      <c r="U10" s="36">
        <f>B12</f>
        <v>2</v>
      </c>
      <c r="V10" s="103"/>
      <c r="W10" s="104"/>
      <c r="X10" s="109" t="str">
        <f t="shared" si="1"/>
        <v/>
      </c>
      <c r="Y10" s="109" t="str">
        <f t="shared" si="1"/>
        <v/>
      </c>
      <c r="Z10" s="123" t="s">
        <v>7518</v>
      </c>
      <c r="AA10" s="124" t="e">
        <f>VLOOKUP($M:$M,Data!$I:$J,2,FALSE)</f>
        <v>#N/A</v>
      </c>
      <c r="AB10" s="125"/>
    </row>
    <row r="11" ht="15.25" spans="2:28">
      <c r="B11" s="50">
        <v>1</v>
      </c>
      <c r="C11" s="51" t="str">
        <f>VLOOKUP("30/102/1",Data!$A$2:$E$1425,3,FALSE)</f>
        <v>52313 Simon </v>
      </c>
      <c r="D11" s="52"/>
      <c r="E11" s="53"/>
      <c r="G11" s="50">
        <v>1</v>
      </c>
      <c r="H11" s="51" t="str">
        <f>VLOOKUP("30/119/1",Data!$A$2:$E$1425,3,FALSE)</f>
        <v>52002 Felix </v>
      </c>
      <c r="I11" s="52"/>
      <c r="J11" s="53"/>
      <c r="L11" s="14">
        <f>COUNTA(B13)+L10</f>
        <v>5</v>
      </c>
      <c r="M11" s="83">
        <f>C13</f>
        <v>0</v>
      </c>
      <c r="N11" s="84" t="s">
        <v>7430</v>
      </c>
      <c r="O11" s="85">
        <v>30</v>
      </c>
      <c r="P11" s="85">
        <v>102</v>
      </c>
      <c r="Q11" s="110"/>
      <c r="R11" s="110"/>
      <c r="S11" s="110"/>
      <c r="T11" s="110"/>
      <c r="U11" s="85">
        <f>B13</f>
        <v>3</v>
      </c>
      <c r="V11" s="105"/>
      <c r="W11" s="106"/>
      <c r="X11" s="111" t="str">
        <f t="shared" si="1"/>
        <v/>
      </c>
      <c r="Y11" s="111" t="str">
        <f t="shared" si="1"/>
        <v/>
      </c>
      <c r="Z11" s="127" t="s">
        <v>6630</v>
      </c>
      <c r="AA11" s="128" t="e">
        <f>VLOOKUP($M:$M,Data!$I:$J,2,FALSE)</f>
        <v>#N/A</v>
      </c>
      <c r="AB11" s="126"/>
    </row>
    <row r="12" spans="2:28">
      <c r="B12" s="50">
        <v>2</v>
      </c>
      <c r="C12" s="51" t="str">
        <f>VLOOKUP("30/102/2",Data!$A$2:$E$1425,3,FALSE)</f>
        <v>52312 Oliver </v>
      </c>
      <c r="D12" s="54"/>
      <c r="E12" s="55"/>
      <c r="G12" s="50">
        <v>2</v>
      </c>
      <c r="H12" s="51">
        <f>VLOOKUP("30/119/2",Data!$A$2:$E$1425,3,FALSE)</f>
        <v>0</v>
      </c>
      <c r="I12" s="54"/>
      <c r="J12" s="55"/>
      <c r="L12" s="6">
        <f>COUNTA(B15)+L11</f>
        <v>6</v>
      </c>
      <c r="M12" s="79" t="str">
        <f>C15</f>
        <v>52308 Wiktor</v>
      </c>
      <c r="N12" s="80" t="s">
        <v>7430</v>
      </c>
      <c r="O12" s="81">
        <v>30</v>
      </c>
      <c r="P12" s="81">
        <v>103</v>
      </c>
      <c r="Q12" s="62" t="str">
        <f>_xlfn.IFS(COUNTA(B15:B17)=1,"Single",COUNTA(B15:B17)=2,"Double",COUNTA(B15:B17)=3,"Triple",COUNTA(B15:B17)=0,"Empty")</f>
        <v>Triple</v>
      </c>
      <c r="R12" s="62"/>
      <c r="S12" s="62"/>
      <c r="T12" s="62"/>
      <c r="U12" s="81">
        <f>B15</f>
        <v>1</v>
      </c>
      <c r="V12" s="100">
        <f>COUNT(B15:B17)</f>
        <v>3</v>
      </c>
      <c r="W12" s="101"/>
      <c r="X12" s="108" t="str">
        <f t="shared" ref="X12:Y14" si="2">IF(D15=0,"",D15)</f>
        <v/>
      </c>
      <c r="Y12" s="108" t="str">
        <f t="shared" si="2"/>
        <v/>
      </c>
      <c r="Z12" s="120" t="s">
        <v>7519</v>
      </c>
      <c r="AA12" s="121" t="e">
        <f>VLOOKUP($M:$M,Data!$I:$J,2,FALSE)</f>
        <v>#N/A</v>
      </c>
      <c r="AB12" s="122"/>
    </row>
    <row r="13" ht="15.25" spans="2:28">
      <c r="B13" s="58">
        <v>3</v>
      </c>
      <c r="C13" s="59">
        <f>VLOOKUP("30/102/3",Data!$A$2:$E$1425,3,FALSE)</f>
        <v>0</v>
      </c>
      <c r="D13" s="56"/>
      <c r="E13" s="57"/>
      <c r="G13" s="58"/>
      <c r="H13" s="59">
        <f>VLOOKUP("30/119/3",Data!$A$2:$E$1425,3,FALSE)</f>
        <v>0</v>
      </c>
      <c r="I13" s="56"/>
      <c r="J13" s="57"/>
      <c r="L13" s="9">
        <f>COUNTA(B16)+L12</f>
        <v>7</v>
      </c>
      <c r="M13" s="31" t="str">
        <f>C16</f>
        <v>52310 Erik </v>
      </c>
      <c r="N13" s="82" t="s">
        <v>7430</v>
      </c>
      <c r="O13" s="36">
        <v>30</v>
      </c>
      <c r="P13" s="36">
        <v>103</v>
      </c>
      <c r="Q13" s="32"/>
      <c r="R13" s="32"/>
      <c r="S13" s="32"/>
      <c r="T13" s="32"/>
      <c r="U13" s="36">
        <f>B16</f>
        <v>2</v>
      </c>
      <c r="V13" s="103"/>
      <c r="W13" s="104"/>
      <c r="X13" s="109" t="str">
        <f t="shared" si="2"/>
        <v/>
      </c>
      <c r="Y13" s="109" t="str">
        <f t="shared" si="2"/>
        <v/>
      </c>
      <c r="Z13" s="123" t="s">
        <v>7520</v>
      </c>
      <c r="AA13" s="124" t="e">
        <f>VLOOKUP($M:$M,Data!$I:$J,2,FALSE)</f>
        <v>#N/A</v>
      </c>
      <c r="AB13" s="125"/>
    </row>
    <row r="14" ht="15.25" spans="2:28">
      <c r="B14" s="63">
        <v>103</v>
      </c>
      <c r="C14" s="64"/>
      <c r="D14" s="65" t="s">
        <v>6580</v>
      </c>
      <c r="E14" s="66" t="s">
        <v>6581</v>
      </c>
      <c r="G14" s="46">
        <v>118</v>
      </c>
      <c r="H14" s="47"/>
      <c r="I14" s="48" t="s">
        <v>6580</v>
      </c>
      <c r="J14" s="49" t="s">
        <v>6581</v>
      </c>
      <c r="L14" s="14">
        <f>COUNTA(B17)+L13</f>
        <v>8</v>
      </c>
      <c r="M14" s="83">
        <f>C17</f>
        <v>0</v>
      </c>
      <c r="N14" s="84" t="s">
        <v>7430</v>
      </c>
      <c r="O14" s="85">
        <v>30</v>
      </c>
      <c r="P14" s="85">
        <v>103</v>
      </c>
      <c r="Q14" s="110"/>
      <c r="R14" s="110"/>
      <c r="S14" s="110"/>
      <c r="T14" s="110"/>
      <c r="U14" s="85">
        <f>B17</f>
        <v>3</v>
      </c>
      <c r="V14" s="105"/>
      <c r="W14" s="106"/>
      <c r="X14" s="111" t="str">
        <f t="shared" si="2"/>
        <v/>
      </c>
      <c r="Y14" s="111" t="str">
        <f t="shared" si="2"/>
        <v/>
      </c>
      <c r="Z14" s="127" t="s">
        <v>7521</v>
      </c>
      <c r="AA14" s="128" t="e">
        <f>VLOOKUP($M:$M,Data!$I:$J,2,FALSE)</f>
        <v>#N/A</v>
      </c>
      <c r="AB14" s="126"/>
    </row>
    <row r="15" spans="2:28">
      <c r="B15" s="50">
        <v>1</v>
      </c>
      <c r="C15" s="51" t="str">
        <f>VLOOKUP("30/103/1",Data!$A$2:$E$1425,3,FALSE)</f>
        <v>52308 Wiktor</v>
      </c>
      <c r="D15" s="52"/>
      <c r="E15" s="53"/>
      <c r="G15" s="50">
        <v>1</v>
      </c>
      <c r="H15" s="51" t="str">
        <f>VLOOKUP("30/118/1",Data!$A$2:$E$1425,3,FALSE)</f>
        <v>Karlsson</v>
      </c>
      <c r="I15" s="52"/>
      <c r="J15" s="53"/>
      <c r="L15" s="6">
        <f>COUNTA(B19)+L14</f>
        <v>9</v>
      </c>
      <c r="M15" s="79" t="str">
        <f>C19</f>
        <v>52311 August </v>
      </c>
      <c r="N15" s="80" t="s">
        <v>7430</v>
      </c>
      <c r="O15" s="81">
        <v>30</v>
      </c>
      <c r="P15" s="81">
        <v>104</v>
      </c>
      <c r="Q15" s="62" t="str">
        <f>_xlfn.IFS(COUNTA(B19:B21)=1,"Single",COUNTA(B19:B21)=2,"Double",COUNTA(B19:B21)=3,"Triple",COUNTA(B19:B21)=0,"Empty")</f>
        <v>Triple</v>
      </c>
      <c r="R15" s="62"/>
      <c r="S15" s="62"/>
      <c r="T15" s="62"/>
      <c r="U15" s="81">
        <f>B19</f>
        <v>1</v>
      </c>
      <c r="V15" s="100">
        <f>COUNT(B19:B21)</f>
        <v>3</v>
      </c>
      <c r="W15" s="101"/>
      <c r="X15" s="108" t="str">
        <f>IF(D19=0,"",D19)</f>
        <v/>
      </c>
      <c r="Y15" s="108" t="str">
        <f>IF(E19=0,"",E19)</f>
        <v/>
      </c>
      <c r="Z15" s="120" t="s">
        <v>7522</v>
      </c>
      <c r="AA15" s="121" t="e">
        <f>VLOOKUP($M:$M,Data!$I:$J,2,FALSE)</f>
        <v>#N/A</v>
      </c>
      <c r="AB15" s="122"/>
    </row>
    <row r="16" spans="2:28">
      <c r="B16" s="50">
        <v>2</v>
      </c>
      <c r="C16" s="51" t="str">
        <f>VLOOKUP("30/103/2",Data!$A$2:$E$1425,3,FALSE)</f>
        <v>52310 Erik </v>
      </c>
      <c r="D16" s="54"/>
      <c r="E16" s="55"/>
      <c r="G16" s="50">
        <v>2</v>
      </c>
      <c r="H16" s="51" t="str">
        <f>VLOOKUP("30/118/2",Data!$A$2:$E$1425,3,FALSE)</f>
        <v>Nordkvist</v>
      </c>
      <c r="I16" s="54"/>
      <c r="J16" s="55"/>
      <c r="L16" s="9">
        <f>COUNTA(B20)+L15</f>
        <v>10</v>
      </c>
      <c r="M16" s="31" t="str">
        <f>C20</f>
        <v>52105 Elias </v>
      </c>
      <c r="N16" s="82" t="s">
        <v>7430</v>
      </c>
      <c r="O16" s="36">
        <v>30</v>
      </c>
      <c r="P16" s="36">
        <v>104</v>
      </c>
      <c r="Q16" s="32"/>
      <c r="R16" s="32"/>
      <c r="S16" s="32"/>
      <c r="T16" s="32"/>
      <c r="U16" s="36">
        <f>B20</f>
        <v>2</v>
      </c>
      <c r="V16" s="103"/>
      <c r="W16" s="104"/>
      <c r="X16" s="109" t="str">
        <f t="shared" ref="X16:Y17" si="3">IF(D20=0,"",D20)</f>
        <v/>
      </c>
      <c r="Y16" s="109" t="str">
        <f t="shared" si="3"/>
        <v/>
      </c>
      <c r="Z16" s="123" t="s">
        <v>6678</v>
      </c>
      <c r="AA16" s="124" t="e">
        <f>VLOOKUP($M:$M,Data!$I:$J,2,FALSE)</f>
        <v>#N/A</v>
      </c>
      <c r="AB16" s="125"/>
    </row>
    <row r="17" ht="15.25" spans="2:28">
      <c r="B17" s="58">
        <v>3</v>
      </c>
      <c r="C17" s="59">
        <f>VLOOKUP("30/103/3",Data!$A$2:$E$1425,3,FALSE)</f>
        <v>0</v>
      </c>
      <c r="D17" s="56"/>
      <c r="E17" s="57"/>
      <c r="G17" s="58">
        <v>3</v>
      </c>
      <c r="H17" s="59">
        <f>VLOOKUP("30/118/3",Data!$A$2:$E$1425,3,FALSE)</f>
        <v>0</v>
      </c>
      <c r="I17" s="56"/>
      <c r="J17" s="57"/>
      <c r="L17" s="14">
        <f>COUNTA(B21)+L16</f>
        <v>11</v>
      </c>
      <c r="M17" s="83">
        <f>C21</f>
        <v>0</v>
      </c>
      <c r="N17" s="84" t="s">
        <v>7430</v>
      </c>
      <c r="O17" s="85">
        <v>30</v>
      </c>
      <c r="P17" s="85">
        <v>104</v>
      </c>
      <c r="Q17" s="110"/>
      <c r="R17" s="110"/>
      <c r="S17" s="110"/>
      <c r="T17" s="110"/>
      <c r="U17" s="85">
        <f>B21</f>
        <v>3</v>
      </c>
      <c r="V17" s="105"/>
      <c r="W17" s="106"/>
      <c r="X17" s="111" t="str">
        <f t="shared" si="3"/>
        <v/>
      </c>
      <c r="Y17" s="111" t="str">
        <f t="shared" si="3"/>
        <v/>
      </c>
      <c r="Z17" s="127" t="s">
        <v>7523</v>
      </c>
      <c r="AA17" s="128" t="e">
        <f>VLOOKUP($M:$M,Data!$I:$J,2,FALSE)</f>
        <v>#N/A</v>
      </c>
      <c r="AB17" s="126"/>
    </row>
    <row r="18" spans="2:28">
      <c r="B18" s="46">
        <v>104</v>
      </c>
      <c r="C18" s="47"/>
      <c r="D18" s="48" t="s">
        <v>6580</v>
      </c>
      <c r="E18" s="49" t="s">
        <v>6581</v>
      </c>
      <c r="G18" s="46">
        <v>117</v>
      </c>
      <c r="H18" s="47"/>
      <c r="I18" s="48" t="s">
        <v>6580</v>
      </c>
      <c r="J18" s="49" t="s">
        <v>6581</v>
      </c>
      <c r="L18" s="6">
        <f>COUNTA(B23)+L17</f>
        <v>12</v>
      </c>
      <c r="M18" s="79" t="str">
        <f>C23</f>
        <v>52309 Aron </v>
      </c>
      <c r="N18" s="80" t="s">
        <v>7430</v>
      </c>
      <c r="O18" s="81">
        <v>30</v>
      </c>
      <c r="P18" s="81">
        <v>105</v>
      </c>
      <c r="Q18" s="62" t="str">
        <f>_xlfn.IFS(COUNTA(B23:B25)=1,"Single",COUNTA(B23:B25)=2,"Double",COUNTA(B23:B25)=3,"Triple",COUNTA(B23:B25)=0,"Empty")</f>
        <v>Triple</v>
      </c>
      <c r="R18" s="62"/>
      <c r="S18" s="62"/>
      <c r="T18" s="62"/>
      <c r="U18" s="81">
        <f>B23</f>
        <v>1</v>
      </c>
      <c r="V18" s="100">
        <f>COUNT(B23:B25)</f>
        <v>3</v>
      </c>
      <c r="W18" s="101"/>
      <c r="X18" s="108" t="str">
        <f>IF(D23=0,"",D23)</f>
        <v/>
      </c>
      <c r="Y18" s="108" t="str">
        <f>IF(E23=0,"",E23)</f>
        <v/>
      </c>
      <c r="Z18" s="120" t="s">
        <v>7524</v>
      </c>
      <c r="AA18" s="121" t="e">
        <f>VLOOKUP($M:$M,Data!$I:$J,2,FALSE)</f>
        <v>#N/A</v>
      </c>
      <c r="AB18" s="122"/>
    </row>
    <row r="19" spans="2:28">
      <c r="B19" s="50">
        <v>1</v>
      </c>
      <c r="C19" s="51" t="str">
        <f>VLOOKUP("30/104/1",Data!$A$2:$E$1425,3,FALSE)</f>
        <v>52311 August </v>
      </c>
      <c r="D19" s="52"/>
      <c r="E19" s="53"/>
      <c r="G19" s="50">
        <v>1</v>
      </c>
      <c r="H19" s="51" t="str">
        <f>VLOOKUP("30/117/1",Data!$A$2:$E$1425,3,FALSE)</f>
        <v>Berntsson</v>
      </c>
      <c r="I19" s="52"/>
      <c r="J19" s="53"/>
      <c r="L19" s="9">
        <f>COUNTA(B24)+L18</f>
        <v>13</v>
      </c>
      <c r="M19" s="31" t="str">
        <f>C24</f>
        <v>52307 Mattias </v>
      </c>
      <c r="N19" s="82" t="s">
        <v>7430</v>
      </c>
      <c r="O19" s="36">
        <v>30</v>
      </c>
      <c r="P19" s="36">
        <v>105</v>
      </c>
      <c r="Q19" s="32"/>
      <c r="R19" s="32"/>
      <c r="S19" s="32"/>
      <c r="T19" s="32"/>
      <c r="U19" s="36">
        <f>B24</f>
        <v>2</v>
      </c>
      <c r="V19" s="103"/>
      <c r="W19" s="104"/>
      <c r="X19" s="109" t="str">
        <f t="shared" ref="X19:Y20" si="4">IF(D24=0,"",D24)</f>
        <v/>
      </c>
      <c r="Y19" s="109" t="str">
        <f t="shared" si="4"/>
        <v/>
      </c>
      <c r="Z19" s="123" t="s">
        <v>7525</v>
      </c>
      <c r="AA19" s="124" t="e">
        <f>VLOOKUP($M:$M,Data!$I:$J,2,FALSE)</f>
        <v>#N/A</v>
      </c>
      <c r="AB19" s="125"/>
    </row>
    <row r="20" ht="15.25" spans="2:28">
      <c r="B20" s="50">
        <v>2</v>
      </c>
      <c r="C20" s="51" t="str">
        <f>VLOOKUP("30/104/2",Data!$A$2:$E$1425,3,FALSE)</f>
        <v>52105 Elias </v>
      </c>
      <c r="D20" s="54"/>
      <c r="E20" s="55"/>
      <c r="G20" s="50">
        <v>2</v>
      </c>
      <c r="H20" s="51" t="str">
        <f>VLOOKUP("30/117/2",Data!$A$2:$E$1425,3,FALSE)</f>
        <v>Lange</v>
      </c>
      <c r="I20" s="54"/>
      <c r="J20" s="55"/>
      <c r="L20" s="14">
        <f>COUNTA(B25)+L19</f>
        <v>14</v>
      </c>
      <c r="M20" s="83">
        <f>C25</f>
        <v>0</v>
      </c>
      <c r="N20" s="84" t="s">
        <v>7430</v>
      </c>
      <c r="O20" s="85">
        <v>30</v>
      </c>
      <c r="P20" s="85">
        <v>105</v>
      </c>
      <c r="Q20" s="110"/>
      <c r="R20" s="110"/>
      <c r="S20" s="110"/>
      <c r="T20" s="110"/>
      <c r="U20" s="85">
        <f>B25</f>
        <v>3</v>
      </c>
      <c r="V20" s="105"/>
      <c r="W20" s="106"/>
      <c r="X20" s="111" t="str">
        <f t="shared" si="4"/>
        <v/>
      </c>
      <c r="Y20" s="111" t="str">
        <f t="shared" si="4"/>
        <v/>
      </c>
      <c r="Z20" s="127" t="s">
        <v>7526</v>
      </c>
      <c r="AA20" s="128" t="e">
        <f>VLOOKUP($M:$M,Data!$I:$J,2,FALSE)</f>
        <v>#N/A</v>
      </c>
      <c r="AB20" s="126"/>
    </row>
    <row r="21" ht="15.25" spans="2:28">
      <c r="B21" s="58">
        <v>3</v>
      </c>
      <c r="C21" s="59">
        <f>VLOOKUP("30/104/3",Data!$A$2:$E$1425,3,FALSE)</f>
        <v>0</v>
      </c>
      <c r="D21" s="56"/>
      <c r="E21" s="57"/>
      <c r="G21" s="58">
        <v>3</v>
      </c>
      <c r="H21" s="59">
        <f>VLOOKUP("30/117/3",Data!$A$2:$E$1425,3,FALSE)</f>
        <v>0</v>
      </c>
      <c r="I21" s="56"/>
      <c r="J21" s="57"/>
      <c r="L21" s="6">
        <f>COUNTA(B27)+L20</f>
        <v>15</v>
      </c>
      <c r="M21" s="79" t="str">
        <f>C27</f>
        <v>52104 Ellen </v>
      </c>
      <c r="N21" s="80" t="s">
        <v>7430</v>
      </c>
      <c r="O21" s="81">
        <v>30</v>
      </c>
      <c r="P21" s="81">
        <v>106</v>
      </c>
      <c r="Q21" s="62" t="str">
        <f>_xlfn.IFS(COUNTA(B27:B29)=1,"Single",COUNTA(B27:B29)=2,"Double",COUNTA(B27:B29)=3,"Triple",COUNTA(B27:B29)=0,"Empty")</f>
        <v>Triple</v>
      </c>
      <c r="R21" s="62"/>
      <c r="S21" s="62"/>
      <c r="T21" s="62"/>
      <c r="U21" s="81">
        <f>B27</f>
        <v>1</v>
      </c>
      <c r="V21" s="100">
        <f>COUNT(B27:B29)</f>
        <v>3</v>
      </c>
      <c r="W21" s="101"/>
      <c r="X21" s="108" t="str">
        <f>IF(D27=0,"",D27)</f>
        <v/>
      </c>
      <c r="Y21" s="108" t="str">
        <f>IF(E27=0,"",E27)</f>
        <v/>
      </c>
      <c r="Z21" s="120" t="s">
        <v>7527</v>
      </c>
      <c r="AA21" s="121" t="e">
        <f>VLOOKUP($M:$M,Data!$I:$J,2,FALSE)</f>
        <v>#N/A</v>
      </c>
      <c r="AB21" s="122"/>
    </row>
    <row r="22" spans="2:28">
      <c r="B22" s="46">
        <v>105</v>
      </c>
      <c r="C22" s="47"/>
      <c r="D22" s="48" t="s">
        <v>6580</v>
      </c>
      <c r="E22" s="49" t="s">
        <v>6581</v>
      </c>
      <c r="G22" s="46">
        <v>116</v>
      </c>
      <c r="H22" s="47"/>
      <c r="I22" s="48" t="s">
        <v>6580</v>
      </c>
      <c r="J22" s="49" t="s">
        <v>6581</v>
      </c>
      <c r="L22" s="9">
        <f>COUNTA(B28)+L21</f>
        <v>16</v>
      </c>
      <c r="M22" s="31" t="str">
        <f>C28</f>
        <v>52205 Nova </v>
      </c>
      <c r="N22" s="82" t="s">
        <v>7430</v>
      </c>
      <c r="O22" s="36">
        <v>30</v>
      </c>
      <c r="P22" s="36">
        <v>106</v>
      </c>
      <c r="Q22" s="32"/>
      <c r="R22" s="32"/>
      <c r="S22" s="32"/>
      <c r="T22" s="32"/>
      <c r="U22" s="36">
        <f>B28</f>
        <v>2</v>
      </c>
      <c r="V22" s="103"/>
      <c r="W22" s="104"/>
      <c r="X22" s="109" t="str">
        <f t="shared" ref="X22:Y23" si="5">IF(D28=0,"",D28)</f>
        <v/>
      </c>
      <c r="Y22" s="109" t="str">
        <f t="shared" si="5"/>
        <v/>
      </c>
      <c r="Z22" s="123" t="s">
        <v>7528</v>
      </c>
      <c r="AA22" s="124" t="e">
        <f>VLOOKUP($M:$M,Data!$I:$J,2,FALSE)</f>
        <v>#N/A</v>
      </c>
      <c r="AB22" s="125"/>
    </row>
    <row r="23" ht="15.25" spans="2:28">
      <c r="B23" s="50">
        <v>1</v>
      </c>
      <c r="C23" s="51" t="str">
        <f>VLOOKUP("30/105/1",Data!$A$2:$E$1425,3,FALSE)</f>
        <v>52309 Aron </v>
      </c>
      <c r="D23" s="52"/>
      <c r="E23" s="53"/>
      <c r="G23" s="50">
        <v>1</v>
      </c>
      <c r="H23" s="51" t="str">
        <f>VLOOKUP("30/116/1",Data!$A$2:$E$1425,3,FALSE)</f>
        <v>Axelsson</v>
      </c>
      <c r="I23" s="52"/>
      <c r="J23" s="53"/>
      <c r="L23" s="14">
        <f>COUNTA(B29)+L22</f>
        <v>17</v>
      </c>
      <c r="M23" s="83">
        <f>C29</f>
        <v>0</v>
      </c>
      <c r="N23" s="84" t="s">
        <v>7430</v>
      </c>
      <c r="O23" s="85">
        <v>30</v>
      </c>
      <c r="P23" s="85">
        <v>106</v>
      </c>
      <c r="Q23" s="110"/>
      <c r="R23" s="110"/>
      <c r="S23" s="110"/>
      <c r="T23" s="110"/>
      <c r="U23" s="85">
        <f>B29</f>
        <v>3</v>
      </c>
      <c r="V23" s="105"/>
      <c r="W23" s="106"/>
      <c r="X23" s="111" t="str">
        <f t="shared" si="5"/>
        <v/>
      </c>
      <c r="Y23" s="111" t="str">
        <f t="shared" si="5"/>
        <v/>
      </c>
      <c r="Z23" s="127" t="s">
        <v>7529</v>
      </c>
      <c r="AA23" s="128" t="e">
        <f>VLOOKUP($M:$M,Data!$I:$J,2,FALSE)</f>
        <v>#N/A</v>
      </c>
      <c r="AB23" s="126"/>
    </row>
    <row r="24" spans="2:28">
      <c r="B24" s="50">
        <v>2</v>
      </c>
      <c r="C24" s="51" t="str">
        <f>VLOOKUP("30/105/2",Data!$A$2:$E$1425,3,FALSE)</f>
        <v>52307 Mattias </v>
      </c>
      <c r="D24" s="54"/>
      <c r="E24" s="55"/>
      <c r="G24" s="50">
        <v>2</v>
      </c>
      <c r="H24" s="51" t="str">
        <f>VLOOKUP("30/116/2",Data!$A$2:$E$1425,3,FALSE)</f>
        <v>S.Persson</v>
      </c>
      <c r="I24" s="54"/>
      <c r="J24" s="55"/>
      <c r="L24" s="6">
        <f>COUNTA(B31)+L23</f>
        <v>18</v>
      </c>
      <c r="M24" s="79" t="str">
        <f>C31</f>
        <v>52203 Rasmus </v>
      </c>
      <c r="N24" s="80" t="s">
        <v>7430</v>
      </c>
      <c r="O24" s="81">
        <v>30</v>
      </c>
      <c r="P24" s="81">
        <v>107</v>
      </c>
      <c r="Q24" s="62" t="str">
        <f>_xlfn.IFS(COUNTA(B31:B33)=1,"Single",COUNTA(B31:B33)=2,"Double",COUNTA(B31:B33)=3,"Triple",COUNTA(B31:B33)=0,"Empty")</f>
        <v>Triple</v>
      </c>
      <c r="R24" s="62"/>
      <c r="S24" s="62"/>
      <c r="T24" s="62"/>
      <c r="U24" s="81">
        <f>B31</f>
        <v>1</v>
      </c>
      <c r="V24" s="100">
        <f>COUNT(B31:B33)</f>
        <v>3</v>
      </c>
      <c r="W24" s="101"/>
      <c r="X24" s="108" t="str">
        <f>IF(D31=0,"",D31)</f>
        <v/>
      </c>
      <c r="Y24" s="108" t="str">
        <f>IF(E31=0,"",E31)</f>
        <v/>
      </c>
      <c r="Z24" s="120" t="s">
        <v>7530</v>
      </c>
      <c r="AA24" s="121" t="e">
        <f>VLOOKUP($M:$M,Data!$I:$J,2,FALSE)</f>
        <v>#N/A</v>
      </c>
      <c r="AB24" s="122"/>
    </row>
    <row r="25" ht="15.25" spans="2:28">
      <c r="B25" s="58">
        <v>3</v>
      </c>
      <c r="C25" s="59">
        <f>VLOOKUP("30/105/3",Data!$A$2:$E$1425,3,FALSE)</f>
        <v>0</v>
      </c>
      <c r="D25" s="56"/>
      <c r="E25" s="57"/>
      <c r="G25" s="58">
        <v>3</v>
      </c>
      <c r="H25" s="59">
        <f>VLOOKUP("30/116/3",Data!$A$2:$E$1425,3,FALSE)</f>
        <v>0</v>
      </c>
      <c r="I25" s="56"/>
      <c r="J25" s="57"/>
      <c r="L25" s="9">
        <f>COUNTA(B32)+L24</f>
        <v>19</v>
      </c>
      <c r="M25" s="31" t="str">
        <f>C32</f>
        <v>52204 Gustav </v>
      </c>
      <c r="N25" s="82" t="s">
        <v>7430</v>
      </c>
      <c r="O25" s="36">
        <v>30</v>
      </c>
      <c r="P25" s="36">
        <v>107</v>
      </c>
      <c r="Q25" s="32"/>
      <c r="R25" s="32"/>
      <c r="S25" s="32"/>
      <c r="T25" s="32"/>
      <c r="U25" s="36">
        <f>B32</f>
        <v>2</v>
      </c>
      <c r="V25" s="103"/>
      <c r="W25" s="104"/>
      <c r="X25" s="109" t="str">
        <f t="shared" ref="X25:Y26" si="6">IF(D32=0,"",D32)</f>
        <v/>
      </c>
      <c r="Y25" s="109" t="str">
        <f t="shared" si="6"/>
        <v/>
      </c>
      <c r="Z25" s="123" t="s">
        <v>7531</v>
      </c>
      <c r="AA25" s="124" t="e">
        <f>VLOOKUP($M:$M,Data!$I:$J,2,FALSE)</f>
        <v>#N/A</v>
      </c>
      <c r="AB25" s="125"/>
    </row>
    <row r="26" ht="15.25" spans="2:28">
      <c r="B26" s="46">
        <v>106</v>
      </c>
      <c r="C26" s="47"/>
      <c r="D26" s="48" t="s">
        <v>6580</v>
      </c>
      <c r="E26" s="49" t="s">
        <v>6581</v>
      </c>
      <c r="G26" s="67" t="s">
        <v>7435</v>
      </c>
      <c r="H26" s="68"/>
      <c r="I26" s="68"/>
      <c r="J26" s="86"/>
      <c r="L26" s="14">
        <f>COUNTA(B33)+L25</f>
        <v>20</v>
      </c>
      <c r="M26" s="83">
        <f>C33</f>
        <v>0</v>
      </c>
      <c r="N26" s="84" t="s">
        <v>7430</v>
      </c>
      <c r="O26" s="85">
        <v>30</v>
      </c>
      <c r="P26" s="85">
        <v>107</v>
      </c>
      <c r="Q26" s="110"/>
      <c r="R26" s="110"/>
      <c r="S26" s="110"/>
      <c r="T26" s="110"/>
      <c r="U26" s="85">
        <f>B33</f>
        <v>3</v>
      </c>
      <c r="V26" s="105"/>
      <c r="W26" s="106"/>
      <c r="X26" s="111" t="str">
        <f t="shared" si="6"/>
        <v/>
      </c>
      <c r="Y26" s="111" t="str">
        <f t="shared" si="6"/>
        <v/>
      </c>
      <c r="Z26" s="127" t="s">
        <v>7532</v>
      </c>
      <c r="AA26" s="128" t="e">
        <f>VLOOKUP($M:$M,Data!$I:$J,2,FALSE)</f>
        <v>#N/A</v>
      </c>
      <c r="AB26" s="126"/>
    </row>
    <row r="27" spans="2:28">
      <c r="B27" s="50">
        <v>1</v>
      </c>
      <c r="C27" s="51" t="str">
        <f>VLOOKUP("30/106/1",Data!$A$2:$E$1425,3,FALSE)</f>
        <v>52104 Ellen </v>
      </c>
      <c r="D27" s="52"/>
      <c r="E27" s="53"/>
      <c r="G27" s="69"/>
      <c r="H27" s="70"/>
      <c r="I27" s="70"/>
      <c r="J27" s="87"/>
      <c r="L27" s="6">
        <f>COUNTA(B35)+L26</f>
        <v>21</v>
      </c>
      <c r="M27" s="79" t="str">
        <f>C35</f>
        <v>52401 Filip </v>
      </c>
      <c r="N27" s="80" t="s">
        <v>7430</v>
      </c>
      <c r="O27" s="81">
        <v>30</v>
      </c>
      <c r="P27" s="81">
        <v>108</v>
      </c>
      <c r="Q27" s="62" t="str">
        <f>_xlfn.IFS(COUNTA(B35:B37)=1,"Single",COUNTA(B35:B37)=2,"Double",COUNTA(B35:B37)=3,"Triple",COUNTA(B35:B37)=0,"Empty")</f>
        <v>Triple</v>
      </c>
      <c r="R27" s="62"/>
      <c r="S27" s="62"/>
      <c r="T27" s="62"/>
      <c r="U27" s="81">
        <f>B35</f>
        <v>1</v>
      </c>
      <c r="V27" s="100">
        <f>COUNT(B35:B37)</f>
        <v>3</v>
      </c>
      <c r="W27" s="101"/>
      <c r="X27" s="108" t="str">
        <f>IF(D35=0,"",D35)</f>
        <v/>
      </c>
      <c r="Y27" s="108" t="str">
        <f>IF(E35=0,"",E35)</f>
        <v/>
      </c>
      <c r="Z27" s="120" t="s">
        <v>7533</v>
      </c>
      <c r="AA27" s="121" t="e">
        <f>VLOOKUP($M:$M,Data!$I:$J,2,FALSE)</f>
        <v>#N/A</v>
      </c>
      <c r="AB27" s="122"/>
    </row>
    <row r="28" spans="2:28">
      <c r="B28" s="50">
        <v>2</v>
      </c>
      <c r="C28" s="51" t="str">
        <f>VLOOKUP("30/106/2",Data!$A$2:$E$1425,3,FALSE)</f>
        <v>52205 Nova </v>
      </c>
      <c r="D28" s="54"/>
      <c r="E28" s="55"/>
      <c r="G28" s="69"/>
      <c r="H28" s="70"/>
      <c r="I28" s="70"/>
      <c r="J28" s="87"/>
      <c r="L28" s="9">
        <f>COUNTA(B36)+L27</f>
        <v>22</v>
      </c>
      <c r="M28" s="31" t="str">
        <f>C36</f>
        <v>52415 Jakob </v>
      </c>
      <c r="N28" s="82" t="s">
        <v>7430</v>
      </c>
      <c r="O28" s="36">
        <v>30</v>
      </c>
      <c r="P28" s="36">
        <v>108</v>
      </c>
      <c r="Q28" s="32"/>
      <c r="R28" s="32"/>
      <c r="S28" s="32"/>
      <c r="T28" s="32"/>
      <c r="U28" s="36">
        <f>B36</f>
        <v>2</v>
      </c>
      <c r="V28" s="103"/>
      <c r="W28" s="104"/>
      <c r="X28" s="109" t="str">
        <f t="shared" ref="X28:Y29" si="7">IF(D36=0,"",D36)</f>
        <v/>
      </c>
      <c r="Y28" s="109" t="str">
        <f t="shared" si="7"/>
        <v/>
      </c>
      <c r="Z28" s="123" t="s">
        <v>7534</v>
      </c>
      <c r="AA28" s="124" t="e">
        <f>VLOOKUP($M:$M,Data!$I:$J,2,FALSE)</f>
        <v>#N/A</v>
      </c>
      <c r="AB28" s="125"/>
    </row>
    <row r="29" ht="15.25" spans="2:28">
      <c r="B29" s="58">
        <v>3</v>
      </c>
      <c r="C29" s="59">
        <f>VLOOKUP("30/106/3",Data!$A$2:$E$1425,3,FALSE)</f>
        <v>0</v>
      </c>
      <c r="D29" s="56"/>
      <c r="E29" s="57"/>
      <c r="G29" s="69"/>
      <c r="H29" s="70"/>
      <c r="I29" s="70"/>
      <c r="J29" s="87"/>
      <c r="L29" s="14">
        <f>COUNTA(B37)+L28</f>
        <v>23</v>
      </c>
      <c r="M29" s="83">
        <f>C37</f>
        <v>0</v>
      </c>
      <c r="N29" s="84" t="s">
        <v>7430</v>
      </c>
      <c r="O29" s="85">
        <v>30</v>
      </c>
      <c r="P29" s="85">
        <v>108</v>
      </c>
      <c r="Q29" s="110"/>
      <c r="R29" s="110"/>
      <c r="S29" s="110"/>
      <c r="T29" s="110"/>
      <c r="U29" s="85">
        <f>B37</f>
        <v>3</v>
      </c>
      <c r="V29" s="105"/>
      <c r="W29" s="106"/>
      <c r="X29" s="111" t="str">
        <f t="shared" si="7"/>
        <v/>
      </c>
      <c r="Y29" s="111" t="str">
        <f t="shared" si="7"/>
        <v/>
      </c>
      <c r="Z29" s="127" t="s">
        <v>7535</v>
      </c>
      <c r="AA29" s="128" t="e">
        <f>VLOOKUP($M:$M,Data!$I:$J,2,FALSE)</f>
        <v>#N/A</v>
      </c>
      <c r="AB29" s="126"/>
    </row>
    <row r="30" spans="2:28">
      <c r="B30" s="46">
        <v>107</v>
      </c>
      <c r="C30" s="47"/>
      <c r="D30" s="48" t="s">
        <v>6580</v>
      </c>
      <c r="E30" s="49" t="s">
        <v>6581</v>
      </c>
      <c r="G30" s="69"/>
      <c r="H30" s="70"/>
      <c r="I30" s="70"/>
      <c r="J30" s="87"/>
      <c r="L30" s="6">
        <f>COUNTA(B39)+L29</f>
        <v>24</v>
      </c>
      <c r="M30" s="79" t="str">
        <f>C39</f>
        <v>52455 Eli</v>
      </c>
      <c r="N30" s="80" t="s">
        <v>7430</v>
      </c>
      <c r="O30" s="81">
        <v>30</v>
      </c>
      <c r="P30" s="81">
        <v>109</v>
      </c>
      <c r="Q30" s="62" t="str">
        <f>_xlfn.IFS(COUNTA(B39:B41)=1,"Single",COUNTA(B39:B41)=2,"Double",COUNTA(B39:B41)=3,"Triple",COUNTA(B39:B41)=0,"Empty")</f>
        <v>Triple</v>
      </c>
      <c r="R30" s="62"/>
      <c r="S30" s="62"/>
      <c r="T30" s="62"/>
      <c r="U30" s="81">
        <f>B39</f>
        <v>1</v>
      </c>
      <c r="V30" s="100">
        <f>COUNT(B39:B41)</f>
        <v>3</v>
      </c>
      <c r="W30" s="101"/>
      <c r="X30" s="108" t="str">
        <f>IF(D39=0,"",D39)</f>
        <v/>
      </c>
      <c r="Y30" s="108" t="str">
        <f>IF(E39=0,"",E39)</f>
        <v/>
      </c>
      <c r="Z30" s="120" t="s">
        <v>7536</v>
      </c>
      <c r="AA30" s="121" t="e">
        <f>VLOOKUP($M:$M,Data!$I:$J,2,FALSE)</f>
        <v>#N/A</v>
      </c>
      <c r="AB30" s="122"/>
    </row>
    <row r="31" spans="2:28">
      <c r="B31" s="50">
        <v>1</v>
      </c>
      <c r="C31" s="51" t="str">
        <f>VLOOKUP("30/107/1",Data!$A$2:$E$1425,3,FALSE)</f>
        <v>52203 Rasmus </v>
      </c>
      <c r="D31" s="52"/>
      <c r="E31" s="53"/>
      <c r="G31" s="69"/>
      <c r="H31" s="70"/>
      <c r="I31" s="70"/>
      <c r="J31" s="87"/>
      <c r="L31" s="9">
        <f>COUNTA(B40)+L30</f>
        <v>25</v>
      </c>
      <c r="M31" s="31" t="str">
        <f>C40</f>
        <v>52445 Lilja</v>
      </c>
      <c r="N31" s="82" t="s">
        <v>7430</v>
      </c>
      <c r="O31" s="36">
        <v>30</v>
      </c>
      <c r="P31" s="36">
        <v>109</v>
      </c>
      <c r="Q31" s="32"/>
      <c r="R31" s="32"/>
      <c r="S31" s="32"/>
      <c r="T31" s="32"/>
      <c r="U31" s="36">
        <f>B40</f>
        <v>2</v>
      </c>
      <c r="V31" s="103"/>
      <c r="W31" s="104"/>
      <c r="X31" s="109" t="str">
        <f t="shared" ref="X31:Y32" si="8">IF(D40=0,"",D40)</f>
        <v/>
      </c>
      <c r="Y31" s="109" t="str">
        <f t="shared" si="8"/>
        <v/>
      </c>
      <c r="Z31" s="123" t="s">
        <v>7537</v>
      </c>
      <c r="AA31" s="124" t="e">
        <f>VLOOKUP($M:$M,Data!$I:$J,2,FALSE)</f>
        <v>#N/A</v>
      </c>
      <c r="AB31" s="125"/>
    </row>
    <row r="32" ht="15.25" spans="2:28">
      <c r="B32" s="50">
        <v>2</v>
      </c>
      <c r="C32" s="51" t="str">
        <f>VLOOKUP("30/107/2",Data!$A$2:$E$1425,3,FALSE)</f>
        <v>52204 Gustav </v>
      </c>
      <c r="D32" s="54"/>
      <c r="E32" s="55"/>
      <c r="G32" s="69"/>
      <c r="H32" s="70"/>
      <c r="I32" s="70"/>
      <c r="J32" s="87"/>
      <c r="L32" s="14">
        <f>COUNTA(B41)+L31</f>
        <v>26</v>
      </c>
      <c r="M32" s="83">
        <f>C41</f>
        <v>0</v>
      </c>
      <c r="N32" s="84" t="s">
        <v>7430</v>
      </c>
      <c r="O32" s="85">
        <v>30</v>
      </c>
      <c r="P32" s="85">
        <v>109</v>
      </c>
      <c r="Q32" s="110"/>
      <c r="R32" s="110"/>
      <c r="S32" s="110"/>
      <c r="T32" s="110"/>
      <c r="U32" s="85">
        <f>B41</f>
        <v>3</v>
      </c>
      <c r="V32" s="105"/>
      <c r="W32" s="106"/>
      <c r="X32" s="111" t="str">
        <f t="shared" si="8"/>
        <v/>
      </c>
      <c r="Y32" s="111" t="str">
        <f t="shared" si="8"/>
        <v/>
      </c>
      <c r="Z32" s="127" t="s">
        <v>7538</v>
      </c>
      <c r="AA32" s="128" t="e">
        <f>VLOOKUP($M:$M,Data!$I:$J,2,FALSE)</f>
        <v>#N/A</v>
      </c>
      <c r="AB32" s="126"/>
    </row>
    <row r="33" ht="15.25" spans="2:28">
      <c r="B33" s="58">
        <v>3</v>
      </c>
      <c r="C33" s="59">
        <f>VLOOKUP("30/107/3",Data!$A$2:$E$1425,3,FALSE)</f>
        <v>0</v>
      </c>
      <c r="D33" s="56"/>
      <c r="E33" s="57"/>
      <c r="G33" s="71"/>
      <c r="H33" s="72"/>
      <c r="I33" s="72"/>
      <c r="J33" s="88"/>
      <c r="L33" s="6">
        <f>COUNTA(B43)+L32</f>
        <v>27</v>
      </c>
      <c r="M33" s="79" t="str">
        <f>C43</f>
        <v>52402 Maria</v>
      </c>
      <c r="N33" s="80" t="s">
        <v>7430</v>
      </c>
      <c r="O33" s="81">
        <v>30</v>
      </c>
      <c r="P33" s="81">
        <v>110</v>
      </c>
      <c r="Q33" s="62" t="str">
        <f>_xlfn.IFS(COUNTA(B43:B45)=1,"Single",COUNTA(B43:B45)=2,"Double",COUNTA(B43:B45)=3,"Triple",COUNTA(B43:B45)=0,"Empty")</f>
        <v>Triple</v>
      </c>
      <c r="R33" s="62"/>
      <c r="S33" s="62"/>
      <c r="T33" s="62"/>
      <c r="U33" s="81">
        <f>B43</f>
        <v>1</v>
      </c>
      <c r="V33" s="100">
        <f>COUNT(B43:B45)</f>
        <v>3</v>
      </c>
      <c r="W33" s="101"/>
      <c r="X33" s="108" t="str">
        <f>IF(D43=0,"",D43)</f>
        <v/>
      </c>
      <c r="Y33" s="108" t="str">
        <f>IF(E43=0,"",E43)</f>
        <v/>
      </c>
      <c r="Z33" s="120" t="s">
        <v>7539</v>
      </c>
      <c r="AA33" s="121" t="e">
        <f>VLOOKUP($M:$M,Data!$I:$J,2,FALSE)</f>
        <v>#N/A</v>
      </c>
      <c r="AB33" s="122"/>
    </row>
    <row r="34" spans="2:28">
      <c r="B34" s="46">
        <v>108</v>
      </c>
      <c r="C34" s="47"/>
      <c r="D34" s="48" t="s">
        <v>6580</v>
      </c>
      <c r="E34" s="49" t="s">
        <v>6581</v>
      </c>
      <c r="G34" s="46">
        <v>115</v>
      </c>
      <c r="H34" s="47"/>
      <c r="I34" s="48" t="s">
        <v>6580</v>
      </c>
      <c r="J34" s="49" t="s">
        <v>6581</v>
      </c>
      <c r="L34" s="9">
        <f>COUNTA(B44)+L33</f>
        <v>28</v>
      </c>
      <c r="M34" s="31" t="str">
        <f>C44</f>
        <v>52405 Natalia</v>
      </c>
      <c r="N34" s="82" t="s">
        <v>7430</v>
      </c>
      <c r="O34" s="36">
        <v>30</v>
      </c>
      <c r="P34" s="36">
        <v>110</v>
      </c>
      <c r="Q34" s="32"/>
      <c r="R34" s="32"/>
      <c r="S34" s="32"/>
      <c r="T34" s="32"/>
      <c r="U34" s="36">
        <f>B44</f>
        <v>2</v>
      </c>
      <c r="V34" s="103"/>
      <c r="W34" s="104"/>
      <c r="X34" s="109" t="str">
        <f t="shared" ref="X34:Y35" si="9">IF(D44=0,"",D44)</f>
        <v/>
      </c>
      <c r="Y34" s="109" t="str">
        <f t="shared" si="9"/>
        <v/>
      </c>
      <c r="Z34" s="123" t="s">
        <v>7540</v>
      </c>
      <c r="AA34" s="124" t="e">
        <f>VLOOKUP($M:$M,Data!$I:$J,2,FALSE)</f>
        <v>#N/A</v>
      </c>
      <c r="AB34" s="125"/>
    </row>
    <row r="35" ht="15.25" spans="2:28">
      <c r="B35" s="50">
        <v>1</v>
      </c>
      <c r="C35" s="51" t="str">
        <f>VLOOKUP("30/108/1",Data!$A$2:$E$1425,3,FALSE)</f>
        <v>52401 Filip </v>
      </c>
      <c r="D35" s="52"/>
      <c r="E35" s="53"/>
      <c r="G35" s="50">
        <v>1</v>
      </c>
      <c r="H35" s="51" t="str">
        <f>VLOOKUP("30/115/1",Data!$A$2:$E$1425,3,FALSE)</f>
        <v>Tengman</v>
      </c>
      <c r="I35" s="52"/>
      <c r="J35" s="53"/>
      <c r="L35" s="14">
        <f>COUNTA(B45)+L34</f>
        <v>29</v>
      </c>
      <c r="M35" s="83">
        <f>C45</f>
        <v>0</v>
      </c>
      <c r="N35" s="84" t="s">
        <v>7430</v>
      </c>
      <c r="O35" s="85">
        <v>30</v>
      </c>
      <c r="P35" s="85">
        <v>110</v>
      </c>
      <c r="Q35" s="110"/>
      <c r="R35" s="110"/>
      <c r="S35" s="110"/>
      <c r="T35" s="110"/>
      <c r="U35" s="85">
        <f>B45</f>
        <v>3</v>
      </c>
      <c r="V35" s="105"/>
      <c r="W35" s="106"/>
      <c r="X35" s="111" t="str">
        <f t="shared" si="9"/>
        <v/>
      </c>
      <c r="Y35" s="111" t="str">
        <f t="shared" si="9"/>
        <v/>
      </c>
      <c r="Z35" s="127" t="s">
        <v>7541</v>
      </c>
      <c r="AA35" s="128" t="e">
        <f>VLOOKUP($M:$M,Data!$I:$J,2,FALSE)</f>
        <v>#N/A</v>
      </c>
      <c r="AB35" s="126"/>
    </row>
    <row r="36" spans="2:28">
      <c r="B36" s="50">
        <v>2</v>
      </c>
      <c r="C36" s="51" t="str">
        <f>VLOOKUP("30/108/2",Data!$A$2:$E$1425,3,FALSE)</f>
        <v>52415 Jakob </v>
      </c>
      <c r="D36" s="54"/>
      <c r="E36" s="55"/>
      <c r="G36" s="50">
        <v>2</v>
      </c>
      <c r="H36" s="51" t="str">
        <f>VLOOKUP("30/115/2",Data!$A$2:$E$1425,3,FALSE)</f>
        <v>Gullbrandson</v>
      </c>
      <c r="I36" s="54"/>
      <c r="J36" s="55"/>
      <c r="L36" s="6">
        <f>COUNTA(B47)+L35</f>
        <v>30</v>
      </c>
      <c r="M36" s="79" t="str">
        <f>C47</f>
        <v>52425 andres</v>
      </c>
      <c r="N36" s="80" t="s">
        <v>7430</v>
      </c>
      <c r="O36" s="81">
        <v>30</v>
      </c>
      <c r="P36" s="81">
        <v>111</v>
      </c>
      <c r="Q36" s="62" t="str">
        <f>_xlfn.IFS(COUNTA(B47:B49)=1,"Single",COUNTA(B47:B49)=2,"Double",COUNTA(B47:B49)=3,"Triple",COUNTA(B47:B49)=0,"Empty")</f>
        <v>Triple</v>
      </c>
      <c r="R36" s="62"/>
      <c r="S36" s="62"/>
      <c r="T36" s="62"/>
      <c r="U36" s="81">
        <f>B47</f>
        <v>1</v>
      </c>
      <c r="V36" s="100">
        <f>COUNT(B47:B49)</f>
        <v>3</v>
      </c>
      <c r="W36" s="101"/>
      <c r="X36" s="108" t="str">
        <f>IF(D47=0,"",D47)</f>
        <v/>
      </c>
      <c r="Y36" s="108" t="str">
        <f>IF(E47=0,"",E47)</f>
        <v/>
      </c>
      <c r="Z36" s="120" t="s">
        <v>7542</v>
      </c>
      <c r="AA36" s="121" t="e">
        <f>VLOOKUP($M:$M,Data!$I:$J,2,FALSE)</f>
        <v>#N/A</v>
      </c>
      <c r="AB36" s="122"/>
    </row>
    <row r="37" ht="15.25" spans="2:28">
      <c r="B37" s="58">
        <v>3</v>
      </c>
      <c r="C37" s="59">
        <f>VLOOKUP("30/108/3",Data!$A$2:$E$1425,3,FALSE)</f>
        <v>0</v>
      </c>
      <c r="D37" s="56"/>
      <c r="E37" s="57"/>
      <c r="G37" s="58">
        <v>3</v>
      </c>
      <c r="H37" s="59">
        <f>VLOOKUP("30/115/3",Data!$A$2:$E$1425,3,FALSE)</f>
        <v>0</v>
      </c>
      <c r="I37" s="56"/>
      <c r="J37" s="57"/>
      <c r="L37" s="9">
        <f>COUNTA(B48)+L36</f>
        <v>31</v>
      </c>
      <c r="M37" s="31" t="str">
        <f>C48</f>
        <v>52435 Philip</v>
      </c>
      <c r="N37" s="82" t="s">
        <v>7430</v>
      </c>
      <c r="O37" s="36">
        <v>30</v>
      </c>
      <c r="P37" s="36">
        <v>111</v>
      </c>
      <c r="Q37" s="32"/>
      <c r="R37" s="32"/>
      <c r="S37" s="32"/>
      <c r="T37" s="32"/>
      <c r="U37" s="36">
        <f>B48</f>
        <v>2</v>
      </c>
      <c r="V37" s="103"/>
      <c r="W37" s="104"/>
      <c r="X37" s="109" t="str">
        <f t="shared" ref="X37:Y38" si="10">IF(D48=0,"",D48)</f>
        <v/>
      </c>
      <c r="Y37" s="109" t="str">
        <f t="shared" si="10"/>
        <v/>
      </c>
      <c r="Z37" s="123" t="s">
        <v>7543</v>
      </c>
      <c r="AA37" s="124" t="e">
        <f>VLOOKUP($M:$M,Data!$I:$J,2,FALSE)</f>
        <v>#N/A</v>
      </c>
      <c r="AB37" s="125"/>
    </row>
    <row r="38" ht="15.25" spans="2:28">
      <c r="B38" s="46">
        <v>109</v>
      </c>
      <c r="C38" s="47"/>
      <c r="D38" s="48" t="s">
        <v>6580</v>
      </c>
      <c r="E38" s="49" t="s">
        <v>6581</v>
      </c>
      <c r="G38" s="46">
        <v>114</v>
      </c>
      <c r="H38" s="47"/>
      <c r="I38" s="48" t="s">
        <v>6580</v>
      </c>
      <c r="J38" s="49" t="s">
        <v>6581</v>
      </c>
      <c r="L38" s="14">
        <f>COUNTA(B49)+L37</f>
        <v>32</v>
      </c>
      <c r="M38" s="83">
        <f>C49</f>
        <v>0</v>
      </c>
      <c r="N38" s="84" t="s">
        <v>7430</v>
      </c>
      <c r="O38" s="85">
        <v>30</v>
      </c>
      <c r="P38" s="85">
        <v>111</v>
      </c>
      <c r="Q38" s="110"/>
      <c r="R38" s="110"/>
      <c r="S38" s="110"/>
      <c r="T38" s="110"/>
      <c r="U38" s="85">
        <f>B49</f>
        <v>3</v>
      </c>
      <c r="V38" s="105"/>
      <c r="W38" s="106"/>
      <c r="X38" s="111" t="str">
        <f t="shared" si="10"/>
        <v/>
      </c>
      <c r="Y38" s="111" t="str">
        <f t="shared" si="10"/>
        <v/>
      </c>
      <c r="Z38" s="127" t="s">
        <v>7544</v>
      </c>
      <c r="AA38" s="128" t="e">
        <f>VLOOKUP($M:$M,Data!$I:$J,2,FALSE)</f>
        <v>#N/A</v>
      </c>
      <c r="AB38" s="126"/>
    </row>
    <row r="39" spans="2:28">
      <c r="B39" s="50">
        <v>1</v>
      </c>
      <c r="C39" s="51" t="str">
        <f>VLOOKUP("30/109/1",Data!$A$2:$E$1425,3,FALSE)</f>
        <v>52455 Eli</v>
      </c>
      <c r="D39" s="52"/>
      <c r="E39" s="53"/>
      <c r="G39" s="50">
        <v>1</v>
      </c>
      <c r="H39" s="51" t="str">
        <f>VLOOKUP("30/114/1",Data!$A$2:$E$1425,3,FALSE)</f>
        <v>52601 Hampus</v>
      </c>
      <c r="I39" s="52"/>
      <c r="J39" s="53"/>
      <c r="L39" s="6">
        <f>COUNTA(G47)+L38</f>
        <v>33</v>
      </c>
      <c r="M39" s="79" t="str">
        <f>H47</f>
        <v>52501 David</v>
      </c>
      <c r="N39" s="80" t="s">
        <v>7430</v>
      </c>
      <c r="O39" s="81">
        <v>30</v>
      </c>
      <c r="P39" s="81">
        <v>112</v>
      </c>
      <c r="Q39" s="62" t="str">
        <f>_xlfn.IFS(COUNTA(G47:G49)=1,"Single",COUNTA(G47:G49)=2,"Double",COUNTA(G47:G49)=3,"Triple",COUNTA(G47:G49)=0,"Empty")</f>
        <v>Double</v>
      </c>
      <c r="R39" s="62"/>
      <c r="S39" s="62"/>
      <c r="T39" s="62"/>
      <c r="U39" s="81">
        <f>G47</f>
        <v>1</v>
      </c>
      <c r="V39" s="100">
        <f>COUNT(G47:G49)</f>
        <v>2</v>
      </c>
      <c r="W39" s="101"/>
      <c r="X39" s="108" t="str">
        <f>IF(I47=0,"",I47)</f>
        <v/>
      </c>
      <c r="Y39" s="108" t="str">
        <f>IF(J47=0,"",J47)</f>
        <v/>
      </c>
      <c r="Z39" s="120" t="s">
        <v>7545</v>
      </c>
      <c r="AA39" s="121" t="e">
        <f>VLOOKUP($M:$M,Data!$I:$J,2,FALSE)</f>
        <v>#N/A</v>
      </c>
      <c r="AB39" s="122"/>
    </row>
    <row r="40" spans="2:28">
      <c r="B40" s="50">
        <v>2</v>
      </c>
      <c r="C40" s="51" t="str">
        <f>VLOOKUP("30/109/2",Data!$A$2:$E$1425,3,FALSE)</f>
        <v>52445 Lilja</v>
      </c>
      <c r="D40" s="54"/>
      <c r="E40" s="55"/>
      <c r="G40" s="50">
        <v>2</v>
      </c>
      <c r="H40" s="51" t="str">
        <f>VLOOKUP("30/114/2",Data!$A$2:$E$1425,3,FALSE)</f>
        <v>52607 Simon</v>
      </c>
      <c r="I40" s="54"/>
      <c r="J40" s="55"/>
      <c r="L40" s="9">
        <f>COUNTA(G48)+L39</f>
        <v>33</v>
      </c>
      <c r="M40" s="31" t="str">
        <f>H48</f>
        <v>52508 Algot</v>
      </c>
      <c r="N40" s="82" t="s">
        <v>7430</v>
      </c>
      <c r="O40" s="36">
        <v>30</v>
      </c>
      <c r="P40" s="36">
        <v>112</v>
      </c>
      <c r="Q40" s="32"/>
      <c r="R40" s="32"/>
      <c r="S40" s="32"/>
      <c r="T40" s="32"/>
      <c r="U40" s="36">
        <f>G48</f>
        <v>0</v>
      </c>
      <c r="V40" s="103"/>
      <c r="W40" s="104"/>
      <c r="X40" s="109" t="str">
        <f t="shared" ref="X40:Y41" si="11">IF(I48=0,"",I48)</f>
        <v/>
      </c>
      <c r="Y40" s="109" t="str">
        <f t="shared" si="11"/>
        <v/>
      </c>
      <c r="Z40" s="123" t="s">
        <v>7546</v>
      </c>
      <c r="AA40" s="124" t="e">
        <f>VLOOKUP($M:$M,Data!$I:$J,2,FALSE)</f>
        <v>#N/A</v>
      </c>
      <c r="AB40" s="125"/>
    </row>
    <row r="41" ht="15.25" spans="2:28">
      <c r="B41" s="58">
        <v>3</v>
      </c>
      <c r="C41" s="59">
        <f>VLOOKUP("30/109/3",Data!$A$2:$E$1425,3,FALSE)</f>
        <v>0</v>
      </c>
      <c r="D41" s="56"/>
      <c r="E41" s="57"/>
      <c r="G41" s="58">
        <v>3</v>
      </c>
      <c r="H41" s="59">
        <f>VLOOKUP("30/114/3",Data!$A$2:$E$1425,3,FALSE)</f>
        <v>0</v>
      </c>
      <c r="I41" s="56"/>
      <c r="J41" s="57"/>
      <c r="L41" s="14">
        <f>COUNTA(G49)+L40</f>
        <v>34</v>
      </c>
      <c r="M41" s="83">
        <f>H49</f>
        <v>0</v>
      </c>
      <c r="N41" s="84" t="s">
        <v>7430</v>
      </c>
      <c r="O41" s="85">
        <v>30</v>
      </c>
      <c r="P41" s="85">
        <v>112</v>
      </c>
      <c r="Q41" s="110"/>
      <c r="R41" s="110"/>
      <c r="S41" s="110"/>
      <c r="T41" s="110"/>
      <c r="U41" s="85">
        <f>G49</f>
        <v>3</v>
      </c>
      <c r="V41" s="105"/>
      <c r="W41" s="106"/>
      <c r="X41" s="111" t="str">
        <f t="shared" si="11"/>
        <v/>
      </c>
      <c r="Y41" s="111" t="str">
        <f t="shared" si="11"/>
        <v/>
      </c>
      <c r="Z41" s="127" t="s">
        <v>7547</v>
      </c>
      <c r="AA41" s="128" t="e">
        <f>VLOOKUP($M:$M,Data!$I:$J,2,FALSE)</f>
        <v>#N/A</v>
      </c>
      <c r="AB41" s="126"/>
    </row>
    <row r="42" spans="2:28">
      <c r="B42" s="46">
        <v>110</v>
      </c>
      <c r="C42" s="47"/>
      <c r="D42" s="48" t="s">
        <v>6580</v>
      </c>
      <c r="E42" s="49" t="s">
        <v>6581</v>
      </c>
      <c r="G42" s="46">
        <v>113</v>
      </c>
      <c r="H42" s="47"/>
      <c r="I42" s="48" t="s">
        <v>6580</v>
      </c>
      <c r="J42" s="49" t="s">
        <v>6581</v>
      </c>
      <c r="L42" s="6">
        <f>COUNTA(G43)+L41</f>
        <v>35</v>
      </c>
      <c r="M42" s="79" t="str">
        <f>H43</f>
        <v>52507 Emil</v>
      </c>
      <c r="N42" s="80" t="s">
        <v>7430</v>
      </c>
      <c r="O42" s="81">
        <v>30</v>
      </c>
      <c r="P42" s="81">
        <v>113</v>
      </c>
      <c r="Q42" s="62" t="str">
        <f>_xlfn.IFS(COUNTA(G43:G45)=1,"Single",COUNTA(G43:G45)=2,"Double",COUNTA(G43:G45)=3,"Triple",COUNTA(G43:G45)=0,"Empty")</f>
        <v>Triple</v>
      </c>
      <c r="R42" s="62"/>
      <c r="S42" s="62"/>
      <c r="T42" s="62"/>
      <c r="U42" s="81">
        <f>G43</f>
        <v>1</v>
      </c>
      <c r="V42" s="100">
        <f>COUNT(G43:G45)</f>
        <v>3</v>
      </c>
      <c r="W42" s="101"/>
      <c r="X42" s="108" t="str">
        <f>IF(I43=0,"",I43)</f>
        <v/>
      </c>
      <c r="Y42" s="108" t="str">
        <f>IF(J43=0,"",J43)</f>
        <v/>
      </c>
      <c r="Z42" s="120" t="s">
        <v>7548</v>
      </c>
      <c r="AA42" s="121" t="e">
        <f>VLOOKUP($M:$M,Data!$I:$J,2,FALSE)</f>
        <v>#N/A</v>
      </c>
      <c r="AB42" s="122"/>
    </row>
    <row r="43" spans="2:28">
      <c r="B43" s="50">
        <v>1</v>
      </c>
      <c r="C43" s="51" t="str">
        <f>VLOOKUP("30/110/1",Data!$A$2:$E$1425,3,FALSE)</f>
        <v>52402 Maria</v>
      </c>
      <c r="D43" s="52"/>
      <c r="E43" s="53"/>
      <c r="G43" s="50">
        <v>1</v>
      </c>
      <c r="H43" s="51" t="str">
        <f>VLOOKUP("30/113/1",Data!$A$2:$E$1425,3,FALSE)</f>
        <v>52507 Emil</v>
      </c>
      <c r="I43" s="52"/>
      <c r="J43" s="53"/>
      <c r="L43" s="9">
        <f>COUNTA(G44)+L42</f>
        <v>36</v>
      </c>
      <c r="M43" s="31" t="str">
        <f>H44</f>
        <v>52509 Jonas</v>
      </c>
      <c r="N43" s="82" t="s">
        <v>7430</v>
      </c>
      <c r="O43" s="36">
        <v>30</v>
      </c>
      <c r="P43" s="36">
        <v>113</v>
      </c>
      <c r="Q43" s="32"/>
      <c r="R43" s="32"/>
      <c r="S43" s="32"/>
      <c r="T43" s="32"/>
      <c r="U43" s="36">
        <f>G44</f>
        <v>2</v>
      </c>
      <c r="V43" s="103"/>
      <c r="W43" s="104"/>
      <c r="X43" s="109" t="str">
        <f t="shared" ref="X43:Y44" si="12">IF(I44=0,"",I44)</f>
        <v/>
      </c>
      <c r="Y43" s="109" t="str">
        <f t="shared" si="12"/>
        <v/>
      </c>
      <c r="Z43" s="123" t="s">
        <v>7549</v>
      </c>
      <c r="AA43" s="124" t="e">
        <f>VLOOKUP($M:$M,Data!$I:$J,2,FALSE)</f>
        <v>#N/A</v>
      </c>
      <c r="AB43" s="125"/>
    </row>
    <row r="44" ht="15.25" spans="2:28">
      <c r="B44" s="50">
        <v>2</v>
      </c>
      <c r="C44" s="51" t="str">
        <f>VLOOKUP("30/110/2",Data!$A$2:$E$1425,3,FALSE)</f>
        <v>52405 Natalia</v>
      </c>
      <c r="D44" s="54"/>
      <c r="E44" s="55"/>
      <c r="G44" s="50">
        <v>2</v>
      </c>
      <c r="H44" s="51" t="str">
        <f>VLOOKUP("30/113/2",Data!$A$2:$E$1425,3,FALSE)</f>
        <v>52509 Jonas</v>
      </c>
      <c r="I44" s="54"/>
      <c r="J44" s="55"/>
      <c r="L44" s="14">
        <f>COUNTA(G45)+L43</f>
        <v>37</v>
      </c>
      <c r="M44" s="83">
        <f>H45</f>
        <v>0</v>
      </c>
      <c r="N44" s="84" t="s">
        <v>7430</v>
      </c>
      <c r="O44" s="85">
        <v>30</v>
      </c>
      <c r="P44" s="85">
        <v>113</v>
      </c>
      <c r="Q44" s="110"/>
      <c r="R44" s="110"/>
      <c r="S44" s="110"/>
      <c r="T44" s="110"/>
      <c r="U44" s="85">
        <f>G45</f>
        <v>3</v>
      </c>
      <c r="V44" s="105"/>
      <c r="W44" s="106"/>
      <c r="X44" s="111" t="str">
        <f t="shared" si="12"/>
        <v/>
      </c>
      <c r="Y44" s="111" t="str">
        <f t="shared" si="12"/>
        <v/>
      </c>
      <c r="Z44" s="127" t="s">
        <v>7550</v>
      </c>
      <c r="AA44" s="128" t="e">
        <f>VLOOKUP($M:$M,Data!$I:$J,2,FALSE)</f>
        <v>#N/A</v>
      </c>
      <c r="AB44" s="126"/>
    </row>
    <row r="45" ht="15.25" spans="2:28">
      <c r="B45" s="58">
        <v>3</v>
      </c>
      <c r="C45" s="59">
        <f>VLOOKUP("30/110/3",Data!$A$2:$E$1425,3,FALSE)</f>
        <v>0</v>
      </c>
      <c r="D45" s="56"/>
      <c r="E45" s="57"/>
      <c r="G45" s="58">
        <v>3</v>
      </c>
      <c r="H45" s="59">
        <f>VLOOKUP("30/113/3",Data!$A$2:$E$1425,3,FALSE)</f>
        <v>0</v>
      </c>
      <c r="I45" s="56"/>
      <c r="J45" s="57"/>
      <c r="L45" s="6">
        <f>COUNTA(G39)+L44</f>
        <v>38</v>
      </c>
      <c r="M45" s="79" t="str">
        <f>H39</f>
        <v>52601 Hampus</v>
      </c>
      <c r="N45" s="80" t="s">
        <v>7430</v>
      </c>
      <c r="O45" s="81">
        <v>30</v>
      </c>
      <c r="P45" s="81">
        <v>114</v>
      </c>
      <c r="Q45" s="62" t="str">
        <f>_xlfn.IFS(COUNTA(G39:G41)=1,"Single",COUNTA(G39:G41)=2,"Double",COUNTA(G39:G41)=3,"Triple",COUNTA(G39:G41)=0,"Empty")</f>
        <v>Triple</v>
      </c>
      <c r="R45" s="62"/>
      <c r="S45" s="62"/>
      <c r="T45" s="62"/>
      <c r="U45" s="81">
        <f>G39</f>
        <v>1</v>
      </c>
      <c r="V45" s="100">
        <f>COUNT(G39:G41)</f>
        <v>3</v>
      </c>
      <c r="W45" s="101"/>
      <c r="X45" s="108" t="str">
        <f>IF(I39=0,"",I39)</f>
        <v/>
      </c>
      <c r="Y45" s="108" t="str">
        <f>IF(J39=0,"",J39)</f>
        <v/>
      </c>
      <c r="Z45" s="120" t="s">
        <v>7551</v>
      </c>
      <c r="AA45" s="121" t="e">
        <f>VLOOKUP($M:$M,Data!$I:$J,2,FALSE)</f>
        <v>#N/A</v>
      </c>
      <c r="AB45" s="122"/>
    </row>
    <row r="46" spans="2:28">
      <c r="B46" s="46">
        <v>111</v>
      </c>
      <c r="C46" s="47"/>
      <c r="D46" s="48" t="s">
        <v>6580</v>
      </c>
      <c r="E46" s="49" t="s">
        <v>6581</v>
      </c>
      <c r="G46" s="46">
        <v>112</v>
      </c>
      <c r="H46" s="47"/>
      <c r="I46" s="48" t="s">
        <v>6580</v>
      </c>
      <c r="J46" s="49" t="s">
        <v>6581</v>
      </c>
      <c r="L46" s="9">
        <f>COUNTA(G40)+L45</f>
        <v>39</v>
      </c>
      <c r="M46" s="31" t="str">
        <f>H40</f>
        <v>52607 Simon</v>
      </c>
      <c r="N46" s="82" t="s">
        <v>7430</v>
      </c>
      <c r="O46" s="36">
        <v>30</v>
      </c>
      <c r="P46" s="36">
        <v>114</v>
      </c>
      <c r="Q46" s="32"/>
      <c r="R46" s="32"/>
      <c r="S46" s="32"/>
      <c r="T46" s="32"/>
      <c r="U46" s="36">
        <f>G40</f>
        <v>2</v>
      </c>
      <c r="V46" s="103"/>
      <c r="W46" s="104"/>
      <c r="X46" s="109" t="str">
        <f t="shared" ref="X46:Y47" si="13">IF(I40=0,"",I40)</f>
        <v/>
      </c>
      <c r="Y46" s="109" t="str">
        <f t="shared" si="13"/>
        <v/>
      </c>
      <c r="Z46" s="123" t="s">
        <v>7552</v>
      </c>
      <c r="AA46" s="124" t="e">
        <f>VLOOKUP($M:$M,Data!$I:$J,2,FALSE)</f>
        <v>#N/A</v>
      </c>
      <c r="AB46" s="125"/>
    </row>
    <row r="47" ht="15.25" spans="2:28">
      <c r="B47" s="50">
        <v>1</v>
      </c>
      <c r="C47" s="51" t="str">
        <f>VLOOKUP("30/111/1",Data!$A$2:$E$1425,3,FALSE)</f>
        <v>52425 andres</v>
      </c>
      <c r="D47" s="52"/>
      <c r="E47" s="53"/>
      <c r="G47" s="50">
        <v>1</v>
      </c>
      <c r="H47" s="51" t="str">
        <f>VLOOKUP("30/112/1",Data!$A$2:$E$1425,3,FALSE)</f>
        <v>52501 David</v>
      </c>
      <c r="I47" s="52"/>
      <c r="J47" s="53"/>
      <c r="L47" s="14">
        <f>COUNTA(G41)+L46</f>
        <v>40</v>
      </c>
      <c r="M47" s="83">
        <f>H41</f>
        <v>0</v>
      </c>
      <c r="N47" s="84" t="s">
        <v>7430</v>
      </c>
      <c r="O47" s="85">
        <v>30</v>
      </c>
      <c r="P47" s="85">
        <v>114</v>
      </c>
      <c r="Q47" s="110"/>
      <c r="R47" s="110"/>
      <c r="S47" s="110"/>
      <c r="T47" s="110"/>
      <c r="U47" s="85">
        <f>G41</f>
        <v>3</v>
      </c>
      <c r="V47" s="105"/>
      <c r="W47" s="106"/>
      <c r="X47" s="111" t="str">
        <f t="shared" si="13"/>
        <v/>
      </c>
      <c r="Y47" s="111" t="str">
        <f t="shared" si="13"/>
        <v/>
      </c>
      <c r="Z47" s="127" t="s">
        <v>7553</v>
      </c>
      <c r="AA47" s="128" t="e">
        <f>VLOOKUP($M:$M,Data!$I:$J,2,FALSE)</f>
        <v>#N/A</v>
      </c>
      <c r="AB47" s="126"/>
    </row>
    <row r="48" spans="2:28">
      <c r="B48" s="50">
        <v>2</v>
      </c>
      <c r="C48" s="51" t="str">
        <f>VLOOKUP("30/111/2",Data!$A$2:$E$1425,3,FALSE)</f>
        <v>52435 Philip</v>
      </c>
      <c r="D48" s="54"/>
      <c r="E48" s="55"/>
      <c r="G48" s="50"/>
      <c r="H48" s="51" t="str">
        <f>VLOOKUP("30/112/2",Data!$A$2:$E$1425,3,FALSE)</f>
        <v>52508 Algot</v>
      </c>
      <c r="I48" s="54"/>
      <c r="J48" s="55"/>
      <c r="L48" s="6">
        <f>COUNTA(G35)+L47</f>
        <v>41</v>
      </c>
      <c r="M48" s="79" t="str">
        <f>H35</f>
        <v>Tengman</v>
      </c>
      <c r="N48" s="80" t="s">
        <v>7430</v>
      </c>
      <c r="O48" s="81">
        <v>30</v>
      </c>
      <c r="P48" s="81">
        <v>115</v>
      </c>
      <c r="Q48" s="62" t="str">
        <f>_xlfn.IFS(COUNTA(G35:G37)=1,"Single",COUNTA(G35:G37)=2,"Double",COUNTA(G35:G37)=3,"Triple",COUNTA(G35:G37)=0,"Empty")</f>
        <v>Triple</v>
      </c>
      <c r="R48" s="62"/>
      <c r="S48" s="62"/>
      <c r="T48" s="62"/>
      <c r="U48" s="81">
        <f>G35</f>
        <v>1</v>
      </c>
      <c r="V48" s="100">
        <f>COUNT(G35:G37)</f>
        <v>3</v>
      </c>
      <c r="W48" s="101"/>
      <c r="X48" s="108" t="str">
        <f>IF(I35=0,"",I35)</f>
        <v/>
      </c>
      <c r="Y48" s="108" t="str">
        <f>IF(J35=0,"",J35)</f>
        <v/>
      </c>
      <c r="Z48" s="120" t="s">
        <v>7554</v>
      </c>
      <c r="AA48" s="121" t="e">
        <f>VLOOKUP($M:$M,Data!$I:$J,2,FALSE)</f>
        <v>#N/A</v>
      </c>
      <c r="AB48" s="122"/>
    </row>
    <row r="49" ht="15.25" spans="2:28">
      <c r="B49" s="58">
        <v>3</v>
      </c>
      <c r="C49" s="59">
        <f>VLOOKUP("30/111/3",Data!$A$2:$E$1425,3,FALSE)</f>
        <v>0</v>
      </c>
      <c r="D49" s="56"/>
      <c r="E49" s="57"/>
      <c r="G49" s="58">
        <v>3</v>
      </c>
      <c r="H49" s="59">
        <f>VLOOKUP("30/112/3",Data!$A$2:$E$1425,3,FALSE)</f>
        <v>0</v>
      </c>
      <c r="I49" s="56"/>
      <c r="J49" s="57"/>
      <c r="L49" s="9">
        <f>COUNTA(G36)+L48</f>
        <v>42</v>
      </c>
      <c r="M49" s="31" t="str">
        <f>H36</f>
        <v>Gullbrandson</v>
      </c>
      <c r="N49" s="82" t="s">
        <v>7430</v>
      </c>
      <c r="O49" s="36">
        <v>30</v>
      </c>
      <c r="P49" s="36">
        <v>115</v>
      </c>
      <c r="Q49" s="32"/>
      <c r="R49" s="32"/>
      <c r="S49" s="32"/>
      <c r="T49" s="32"/>
      <c r="U49" s="36">
        <f>G36</f>
        <v>2</v>
      </c>
      <c r="V49" s="103"/>
      <c r="W49" s="104"/>
      <c r="X49" s="109" t="str">
        <f t="shared" ref="X49:Y50" si="14">IF(I36=0,"",I36)</f>
        <v/>
      </c>
      <c r="Y49" s="109" t="str">
        <f t="shared" si="14"/>
        <v/>
      </c>
      <c r="Z49" s="123" t="s">
        <v>7555</v>
      </c>
      <c r="AA49" s="124" t="e">
        <f>VLOOKUP($M:$M,Data!$I:$J,2,FALSE)</f>
        <v>#N/A</v>
      </c>
      <c r="AB49" s="125"/>
    </row>
    <row r="50" ht="15.25" spans="12:28">
      <c r="L50" s="14">
        <f>COUNTA(G37)+L49</f>
        <v>43</v>
      </c>
      <c r="M50" s="83">
        <f>H37</f>
        <v>0</v>
      </c>
      <c r="N50" s="84" t="s">
        <v>7430</v>
      </c>
      <c r="O50" s="85">
        <v>30</v>
      </c>
      <c r="P50" s="85">
        <v>115</v>
      </c>
      <c r="Q50" s="110"/>
      <c r="R50" s="110"/>
      <c r="S50" s="110"/>
      <c r="T50" s="110"/>
      <c r="U50" s="85">
        <f>G37</f>
        <v>3</v>
      </c>
      <c r="V50" s="105"/>
      <c r="W50" s="106"/>
      <c r="X50" s="111" t="str">
        <f t="shared" si="14"/>
        <v/>
      </c>
      <c r="Y50" s="111" t="str">
        <f t="shared" si="14"/>
        <v/>
      </c>
      <c r="Z50" s="127" t="s">
        <v>7556</v>
      </c>
      <c r="AA50" s="128" t="e">
        <f>VLOOKUP($M:$M,Data!$I:$J,2,FALSE)</f>
        <v>#N/A</v>
      </c>
      <c r="AB50" s="126"/>
    </row>
    <row r="51" spans="3:28">
      <c r="C51" s="1" t="s">
        <v>7557</v>
      </c>
      <c r="D51" s="1"/>
      <c r="E51" s="1"/>
      <c r="F51" s="1"/>
      <c r="G51" s="1"/>
      <c r="H51" s="1"/>
      <c r="I51" s="1"/>
      <c r="J51" s="89"/>
      <c r="L51" s="6">
        <f>COUNTA(G23)+L50</f>
        <v>44</v>
      </c>
      <c r="M51" s="79" t="str">
        <f>H23</f>
        <v>Axelsson</v>
      </c>
      <c r="N51" s="80" t="s">
        <v>7430</v>
      </c>
      <c r="O51" s="81">
        <v>30</v>
      </c>
      <c r="P51" s="81">
        <v>116</v>
      </c>
      <c r="Q51" s="62" t="str">
        <f>_xlfn.IFS(COUNTA(G23:G25)=1,"Single",COUNTA(G23:G25)=2,"Double",COUNTA(G23:G25)=3,"Triple",COUNTA(G23:G25)=0,"Empty")</f>
        <v>Triple</v>
      </c>
      <c r="R51" s="62"/>
      <c r="S51" s="62"/>
      <c r="T51" s="62"/>
      <c r="U51" s="81">
        <f>G23</f>
        <v>1</v>
      </c>
      <c r="V51" s="100">
        <f>COUNT(G23:G25)</f>
        <v>3</v>
      </c>
      <c r="W51" s="101"/>
      <c r="X51" s="108" t="str">
        <f>IF(I23=0,"",I23)</f>
        <v/>
      </c>
      <c r="Y51" s="108" t="str">
        <f>IF(J23=0,"",J23)</f>
        <v/>
      </c>
      <c r="Z51" s="120" t="s">
        <v>7558</v>
      </c>
      <c r="AA51" s="121" t="e">
        <f>VLOOKUP($M:$M,Data!$I:$J,2,FALSE)</f>
        <v>#N/A</v>
      </c>
      <c r="AB51" s="122"/>
    </row>
    <row r="52" ht="15.25" spans="2:28">
      <c r="B52" s="45" t="s">
        <v>7427</v>
      </c>
      <c r="C52" s="45"/>
      <c r="D52" s="45"/>
      <c r="E52" s="45"/>
      <c r="G52" s="45" t="s">
        <v>7427</v>
      </c>
      <c r="H52" s="45"/>
      <c r="I52" s="45"/>
      <c r="J52" s="45"/>
      <c r="L52" s="9">
        <f>COUNTA(G24)+L51</f>
        <v>45</v>
      </c>
      <c r="M52" s="31" t="str">
        <f>H24</f>
        <v>S.Persson</v>
      </c>
      <c r="N52" s="82" t="s">
        <v>7430</v>
      </c>
      <c r="O52" s="36">
        <v>30</v>
      </c>
      <c r="P52" s="36">
        <v>116</v>
      </c>
      <c r="Q52" s="32"/>
      <c r="R52" s="32"/>
      <c r="S52" s="32"/>
      <c r="T52" s="32"/>
      <c r="U52" s="36">
        <f>G24</f>
        <v>2</v>
      </c>
      <c r="V52" s="103"/>
      <c r="W52" s="104"/>
      <c r="X52" s="109" t="str">
        <f t="shared" ref="X52:Y53" si="15">IF(I24=0,"",I24)</f>
        <v/>
      </c>
      <c r="Y52" s="109" t="str">
        <f t="shared" si="15"/>
        <v/>
      </c>
      <c r="Z52" s="123" t="s">
        <v>7559</v>
      </c>
      <c r="AA52" s="124" t="e">
        <f>VLOOKUP($M:$M,Data!$I:$J,2,FALSE)</f>
        <v>#N/A</v>
      </c>
      <c r="AB52" s="125"/>
    </row>
    <row r="53" ht="15.25" spans="2:28">
      <c r="B53" s="46">
        <v>201</v>
      </c>
      <c r="C53" s="47"/>
      <c r="D53" s="48" t="s">
        <v>6580</v>
      </c>
      <c r="E53" s="49" t="s">
        <v>6581</v>
      </c>
      <c r="G53" s="46">
        <v>220</v>
      </c>
      <c r="H53" s="47"/>
      <c r="I53" s="48" t="s">
        <v>6580</v>
      </c>
      <c r="J53" s="49" t="s">
        <v>6581</v>
      </c>
      <c r="L53" s="14">
        <f>COUNTA(G25)+L52</f>
        <v>46</v>
      </c>
      <c r="M53" s="83">
        <f>H25</f>
        <v>0</v>
      </c>
      <c r="N53" s="82" t="s">
        <v>7430</v>
      </c>
      <c r="O53" s="85">
        <v>30</v>
      </c>
      <c r="P53" s="85">
        <v>116</v>
      </c>
      <c r="Q53" s="110"/>
      <c r="R53" s="110"/>
      <c r="S53" s="110"/>
      <c r="T53" s="110"/>
      <c r="U53" s="85">
        <f>G25</f>
        <v>3</v>
      </c>
      <c r="V53" s="105"/>
      <c r="W53" s="106"/>
      <c r="X53" s="111" t="str">
        <f t="shared" si="15"/>
        <v/>
      </c>
      <c r="Y53" s="111" t="str">
        <f t="shared" si="15"/>
        <v/>
      </c>
      <c r="Z53" s="127" t="s">
        <v>7560</v>
      </c>
      <c r="AA53" s="128" t="e">
        <f>VLOOKUP($M:$M,Data!$I:$J,2,FALSE)</f>
        <v>#N/A</v>
      </c>
      <c r="AB53" s="126"/>
    </row>
    <row r="54" spans="2:28">
      <c r="B54" s="50">
        <v>1</v>
      </c>
      <c r="C54" s="51" t="str">
        <f>VLOOKUP("30/201/1",Data!$A$2:$E$1425,3,FALSE)</f>
        <v>53001 Elias </v>
      </c>
      <c r="D54" s="52"/>
      <c r="E54" s="53"/>
      <c r="G54" s="50">
        <v>1</v>
      </c>
      <c r="H54" s="51" t="str">
        <f>VLOOKUP("30/220/1",Data!$A$2:$E$1425,3,FALSE)</f>
        <v>53002 Charlie </v>
      </c>
      <c r="I54" s="52"/>
      <c r="J54" s="53"/>
      <c r="L54" s="6">
        <f>COUNTA(G19)+L53</f>
        <v>47</v>
      </c>
      <c r="M54" s="79" t="str">
        <f>H19</f>
        <v>Berntsson</v>
      </c>
      <c r="N54" s="80" t="s">
        <v>7430</v>
      </c>
      <c r="O54" s="81">
        <v>30</v>
      </c>
      <c r="P54" s="81">
        <v>117</v>
      </c>
      <c r="Q54" s="62" t="str">
        <f>_xlfn.IFS(COUNTA(G19:G21)=1,"Single",COUNTA(G19:G21)=2,"Double",COUNTA(G19:G21)=3,"Triple",COUNTA(G19:G21)=0,"Empty")</f>
        <v>Triple</v>
      </c>
      <c r="R54" s="62"/>
      <c r="S54" s="62"/>
      <c r="T54" s="62"/>
      <c r="U54" s="81">
        <f>G19</f>
        <v>1</v>
      </c>
      <c r="V54" s="100">
        <f>COUNT(G19:G21)</f>
        <v>3</v>
      </c>
      <c r="W54" s="101"/>
      <c r="X54" s="108" t="str">
        <f>IF(I19=0,"",I19)</f>
        <v/>
      </c>
      <c r="Y54" s="108" t="str">
        <f>IF(J19=0,"",J19)</f>
        <v/>
      </c>
      <c r="Z54" s="120" t="s">
        <v>7561</v>
      </c>
      <c r="AA54" s="121" t="e">
        <f>VLOOKUP($M:$M,Data!$I:$J,2,FALSE)</f>
        <v>#N/A</v>
      </c>
      <c r="AB54" s="122"/>
    </row>
    <row r="55" spans="2:28">
      <c r="B55" s="50">
        <v>2</v>
      </c>
      <c r="C55" s="51">
        <f>VLOOKUP("30/201/2",Data!$A$2:$E$1425,3,FALSE)</f>
        <v>0</v>
      </c>
      <c r="D55" s="54"/>
      <c r="E55" s="55"/>
      <c r="G55" s="50">
        <v>2</v>
      </c>
      <c r="H55" s="51">
        <f>VLOOKUP("30/220/2",Data!$A$2:$E$1425,3,FALSE)</f>
        <v>0</v>
      </c>
      <c r="I55" s="54"/>
      <c r="J55" s="55"/>
      <c r="L55" s="9">
        <f>COUNTA(G20)+L54</f>
        <v>48</v>
      </c>
      <c r="M55" s="31" t="str">
        <f>H20</f>
        <v>Lange</v>
      </c>
      <c r="N55" s="82" t="s">
        <v>7430</v>
      </c>
      <c r="O55" s="36">
        <v>30</v>
      </c>
      <c r="P55" s="36">
        <v>117</v>
      </c>
      <c r="Q55" s="32"/>
      <c r="R55" s="32"/>
      <c r="S55" s="32"/>
      <c r="T55" s="32"/>
      <c r="U55" s="36">
        <f>G20</f>
        <v>2</v>
      </c>
      <c r="V55" s="103"/>
      <c r="W55" s="104"/>
      <c r="X55" s="109" t="str">
        <f t="shared" ref="X55:Y56" si="16">IF(I20=0,"",I20)</f>
        <v/>
      </c>
      <c r="Y55" s="109" t="str">
        <f t="shared" si="16"/>
        <v/>
      </c>
      <c r="Z55" s="123" t="s">
        <v>7562</v>
      </c>
      <c r="AA55" s="124" t="e">
        <f>VLOOKUP($M:$M,Data!$I:$J,2,FALSE)</f>
        <v>#N/A</v>
      </c>
      <c r="AB55" s="125"/>
    </row>
    <row r="56" ht="15.25" spans="2:28">
      <c r="B56" s="58">
        <v>3</v>
      </c>
      <c r="C56" s="59">
        <f>VLOOKUP("30/201/3",Data!$A$2:$E$1425,3,FALSE)</f>
        <v>0</v>
      </c>
      <c r="D56" s="56"/>
      <c r="E56" s="57"/>
      <c r="G56" s="58">
        <v>3</v>
      </c>
      <c r="H56" s="59">
        <f>VLOOKUP("30/220/3",Data!$A$2:$E$1425,3,FALSE)</f>
        <v>0</v>
      </c>
      <c r="I56" s="56"/>
      <c r="J56" s="57"/>
      <c r="L56" s="14">
        <f>COUNTA(G21)+L55</f>
        <v>49</v>
      </c>
      <c r="M56" s="83">
        <f>H21</f>
        <v>0</v>
      </c>
      <c r="N56" s="84" t="s">
        <v>7430</v>
      </c>
      <c r="O56" s="85">
        <v>30</v>
      </c>
      <c r="P56" s="85">
        <v>117</v>
      </c>
      <c r="Q56" s="110"/>
      <c r="R56" s="110"/>
      <c r="S56" s="110"/>
      <c r="T56" s="110"/>
      <c r="U56" s="85">
        <f>G21</f>
        <v>3</v>
      </c>
      <c r="V56" s="105"/>
      <c r="W56" s="106"/>
      <c r="X56" s="111" t="str">
        <f t="shared" si="16"/>
        <v/>
      </c>
      <c r="Y56" s="111" t="str">
        <f t="shared" si="16"/>
        <v/>
      </c>
      <c r="Z56" s="127" t="s">
        <v>7563</v>
      </c>
      <c r="AA56" s="128" t="e">
        <f>VLOOKUP($M:$M,Data!$I:$J,2,FALSE)</f>
        <v>#N/A</v>
      </c>
      <c r="AB56" s="126"/>
    </row>
    <row r="57" spans="2:28">
      <c r="B57" s="46">
        <v>202</v>
      </c>
      <c r="C57" s="47"/>
      <c r="D57" s="48" t="s">
        <v>6580</v>
      </c>
      <c r="E57" s="49" t="s">
        <v>6581</v>
      </c>
      <c r="G57" s="46">
        <v>219</v>
      </c>
      <c r="H57" s="47"/>
      <c r="I57" s="48" t="s">
        <v>6580</v>
      </c>
      <c r="J57" s="49" t="s">
        <v>6581</v>
      </c>
      <c r="L57" s="6">
        <f>COUNTA(G15)+L56</f>
        <v>50</v>
      </c>
      <c r="M57" s="79" t="str">
        <f>H15</f>
        <v>Karlsson</v>
      </c>
      <c r="N57" s="80" t="s">
        <v>7430</v>
      </c>
      <c r="O57" s="81">
        <v>30</v>
      </c>
      <c r="P57" s="81">
        <v>118</v>
      </c>
      <c r="Q57" s="62" t="str">
        <f>_xlfn.IFS(COUNTA(G15:G17)=1,"Single",COUNTA(G15:G17)=2,"Double",COUNTA(G15:G17)=3,"Triple",COUNTA(G15:G17)=0,"Empty")</f>
        <v>Triple</v>
      </c>
      <c r="R57" s="62"/>
      <c r="S57" s="62"/>
      <c r="T57" s="62"/>
      <c r="U57" s="81">
        <f>G15</f>
        <v>1</v>
      </c>
      <c r="V57" s="100">
        <f>COUNT(G15:G17)</f>
        <v>3</v>
      </c>
      <c r="W57" s="101"/>
      <c r="X57" s="108" t="str">
        <f>IF(I15=0,"",I15)</f>
        <v/>
      </c>
      <c r="Y57" s="108" t="str">
        <f>IF(J15=0,"",J15)</f>
        <v/>
      </c>
      <c r="Z57" s="120" t="s">
        <v>7564</v>
      </c>
      <c r="AA57" s="121" t="e">
        <f>VLOOKUP($M:$M,Data!$I:$J,2,FALSE)</f>
        <v>#N/A</v>
      </c>
      <c r="AB57" s="122"/>
    </row>
    <row r="58" spans="2:28">
      <c r="B58" s="50">
        <v>1</v>
      </c>
      <c r="C58" s="51" t="str">
        <f>VLOOKUP("30/202/1",Data!$A$2:$E$1425,3,FALSE)</f>
        <v>53201 Erik</v>
      </c>
      <c r="D58" s="52"/>
      <c r="E58" s="53"/>
      <c r="G58" s="50">
        <v>1</v>
      </c>
      <c r="H58" s="51" t="str">
        <f>VLOOKUP("30/219/1",Data!$A$2:$E$1425,3,FALSE)</f>
        <v>53401 Simon</v>
      </c>
      <c r="I58" s="52"/>
      <c r="J58" s="53"/>
      <c r="L58" s="9">
        <f>COUNTA(G16)+L57</f>
        <v>51</v>
      </c>
      <c r="M58" s="31" t="str">
        <f>H16</f>
        <v>Nordkvist</v>
      </c>
      <c r="N58" s="82" t="s">
        <v>7430</v>
      </c>
      <c r="O58" s="36">
        <v>30</v>
      </c>
      <c r="P58" s="36">
        <v>118</v>
      </c>
      <c r="Q58" s="32"/>
      <c r="R58" s="32"/>
      <c r="S58" s="32"/>
      <c r="T58" s="32"/>
      <c r="U58" s="36">
        <f>G16</f>
        <v>2</v>
      </c>
      <c r="V58" s="103"/>
      <c r="W58" s="104"/>
      <c r="X58" s="109" t="str">
        <f t="shared" ref="X58:Y59" si="17">IF(I16=0,"",I16)</f>
        <v/>
      </c>
      <c r="Y58" s="109" t="str">
        <f t="shared" si="17"/>
        <v/>
      </c>
      <c r="Z58" s="123" t="s">
        <v>7565</v>
      </c>
      <c r="AA58" s="124" t="e">
        <f>VLOOKUP($M:$M,Data!$I:$J,2,FALSE)</f>
        <v>#N/A</v>
      </c>
      <c r="AB58" s="125"/>
    </row>
    <row r="59" ht="15.25" spans="2:28">
      <c r="B59" s="50">
        <v>2</v>
      </c>
      <c r="C59" s="51">
        <f>VLOOKUP("30/202/2",Data!$A$2:$E$1425,3,FALSE)</f>
        <v>0</v>
      </c>
      <c r="D59" s="54"/>
      <c r="E59" s="55"/>
      <c r="G59" s="50">
        <v>2</v>
      </c>
      <c r="H59" s="51">
        <f>VLOOKUP("30/219/2",Data!$A$2:$E$1425,3,FALSE)</f>
        <v>0</v>
      </c>
      <c r="I59" s="54"/>
      <c r="J59" s="55"/>
      <c r="L59" s="14">
        <f>COUNTA(G17)+L58</f>
        <v>52</v>
      </c>
      <c r="M59" s="83">
        <f>H17</f>
        <v>0</v>
      </c>
      <c r="N59" s="84" t="s">
        <v>7430</v>
      </c>
      <c r="O59" s="85">
        <v>30</v>
      </c>
      <c r="P59" s="85">
        <v>118</v>
      </c>
      <c r="Q59" s="110"/>
      <c r="R59" s="110"/>
      <c r="S59" s="110"/>
      <c r="T59" s="110"/>
      <c r="U59" s="85">
        <f>G17</f>
        <v>3</v>
      </c>
      <c r="V59" s="105"/>
      <c r="W59" s="106"/>
      <c r="X59" s="111" t="str">
        <f t="shared" si="17"/>
        <v/>
      </c>
      <c r="Y59" s="111" t="str">
        <f t="shared" si="17"/>
        <v/>
      </c>
      <c r="Z59" s="127" t="s">
        <v>7566</v>
      </c>
      <c r="AA59" s="128" t="e">
        <f>VLOOKUP($M:$M,Data!$I:$J,2,FALSE)</f>
        <v>#N/A</v>
      </c>
      <c r="AB59" s="126"/>
    </row>
    <row r="60" ht="15.25" spans="2:28">
      <c r="B60" s="58">
        <v>3</v>
      </c>
      <c r="C60" s="59">
        <f>VLOOKUP("30/202/3",Data!$A$2:$E$1425,3,FALSE)</f>
        <v>0</v>
      </c>
      <c r="D60" s="56"/>
      <c r="E60" s="57"/>
      <c r="G60" s="58">
        <v>3</v>
      </c>
      <c r="H60" s="59">
        <f>VLOOKUP("30/219/3",Data!$A$2:$E$1425,3,FALSE)</f>
        <v>0</v>
      </c>
      <c r="I60" s="56"/>
      <c r="J60" s="57"/>
      <c r="L60" s="6">
        <f>COUNTA(G11)+L59</f>
        <v>53</v>
      </c>
      <c r="M60" s="79" t="str">
        <f>H11</f>
        <v>52002 Felix </v>
      </c>
      <c r="N60" s="80" t="s">
        <v>7430</v>
      </c>
      <c r="O60" s="81">
        <v>30</v>
      </c>
      <c r="P60" s="81">
        <v>119</v>
      </c>
      <c r="Q60" s="62" t="str">
        <f>_xlfn.IFS(COUNTA(G11:G13)=1,"Single",COUNTA(G11:G13)=2,"Double",COUNTA(G11:G13)=3,"Triple",COUNTA(G11:G13)=0,"Empty")</f>
        <v>Double</v>
      </c>
      <c r="R60" s="62"/>
      <c r="S60" s="62"/>
      <c r="T60" s="62"/>
      <c r="U60" s="81">
        <f>G11</f>
        <v>1</v>
      </c>
      <c r="V60" s="100">
        <f>COUNT(G11:G13)</f>
        <v>2</v>
      </c>
      <c r="W60" s="101"/>
      <c r="X60" s="108" t="str">
        <f>IF(I11=0,"",I11)</f>
        <v/>
      </c>
      <c r="Y60" s="108" t="str">
        <f>IF(J11=0,"",J11)</f>
        <v/>
      </c>
      <c r="Z60" s="120" t="s">
        <v>7567</v>
      </c>
      <c r="AA60" s="121" t="e">
        <f>VLOOKUP($M:$M,Data!$I:$J,2,FALSE)</f>
        <v>#N/A</v>
      </c>
      <c r="AB60" s="122"/>
    </row>
    <row r="61" spans="2:28">
      <c r="B61" s="46">
        <v>203</v>
      </c>
      <c r="C61" s="47"/>
      <c r="D61" s="48" t="s">
        <v>6580</v>
      </c>
      <c r="E61" s="49" t="s">
        <v>6581</v>
      </c>
      <c r="G61" s="46">
        <v>218</v>
      </c>
      <c r="H61" s="47"/>
      <c r="I61" s="48" t="s">
        <v>6580</v>
      </c>
      <c r="J61" s="49" t="s">
        <v>6581</v>
      </c>
      <c r="L61" s="9">
        <f>COUNTA(G12)+L60</f>
        <v>54</v>
      </c>
      <c r="M61" s="31">
        <f>H12</f>
        <v>0</v>
      </c>
      <c r="N61" s="82" t="s">
        <v>7430</v>
      </c>
      <c r="O61" s="36">
        <v>30</v>
      </c>
      <c r="P61" s="36">
        <v>119</v>
      </c>
      <c r="Q61" s="32"/>
      <c r="R61" s="32"/>
      <c r="S61" s="32"/>
      <c r="T61" s="32"/>
      <c r="U61" s="36">
        <f>G12</f>
        <v>2</v>
      </c>
      <c r="V61" s="103"/>
      <c r="W61" s="104"/>
      <c r="X61" s="109" t="str">
        <f t="shared" ref="X61:Y62" si="18">IF(I12=0,"",I12)</f>
        <v/>
      </c>
      <c r="Y61" s="109" t="str">
        <f t="shared" si="18"/>
        <v/>
      </c>
      <c r="Z61" s="123" t="s">
        <v>7568</v>
      </c>
      <c r="AA61" s="124" t="e">
        <f>VLOOKUP($M:$M,Data!$I:$J,2,FALSE)</f>
        <v>#N/A</v>
      </c>
      <c r="AB61" s="125"/>
    </row>
    <row r="62" ht="15.25" spans="2:28">
      <c r="B62" s="50">
        <v>1</v>
      </c>
      <c r="C62" s="51" t="str">
        <f>VLOOKUP("30/203/1",Data!$A$2:$E$1425,3,FALSE)</f>
        <v>53501 Kuno</v>
      </c>
      <c r="D62" s="52"/>
      <c r="E62" s="53"/>
      <c r="G62" s="50">
        <v>1</v>
      </c>
      <c r="H62" s="51" t="str">
        <f>VLOOKUP("30/218/1",Data!$A$2:$E$1425,3,FALSE)</f>
        <v>53301 Elias</v>
      </c>
      <c r="I62" s="52"/>
      <c r="J62" s="53"/>
      <c r="L62" s="14">
        <f>COUNTA(G13)+L61</f>
        <v>54</v>
      </c>
      <c r="M62" s="83">
        <f>H13</f>
        <v>0</v>
      </c>
      <c r="N62" s="84" t="s">
        <v>7430</v>
      </c>
      <c r="O62" s="85">
        <v>30</v>
      </c>
      <c r="P62" s="85">
        <v>119</v>
      </c>
      <c r="Q62" s="110"/>
      <c r="R62" s="110"/>
      <c r="S62" s="110"/>
      <c r="T62" s="110"/>
      <c r="U62" s="85">
        <f>G13</f>
        <v>0</v>
      </c>
      <c r="V62" s="105"/>
      <c r="W62" s="106"/>
      <c r="X62" s="111" t="str">
        <f t="shared" si="18"/>
        <v/>
      </c>
      <c r="Y62" s="111" t="str">
        <f t="shared" si="18"/>
        <v/>
      </c>
      <c r="Z62" s="127"/>
      <c r="AA62" s="128" t="e">
        <f>VLOOKUP($M:$M,Data!$I:$J,2,FALSE)</f>
        <v>#N/A</v>
      </c>
      <c r="AB62" s="126"/>
    </row>
    <row r="63" spans="2:28">
      <c r="B63" s="50">
        <v>2</v>
      </c>
      <c r="C63" s="51">
        <f>VLOOKUP("30/203/2",Data!$A$2:$E$1425,3,FALSE)</f>
        <v>0</v>
      </c>
      <c r="D63" s="54"/>
      <c r="E63" s="55"/>
      <c r="G63" s="50">
        <v>2</v>
      </c>
      <c r="H63" s="51" t="str">
        <f>VLOOKUP("30/218/2",Data!$A$2:$E$1425,3,FALSE)</f>
        <v>53311 Anton</v>
      </c>
      <c r="I63" s="54"/>
      <c r="J63" s="55"/>
      <c r="L63" s="6">
        <f>COUNTA(G7)+L62</f>
        <v>55</v>
      </c>
      <c r="M63" s="79" t="str">
        <f>H7</f>
        <v>52001 Filip </v>
      </c>
      <c r="N63" s="80" t="s">
        <v>7430</v>
      </c>
      <c r="O63" s="81">
        <v>30</v>
      </c>
      <c r="P63" s="81">
        <v>120</v>
      </c>
      <c r="Q63" s="62" t="str">
        <f>_xlfn.IFS(COUNTA(G7:G9)=1,"Single",COUNTA(G7:G9)=2,"Double",COUNTA(G7:G9)=3,"Triple",COUNTA(G7:G9)=0,"Empty")</f>
        <v>Double</v>
      </c>
      <c r="R63" s="62"/>
      <c r="S63" s="62"/>
      <c r="T63" s="62"/>
      <c r="U63" s="81">
        <f>G7</f>
        <v>1</v>
      </c>
      <c r="V63" s="100">
        <f>COUNT(G7:G9)</f>
        <v>2</v>
      </c>
      <c r="W63" s="101"/>
      <c r="X63" s="108" t="str">
        <f>IF(I7=0,"",I7)</f>
        <v/>
      </c>
      <c r="Y63" s="108" t="str">
        <f>IF(J7=0,"",J7)</f>
        <v/>
      </c>
      <c r="Z63" s="120" t="s">
        <v>7569</v>
      </c>
      <c r="AA63" s="121" t="e">
        <f>VLOOKUP($M:$M,Data!$I:$J,2,FALSE)</f>
        <v>#N/A</v>
      </c>
      <c r="AB63" s="122"/>
    </row>
    <row r="64" ht="15.25" spans="2:28">
      <c r="B64" s="58">
        <v>3</v>
      </c>
      <c r="C64" s="59">
        <f>VLOOKUP("30/203/3",Data!$A$2:$E$1425,3,FALSE)</f>
        <v>0</v>
      </c>
      <c r="D64" s="56"/>
      <c r="E64" s="57"/>
      <c r="G64" s="58">
        <v>3</v>
      </c>
      <c r="H64" s="59">
        <f>VLOOKUP("30/218/3",Data!$A$2:$E$1425,3,FALSE)</f>
        <v>0</v>
      </c>
      <c r="I64" s="56"/>
      <c r="J64" s="57"/>
      <c r="L64" s="9">
        <f>COUNTA(G8)+L63</f>
        <v>56</v>
      </c>
      <c r="M64" s="31">
        <f>H8</f>
        <v>0</v>
      </c>
      <c r="N64" s="82" t="s">
        <v>7430</v>
      </c>
      <c r="O64" s="36">
        <v>30</v>
      </c>
      <c r="P64" s="36">
        <v>120</v>
      </c>
      <c r="Q64" s="32"/>
      <c r="R64" s="32"/>
      <c r="S64" s="32"/>
      <c r="T64" s="32"/>
      <c r="U64" s="36">
        <f>G8</f>
        <v>2</v>
      </c>
      <c r="V64" s="103"/>
      <c r="W64" s="104"/>
      <c r="X64" s="109" t="str">
        <f t="shared" ref="X64:Y65" si="19">IF(I8=0,"",I8)</f>
        <v/>
      </c>
      <c r="Y64" s="109" t="str">
        <f t="shared" si="19"/>
        <v/>
      </c>
      <c r="Z64" s="123" t="s">
        <v>7570</v>
      </c>
      <c r="AA64" s="124" t="e">
        <f>VLOOKUP($M:$M,Data!$I:$J,2,FALSE)</f>
        <v>#N/A</v>
      </c>
      <c r="AB64" s="125"/>
    </row>
    <row r="65" ht="15.25" spans="2:28">
      <c r="B65" s="46">
        <v>204</v>
      </c>
      <c r="C65" s="47"/>
      <c r="D65" s="48" t="s">
        <v>6580</v>
      </c>
      <c r="E65" s="49" t="s">
        <v>6581</v>
      </c>
      <c r="G65" s="46">
        <v>217</v>
      </c>
      <c r="H65" s="47"/>
      <c r="I65" s="48" t="s">
        <v>6580</v>
      </c>
      <c r="J65" s="49" t="s">
        <v>6581</v>
      </c>
      <c r="L65" s="14">
        <f>COUNTA(G9)+L64</f>
        <v>56</v>
      </c>
      <c r="M65" s="83">
        <f>H9</f>
        <v>0</v>
      </c>
      <c r="N65" s="84" t="s">
        <v>7430</v>
      </c>
      <c r="O65" s="85">
        <v>30</v>
      </c>
      <c r="P65" s="85">
        <v>120</v>
      </c>
      <c r="Q65" s="110"/>
      <c r="R65" s="110"/>
      <c r="S65" s="110"/>
      <c r="T65" s="110"/>
      <c r="U65" s="85">
        <f>G9</f>
        <v>0</v>
      </c>
      <c r="V65" s="105"/>
      <c r="W65" s="106"/>
      <c r="X65" s="111" t="str">
        <f t="shared" si="19"/>
        <v/>
      </c>
      <c r="Y65" s="111" t="str">
        <f t="shared" si="19"/>
        <v/>
      </c>
      <c r="Z65" s="127"/>
      <c r="AA65" s="128" t="e">
        <f>VLOOKUP($M:$M,Data!$I:$J,2,FALSE)</f>
        <v>#N/A</v>
      </c>
      <c r="AB65" s="126"/>
    </row>
    <row r="66" spans="2:28">
      <c r="B66" s="50">
        <v>1</v>
      </c>
      <c r="C66" s="51" t="str">
        <f>VLOOKUP("30/204/1",Data!$A$2:$E$1425,3,FALSE)</f>
        <v>53312 Christoffer</v>
      </c>
      <c r="D66" s="52"/>
      <c r="E66" s="53"/>
      <c r="G66" s="50">
        <v>1</v>
      </c>
      <c r="H66" s="51" t="str">
        <f>VLOOKUP("30/217/1",Data!$A$2:$E$1425,3,FALSE)</f>
        <v>53101 Adam</v>
      </c>
      <c r="I66" s="52"/>
      <c r="J66" s="53"/>
      <c r="L66" s="6">
        <f>COUNTA(B54)+L65</f>
        <v>57</v>
      </c>
      <c r="M66" s="79" t="str">
        <f>C54</f>
        <v>53001 Elias </v>
      </c>
      <c r="N66" s="80" t="s">
        <v>7430</v>
      </c>
      <c r="O66" s="81">
        <v>30</v>
      </c>
      <c r="P66" s="81">
        <v>201</v>
      </c>
      <c r="Q66" s="62" t="str">
        <f>_xlfn.IFS(COUNTA(B54:B56)=1,"Single",COUNTA(B54:B56)=2,"Double",COUNTA(B54:B56)=3,"Triple",COUNTA(B54:B56)=0,"Empty")</f>
        <v>Triple</v>
      </c>
      <c r="R66" s="62"/>
      <c r="S66" s="62"/>
      <c r="T66" s="62"/>
      <c r="U66" s="81">
        <f>B54</f>
        <v>1</v>
      </c>
      <c r="V66" s="100">
        <f>COUNT(B54:B56)</f>
        <v>3</v>
      </c>
      <c r="W66" s="101"/>
      <c r="X66" s="108" t="str">
        <f>IF(D54=0,"",D54)</f>
        <v/>
      </c>
      <c r="Y66" s="108" t="str">
        <f>IF(E54=0,"",E54)</f>
        <v/>
      </c>
      <c r="Z66" s="120" t="s">
        <v>7571</v>
      </c>
      <c r="AA66" s="121" t="e">
        <f>VLOOKUP($M:$M,Data!$I:$J,2,FALSE)</f>
        <v>#N/A</v>
      </c>
      <c r="AB66" s="122"/>
    </row>
    <row r="67" spans="2:28">
      <c r="B67" s="50">
        <v>2</v>
      </c>
      <c r="C67" s="51" t="str">
        <f>VLOOKUP("30/204/2",Data!$A$2:$E$1425,3,FALSE)</f>
        <v>53207 Johannes</v>
      </c>
      <c r="D67" s="54"/>
      <c r="E67" s="55"/>
      <c r="G67" s="50">
        <v>2</v>
      </c>
      <c r="H67" s="51" t="str">
        <f>VLOOKUP("30/217/2",Data!$A$2:$E$1425,3,FALSE)</f>
        <v>53302 Johan</v>
      </c>
      <c r="I67" s="54"/>
      <c r="J67" s="55"/>
      <c r="L67" s="9">
        <f>COUNTA(B55)+L66</f>
        <v>58</v>
      </c>
      <c r="M67" s="31">
        <f>C55</f>
        <v>0</v>
      </c>
      <c r="N67" s="82" t="s">
        <v>7430</v>
      </c>
      <c r="O67" s="36">
        <v>30</v>
      </c>
      <c r="P67" s="36">
        <v>201</v>
      </c>
      <c r="Q67" s="32"/>
      <c r="R67" s="32"/>
      <c r="S67" s="32"/>
      <c r="T67" s="32"/>
      <c r="U67" s="36">
        <f>B55</f>
        <v>2</v>
      </c>
      <c r="V67" s="103"/>
      <c r="W67" s="104"/>
      <c r="X67" s="109" t="str">
        <f t="shared" ref="X67:Y68" si="20">IF(D55=0,"",D55)</f>
        <v/>
      </c>
      <c r="Y67" s="109" t="str">
        <f t="shared" si="20"/>
        <v/>
      </c>
      <c r="Z67" s="123" t="s">
        <v>7572</v>
      </c>
      <c r="AA67" s="124" t="e">
        <f>VLOOKUP($M:$M,Data!$I:$J,2,FALSE)</f>
        <v>#N/A</v>
      </c>
      <c r="AB67" s="125"/>
    </row>
    <row r="68" ht="15.25" spans="2:28">
      <c r="B68" s="58">
        <v>3</v>
      </c>
      <c r="C68" s="59">
        <f>VLOOKUP("30/204/3",Data!$A$2:$E$1425,3,FALSE)</f>
        <v>0</v>
      </c>
      <c r="D68" s="56"/>
      <c r="E68" s="57"/>
      <c r="G68" s="58">
        <v>3</v>
      </c>
      <c r="H68" s="59">
        <f>VLOOKUP("30/217/3",Data!$A$2:$E$1425,3,FALSE)</f>
        <v>0</v>
      </c>
      <c r="I68" s="56"/>
      <c r="J68" s="57"/>
      <c r="L68" s="14">
        <f>COUNTA(B56)+L67</f>
        <v>59</v>
      </c>
      <c r="M68" s="83">
        <f>C56</f>
        <v>0</v>
      </c>
      <c r="N68" s="84" t="s">
        <v>7430</v>
      </c>
      <c r="O68" s="85">
        <v>30</v>
      </c>
      <c r="P68" s="85">
        <v>201</v>
      </c>
      <c r="Q68" s="110"/>
      <c r="R68" s="110"/>
      <c r="S68" s="110"/>
      <c r="T68" s="110"/>
      <c r="U68" s="85">
        <f>B56</f>
        <v>3</v>
      </c>
      <c r="V68" s="105"/>
      <c r="W68" s="106"/>
      <c r="X68" s="111" t="str">
        <f t="shared" si="20"/>
        <v/>
      </c>
      <c r="Y68" s="111" t="str">
        <f t="shared" si="20"/>
        <v/>
      </c>
      <c r="Z68" s="127" t="s">
        <v>7573</v>
      </c>
      <c r="AA68" s="128" t="e">
        <f>VLOOKUP($M:$M,Data!$I:$J,2,FALSE)</f>
        <v>#N/A</v>
      </c>
      <c r="AB68" s="126"/>
    </row>
    <row r="69" spans="2:28">
      <c r="B69" s="46">
        <v>205</v>
      </c>
      <c r="C69" s="47"/>
      <c r="D69" s="48" t="s">
        <v>6580</v>
      </c>
      <c r="E69" s="49" t="s">
        <v>6581</v>
      </c>
      <c r="G69" s="46">
        <v>216</v>
      </c>
      <c r="H69" s="47"/>
      <c r="I69" s="48" t="s">
        <v>6580</v>
      </c>
      <c r="J69" s="49" t="s">
        <v>6581</v>
      </c>
      <c r="L69" s="6">
        <f>COUNTA(B58)+L68</f>
        <v>60</v>
      </c>
      <c r="M69" s="79" t="str">
        <f>C58</f>
        <v>53201 Erik</v>
      </c>
      <c r="N69" s="80" t="s">
        <v>7430</v>
      </c>
      <c r="O69" s="81">
        <v>30</v>
      </c>
      <c r="P69" s="81">
        <v>202</v>
      </c>
      <c r="Q69" s="62" t="str">
        <f>_xlfn.IFS(COUNTA(B58:B60)=1,"Single",COUNTA(B58:B60)=2,"Double",COUNTA(B58:B60)=3,"Triple",COUNTA(B58:B60)=0,"Empty")</f>
        <v>Triple</v>
      </c>
      <c r="R69" s="62"/>
      <c r="S69" s="62"/>
      <c r="T69" s="62"/>
      <c r="U69" s="81">
        <f>B58</f>
        <v>1</v>
      </c>
      <c r="V69" s="100">
        <f>COUNT(B58:B60)</f>
        <v>3</v>
      </c>
      <c r="W69" s="101"/>
      <c r="X69" s="108" t="str">
        <f>IF(D58=0,"",D58)</f>
        <v/>
      </c>
      <c r="Y69" s="108" t="str">
        <f>IF(E58=0,"",E58)</f>
        <v/>
      </c>
      <c r="Z69" s="120" t="s">
        <v>7574</v>
      </c>
      <c r="AA69" s="121" t="e">
        <f>VLOOKUP($M:$M,Data!$I:$J,2,FALSE)</f>
        <v>#N/A</v>
      </c>
      <c r="AB69" s="122"/>
    </row>
    <row r="70" spans="2:28">
      <c r="B70" s="50">
        <v>1</v>
      </c>
      <c r="C70" s="51" t="str">
        <f>VLOOKUP("30/205/1",Data!$A$2:$E$1425,3,FALSE)</f>
        <v>53507 Kajsa</v>
      </c>
      <c r="D70" s="52"/>
      <c r="E70" s="53"/>
      <c r="G70" s="50">
        <v>1</v>
      </c>
      <c r="H70" s="51" t="str">
        <f>VLOOKUP("30/216/1",Data!$A$2:$E$1425,3,FALSE)</f>
        <v>53102 Adrian</v>
      </c>
      <c r="I70" s="52"/>
      <c r="J70" s="53"/>
      <c r="L70" s="9">
        <f>COUNTA(B59)+L69</f>
        <v>61</v>
      </c>
      <c r="M70" s="31">
        <f>C59</f>
        <v>0</v>
      </c>
      <c r="N70" s="82" t="s">
        <v>7430</v>
      </c>
      <c r="O70" s="36">
        <v>30</v>
      </c>
      <c r="P70" s="36">
        <v>202</v>
      </c>
      <c r="Q70" s="32"/>
      <c r="R70" s="32"/>
      <c r="S70" s="32"/>
      <c r="T70" s="32"/>
      <c r="U70" s="36">
        <f>B59</f>
        <v>2</v>
      </c>
      <c r="V70" s="103"/>
      <c r="W70" s="104"/>
      <c r="X70" s="109" t="str">
        <f t="shared" ref="X70:Y71" si="21">IF(D59=0,"",D59)</f>
        <v/>
      </c>
      <c r="Y70" s="109" t="str">
        <f t="shared" si="21"/>
        <v/>
      </c>
      <c r="Z70" s="123" t="s">
        <v>7575</v>
      </c>
      <c r="AA70" s="124" t="e">
        <f>VLOOKUP($M:$M,Data!$I:$J,2,FALSE)</f>
        <v>#N/A</v>
      </c>
      <c r="AB70" s="125"/>
    </row>
    <row r="71" ht="15.25" spans="2:28">
      <c r="B71" s="50">
        <v>2</v>
      </c>
      <c r="C71" s="51">
        <f>VLOOKUP("30/205/2",Data!$A$2:$E$1425,3,FALSE)</f>
        <v>0</v>
      </c>
      <c r="D71" s="54"/>
      <c r="E71" s="55"/>
      <c r="G71" s="50">
        <v>2</v>
      </c>
      <c r="H71" s="51" t="str">
        <f>VLOOKUP("30/216/2",Data!$A$2:$E$1425,3,FALSE)</f>
        <v>53108 Julius</v>
      </c>
      <c r="I71" s="54"/>
      <c r="J71" s="55"/>
      <c r="L71" s="14">
        <f>COUNTA(B60)+L70</f>
        <v>62</v>
      </c>
      <c r="M71" s="83">
        <f>C60</f>
        <v>0</v>
      </c>
      <c r="N71" s="84" t="s">
        <v>7430</v>
      </c>
      <c r="O71" s="85">
        <v>30</v>
      </c>
      <c r="P71" s="85">
        <v>202</v>
      </c>
      <c r="Q71" s="110"/>
      <c r="R71" s="110"/>
      <c r="S71" s="110"/>
      <c r="T71" s="110"/>
      <c r="U71" s="85">
        <f>B60</f>
        <v>3</v>
      </c>
      <c r="V71" s="105"/>
      <c r="W71" s="106"/>
      <c r="X71" s="111" t="str">
        <f t="shared" si="21"/>
        <v/>
      </c>
      <c r="Y71" s="111" t="str">
        <f t="shared" si="21"/>
        <v/>
      </c>
      <c r="Z71" s="127" t="s">
        <v>7576</v>
      </c>
      <c r="AA71" s="128" t="e">
        <f>VLOOKUP($M:$M,Data!$I:$J,2,FALSE)</f>
        <v>#N/A</v>
      </c>
      <c r="AB71" s="126"/>
    </row>
    <row r="72" ht="15.25" spans="2:28">
      <c r="B72" s="58">
        <v>3</v>
      </c>
      <c r="C72" s="59">
        <f>VLOOKUP("30/205/3",Data!$A$2:$E$1425,3,FALSE)</f>
        <v>0</v>
      </c>
      <c r="D72" s="56"/>
      <c r="E72" s="57"/>
      <c r="G72" s="58"/>
      <c r="H72" s="59">
        <f>VLOOKUP("30/216/3",Data!$A$2:$E$1425,3,FALSE)</f>
        <v>0</v>
      </c>
      <c r="I72" s="56"/>
      <c r="J72" s="57"/>
      <c r="L72" s="6">
        <f>COUNTA(B62)+L71</f>
        <v>63</v>
      </c>
      <c r="M72" s="79" t="str">
        <f>C62</f>
        <v>53501 Kuno</v>
      </c>
      <c r="N72" s="80" t="s">
        <v>7430</v>
      </c>
      <c r="O72" s="81">
        <v>30</v>
      </c>
      <c r="P72" s="81">
        <v>203</v>
      </c>
      <c r="Q72" s="62" t="str">
        <f>_xlfn.IFS(COUNTA(B62:B64)=1,"Single",COUNTA(B62:B64)=2,"Double",COUNTA(B62:B64)=3,"Triple",COUNTA(B62:B64)=0,"Empty")</f>
        <v>Triple</v>
      </c>
      <c r="R72" s="62"/>
      <c r="S72" s="62"/>
      <c r="T72" s="62"/>
      <c r="U72" s="81">
        <f>B62</f>
        <v>1</v>
      </c>
      <c r="V72" s="100">
        <f>COUNT(B62:B64)</f>
        <v>3</v>
      </c>
      <c r="W72" s="101"/>
      <c r="X72" s="108" t="str">
        <f>IF(D62=0,"",D62)</f>
        <v/>
      </c>
      <c r="Y72" s="108" t="str">
        <f>IF(E62=0,"",E62)</f>
        <v/>
      </c>
      <c r="Z72" s="120" t="s">
        <v>7577</v>
      </c>
      <c r="AA72" s="121" t="e">
        <f>VLOOKUP($M:$M,Data!$I:$J,2,FALSE)</f>
        <v>#N/A</v>
      </c>
      <c r="AB72" s="122"/>
    </row>
    <row r="73" spans="2:28">
      <c r="B73" s="46">
        <v>206</v>
      </c>
      <c r="C73" s="47"/>
      <c r="D73" s="48" t="s">
        <v>6580</v>
      </c>
      <c r="E73" s="49" t="s">
        <v>6581</v>
      </c>
      <c r="G73" s="67" t="s">
        <v>7435</v>
      </c>
      <c r="H73" s="68"/>
      <c r="I73" s="68"/>
      <c r="J73" s="86"/>
      <c r="L73" s="9">
        <f>COUNTA(B63)+L72</f>
        <v>64</v>
      </c>
      <c r="M73" s="31">
        <f>C63</f>
        <v>0</v>
      </c>
      <c r="N73" s="82" t="s">
        <v>7430</v>
      </c>
      <c r="O73" s="36">
        <v>30</v>
      </c>
      <c r="P73" s="36">
        <v>203</v>
      </c>
      <c r="Q73" s="32"/>
      <c r="R73" s="32"/>
      <c r="S73" s="32"/>
      <c r="T73" s="32"/>
      <c r="U73" s="36">
        <f>B63</f>
        <v>2</v>
      </c>
      <c r="V73" s="103"/>
      <c r="W73" s="104"/>
      <c r="X73" s="109" t="str">
        <f t="shared" ref="X73:Y74" si="22">IF(D63=0,"",D63)</f>
        <v/>
      </c>
      <c r="Y73" s="109" t="str">
        <f t="shared" si="22"/>
        <v/>
      </c>
      <c r="Z73" s="123" t="s">
        <v>7578</v>
      </c>
      <c r="AA73" s="124" t="e">
        <f>VLOOKUP($M:$M,Data!$I:$J,2,FALSE)</f>
        <v>#N/A</v>
      </c>
      <c r="AB73" s="125"/>
    </row>
    <row r="74" ht="15.25" spans="2:28">
      <c r="B74" s="50">
        <v>1</v>
      </c>
      <c r="C74" s="51" t="str">
        <f>VLOOKUP("30/206/1",Data!$A$2:$E$1425,3,FALSE)</f>
        <v>53509 Emil</v>
      </c>
      <c r="D74" s="52"/>
      <c r="E74" s="53"/>
      <c r="G74" s="69"/>
      <c r="H74" s="70"/>
      <c r="I74" s="70"/>
      <c r="J74" s="87"/>
      <c r="L74" s="14">
        <f>COUNTA(B64)+L73</f>
        <v>65</v>
      </c>
      <c r="M74" s="83">
        <f>C64</f>
        <v>0</v>
      </c>
      <c r="N74" s="84" t="s">
        <v>7430</v>
      </c>
      <c r="O74" s="85">
        <v>30</v>
      </c>
      <c r="P74" s="85">
        <v>203</v>
      </c>
      <c r="Q74" s="110"/>
      <c r="R74" s="110"/>
      <c r="S74" s="110"/>
      <c r="T74" s="110"/>
      <c r="U74" s="85">
        <f>B64</f>
        <v>3</v>
      </c>
      <c r="V74" s="105"/>
      <c r="W74" s="106"/>
      <c r="X74" s="111" t="str">
        <f t="shared" si="22"/>
        <v/>
      </c>
      <c r="Y74" s="111" t="str">
        <f t="shared" si="22"/>
        <v/>
      </c>
      <c r="Z74" s="127" t="s">
        <v>7579</v>
      </c>
      <c r="AA74" s="128" t="e">
        <f>VLOOKUP($M:$M,Data!$I:$J,2,FALSE)</f>
        <v>#N/A</v>
      </c>
      <c r="AB74" s="126"/>
    </row>
    <row r="75" spans="2:28">
      <c r="B75" s="50">
        <v>2</v>
      </c>
      <c r="C75" s="51" t="str">
        <f>VLOOKUP("30/206/2",Data!$A$2:$E$1425,3,FALSE)</f>
        <v>53508 Jonas</v>
      </c>
      <c r="D75" s="54"/>
      <c r="E75" s="55"/>
      <c r="G75" s="69"/>
      <c r="H75" s="70"/>
      <c r="I75" s="70"/>
      <c r="J75" s="87"/>
      <c r="L75" s="6">
        <f>COUNTA(B66)+L74</f>
        <v>66</v>
      </c>
      <c r="M75" s="79" t="str">
        <f>C66</f>
        <v>53312 Christoffer</v>
      </c>
      <c r="N75" s="80" t="s">
        <v>7430</v>
      </c>
      <c r="O75" s="81">
        <v>30</v>
      </c>
      <c r="P75" s="81">
        <v>204</v>
      </c>
      <c r="Q75" s="62" t="str">
        <f>_xlfn.IFS(COUNTA(B66:B68)=1,"Single",COUNTA(B66:B68)=2,"Double",COUNTA(B66:B68)=3,"Triple",COUNTA(B66:B68)=0,"Empty")</f>
        <v>Triple</v>
      </c>
      <c r="R75" s="62"/>
      <c r="S75" s="62"/>
      <c r="T75" s="62"/>
      <c r="U75" s="81">
        <f>B66</f>
        <v>1</v>
      </c>
      <c r="V75" s="100">
        <f>COUNT(B66:B68)</f>
        <v>3</v>
      </c>
      <c r="W75" s="101"/>
      <c r="X75" s="108" t="str">
        <f>IF(D66=0,"",D66)</f>
        <v/>
      </c>
      <c r="Y75" s="108" t="str">
        <f>IF(E66=0,"",E66)</f>
        <v/>
      </c>
      <c r="Z75" s="120" t="s">
        <v>3618</v>
      </c>
      <c r="AA75" s="121" t="e">
        <f>VLOOKUP($M:$M,Data!$I:$J,2,FALSE)</f>
        <v>#N/A</v>
      </c>
      <c r="AB75" s="122"/>
    </row>
    <row r="76" ht="15.25" spans="2:28">
      <c r="B76" s="58"/>
      <c r="C76" s="59">
        <f>VLOOKUP("30/206/3",Data!$A$2:$E$1425,3,FALSE)</f>
        <v>0</v>
      </c>
      <c r="D76" s="56"/>
      <c r="E76" s="57"/>
      <c r="G76" s="69"/>
      <c r="H76" s="70"/>
      <c r="I76" s="70"/>
      <c r="J76" s="87"/>
      <c r="L76" s="9">
        <f>COUNTA(B67)+L75</f>
        <v>67</v>
      </c>
      <c r="M76" s="31" t="str">
        <f>C67</f>
        <v>53207 Johannes</v>
      </c>
      <c r="N76" s="82" t="s">
        <v>7430</v>
      </c>
      <c r="O76" s="36">
        <v>30</v>
      </c>
      <c r="P76" s="36">
        <v>204</v>
      </c>
      <c r="Q76" s="32"/>
      <c r="R76" s="32"/>
      <c r="S76" s="32"/>
      <c r="T76" s="32"/>
      <c r="U76" s="36">
        <f>B67</f>
        <v>2</v>
      </c>
      <c r="V76" s="103"/>
      <c r="W76" s="104"/>
      <c r="X76" s="109" t="str">
        <f t="shared" ref="X76:Y77" si="23">IF(D67=0,"",D67)</f>
        <v/>
      </c>
      <c r="Y76" s="109" t="str">
        <f t="shared" si="23"/>
        <v/>
      </c>
      <c r="Z76" s="123" t="s">
        <v>3609</v>
      </c>
      <c r="AA76" s="124" t="e">
        <f>VLOOKUP($M:$M,Data!$I:$J,2,FALSE)</f>
        <v>#N/A</v>
      </c>
      <c r="AB76" s="125"/>
    </row>
    <row r="77" ht="15.25" spans="2:28">
      <c r="B77" s="46">
        <v>207</v>
      </c>
      <c r="C77" s="47"/>
      <c r="D77" s="48" t="s">
        <v>6580</v>
      </c>
      <c r="E77" s="49" t="s">
        <v>6581</v>
      </c>
      <c r="G77" s="69"/>
      <c r="H77" s="70"/>
      <c r="I77" s="70"/>
      <c r="J77" s="87"/>
      <c r="L77" s="14">
        <f>COUNTA(B68)+L76</f>
        <v>68</v>
      </c>
      <c r="M77" s="83">
        <f>C68</f>
        <v>0</v>
      </c>
      <c r="N77" s="84" t="s">
        <v>7430</v>
      </c>
      <c r="O77" s="85">
        <v>30</v>
      </c>
      <c r="P77" s="85">
        <v>204</v>
      </c>
      <c r="Q77" s="110"/>
      <c r="R77" s="110"/>
      <c r="S77" s="110"/>
      <c r="T77" s="110"/>
      <c r="U77" s="85">
        <f>B68</f>
        <v>3</v>
      </c>
      <c r="V77" s="105"/>
      <c r="W77" s="106"/>
      <c r="X77" s="111" t="str">
        <f t="shared" si="23"/>
        <v/>
      </c>
      <c r="Y77" s="111" t="str">
        <f t="shared" si="23"/>
        <v/>
      </c>
      <c r="Z77" s="127" t="s">
        <v>3590</v>
      </c>
      <c r="AA77" s="128" t="e">
        <f>VLOOKUP($M:$M,Data!$I:$J,2,FALSE)</f>
        <v>#N/A</v>
      </c>
      <c r="AB77" s="126"/>
    </row>
    <row r="78" spans="2:28">
      <c r="B78" s="50">
        <v>1</v>
      </c>
      <c r="C78" s="51" t="str">
        <f>VLOOKUP("30/207/1",Data!$A$2:$E$1425,3,FALSE)</f>
        <v>53209 Ivar</v>
      </c>
      <c r="D78" s="52"/>
      <c r="E78" s="53"/>
      <c r="G78" s="69"/>
      <c r="H78" s="70"/>
      <c r="I78" s="70"/>
      <c r="J78" s="87"/>
      <c r="L78" s="6">
        <f>COUNTA(B70)+L77</f>
        <v>69</v>
      </c>
      <c r="M78" s="79" t="str">
        <f>C70</f>
        <v>53507 Kajsa</v>
      </c>
      <c r="N78" s="80" t="s">
        <v>7430</v>
      </c>
      <c r="O78" s="81">
        <v>30</v>
      </c>
      <c r="P78" s="81">
        <v>205</v>
      </c>
      <c r="Q78" s="62" t="str">
        <f>_xlfn.IFS(COUNTA(B70:B72)=1,"Single",COUNTA(B70:B72)=2,"Double",COUNTA(B70:B72)=3,"Triple",COUNTA(B70:B72)=0,"Empty")</f>
        <v>Triple</v>
      </c>
      <c r="R78" s="62"/>
      <c r="S78" s="62"/>
      <c r="T78" s="62"/>
      <c r="U78" s="81">
        <f>B70</f>
        <v>1</v>
      </c>
      <c r="V78" s="100">
        <f>COUNT(B70:B72)</f>
        <v>3</v>
      </c>
      <c r="W78" s="101"/>
      <c r="X78" s="108" t="str">
        <f>IF(D70=0,"",D70)</f>
        <v/>
      </c>
      <c r="Y78" s="108" t="str">
        <f>IF(E70=0,"",E70)</f>
        <v/>
      </c>
      <c r="Z78" s="120" t="s">
        <v>3580</v>
      </c>
      <c r="AA78" s="121" t="e">
        <f>VLOOKUP($M:$M,Data!$I:$J,2,FALSE)</f>
        <v>#N/A</v>
      </c>
      <c r="AB78" s="122"/>
    </row>
    <row r="79" spans="2:28">
      <c r="B79" s="50">
        <v>2</v>
      </c>
      <c r="C79" s="51" t="str">
        <f>VLOOKUP("30/207/2",Data!$A$2:$E$1425,3,FALSE)</f>
        <v>53502 Jakob</v>
      </c>
      <c r="D79" s="54"/>
      <c r="E79" s="55"/>
      <c r="G79" s="69"/>
      <c r="H79" s="70"/>
      <c r="I79" s="70"/>
      <c r="J79" s="87"/>
      <c r="L79" s="9">
        <f>COUNTA(B71)+L78</f>
        <v>70</v>
      </c>
      <c r="M79" s="31">
        <f>C71</f>
        <v>0</v>
      </c>
      <c r="N79" s="82" t="s">
        <v>7430</v>
      </c>
      <c r="O79" s="36">
        <v>30</v>
      </c>
      <c r="P79" s="36">
        <v>205</v>
      </c>
      <c r="Q79" s="32"/>
      <c r="R79" s="32"/>
      <c r="S79" s="32"/>
      <c r="T79" s="32"/>
      <c r="U79" s="36">
        <f>B71</f>
        <v>2</v>
      </c>
      <c r="V79" s="103"/>
      <c r="W79" s="104"/>
      <c r="X79" s="109" t="str">
        <f t="shared" ref="X79:Y80" si="24">IF(D71=0,"",D71)</f>
        <v/>
      </c>
      <c r="Y79" s="109" t="str">
        <f t="shared" si="24"/>
        <v/>
      </c>
      <c r="Z79" s="123" t="s">
        <v>3600</v>
      </c>
      <c r="AA79" s="124" t="e">
        <f>VLOOKUP($M:$M,Data!$I:$J,2,FALSE)</f>
        <v>#N/A</v>
      </c>
      <c r="AB79" s="125"/>
    </row>
    <row r="80" ht="15.25" spans="2:28">
      <c r="B80" s="58">
        <v>3</v>
      </c>
      <c r="C80" s="59">
        <f>VLOOKUP("30/207/3",Data!$A$2:$E$1425,3,FALSE)</f>
        <v>0</v>
      </c>
      <c r="D80" s="56"/>
      <c r="E80" s="57"/>
      <c r="G80" s="71"/>
      <c r="H80" s="72"/>
      <c r="I80" s="72"/>
      <c r="J80" s="88"/>
      <c r="L80" s="14">
        <f>COUNTA(B72)+L79</f>
        <v>71</v>
      </c>
      <c r="M80" s="83">
        <f>C72</f>
        <v>0</v>
      </c>
      <c r="N80" s="84" t="s">
        <v>7430</v>
      </c>
      <c r="O80" s="85">
        <v>30</v>
      </c>
      <c r="P80" s="85">
        <v>205</v>
      </c>
      <c r="Q80" s="110"/>
      <c r="R80" s="110"/>
      <c r="S80" s="110"/>
      <c r="T80" s="110"/>
      <c r="U80" s="85">
        <f>B72</f>
        <v>3</v>
      </c>
      <c r="V80" s="105"/>
      <c r="W80" s="106"/>
      <c r="X80" s="111" t="str">
        <f t="shared" si="24"/>
        <v/>
      </c>
      <c r="Y80" s="111" t="str">
        <f t="shared" si="24"/>
        <v/>
      </c>
      <c r="Z80" s="127" t="s">
        <v>44</v>
      </c>
      <c r="AA80" s="128" t="e">
        <f>VLOOKUP($M:$M,Data!$I:$J,2,FALSE)</f>
        <v>#N/A</v>
      </c>
      <c r="AB80" s="126"/>
    </row>
    <row r="81" spans="2:28">
      <c r="B81" s="46">
        <v>208</v>
      </c>
      <c r="C81" s="47"/>
      <c r="D81" s="48" t="s">
        <v>6580</v>
      </c>
      <c r="E81" s="49" t="s">
        <v>6581</v>
      </c>
      <c r="G81" s="46">
        <v>215</v>
      </c>
      <c r="H81" s="47"/>
      <c r="I81" s="48" t="s">
        <v>6580</v>
      </c>
      <c r="J81" s="49" t="s">
        <v>6581</v>
      </c>
      <c r="L81" s="6">
        <f>COUNTA(B74)+L80</f>
        <v>72</v>
      </c>
      <c r="M81" s="79" t="str">
        <f>C74</f>
        <v>53509 Emil</v>
      </c>
      <c r="N81" s="80" t="s">
        <v>7430</v>
      </c>
      <c r="O81" s="81">
        <v>30</v>
      </c>
      <c r="P81" s="81">
        <v>206</v>
      </c>
      <c r="Q81" s="62" t="str">
        <f>_xlfn.IFS(COUNTA(B74:B76)=1,"Single",COUNTA(B74:B76)=2,"Double",COUNTA(B74:B76)=3,"Triple",COUNTA(B74:B76)=0,"Empty")</f>
        <v>Double</v>
      </c>
      <c r="R81" s="62"/>
      <c r="S81" s="62"/>
      <c r="T81" s="62"/>
      <c r="U81" s="81">
        <f>B74</f>
        <v>1</v>
      </c>
      <c r="V81" s="100">
        <f>COUNT(B74:B76)</f>
        <v>2</v>
      </c>
      <c r="W81" s="101"/>
      <c r="X81" s="108" t="str">
        <f>IF(D74=0,"",D74)</f>
        <v/>
      </c>
      <c r="Y81" s="108" t="str">
        <f>IF(E74=0,"",E74)</f>
        <v/>
      </c>
      <c r="Z81" s="120" t="s">
        <v>7580</v>
      </c>
      <c r="AA81" s="121" t="e">
        <f>VLOOKUP($M:$M,Data!$I:$J,2,FALSE)</f>
        <v>#N/A</v>
      </c>
      <c r="AB81" s="122"/>
    </row>
    <row r="82" spans="2:28">
      <c r="B82" s="50">
        <v>1</v>
      </c>
      <c r="C82" s="51" t="str">
        <f>VLOOKUP("30/208/1",Data!$A$2:$E$1425,3,FALSE)</f>
        <v>53307 David</v>
      </c>
      <c r="D82" s="52"/>
      <c r="E82" s="53"/>
      <c r="G82" s="50">
        <v>1</v>
      </c>
      <c r="H82" s="51" t="str">
        <f>VLOOKUP("30/215/1",Data!$A$2:$E$1425,3,FALSE)</f>
        <v>53308 Elias</v>
      </c>
      <c r="I82" s="52"/>
      <c r="J82" s="53"/>
      <c r="L82" s="9">
        <f>COUNTA(B75)+L81</f>
        <v>73</v>
      </c>
      <c r="M82" s="31" t="str">
        <f>C75</f>
        <v>53508 Jonas</v>
      </c>
      <c r="N82" s="82" t="s">
        <v>7430</v>
      </c>
      <c r="O82" s="36">
        <v>30</v>
      </c>
      <c r="P82" s="36">
        <v>206</v>
      </c>
      <c r="Q82" s="32"/>
      <c r="R82" s="32"/>
      <c r="S82" s="32"/>
      <c r="T82" s="32"/>
      <c r="U82" s="36">
        <f>B75</f>
        <v>2</v>
      </c>
      <c r="V82" s="103"/>
      <c r="W82" s="104"/>
      <c r="X82" s="109" t="str">
        <f t="shared" ref="X82:Y83" si="25">IF(D75=0,"",D75)</f>
        <v/>
      </c>
      <c r="Y82" s="109" t="str">
        <f t="shared" si="25"/>
        <v/>
      </c>
      <c r="Z82" s="123" t="s">
        <v>7581</v>
      </c>
      <c r="AA82" s="124" t="e">
        <f>VLOOKUP($M:$M,Data!$I:$J,2,FALSE)</f>
        <v>#N/A</v>
      </c>
      <c r="AB82" s="125"/>
    </row>
    <row r="83" ht="15.25" spans="2:28">
      <c r="B83" s="50">
        <v>2</v>
      </c>
      <c r="C83" s="51" t="str">
        <f>VLOOKUP("30/208/2",Data!$A$2:$E$1425,3,FALSE)</f>
        <v>53408 David</v>
      </c>
      <c r="D83" s="54"/>
      <c r="E83" s="55"/>
      <c r="G83" s="50">
        <v>2</v>
      </c>
      <c r="H83" s="51" t="str">
        <f>VLOOKUP("30/215/2",Data!$A$2:$E$1425,3,FALSE)</f>
        <v>53208 Staffan</v>
      </c>
      <c r="I83" s="54"/>
      <c r="J83" s="55"/>
      <c r="L83" s="14">
        <f>COUNTA(B76)+L82</f>
        <v>73</v>
      </c>
      <c r="M83" s="83">
        <f>C76</f>
        <v>0</v>
      </c>
      <c r="N83" s="84" t="s">
        <v>7430</v>
      </c>
      <c r="O83" s="85">
        <v>30</v>
      </c>
      <c r="P83" s="85">
        <v>206</v>
      </c>
      <c r="Q83" s="110"/>
      <c r="R83" s="110"/>
      <c r="S83" s="110"/>
      <c r="T83" s="110"/>
      <c r="U83" s="85">
        <f>B76</f>
        <v>0</v>
      </c>
      <c r="V83" s="105"/>
      <c r="W83" s="106"/>
      <c r="X83" s="111" t="str">
        <f t="shared" si="25"/>
        <v/>
      </c>
      <c r="Y83" s="111" t="str">
        <f t="shared" si="25"/>
        <v/>
      </c>
      <c r="Z83" s="127" t="s">
        <v>7582</v>
      </c>
      <c r="AA83" s="128" t="e">
        <f>VLOOKUP($M:$M,Data!$I:$J,2,FALSE)</f>
        <v>#N/A</v>
      </c>
      <c r="AB83" s="126"/>
    </row>
    <row r="84" ht="15.25" spans="2:28">
      <c r="B84" s="58"/>
      <c r="C84" s="59">
        <f>VLOOKUP("30/208/3",Data!$A$2:$E$1425,3,FALSE)</f>
        <v>0</v>
      </c>
      <c r="D84" s="56"/>
      <c r="E84" s="57"/>
      <c r="G84" s="58"/>
      <c r="H84" s="59">
        <f>VLOOKUP("30/215/3",Data!$A$2:$E$1425,3,FALSE)</f>
        <v>0</v>
      </c>
      <c r="I84" s="56"/>
      <c r="J84" s="57"/>
      <c r="L84" s="6">
        <f>COUNTA(B78)+L83</f>
        <v>74</v>
      </c>
      <c r="M84" s="79" t="str">
        <f>C78</f>
        <v>53209 Ivar</v>
      </c>
      <c r="N84" s="80" t="s">
        <v>7430</v>
      </c>
      <c r="O84" s="81">
        <v>30</v>
      </c>
      <c r="P84" s="81">
        <v>207</v>
      </c>
      <c r="Q84" s="62" t="str">
        <f>_xlfn.IFS(COUNTA(B78:B80)=1,"Single",COUNTA(B78:B80)=2,"Double",COUNTA(B78:B80)=3,"Triple",COUNTA(B78:B80)=0,"Empty")</f>
        <v>Triple</v>
      </c>
      <c r="R84" s="62"/>
      <c r="S84" s="62"/>
      <c r="T84" s="62"/>
      <c r="U84" s="81">
        <f>B78</f>
        <v>1</v>
      </c>
      <c r="V84" s="100">
        <f>COUNT(B78:B80)</f>
        <v>3</v>
      </c>
      <c r="W84" s="101"/>
      <c r="X84" s="108" t="str">
        <f>IF(D78=0,"",D78)</f>
        <v/>
      </c>
      <c r="Y84" s="108" t="str">
        <f>IF(E78=0,"",E78)</f>
        <v/>
      </c>
      <c r="Z84" s="318" t="s">
        <v>7583</v>
      </c>
      <c r="AA84" s="121" t="e">
        <f>VLOOKUP($M:$M,Data!$I:$J,2,FALSE)</f>
        <v>#N/A</v>
      </c>
      <c r="AB84" s="122"/>
    </row>
    <row r="85" spans="2:28">
      <c r="B85" s="46">
        <v>209</v>
      </c>
      <c r="C85" s="47"/>
      <c r="D85" s="48" t="s">
        <v>6580</v>
      </c>
      <c r="E85" s="49" t="s">
        <v>6581</v>
      </c>
      <c r="G85" s="46">
        <v>214</v>
      </c>
      <c r="H85" s="47"/>
      <c r="I85" s="48" t="s">
        <v>6580</v>
      </c>
      <c r="J85" s="49" t="s">
        <v>6581</v>
      </c>
      <c r="L85" s="9">
        <f>COUNTA(B79)+L84</f>
        <v>75</v>
      </c>
      <c r="M85" s="31" t="str">
        <f>C79</f>
        <v>53502 Jakob</v>
      </c>
      <c r="N85" s="82" t="s">
        <v>7430</v>
      </c>
      <c r="O85" s="36">
        <v>30</v>
      </c>
      <c r="P85" s="36">
        <v>207</v>
      </c>
      <c r="Q85" s="32"/>
      <c r="R85" s="32"/>
      <c r="S85" s="32"/>
      <c r="T85" s="32"/>
      <c r="U85" s="36">
        <f>B79</f>
        <v>2</v>
      </c>
      <c r="V85" s="103"/>
      <c r="W85" s="104"/>
      <c r="X85" s="109" t="str">
        <f t="shared" ref="X85:Y86" si="26">IF(D79=0,"",D79)</f>
        <v/>
      </c>
      <c r="Y85" s="109" t="str">
        <f t="shared" si="26"/>
        <v/>
      </c>
      <c r="Z85" s="123" t="s">
        <v>7584</v>
      </c>
      <c r="AA85" s="124" t="e">
        <f>VLOOKUP($M:$M,Data!$I:$J,2,FALSE)</f>
        <v>#N/A</v>
      </c>
      <c r="AB85" s="125"/>
    </row>
    <row r="86" ht="15.25" spans="2:28">
      <c r="B86" s="50">
        <v>1</v>
      </c>
      <c r="C86" s="51" t="str">
        <f>VLOOKUP("30/209/1",Data!$A$2:$E$1425,3,FALSE)</f>
        <v>53313 Axel</v>
      </c>
      <c r="D86" s="52"/>
      <c r="E86" s="53"/>
      <c r="G86" s="50">
        <v>1</v>
      </c>
      <c r="H86" s="51" t="str">
        <f>VLOOKUP("30/214/1",Data!$A$2:$E$1425,3,FALSE)</f>
        <v>53409 Jonatan</v>
      </c>
      <c r="I86" s="52"/>
      <c r="J86" s="53"/>
      <c r="L86" s="14">
        <f>COUNTA(B80)+L85</f>
        <v>76</v>
      </c>
      <c r="M86" s="83">
        <f>C80</f>
        <v>0</v>
      </c>
      <c r="N86" s="84" t="s">
        <v>7430</v>
      </c>
      <c r="O86" s="85">
        <v>30</v>
      </c>
      <c r="P86" s="85">
        <v>207</v>
      </c>
      <c r="Q86" s="110"/>
      <c r="R86" s="110"/>
      <c r="S86" s="110"/>
      <c r="T86" s="110"/>
      <c r="U86" s="85">
        <f>B80</f>
        <v>3</v>
      </c>
      <c r="V86" s="105"/>
      <c r="W86" s="106"/>
      <c r="X86" s="111" t="str">
        <f t="shared" si="26"/>
        <v/>
      </c>
      <c r="Y86" s="111" t="str">
        <f t="shared" si="26"/>
        <v/>
      </c>
      <c r="Z86" s="127" t="s">
        <v>7585</v>
      </c>
      <c r="AA86" s="128" t="e">
        <f>VLOOKUP($M:$M,Data!$I:$J,2,FALSE)</f>
        <v>#N/A</v>
      </c>
      <c r="AB86" s="126"/>
    </row>
    <row r="87" spans="2:28">
      <c r="B87" s="50">
        <v>2</v>
      </c>
      <c r="C87" s="51" t="str">
        <f>VLOOKUP("30/209/2",Data!$A$2:$E$1425,3,FALSE)</f>
        <v>53107 Alfred</v>
      </c>
      <c r="D87" s="54"/>
      <c r="E87" s="55"/>
      <c r="G87" s="50"/>
      <c r="H87" s="51" t="str">
        <f>VLOOKUP("30/214/2",Data!$A$2:$E$1425,3,FALSE)</f>
        <v>53310 Jesper</v>
      </c>
      <c r="I87" s="54"/>
      <c r="J87" s="55"/>
      <c r="L87" s="6">
        <f>COUNTA(B82)+L86</f>
        <v>77</v>
      </c>
      <c r="M87" s="79" t="str">
        <f>C82</f>
        <v>53307 David</v>
      </c>
      <c r="N87" s="80" t="s">
        <v>7430</v>
      </c>
      <c r="O87" s="81">
        <v>30</v>
      </c>
      <c r="P87" s="81">
        <v>208</v>
      </c>
      <c r="Q87" s="62" t="str">
        <f>_xlfn.IFS(COUNTA(B82:B84)=1,"Single",COUNTA(B82:B84)=2,"Double",COUNTA(B82:B84)=3,"Triple",COUNTA(B82:B84)=0,"Empty")</f>
        <v>Double</v>
      </c>
      <c r="R87" s="62"/>
      <c r="S87" s="62"/>
      <c r="T87" s="62"/>
      <c r="U87" s="81">
        <f>B82</f>
        <v>1</v>
      </c>
      <c r="V87" s="100">
        <f>COUNT(B82:B84)</f>
        <v>2</v>
      </c>
      <c r="W87" s="101"/>
      <c r="X87" s="108" t="str">
        <f>IF(D82=0,"",D82)</f>
        <v/>
      </c>
      <c r="Y87" s="108" t="str">
        <f>IF(E82=0,"",E82)</f>
        <v/>
      </c>
      <c r="Z87" s="120" t="s">
        <v>7586</v>
      </c>
      <c r="AA87" s="121" t="e">
        <f>VLOOKUP($M:$M,Data!$I:$J,2,FALSE)</f>
        <v>#N/A</v>
      </c>
      <c r="AB87" s="122"/>
    </row>
    <row r="88" ht="15.25" spans="2:28">
      <c r="B88" s="58">
        <v>3</v>
      </c>
      <c r="C88" s="59">
        <f>VLOOKUP("30/209/3",Data!$A$2:$E$1425,3,FALSE)</f>
        <v>0</v>
      </c>
      <c r="D88" s="56"/>
      <c r="E88" s="57"/>
      <c r="G88" s="58">
        <v>3</v>
      </c>
      <c r="H88" s="59">
        <f>VLOOKUP("30/214/3",Data!$A$2:$E$1425,3,FALSE)</f>
        <v>0</v>
      </c>
      <c r="I88" s="56"/>
      <c r="J88" s="57"/>
      <c r="L88" s="9">
        <f>COUNTA(B83)+L87</f>
        <v>78</v>
      </c>
      <c r="M88" s="31" t="str">
        <f>C83</f>
        <v>53408 David</v>
      </c>
      <c r="N88" s="82" t="s">
        <v>7430</v>
      </c>
      <c r="O88" s="36">
        <v>30</v>
      </c>
      <c r="P88" s="36">
        <v>208</v>
      </c>
      <c r="Q88" s="32"/>
      <c r="R88" s="32"/>
      <c r="S88" s="32"/>
      <c r="T88" s="32"/>
      <c r="U88" s="36">
        <f>B83</f>
        <v>2</v>
      </c>
      <c r="V88" s="103"/>
      <c r="W88" s="104"/>
      <c r="X88" s="109" t="str">
        <f t="shared" ref="X88:Y89" si="27">IF(D83=0,"",D83)</f>
        <v/>
      </c>
      <c r="Y88" s="109" t="str">
        <f t="shared" si="27"/>
        <v/>
      </c>
      <c r="Z88" s="123" t="s">
        <v>7587</v>
      </c>
      <c r="AA88" s="124" t="e">
        <f>VLOOKUP($M:$M,Data!$I:$J,2,FALSE)</f>
        <v>#N/A</v>
      </c>
      <c r="AB88" s="125"/>
    </row>
    <row r="89" ht="15.25" spans="2:28">
      <c r="B89" s="46">
        <v>210</v>
      </c>
      <c r="C89" s="47"/>
      <c r="D89" s="48" t="s">
        <v>6580</v>
      </c>
      <c r="E89" s="49" t="s">
        <v>6581</v>
      </c>
      <c r="G89" s="46">
        <v>213</v>
      </c>
      <c r="H89" s="47"/>
      <c r="I89" s="48" t="s">
        <v>6580</v>
      </c>
      <c r="J89" s="49" t="s">
        <v>6581</v>
      </c>
      <c r="L89" s="14">
        <f>COUNTA(B84)+L88</f>
        <v>78</v>
      </c>
      <c r="M89" s="83">
        <f>C84</f>
        <v>0</v>
      </c>
      <c r="N89" s="84" t="s">
        <v>7430</v>
      </c>
      <c r="O89" s="85">
        <v>30</v>
      </c>
      <c r="P89" s="85">
        <v>208</v>
      </c>
      <c r="Q89" s="110"/>
      <c r="R89" s="110"/>
      <c r="S89" s="110"/>
      <c r="T89" s="110"/>
      <c r="U89" s="85">
        <f>B84</f>
        <v>0</v>
      </c>
      <c r="V89" s="105"/>
      <c r="W89" s="106"/>
      <c r="X89" s="111" t="str">
        <f t="shared" si="27"/>
        <v/>
      </c>
      <c r="Y89" s="111" t="str">
        <f t="shared" si="27"/>
        <v/>
      </c>
      <c r="Z89" s="127"/>
      <c r="AA89" s="128" t="e">
        <f>VLOOKUP($M:$M,Data!$I:$J,2,FALSE)</f>
        <v>#N/A</v>
      </c>
      <c r="AB89" s="126"/>
    </row>
    <row r="90" spans="2:28">
      <c r="B90" s="50">
        <v>1</v>
      </c>
      <c r="C90" s="51" t="str">
        <f>VLOOKUP("30/210/1",Data!$A$2:$E$1425,3,FALSE)</f>
        <v>53407 Arvid</v>
      </c>
      <c r="D90" s="52"/>
      <c r="E90" s="53"/>
      <c r="G90" s="50">
        <v>1</v>
      </c>
      <c r="H90" s="51">
        <f>VLOOKUP("30/213/1",Data!$A$2:$E$1425,3,FALSE)</f>
        <v>0</v>
      </c>
      <c r="I90" s="52"/>
      <c r="J90" s="53"/>
      <c r="L90" s="6">
        <f>COUNTA(B86)+L89</f>
        <v>79</v>
      </c>
      <c r="M90" s="79" t="str">
        <f>C86</f>
        <v>53313 Axel</v>
      </c>
      <c r="N90" s="80" t="s">
        <v>7430</v>
      </c>
      <c r="O90" s="81">
        <v>30</v>
      </c>
      <c r="P90" s="81">
        <v>209</v>
      </c>
      <c r="Q90" s="62" t="str">
        <f>_xlfn.IFS(COUNTA(B86:B88)=1,"Single",COUNTA(B86:B88)=2,"Double",COUNTA(B86:B88)=3,"Triple",COUNTA(B86:B88)=0,"Empty")</f>
        <v>Triple</v>
      </c>
      <c r="R90" s="62"/>
      <c r="S90" s="62"/>
      <c r="T90" s="62"/>
      <c r="U90" s="81">
        <f>B86</f>
        <v>1</v>
      </c>
      <c r="V90" s="100">
        <f>COUNT(B86:B88)</f>
        <v>3</v>
      </c>
      <c r="W90" s="101"/>
      <c r="X90" s="108" t="str">
        <f>IF(D86=0,"",D86)</f>
        <v/>
      </c>
      <c r="Y90" s="108" t="str">
        <f>IF(E86=0,"",E86)</f>
        <v/>
      </c>
      <c r="Z90" s="120" t="s">
        <v>7588</v>
      </c>
      <c r="AA90" s="121" t="e">
        <f>VLOOKUP($M:$M,Data!$I:$J,2,FALSE)</f>
        <v>#N/A</v>
      </c>
      <c r="AB90" s="122"/>
    </row>
    <row r="91" spans="2:28">
      <c r="B91" s="50">
        <v>2</v>
      </c>
      <c r="C91" s="51">
        <f>VLOOKUP("30/210/2",Data!$A$2:$E$1425,3,FALSE)</f>
        <v>0</v>
      </c>
      <c r="D91" s="54"/>
      <c r="E91" s="55"/>
      <c r="G91" s="50">
        <v>2</v>
      </c>
      <c r="H91" s="51">
        <f>VLOOKUP("30/213/2",Data!$A$2:$E$1425,3,FALSE)</f>
        <v>0</v>
      </c>
      <c r="I91" s="54"/>
      <c r="J91" s="55"/>
      <c r="L91" s="9">
        <f>COUNTA(B87)+L90</f>
        <v>80</v>
      </c>
      <c r="M91" s="31" t="str">
        <f>C87</f>
        <v>53107 Alfred</v>
      </c>
      <c r="N91" s="82" t="s">
        <v>7430</v>
      </c>
      <c r="O91" s="36">
        <v>30</v>
      </c>
      <c r="P91" s="36">
        <v>209</v>
      </c>
      <c r="Q91" s="32"/>
      <c r="R91" s="32"/>
      <c r="S91" s="32"/>
      <c r="T91" s="32"/>
      <c r="U91" s="36">
        <f>B87</f>
        <v>2</v>
      </c>
      <c r="V91" s="103"/>
      <c r="W91" s="104"/>
      <c r="X91" s="109" t="str">
        <f t="shared" ref="X91:Y92" si="28">IF(D87=0,"",D87)</f>
        <v/>
      </c>
      <c r="Y91" s="109" t="str">
        <f t="shared" si="28"/>
        <v/>
      </c>
      <c r="Z91" s="123" t="s">
        <v>7589</v>
      </c>
      <c r="AA91" s="124" t="e">
        <f>VLOOKUP($M:$M,Data!$I:$J,2,FALSE)</f>
        <v>#N/A</v>
      </c>
      <c r="AB91" s="125"/>
    </row>
    <row r="92" ht="15.25" spans="2:28">
      <c r="B92" s="58">
        <v>3</v>
      </c>
      <c r="C92" s="59">
        <f>VLOOKUP("30/210/3",Data!$A$2:$E$1425,3,FALSE)</f>
        <v>0</v>
      </c>
      <c r="D92" s="56"/>
      <c r="E92" s="57"/>
      <c r="G92" s="58">
        <v>3</v>
      </c>
      <c r="H92" s="59">
        <f>VLOOKUP("30/213/3",Data!$A$2:$E$1425,3,FALSE)</f>
        <v>0</v>
      </c>
      <c r="I92" s="56"/>
      <c r="J92" s="57"/>
      <c r="L92" s="14">
        <f>COUNTA(B88)+L91</f>
        <v>81</v>
      </c>
      <c r="M92" s="83">
        <f>C88</f>
        <v>0</v>
      </c>
      <c r="N92" s="84" t="s">
        <v>7430</v>
      </c>
      <c r="O92" s="85">
        <v>30</v>
      </c>
      <c r="P92" s="85">
        <v>209</v>
      </c>
      <c r="Q92" s="110"/>
      <c r="R92" s="110"/>
      <c r="S92" s="110"/>
      <c r="T92" s="110"/>
      <c r="U92" s="85">
        <f>B88</f>
        <v>3</v>
      </c>
      <c r="V92" s="105"/>
      <c r="W92" s="106"/>
      <c r="X92" s="111" t="str">
        <f t="shared" si="28"/>
        <v/>
      </c>
      <c r="Y92" s="111" t="str">
        <f t="shared" si="28"/>
        <v/>
      </c>
      <c r="Z92" s="127" t="s">
        <v>7590</v>
      </c>
      <c r="AA92" s="128" t="e">
        <f>VLOOKUP($M:$M,Data!$I:$J,2,FALSE)</f>
        <v>#N/A</v>
      </c>
      <c r="AB92" s="126"/>
    </row>
    <row r="93" spans="2:28">
      <c r="B93" s="46">
        <v>211</v>
      </c>
      <c r="C93" s="47"/>
      <c r="D93" s="48" t="s">
        <v>6580</v>
      </c>
      <c r="E93" s="49" t="s">
        <v>6581</v>
      </c>
      <c r="G93" s="46">
        <v>212</v>
      </c>
      <c r="H93" s="47"/>
      <c r="I93" s="48" t="s">
        <v>6580</v>
      </c>
      <c r="J93" s="49" t="s">
        <v>6581</v>
      </c>
      <c r="L93" s="6">
        <f>COUNTA(B90)+L92</f>
        <v>82</v>
      </c>
      <c r="M93" s="79" t="str">
        <f>C90</f>
        <v>53407 Arvid</v>
      </c>
      <c r="N93" s="80" t="s">
        <v>7430</v>
      </c>
      <c r="O93" s="81">
        <v>30</v>
      </c>
      <c r="P93" s="81">
        <v>210</v>
      </c>
      <c r="Q93" s="62" t="str">
        <f>_xlfn.IFS(COUNTA(B90:B92)=1,"Single",COUNTA(B90:B92)=2,"Double",COUNTA(B90:B92)=3,"Triple",COUNTA(B90:B92)=0,"Empty")</f>
        <v>Triple</v>
      </c>
      <c r="R93" s="62"/>
      <c r="S93" s="62"/>
      <c r="T93" s="62"/>
      <c r="U93" s="81">
        <f>B90</f>
        <v>1</v>
      </c>
      <c r="V93" s="100">
        <f>COUNT(B90:B92)</f>
        <v>3</v>
      </c>
      <c r="W93" s="101"/>
      <c r="X93" s="108" t="str">
        <f>IF(D90=0,"",D90)</f>
        <v/>
      </c>
      <c r="Y93" s="108" t="str">
        <f>IF(E90=0,"",E90)</f>
        <v/>
      </c>
      <c r="Z93" s="120" t="s">
        <v>7591</v>
      </c>
      <c r="AA93" s="121" t="e">
        <f>VLOOKUP($M:$M,Data!$I:$J,2,FALSE)</f>
        <v>#N/A</v>
      </c>
      <c r="AB93" s="122"/>
    </row>
    <row r="94" spans="2:28">
      <c r="B94" s="50">
        <v>1</v>
      </c>
      <c r="C94" s="51" t="str">
        <f>VLOOKUP("30/211/1",Data!$A$2:$E$1425,3,FALSE)</f>
        <v>52801 Erik</v>
      </c>
      <c r="D94" s="52"/>
      <c r="E94" s="53"/>
      <c r="G94" s="50">
        <v>1</v>
      </c>
      <c r="H94" s="51">
        <f>VLOOKUP("30/212/1",Data!$A$2:$E$1425,3,FALSE)</f>
        <v>0</v>
      </c>
      <c r="I94" s="52"/>
      <c r="J94" s="53"/>
      <c r="L94" s="9">
        <f>COUNTA(B91)+L93</f>
        <v>83</v>
      </c>
      <c r="M94" s="31">
        <f>C91</f>
        <v>0</v>
      </c>
      <c r="N94" s="82" t="s">
        <v>7430</v>
      </c>
      <c r="O94" s="36">
        <v>30</v>
      </c>
      <c r="P94" s="36">
        <v>210</v>
      </c>
      <c r="Q94" s="32"/>
      <c r="R94" s="32"/>
      <c r="S94" s="32"/>
      <c r="T94" s="32"/>
      <c r="U94" s="36">
        <f>B91</f>
        <v>2</v>
      </c>
      <c r="V94" s="103"/>
      <c r="W94" s="104"/>
      <c r="X94" s="109" t="str">
        <f t="shared" ref="X94:Y95" si="29">IF(D91=0,"",D91)</f>
        <v/>
      </c>
      <c r="Y94" s="109" t="str">
        <f t="shared" si="29"/>
        <v/>
      </c>
      <c r="Z94" s="123" t="s">
        <v>7592</v>
      </c>
      <c r="AA94" s="124" t="e">
        <f>VLOOKUP($M:$M,Data!$I:$J,2,FALSE)</f>
        <v>#N/A</v>
      </c>
      <c r="AB94" s="125"/>
    </row>
    <row r="95" ht="15.25" spans="2:28">
      <c r="B95" s="50">
        <v>2</v>
      </c>
      <c r="C95" s="51">
        <f>VLOOKUP("30/211/2",Data!$A$2:$E$1425,3,FALSE)</f>
        <v>0</v>
      </c>
      <c r="D95" s="54"/>
      <c r="E95" s="55"/>
      <c r="G95" s="50">
        <v>2</v>
      </c>
      <c r="H95" s="51">
        <f>VLOOKUP("30/212/2",Data!$A$2:$E$1425,3,FALSE)</f>
        <v>0</v>
      </c>
      <c r="I95" s="54"/>
      <c r="J95" s="55"/>
      <c r="L95" s="14">
        <f>COUNTA(B92)+L94</f>
        <v>84</v>
      </c>
      <c r="M95" s="83">
        <f>C92</f>
        <v>0</v>
      </c>
      <c r="N95" s="84" t="s">
        <v>7430</v>
      </c>
      <c r="O95" s="85">
        <v>30</v>
      </c>
      <c r="P95" s="85">
        <v>210</v>
      </c>
      <c r="Q95" s="110"/>
      <c r="R95" s="110"/>
      <c r="S95" s="110"/>
      <c r="T95" s="110"/>
      <c r="U95" s="85">
        <f>B92</f>
        <v>3</v>
      </c>
      <c r="V95" s="105"/>
      <c r="W95" s="106"/>
      <c r="X95" s="111" t="str">
        <f t="shared" si="29"/>
        <v/>
      </c>
      <c r="Y95" s="111" t="str">
        <f t="shared" si="29"/>
        <v/>
      </c>
      <c r="Z95" s="127" t="s">
        <v>7593</v>
      </c>
      <c r="AA95" s="128" t="e">
        <f>VLOOKUP($M:$M,Data!$I:$J,2,FALSE)</f>
        <v>#N/A</v>
      </c>
      <c r="AB95" s="126"/>
    </row>
    <row r="96" ht="15.25" spans="2:28">
      <c r="B96" s="58">
        <v>3</v>
      </c>
      <c r="C96" s="59">
        <f>VLOOKUP("30/211/3",Data!$A$2:$E$1425,3,FALSE)</f>
        <v>0</v>
      </c>
      <c r="D96" s="56"/>
      <c r="E96" s="57"/>
      <c r="G96" s="58">
        <v>3</v>
      </c>
      <c r="H96" s="59">
        <f>VLOOKUP("30/212/3",Data!$A$2:$E$1425,3,FALSE)</f>
        <v>0</v>
      </c>
      <c r="I96" s="56"/>
      <c r="J96" s="57"/>
      <c r="L96" s="6">
        <f>COUNTA(B94)+L95</f>
        <v>85</v>
      </c>
      <c r="M96" s="79" t="str">
        <f>C94</f>
        <v>52801 Erik</v>
      </c>
      <c r="N96" s="80" t="s">
        <v>7430</v>
      </c>
      <c r="O96" s="81">
        <v>30</v>
      </c>
      <c r="P96" s="81">
        <v>211</v>
      </c>
      <c r="Q96" s="62" t="str">
        <f>_xlfn.IFS(COUNTA(B94:B96)=1,"Single",COUNTA(B94:B96)=2,"Double",COUNTA(B94:B96)=3,"Triple",COUNTA(B94:B96)=0,"Empty")</f>
        <v>Triple</v>
      </c>
      <c r="R96" s="62"/>
      <c r="S96" s="62"/>
      <c r="T96" s="62"/>
      <c r="U96" s="81">
        <f>B94</f>
        <v>1</v>
      </c>
      <c r="V96" s="100">
        <f>COUNT(B94:B96)</f>
        <v>3</v>
      </c>
      <c r="W96" s="101"/>
      <c r="X96" s="108" t="str">
        <f>IF(D94=0,"",D94)</f>
        <v/>
      </c>
      <c r="Y96" s="108" t="str">
        <f>IF(E94=0,"",E94)</f>
        <v/>
      </c>
      <c r="Z96" s="120" t="s">
        <v>7594</v>
      </c>
      <c r="AA96" s="121" t="e">
        <f>VLOOKUP($M:$M,Data!$I:$J,2,FALSE)</f>
        <v>#N/A</v>
      </c>
      <c r="AB96" s="122"/>
    </row>
    <row r="97" spans="12:28">
      <c r="L97" s="9">
        <f>COUNTA(B95)+L96</f>
        <v>86</v>
      </c>
      <c r="M97" s="31">
        <f>C95</f>
        <v>0</v>
      </c>
      <c r="N97" s="82" t="s">
        <v>7430</v>
      </c>
      <c r="O97" s="36">
        <v>30</v>
      </c>
      <c r="P97" s="36">
        <v>211</v>
      </c>
      <c r="Q97" s="32"/>
      <c r="R97" s="32"/>
      <c r="S97" s="32"/>
      <c r="T97" s="32"/>
      <c r="U97" s="36">
        <f>B95</f>
        <v>2</v>
      </c>
      <c r="V97" s="103"/>
      <c r="W97" s="104"/>
      <c r="X97" s="109" t="str">
        <f t="shared" ref="X97:Y98" si="30">IF(D95=0,"",D95)</f>
        <v/>
      </c>
      <c r="Y97" s="109" t="str">
        <f t="shared" si="30"/>
        <v/>
      </c>
      <c r="Z97" s="123" t="s">
        <v>7595</v>
      </c>
      <c r="AA97" s="124" t="e">
        <f>VLOOKUP($M:$M,Data!$I:$J,2,FALSE)</f>
        <v>#N/A</v>
      </c>
      <c r="AB97" s="125"/>
    </row>
    <row r="98" ht="15.25" spans="12:28">
      <c r="L98" s="14">
        <f>COUNTA(B96)+L97</f>
        <v>87</v>
      </c>
      <c r="M98" s="83">
        <f>C96</f>
        <v>0</v>
      </c>
      <c r="N98" s="84" t="s">
        <v>7430</v>
      </c>
      <c r="O98" s="85">
        <v>30</v>
      </c>
      <c r="P98" s="85">
        <v>211</v>
      </c>
      <c r="Q98" s="110"/>
      <c r="R98" s="110"/>
      <c r="S98" s="110"/>
      <c r="T98" s="110"/>
      <c r="U98" s="85">
        <f>B96</f>
        <v>3</v>
      </c>
      <c r="V98" s="105"/>
      <c r="W98" s="106"/>
      <c r="X98" s="111" t="str">
        <f t="shared" si="30"/>
        <v/>
      </c>
      <c r="Y98" s="111" t="str">
        <f t="shared" si="30"/>
        <v/>
      </c>
      <c r="Z98" s="127" t="s">
        <v>7596</v>
      </c>
      <c r="AA98" s="128" t="e">
        <f>VLOOKUP($M:$M,Data!$I:$J,2,FALSE)</f>
        <v>#N/A</v>
      </c>
      <c r="AB98" s="126"/>
    </row>
    <row r="99" spans="12:28">
      <c r="L99" s="6">
        <f>COUNTA(G94)+L98</f>
        <v>88</v>
      </c>
      <c r="M99" s="79">
        <f>H94</f>
        <v>0</v>
      </c>
      <c r="N99" s="80" t="s">
        <v>7430</v>
      </c>
      <c r="O99" s="81">
        <v>30</v>
      </c>
      <c r="P99" s="81">
        <v>212</v>
      </c>
      <c r="Q99" s="62" t="str">
        <f>_xlfn.IFS(COUNTA(G94:G96)=1,"Single",COUNTA(G94:G96)=2,"Double",COUNTA(G94:G96)=3,"Triple",COUNTA(G94:G96)=0,"Empty")</f>
        <v>Triple</v>
      </c>
      <c r="R99" s="62"/>
      <c r="S99" s="62"/>
      <c r="T99" s="62"/>
      <c r="U99" s="81">
        <f>G94</f>
        <v>1</v>
      </c>
      <c r="V99" s="100">
        <f>COUNT(G94:G96)</f>
        <v>3</v>
      </c>
      <c r="W99" s="101"/>
      <c r="X99" s="108" t="str">
        <f>IF(I94=0,"",I94)</f>
        <v/>
      </c>
      <c r="Y99" s="108" t="str">
        <f>IF(J94=0,"",J94)</f>
        <v/>
      </c>
      <c r="Z99" s="120" t="s">
        <v>7597</v>
      </c>
      <c r="AA99" s="121" t="e">
        <f>VLOOKUP($M:$M,Data!$I:$J,2,FALSE)</f>
        <v>#N/A</v>
      </c>
      <c r="AB99" s="122"/>
    </row>
    <row r="100" spans="12:28">
      <c r="L100" s="9">
        <f>COUNTA(G95)+L99</f>
        <v>89</v>
      </c>
      <c r="M100" s="31">
        <f>H95</f>
        <v>0</v>
      </c>
      <c r="N100" s="82" t="s">
        <v>7430</v>
      </c>
      <c r="O100" s="36">
        <v>30</v>
      </c>
      <c r="P100" s="36">
        <v>212</v>
      </c>
      <c r="Q100" s="32"/>
      <c r="R100" s="32"/>
      <c r="S100" s="32"/>
      <c r="T100" s="32"/>
      <c r="U100" s="36">
        <f>G95</f>
        <v>2</v>
      </c>
      <c r="V100" s="103"/>
      <c r="W100" s="104"/>
      <c r="X100" s="109" t="str">
        <f t="shared" ref="X100:Y101" si="31">IF(I95=0,"",I95)</f>
        <v/>
      </c>
      <c r="Y100" s="109" t="str">
        <f t="shared" si="31"/>
        <v/>
      </c>
      <c r="Z100" s="123" t="s">
        <v>7598</v>
      </c>
      <c r="AA100" s="124" t="e">
        <f>VLOOKUP($M:$M,Data!$I:$J,2,FALSE)</f>
        <v>#N/A</v>
      </c>
      <c r="AB100" s="125"/>
    </row>
    <row r="101" ht="15.25" spans="12:28">
      <c r="L101" s="14">
        <f>COUNTA(G96)+L100</f>
        <v>90</v>
      </c>
      <c r="M101" s="83">
        <f>H96</f>
        <v>0</v>
      </c>
      <c r="N101" s="84" t="s">
        <v>7430</v>
      </c>
      <c r="O101" s="85">
        <v>30</v>
      </c>
      <c r="P101" s="85">
        <v>212</v>
      </c>
      <c r="Q101" s="110"/>
      <c r="R101" s="110"/>
      <c r="S101" s="110"/>
      <c r="T101" s="110"/>
      <c r="U101" s="85">
        <f>G96</f>
        <v>3</v>
      </c>
      <c r="V101" s="105"/>
      <c r="W101" s="106"/>
      <c r="X101" s="111" t="str">
        <f t="shared" si="31"/>
        <v/>
      </c>
      <c r="Y101" s="111" t="str">
        <f t="shared" si="31"/>
        <v/>
      </c>
      <c r="Z101" s="127" t="s">
        <v>7599</v>
      </c>
      <c r="AA101" s="128" t="e">
        <f>VLOOKUP($M:$M,Data!$I:$J,2,FALSE)</f>
        <v>#N/A</v>
      </c>
      <c r="AB101" s="126"/>
    </row>
    <row r="102" spans="12:28">
      <c r="L102" s="6">
        <f>COUNTA(G90)+L101</f>
        <v>91</v>
      </c>
      <c r="M102" s="79">
        <f>H90</f>
        <v>0</v>
      </c>
      <c r="N102" s="80" t="s">
        <v>7430</v>
      </c>
      <c r="O102" s="81">
        <v>30</v>
      </c>
      <c r="P102" s="81">
        <v>213</v>
      </c>
      <c r="Q102" s="62" t="str">
        <f>_xlfn.IFS(COUNTA(G90:G92)=1,"Single",COUNTA(G90:G92)=2,"Double",COUNTA(G90:G92)=3,"Triple",COUNTA(G90:G92)=0,"Empty")</f>
        <v>Triple</v>
      </c>
      <c r="R102" s="62"/>
      <c r="S102" s="62"/>
      <c r="T102" s="62"/>
      <c r="U102" s="81">
        <f>G90</f>
        <v>1</v>
      </c>
      <c r="V102" s="100">
        <f>COUNT(G90:G92)</f>
        <v>3</v>
      </c>
      <c r="W102" s="101"/>
      <c r="X102" s="108" t="str">
        <f>IF(I90=0,"",I90)</f>
        <v/>
      </c>
      <c r="Y102" s="108" t="str">
        <f>IF(J90=0,"",J90)</f>
        <v/>
      </c>
      <c r="Z102" s="120" t="s">
        <v>7600</v>
      </c>
      <c r="AA102" s="121" t="e">
        <f>VLOOKUP($M:$M,Data!$I:$J,2,FALSE)</f>
        <v>#N/A</v>
      </c>
      <c r="AB102" s="122"/>
    </row>
    <row r="103" spans="12:28">
      <c r="L103" s="9">
        <f>COUNTA(G91)+L102</f>
        <v>92</v>
      </c>
      <c r="M103" s="31">
        <f>H91</f>
        <v>0</v>
      </c>
      <c r="N103" s="82" t="s">
        <v>7430</v>
      </c>
      <c r="O103" s="36">
        <v>30</v>
      </c>
      <c r="P103" s="36">
        <v>213</v>
      </c>
      <c r="Q103" s="32"/>
      <c r="R103" s="32"/>
      <c r="S103" s="32"/>
      <c r="T103" s="32"/>
      <c r="U103" s="36">
        <f>G91</f>
        <v>2</v>
      </c>
      <c r="V103" s="103"/>
      <c r="W103" s="104"/>
      <c r="X103" s="109" t="str">
        <f t="shared" ref="X103:Y104" si="32">IF(I91=0,"",I91)</f>
        <v/>
      </c>
      <c r="Y103" s="109" t="str">
        <f t="shared" si="32"/>
        <v/>
      </c>
      <c r="Z103" s="123" t="s">
        <v>7601</v>
      </c>
      <c r="AA103" s="124" t="e">
        <f>VLOOKUP($M:$M,Data!$I:$J,2,FALSE)</f>
        <v>#N/A</v>
      </c>
      <c r="AB103" s="125"/>
    </row>
    <row r="104" ht="15.25" spans="12:28">
      <c r="L104" s="14">
        <f>COUNTA(G92)+L103</f>
        <v>93</v>
      </c>
      <c r="M104" s="83">
        <f>H92</f>
        <v>0</v>
      </c>
      <c r="N104" s="84" t="s">
        <v>7430</v>
      </c>
      <c r="O104" s="85">
        <v>30</v>
      </c>
      <c r="P104" s="85">
        <v>213</v>
      </c>
      <c r="Q104" s="110"/>
      <c r="R104" s="110"/>
      <c r="S104" s="110"/>
      <c r="T104" s="110"/>
      <c r="U104" s="85">
        <f>G92</f>
        <v>3</v>
      </c>
      <c r="V104" s="105"/>
      <c r="W104" s="106"/>
      <c r="X104" s="111" t="str">
        <f t="shared" si="32"/>
        <v/>
      </c>
      <c r="Y104" s="111" t="str">
        <f t="shared" si="32"/>
        <v/>
      </c>
      <c r="Z104" s="127" t="s">
        <v>7602</v>
      </c>
      <c r="AA104" s="128" t="e">
        <f>VLOOKUP($M:$M,Data!$I:$J,2,FALSE)</f>
        <v>#N/A</v>
      </c>
      <c r="AB104" s="126"/>
    </row>
    <row r="105" spans="12:28">
      <c r="L105" s="6">
        <f>COUNTA(G86)+L104</f>
        <v>94</v>
      </c>
      <c r="M105" s="79" t="str">
        <f>H86</f>
        <v>53409 Jonatan</v>
      </c>
      <c r="N105" s="80" t="s">
        <v>7430</v>
      </c>
      <c r="O105" s="81">
        <v>30</v>
      </c>
      <c r="P105" s="81">
        <v>214</v>
      </c>
      <c r="Q105" s="62" t="str">
        <f>_xlfn.IFS(COUNTA(G86:G88)=1,"Single",COUNTA(G86:G88)=2,"Double",COUNTA(G86:G88)=3,"Triple",COUNTA(G86:G88)=0,"Empty")</f>
        <v>Double</v>
      </c>
      <c r="R105" s="62"/>
      <c r="S105" s="62"/>
      <c r="T105" s="62"/>
      <c r="U105" s="81">
        <f>G86</f>
        <v>1</v>
      </c>
      <c r="V105" s="100">
        <f>COUNT(G86:G88)</f>
        <v>2</v>
      </c>
      <c r="W105" s="101"/>
      <c r="X105" s="108" t="str">
        <f>IF(I86=0,"",I86)</f>
        <v/>
      </c>
      <c r="Y105" s="108" t="str">
        <f>IF(J86=0,"",J86)</f>
        <v/>
      </c>
      <c r="Z105" s="120" t="s">
        <v>7603</v>
      </c>
      <c r="AA105" s="121" t="e">
        <f>VLOOKUP($M:$M,Data!$I:$J,2,FALSE)</f>
        <v>#N/A</v>
      </c>
      <c r="AB105" s="122"/>
    </row>
    <row r="106" spans="12:28">
      <c r="L106" s="9">
        <f>COUNTA(G87)+L105</f>
        <v>94</v>
      </c>
      <c r="M106" s="31" t="str">
        <f>H87</f>
        <v>53310 Jesper</v>
      </c>
      <c r="N106" s="82" t="s">
        <v>7430</v>
      </c>
      <c r="O106" s="36">
        <v>30</v>
      </c>
      <c r="P106" s="36">
        <v>214</v>
      </c>
      <c r="Q106" s="32"/>
      <c r="R106" s="32"/>
      <c r="S106" s="32"/>
      <c r="T106" s="32"/>
      <c r="U106" s="36">
        <f>G87</f>
        <v>0</v>
      </c>
      <c r="V106" s="103"/>
      <c r="W106" s="104"/>
      <c r="X106" s="109" t="str">
        <f t="shared" ref="X106:Y107" si="33">IF(I87=0,"",I87)</f>
        <v/>
      </c>
      <c r="Y106" s="109" t="str">
        <f t="shared" si="33"/>
        <v/>
      </c>
      <c r="Z106" s="123"/>
      <c r="AA106" s="124" t="e">
        <f>VLOOKUP($M:$M,Data!$I:$J,2,FALSE)</f>
        <v>#N/A</v>
      </c>
      <c r="AB106" s="125" t="s">
        <v>7604</v>
      </c>
    </row>
    <row r="107" ht="15.25" spans="12:28">
      <c r="L107" s="14">
        <f>COUNTA(G88)+L106</f>
        <v>95</v>
      </c>
      <c r="M107" s="83">
        <f>H88</f>
        <v>0</v>
      </c>
      <c r="N107" s="84" t="s">
        <v>7430</v>
      </c>
      <c r="O107" s="85">
        <v>30</v>
      </c>
      <c r="P107" s="85">
        <v>214</v>
      </c>
      <c r="Q107" s="110"/>
      <c r="R107" s="110"/>
      <c r="S107" s="110"/>
      <c r="T107" s="110"/>
      <c r="U107" s="85">
        <f>G88</f>
        <v>3</v>
      </c>
      <c r="V107" s="105"/>
      <c r="W107" s="106"/>
      <c r="X107" s="111" t="str">
        <f t="shared" si="33"/>
        <v/>
      </c>
      <c r="Y107" s="111" t="str">
        <f t="shared" si="33"/>
        <v/>
      </c>
      <c r="Z107" s="127" t="s">
        <v>7605</v>
      </c>
      <c r="AA107" s="128" t="e">
        <f>VLOOKUP($M:$M,Data!$I:$J,2,FALSE)</f>
        <v>#N/A</v>
      </c>
      <c r="AB107" s="126"/>
    </row>
    <row r="108" spans="12:28">
      <c r="L108" s="6">
        <f>COUNTA(G82)+L107</f>
        <v>96</v>
      </c>
      <c r="M108" s="79" t="str">
        <f>H82</f>
        <v>53308 Elias</v>
      </c>
      <c r="N108" s="80" t="s">
        <v>7430</v>
      </c>
      <c r="O108" s="81">
        <v>30</v>
      </c>
      <c r="P108" s="81">
        <v>215</v>
      </c>
      <c r="Q108" s="62" t="str">
        <f>_xlfn.IFS(COUNTA(G82:G84)=1,"Single",COUNTA(G82:G84)=2,"Double",COUNTA(G82:G84)=3,"Triple",COUNTA(G82:G84)=0,"Empty")</f>
        <v>Double</v>
      </c>
      <c r="R108" s="62"/>
      <c r="S108" s="62"/>
      <c r="T108" s="62"/>
      <c r="U108" s="81">
        <f>G82</f>
        <v>1</v>
      </c>
      <c r="V108" s="100">
        <f>COUNT(G82:G84)</f>
        <v>2</v>
      </c>
      <c r="W108" s="101"/>
      <c r="X108" s="108" t="str">
        <f>IF(I82=0,"",I82)</f>
        <v/>
      </c>
      <c r="Y108" s="108" t="str">
        <f>IF(J82=0,"",J82)</f>
        <v/>
      </c>
      <c r="Z108" s="120" t="s">
        <v>7606</v>
      </c>
      <c r="AA108" s="121" t="e">
        <f>VLOOKUP($M:$M,Data!$I:$J,2,FALSE)</f>
        <v>#N/A</v>
      </c>
      <c r="AB108" s="122"/>
    </row>
    <row r="109" spans="12:28">
      <c r="L109" s="9">
        <f>COUNTA(G83)+L108</f>
        <v>97</v>
      </c>
      <c r="M109" s="31" t="str">
        <f>H83</f>
        <v>53208 Staffan</v>
      </c>
      <c r="N109" s="82" t="s">
        <v>7430</v>
      </c>
      <c r="O109" s="36">
        <v>30</v>
      </c>
      <c r="P109" s="36">
        <v>215</v>
      </c>
      <c r="Q109" s="32"/>
      <c r="R109" s="32"/>
      <c r="S109" s="32"/>
      <c r="T109" s="32"/>
      <c r="U109" s="36">
        <f>G83</f>
        <v>2</v>
      </c>
      <c r="V109" s="103"/>
      <c r="W109" s="104"/>
      <c r="X109" s="109" t="str">
        <f t="shared" ref="X109:Y110" si="34">IF(I83=0,"",I83)</f>
        <v/>
      </c>
      <c r="Y109" s="109" t="str">
        <f t="shared" si="34"/>
        <v/>
      </c>
      <c r="Z109" s="123" t="s">
        <v>7607</v>
      </c>
      <c r="AA109" s="124" t="e">
        <f>VLOOKUP($M:$M,Data!$I:$J,2,FALSE)</f>
        <v>#N/A</v>
      </c>
      <c r="AB109" s="125"/>
    </row>
    <row r="110" ht="15.25" spans="12:28">
      <c r="L110" s="14">
        <f>COUNTA(G84)+L109</f>
        <v>97</v>
      </c>
      <c r="M110" s="83">
        <f>H84</f>
        <v>0</v>
      </c>
      <c r="N110" s="84" t="s">
        <v>7430</v>
      </c>
      <c r="O110" s="85">
        <v>30</v>
      </c>
      <c r="P110" s="85">
        <v>215</v>
      </c>
      <c r="Q110" s="110"/>
      <c r="R110" s="110"/>
      <c r="S110" s="110"/>
      <c r="T110" s="110"/>
      <c r="U110" s="85">
        <f>G84</f>
        <v>0</v>
      </c>
      <c r="V110" s="105"/>
      <c r="W110" s="106"/>
      <c r="X110" s="111" t="str">
        <f t="shared" si="34"/>
        <v/>
      </c>
      <c r="Y110" s="111" t="str">
        <f t="shared" si="34"/>
        <v/>
      </c>
      <c r="Z110" s="127"/>
      <c r="AA110" s="128" t="e">
        <f>VLOOKUP($M:$M,Data!$I:$J,2,FALSE)</f>
        <v>#N/A</v>
      </c>
      <c r="AB110" s="126"/>
    </row>
    <row r="111" spans="12:28">
      <c r="L111" s="6">
        <f>COUNTA(G70)+L110</f>
        <v>98</v>
      </c>
      <c r="M111" s="79" t="str">
        <f>H70</f>
        <v>53102 Adrian</v>
      </c>
      <c r="N111" s="80" t="s">
        <v>7430</v>
      </c>
      <c r="O111" s="81">
        <v>30</v>
      </c>
      <c r="P111" s="81">
        <v>216</v>
      </c>
      <c r="Q111" s="62" t="str">
        <f>_xlfn.IFS(COUNTA(G70:G72)=1,"Single",COUNTA(G70:G72)=2,"Double",COUNTA(G70:G72)=3,"Triple",COUNTA(G70:G72)=0,"Empty")</f>
        <v>Double</v>
      </c>
      <c r="R111" s="62"/>
      <c r="S111" s="62"/>
      <c r="T111" s="62"/>
      <c r="U111" s="81">
        <f>G70</f>
        <v>1</v>
      </c>
      <c r="V111" s="100">
        <f>COUNT(G70:G72)</f>
        <v>2</v>
      </c>
      <c r="W111" s="101"/>
      <c r="X111" s="108" t="str">
        <f>IF(I70=0,"",I70)</f>
        <v/>
      </c>
      <c r="Y111" s="108" t="str">
        <f>IF(J70=0,"",J70)</f>
        <v/>
      </c>
      <c r="Z111" s="120" t="s">
        <v>7608</v>
      </c>
      <c r="AA111" s="121" t="e">
        <f>VLOOKUP($M:$M,Data!$I:$J,2,FALSE)</f>
        <v>#N/A</v>
      </c>
      <c r="AB111" s="122"/>
    </row>
    <row r="112" spans="12:28">
      <c r="L112" s="9">
        <f>COUNTA(G71)+L111</f>
        <v>99</v>
      </c>
      <c r="M112" s="31" t="str">
        <f>H71</f>
        <v>53108 Julius</v>
      </c>
      <c r="N112" s="82" t="s">
        <v>7430</v>
      </c>
      <c r="O112" s="36">
        <v>30</v>
      </c>
      <c r="P112" s="36">
        <v>216</v>
      </c>
      <c r="Q112" s="32"/>
      <c r="R112" s="32"/>
      <c r="S112" s="32"/>
      <c r="T112" s="32"/>
      <c r="U112" s="36">
        <f>G71</f>
        <v>2</v>
      </c>
      <c r="V112" s="103"/>
      <c r="W112" s="104"/>
      <c r="X112" s="109" t="str">
        <f t="shared" ref="X112:Y113" si="35">IF(I71=0,"",I71)</f>
        <v/>
      </c>
      <c r="Y112" s="109" t="str">
        <f t="shared" si="35"/>
        <v/>
      </c>
      <c r="Z112" s="123" t="s">
        <v>7609</v>
      </c>
      <c r="AA112" s="124" t="e">
        <f>VLOOKUP($M:$M,Data!$I:$J,2,FALSE)</f>
        <v>#N/A</v>
      </c>
      <c r="AB112" s="125"/>
    </row>
    <row r="113" ht="15.25" spans="12:28">
      <c r="L113" s="14">
        <f>COUNTA(G72)+L112</f>
        <v>99</v>
      </c>
      <c r="M113" s="83">
        <f>H72</f>
        <v>0</v>
      </c>
      <c r="N113" s="84" t="s">
        <v>7430</v>
      </c>
      <c r="O113" s="85">
        <v>30</v>
      </c>
      <c r="P113" s="85">
        <v>216</v>
      </c>
      <c r="Q113" s="110"/>
      <c r="R113" s="110"/>
      <c r="S113" s="110"/>
      <c r="T113" s="110"/>
      <c r="U113" s="85">
        <f>G72</f>
        <v>0</v>
      </c>
      <c r="V113" s="105"/>
      <c r="W113" s="106"/>
      <c r="X113" s="111" t="str">
        <f t="shared" si="35"/>
        <v/>
      </c>
      <c r="Y113" s="111" t="str">
        <f t="shared" si="35"/>
        <v/>
      </c>
      <c r="Z113" s="127"/>
      <c r="AA113" s="128" t="e">
        <f>VLOOKUP($M:$M,Data!$I:$J,2,FALSE)</f>
        <v>#N/A</v>
      </c>
      <c r="AB113" s="126"/>
    </row>
    <row r="114" spans="12:28">
      <c r="L114" s="6">
        <f>COUNTA(G66)+L113</f>
        <v>100</v>
      </c>
      <c r="M114" s="79" t="str">
        <f>H66</f>
        <v>53101 Adam</v>
      </c>
      <c r="N114" s="80" t="s">
        <v>7430</v>
      </c>
      <c r="O114" s="81">
        <v>30</v>
      </c>
      <c r="P114" s="81">
        <v>217</v>
      </c>
      <c r="Q114" s="62" t="str">
        <f>_xlfn.IFS(COUNTA(G66:G68)=1,"Single",COUNTA(G66:G68)=2,"Double",COUNTA(G66:G68)=3,"Triple",COUNTA(G66:G68)=0,"Empty")</f>
        <v>Triple</v>
      </c>
      <c r="R114" s="62"/>
      <c r="S114" s="62"/>
      <c r="T114" s="62"/>
      <c r="U114" s="81">
        <f>G66</f>
        <v>1</v>
      </c>
      <c r="V114" s="100">
        <f>COUNT(G66:G68)</f>
        <v>3</v>
      </c>
      <c r="W114" s="101"/>
      <c r="X114" s="108" t="str">
        <f>IF(I66=0,"",I66)</f>
        <v/>
      </c>
      <c r="Y114" s="108" t="str">
        <f>IF(J66=0,"",J66)</f>
        <v/>
      </c>
      <c r="Z114" s="120" t="s">
        <v>7610</v>
      </c>
      <c r="AA114" s="121" t="e">
        <f>VLOOKUP($M:$M,Data!$I:$J,2,FALSE)</f>
        <v>#N/A</v>
      </c>
      <c r="AB114" s="122"/>
    </row>
    <row r="115" spans="12:28">
      <c r="L115" s="9">
        <f>COUNTA(G67)+L114</f>
        <v>101</v>
      </c>
      <c r="M115" s="31" t="str">
        <f>H67</f>
        <v>53302 Johan</v>
      </c>
      <c r="N115" s="82" t="s">
        <v>7430</v>
      </c>
      <c r="O115" s="36">
        <v>30</v>
      </c>
      <c r="P115" s="36">
        <v>217</v>
      </c>
      <c r="Q115" s="32"/>
      <c r="R115" s="32"/>
      <c r="S115" s="32"/>
      <c r="T115" s="32"/>
      <c r="U115" s="36">
        <f>G67</f>
        <v>2</v>
      </c>
      <c r="V115" s="103"/>
      <c r="W115" s="104"/>
      <c r="X115" s="109" t="str">
        <f t="shared" ref="X115:Y116" si="36">IF(I67=0,"",I67)</f>
        <v/>
      </c>
      <c r="Y115" s="109" t="str">
        <f t="shared" si="36"/>
        <v/>
      </c>
      <c r="Z115" s="123" t="s">
        <v>7611</v>
      </c>
      <c r="AA115" s="124" t="e">
        <f>VLOOKUP($M:$M,Data!$I:$J,2,FALSE)</f>
        <v>#N/A</v>
      </c>
      <c r="AB115" s="125"/>
    </row>
    <row r="116" ht="15.25" spans="12:28">
      <c r="L116" s="14">
        <f>COUNTA(G68)+L115</f>
        <v>102</v>
      </c>
      <c r="M116" s="83">
        <f>H68</f>
        <v>0</v>
      </c>
      <c r="N116" s="84" t="s">
        <v>7430</v>
      </c>
      <c r="O116" s="85">
        <v>30</v>
      </c>
      <c r="P116" s="85">
        <v>217</v>
      </c>
      <c r="Q116" s="110"/>
      <c r="R116" s="110"/>
      <c r="S116" s="110"/>
      <c r="T116" s="110"/>
      <c r="U116" s="85">
        <f>G68</f>
        <v>3</v>
      </c>
      <c r="V116" s="105"/>
      <c r="W116" s="106"/>
      <c r="X116" s="111" t="str">
        <f t="shared" si="36"/>
        <v/>
      </c>
      <c r="Y116" s="111" t="str">
        <f t="shared" si="36"/>
        <v/>
      </c>
      <c r="Z116" s="127" t="s">
        <v>6869</v>
      </c>
      <c r="AA116" s="128" t="e">
        <f>VLOOKUP($M:$M,Data!$I:$J,2,FALSE)</f>
        <v>#N/A</v>
      </c>
      <c r="AB116" s="126"/>
    </row>
    <row r="117" spans="12:28">
      <c r="L117" s="6">
        <f>COUNTA(G62)+L116</f>
        <v>103</v>
      </c>
      <c r="M117" s="79" t="str">
        <f>H62</f>
        <v>53301 Elias</v>
      </c>
      <c r="N117" s="80" t="s">
        <v>7430</v>
      </c>
      <c r="O117" s="81">
        <v>30</v>
      </c>
      <c r="P117" s="81">
        <v>218</v>
      </c>
      <c r="Q117" s="62" t="str">
        <f>_xlfn.IFS(COUNTA(G62:G64)=1,"Single",COUNTA(G62:G64)=2,"Double",COUNTA(G62:G64)=3,"Triple",COUNTA(G62:G64)=0,"Empty")</f>
        <v>Triple</v>
      </c>
      <c r="R117" s="62"/>
      <c r="S117" s="62"/>
      <c r="T117" s="62"/>
      <c r="U117" s="81">
        <f>G62</f>
        <v>1</v>
      </c>
      <c r="V117" s="100">
        <f>COUNT(G62:G64)</f>
        <v>3</v>
      </c>
      <c r="W117" s="101"/>
      <c r="X117" s="108" t="str">
        <f>IF(I62=0,"",I62)</f>
        <v/>
      </c>
      <c r="Y117" s="108" t="str">
        <f>IF(J62=0,"",J62)</f>
        <v/>
      </c>
      <c r="Z117" s="120" t="s">
        <v>6885</v>
      </c>
      <c r="AA117" s="121" t="e">
        <f>VLOOKUP($M:$M,Data!$I:$J,2,FALSE)</f>
        <v>#N/A</v>
      </c>
      <c r="AB117" s="122"/>
    </row>
    <row r="118" spans="12:28">
      <c r="L118" s="9">
        <f>COUNTA(G63)+L117</f>
        <v>104</v>
      </c>
      <c r="M118" s="31" t="str">
        <f>H63</f>
        <v>53311 Anton</v>
      </c>
      <c r="N118" s="82" t="s">
        <v>7430</v>
      </c>
      <c r="O118" s="36">
        <v>30</v>
      </c>
      <c r="P118" s="36">
        <v>218</v>
      </c>
      <c r="Q118" s="32"/>
      <c r="R118" s="32"/>
      <c r="S118" s="32"/>
      <c r="T118" s="32"/>
      <c r="U118" s="36">
        <f>G63</f>
        <v>2</v>
      </c>
      <c r="V118" s="103"/>
      <c r="W118" s="104"/>
      <c r="X118" s="109" t="str">
        <f t="shared" ref="X118:Y119" si="37">IF(I63=0,"",I63)</f>
        <v/>
      </c>
      <c r="Y118" s="109" t="str">
        <f t="shared" si="37"/>
        <v/>
      </c>
      <c r="Z118" s="123" t="s">
        <v>6694</v>
      </c>
      <c r="AA118" s="124" t="e">
        <f>VLOOKUP($M:$M,Data!$I:$J,2,FALSE)</f>
        <v>#N/A</v>
      </c>
      <c r="AB118" s="125"/>
    </row>
    <row r="119" ht="15.25" spans="12:28">
      <c r="L119" s="14">
        <f>COUNTA(G64)+L118</f>
        <v>105</v>
      </c>
      <c r="M119" s="83">
        <f>H64</f>
        <v>0</v>
      </c>
      <c r="N119" s="84" t="s">
        <v>7430</v>
      </c>
      <c r="O119" s="85">
        <v>30</v>
      </c>
      <c r="P119" s="85">
        <v>218</v>
      </c>
      <c r="Q119" s="110"/>
      <c r="R119" s="110"/>
      <c r="S119" s="110"/>
      <c r="T119" s="110"/>
      <c r="U119" s="85">
        <f>G64</f>
        <v>3</v>
      </c>
      <c r="V119" s="105"/>
      <c r="W119" s="106"/>
      <c r="X119" s="111" t="str">
        <f t="shared" si="37"/>
        <v/>
      </c>
      <c r="Y119" s="111" t="str">
        <f t="shared" si="37"/>
        <v/>
      </c>
      <c r="Z119" s="127" t="s">
        <v>7612</v>
      </c>
      <c r="AA119" s="128" t="e">
        <f>VLOOKUP($M:$M,Data!$I:$J,2,FALSE)</f>
        <v>#N/A</v>
      </c>
      <c r="AB119" s="126"/>
    </row>
    <row r="120" spans="12:28">
      <c r="L120" s="6">
        <f>COUNTA(G58)+L119</f>
        <v>106</v>
      </c>
      <c r="M120" s="79" t="str">
        <f>H58</f>
        <v>53401 Simon</v>
      </c>
      <c r="N120" s="80" t="s">
        <v>7430</v>
      </c>
      <c r="O120" s="81">
        <v>30</v>
      </c>
      <c r="P120" s="81">
        <v>219</v>
      </c>
      <c r="Q120" s="62" t="str">
        <f>_xlfn.IFS(COUNTA(G58:G60)=1,"Single",COUNTA(G58:G60)=2,"Double",COUNTA(G58:G60)=3,"Triple",COUNTA(G58:G60)=0,"Empty")</f>
        <v>Triple</v>
      </c>
      <c r="R120" s="62"/>
      <c r="S120" s="62"/>
      <c r="T120" s="62"/>
      <c r="U120" s="81">
        <f>G58</f>
        <v>1</v>
      </c>
      <c r="V120" s="100">
        <f>COUNT(G58:G60)</f>
        <v>3</v>
      </c>
      <c r="W120" s="101"/>
      <c r="X120" s="108" t="str">
        <f>IF(I58=0,"",I58)</f>
        <v/>
      </c>
      <c r="Y120" s="108" t="str">
        <f>IF(J58=0,"",J58)</f>
        <v/>
      </c>
      <c r="Z120" s="120" t="s">
        <v>6711</v>
      </c>
      <c r="AA120" s="121" t="e">
        <f>VLOOKUP($M:$M,Data!$I:$J,2,FALSE)</f>
        <v>#N/A</v>
      </c>
      <c r="AB120" s="122"/>
    </row>
    <row r="121" spans="12:28">
      <c r="L121" s="9">
        <f>COUNTA(G59)+L120</f>
        <v>107</v>
      </c>
      <c r="M121" s="31">
        <f>H59</f>
        <v>0</v>
      </c>
      <c r="N121" s="82" t="s">
        <v>7430</v>
      </c>
      <c r="O121" s="36">
        <v>30</v>
      </c>
      <c r="P121" s="36">
        <v>219</v>
      </c>
      <c r="Q121" s="32"/>
      <c r="R121" s="32"/>
      <c r="S121" s="32"/>
      <c r="T121" s="32"/>
      <c r="U121" s="36">
        <f>G59</f>
        <v>2</v>
      </c>
      <c r="V121" s="103"/>
      <c r="W121" s="104"/>
      <c r="X121" s="109" t="str">
        <f t="shared" ref="X121:Y122" si="38">IF(I59=0,"",I59)</f>
        <v/>
      </c>
      <c r="Y121" s="109" t="str">
        <f t="shared" si="38"/>
        <v/>
      </c>
      <c r="Z121" s="123" t="s">
        <v>7324</v>
      </c>
      <c r="AA121" s="124" t="e">
        <f>VLOOKUP($M:$M,Data!$I:$J,2,FALSE)</f>
        <v>#N/A</v>
      </c>
      <c r="AB121" s="125"/>
    </row>
    <row r="122" ht="15.25" spans="12:28">
      <c r="L122" s="14">
        <f>COUNTA(G60)+L121</f>
        <v>108</v>
      </c>
      <c r="M122" s="83">
        <f>H60</f>
        <v>0</v>
      </c>
      <c r="N122" s="84" t="s">
        <v>7430</v>
      </c>
      <c r="O122" s="85">
        <v>30</v>
      </c>
      <c r="P122" s="85">
        <v>219</v>
      </c>
      <c r="Q122" s="110"/>
      <c r="R122" s="110"/>
      <c r="S122" s="110"/>
      <c r="T122" s="110"/>
      <c r="U122" s="85">
        <f>G60</f>
        <v>3</v>
      </c>
      <c r="V122" s="105"/>
      <c r="W122" s="106"/>
      <c r="X122" s="111" t="str">
        <f t="shared" si="38"/>
        <v/>
      </c>
      <c r="Y122" s="111" t="str">
        <f t="shared" si="38"/>
        <v/>
      </c>
      <c r="Z122" s="127" t="s">
        <v>6713</v>
      </c>
      <c r="AA122" s="128" t="e">
        <f>VLOOKUP($M:$M,Data!$I:$J,2,FALSE)</f>
        <v>#N/A</v>
      </c>
      <c r="AB122" s="126"/>
    </row>
    <row r="123" spans="12:28">
      <c r="L123" s="6">
        <f>COUNTA(G54)+L122</f>
        <v>109</v>
      </c>
      <c r="M123" s="79" t="str">
        <f>H54</f>
        <v>53002 Charlie </v>
      </c>
      <c r="N123" s="80" t="s">
        <v>7430</v>
      </c>
      <c r="O123" s="81">
        <v>30</v>
      </c>
      <c r="P123" s="81">
        <v>220</v>
      </c>
      <c r="Q123" s="62" t="str">
        <f>_xlfn.IFS(COUNTA(G54:G56)=1,"Single",COUNTA(G54:G56)=2,"Double",COUNTA(G54:G56)=3,"Triple",COUNTA(G54:G56)=0,"Empty")</f>
        <v>Triple</v>
      </c>
      <c r="R123" s="62"/>
      <c r="S123" s="62"/>
      <c r="T123" s="62"/>
      <c r="U123" s="81">
        <f>G54</f>
        <v>1</v>
      </c>
      <c r="V123" s="100">
        <f>COUNT(G54:G56)</f>
        <v>3</v>
      </c>
      <c r="W123" s="101"/>
      <c r="X123" s="108" t="str">
        <f>IF(I54=0,"",I54)</f>
        <v/>
      </c>
      <c r="Y123" s="108" t="str">
        <f>IF(J54=0,"",J54)</f>
        <v/>
      </c>
      <c r="Z123" s="120" t="s">
        <v>6654</v>
      </c>
      <c r="AA123" s="121" t="e">
        <f>VLOOKUP($M:$M,Data!$I:$J,2,FALSE)</f>
        <v>#N/A</v>
      </c>
      <c r="AB123" s="122"/>
    </row>
    <row r="124" spans="12:28">
      <c r="L124" s="9">
        <f>COUNTA(G55)+L123</f>
        <v>110</v>
      </c>
      <c r="M124" s="31">
        <f t="shared" ref="M124:M125" si="39">H55</f>
        <v>0</v>
      </c>
      <c r="N124" s="82" t="s">
        <v>7430</v>
      </c>
      <c r="O124" s="36">
        <v>30</v>
      </c>
      <c r="P124" s="36">
        <v>220</v>
      </c>
      <c r="Q124" s="32"/>
      <c r="R124" s="32"/>
      <c r="S124" s="32"/>
      <c r="T124" s="32"/>
      <c r="U124" s="36">
        <f t="shared" ref="U124:U125" si="40">G55</f>
        <v>2</v>
      </c>
      <c r="V124" s="103"/>
      <c r="W124" s="104"/>
      <c r="X124" s="109" t="str">
        <f t="shared" ref="X124:Y125" si="41">IF(I55=0,"",I55)</f>
        <v/>
      </c>
      <c r="Y124" s="109" t="str">
        <f t="shared" si="41"/>
        <v/>
      </c>
      <c r="Z124" s="123" t="s">
        <v>7613</v>
      </c>
      <c r="AA124" s="124" t="e">
        <f>VLOOKUP($M:$M,Data!$I:$J,2,FALSE)</f>
        <v>#N/A</v>
      </c>
      <c r="AB124" s="125"/>
    </row>
    <row r="125" ht="15.25" spans="12:28">
      <c r="L125" s="14">
        <f>COUNTA(G56)+L124</f>
        <v>111</v>
      </c>
      <c r="M125" s="83">
        <f t="shared" si="39"/>
        <v>0</v>
      </c>
      <c r="N125" s="84" t="s">
        <v>7430</v>
      </c>
      <c r="O125" s="85">
        <v>30</v>
      </c>
      <c r="P125" s="85">
        <v>220</v>
      </c>
      <c r="Q125" s="110"/>
      <c r="R125" s="110"/>
      <c r="S125" s="110"/>
      <c r="T125" s="110"/>
      <c r="U125" s="85">
        <f t="shared" si="40"/>
        <v>3</v>
      </c>
      <c r="V125" s="105"/>
      <c r="W125" s="106"/>
      <c r="X125" s="111" t="str">
        <f t="shared" si="41"/>
        <v/>
      </c>
      <c r="Y125" s="111" t="str">
        <f t="shared" si="41"/>
        <v/>
      </c>
      <c r="Z125" s="319" t="s">
        <v>7614</v>
      </c>
      <c r="AA125" s="128" t="e">
        <f>VLOOKUP($M:$M,Data!$I:$J,2,FALSE)</f>
        <v>#N/A</v>
      </c>
      <c r="AB125" s="126"/>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117:T119"/>
    <mergeCell ref="V117:W119"/>
    <mergeCell ref="Q120:T122"/>
    <mergeCell ref="V120:W122"/>
    <mergeCell ref="Q123:T125"/>
    <mergeCell ref="V123:W125"/>
    <mergeCell ref="Q108:T110"/>
    <mergeCell ref="V108:W110"/>
    <mergeCell ref="Q111:T113"/>
    <mergeCell ref="V111:W113"/>
    <mergeCell ref="Q114:T116"/>
    <mergeCell ref="V114:W116"/>
    <mergeCell ref="Q99:T101"/>
    <mergeCell ref="V99:W101"/>
    <mergeCell ref="Q102:T104"/>
    <mergeCell ref="V102:W104"/>
    <mergeCell ref="Q105:T107"/>
    <mergeCell ref="V105:W107"/>
    <mergeCell ref="Q93:T95"/>
    <mergeCell ref="V93:W95"/>
    <mergeCell ref="Q96:T98"/>
    <mergeCell ref="V96:W98"/>
    <mergeCell ref="Q87:T89"/>
    <mergeCell ref="V87:W89"/>
    <mergeCell ref="Q90:T92"/>
    <mergeCell ref="V90:W92"/>
    <mergeCell ref="Q81:T83"/>
    <mergeCell ref="V81:W83"/>
    <mergeCell ref="Q84:T86"/>
    <mergeCell ref="V84:W86"/>
    <mergeCell ref="Q72:T74"/>
    <mergeCell ref="V72:W74"/>
    <mergeCell ref="G73:J80"/>
    <mergeCell ref="Q75:T77"/>
    <mergeCell ref="V75:W77"/>
    <mergeCell ref="Q78:T80"/>
    <mergeCell ref="V78:W80"/>
    <mergeCell ref="Q66:T68"/>
    <mergeCell ref="V66:W68"/>
    <mergeCell ref="Q69:T71"/>
    <mergeCell ref="V69:W71"/>
    <mergeCell ref="Q60:T62"/>
    <mergeCell ref="V60:W62"/>
    <mergeCell ref="Q63:T65"/>
    <mergeCell ref="V63:W65"/>
    <mergeCell ref="Q54:T56"/>
    <mergeCell ref="V54:W56"/>
    <mergeCell ref="Q57:T59"/>
    <mergeCell ref="V57:W59"/>
    <mergeCell ref="Q48:T50"/>
    <mergeCell ref="V48:W50"/>
    <mergeCell ref="Q51:T53"/>
    <mergeCell ref="V51:W53"/>
    <mergeCell ref="Q42:T44"/>
    <mergeCell ref="V42:W44"/>
    <mergeCell ref="Q45:T47"/>
    <mergeCell ref="V45:W47"/>
    <mergeCell ref="Q36:T38"/>
    <mergeCell ref="V36:W38"/>
    <mergeCell ref="Q39:T41"/>
    <mergeCell ref="V39:W41"/>
    <mergeCell ref="Q30:T32"/>
    <mergeCell ref="V30:W32"/>
    <mergeCell ref="Q33:T35"/>
    <mergeCell ref="V33:W35"/>
    <mergeCell ref="Q21:T23"/>
    <mergeCell ref="V21:W23"/>
    <mergeCell ref="Q24:T26"/>
    <mergeCell ref="V24:W26"/>
    <mergeCell ref="G26:J33"/>
    <mergeCell ref="Q27:T29"/>
    <mergeCell ref="V27:W29"/>
    <mergeCell ref="Q15:T17"/>
    <mergeCell ref="V15:W17"/>
    <mergeCell ref="Q18:T20"/>
    <mergeCell ref="V18:W20"/>
    <mergeCell ref="Q9:T11"/>
    <mergeCell ref="V9:W11"/>
    <mergeCell ref="Q12:T14"/>
    <mergeCell ref="V12:W14"/>
    <mergeCell ref="Q6:T8"/>
    <mergeCell ref="V6:W8"/>
  </mergeCells>
  <conditionalFormatting sqref="L6">
    <cfRule type="cellIs" dxfId="12" priority="532" operator="equal">
      <formula>0</formula>
    </cfRule>
  </conditionalFormatting>
  <conditionalFormatting sqref="B7:B9">
    <cfRule type="cellIs" dxfId="27" priority="515" operator="notEqual">
      <formula>0</formula>
    </cfRule>
    <cfRule type="expression" dxfId="28" priority="516">
      <formula>COUNTA(C7)&lt;&gt;0</formula>
    </cfRule>
  </conditionalFormatting>
  <conditionalFormatting sqref="B11:B13">
    <cfRule type="cellIs" dxfId="27" priority="513" operator="notEqual">
      <formula>0</formula>
    </cfRule>
    <cfRule type="expression" dxfId="28" priority="514">
      <formula>COUNTA(C11)&lt;&gt;0</formula>
    </cfRule>
  </conditionalFormatting>
  <conditionalFormatting sqref="B15:B17">
    <cfRule type="cellIs" dxfId="27" priority="507" operator="notEqual">
      <formula>0</formula>
    </cfRule>
    <cfRule type="expression" dxfId="28" priority="508">
      <formula>COUNTA(C15)&lt;&gt;0</formula>
    </cfRule>
  </conditionalFormatting>
  <conditionalFormatting sqref="B19:B21">
    <cfRule type="cellIs" dxfId="27" priority="505" operator="notEqual">
      <formula>0</formula>
    </cfRule>
    <cfRule type="expression" dxfId="28" priority="506">
      <formula>COUNTA(C19)&lt;&gt;0</formula>
    </cfRule>
  </conditionalFormatting>
  <conditionalFormatting sqref="B23:B25">
    <cfRule type="cellIs" dxfId="27" priority="499" operator="notEqual">
      <formula>0</formula>
    </cfRule>
    <cfRule type="expression" dxfId="28" priority="500">
      <formula>COUNTA(C23)&lt;&gt;0</formula>
    </cfRule>
  </conditionalFormatting>
  <conditionalFormatting sqref="B27:B29">
    <cfRule type="cellIs" dxfId="27" priority="497" operator="notEqual">
      <formula>0</formula>
    </cfRule>
    <cfRule type="expression" dxfId="28" priority="498">
      <formula>COUNTA(C27)&lt;&gt;0</formula>
    </cfRule>
  </conditionalFormatting>
  <conditionalFormatting sqref="B31:B33">
    <cfRule type="cellIs" dxfId="27" priority="495" operator="notEqual">
      <formula>0</formula>
    </cfRule>
    <cfRule type="expression" dxfId="28" priority="496">
      <formula>COUNTA(C31)&lt;&gt;0</formula>
    </cfRule>
  </conditionalFormatting>
  <conditionalFormatting sqref="B35:B37">
    <cfRule type="cellIs" dxfId="27" priority="493" operator="notEqual">
      <formula>0</formula>
    </cfRule>
    <cfRule type="expression" dxfId="28" priority="494">
      <formula>COUNTA(C35)&lt;&gt;0</formula>
    </cfRule>
  </conditionalFormatting>
  <conditionalFormatting sqref="B39:B41">
    <cfRule type="cellIs" dxfId="27" priority="487" operator="notEqual">
      <formula>0</formula>
    </cfRule>
    <cfRule type="expression" dxfId="28" priority="488">
      <formula>COUNTA(C39)&lt;&gt;0</formula>
    </cfRule>
  </conditionalFormatting>
  <conditionalFormatting sqref="B43:B45">
    <cfRule type="cellIs" dxfId="27" priority="485" operator="notEqual">
      <formula>0</formula>
    </cfRule>
    <cfRule type="expression" dxfId="28" priority="486">
      <formula>COUNTA(C43)&lt;&gt;0</formula>
    </cfRule>
  </conditionalFormatting>
  <conditionalFormatting sqref="B47:B49">
    <cfRule type="cellIs" dxfId="27" priority="479" operator="notEqual">
      <formula>0</formula>
    </cfRule>
    <cfRule type="expression" dxfId="28" priority="480">
      <formula>COUNTA(C47)&lt;&gt;0</formula>
    </cfRule>
  </conditionalFormatting>
  <conditionalFormatting sqref="B54:B56">
    <cfRule type="cellIs" dxfId="27" priority="455" operator="notEqual">
      <formula>0</formula>
    </cfRule>
    <cfRule type="expression" dxfId="28" priority="456">
      <formula>COUNTA(C54)&lt;&gt;0</formula>
    </cfRule>
  </conditionalFormatting>
  <conditionalFormatting sqref="B58:B60">
    <cfRule type="cellIs" dxfId="27" priority="453" operator="notEqual">
      <formula>0</formula>
    </cfRule>
    <cfRule type="expression" dxfId="28" priority="454">
      <formula>COUNTA(C58)&lt;&gt;0</formula>
    </cfRule>
  </conditionalFormatting>
  <conditionalFormatting sqref="B62:B64">
    <cfRule type="cellIs" dxfId="27" priority="447" operator="notEqual">
      <formula>0</formula>
    </cfRule>
    <cfRule type="expression" dxfId="28" priority="448">
      <formula>COUNTA(C62)&lt;&gt;0</formula>
    </cfRule>
  </conditionalFormatting>
  <conditionalFormatting sqref="B66:B68">
    <cfRule type="cellIs" dxfId="27" priority="445" operator="notEqual">
      <formula>0</formula>
    </cfRule>
    <cfRule type="expression" dxfId="28" priority="446">
      <formula>COUNTA(C66)&lt;&gt;0</formula>
    </cfRule>
  </conditionalFormatting>
  <conditionalFormatting sqref="B70:B72">
    <cfRule type="cellIs" dxfId="27" priority="439" operator="notEqual">
      <formula>0</formula>
    </cfRule>
    <cfRule type="expression" dxfId="28" priority="440">
      <formula>COUNTA(C70)&lt;&gt;0</formula>
    </cfRule>
  </conditionalFormatting>
  <conditionalFormatting sqref="B74:B76">
    <cfRule type="cellIs" dxfId="27" priority="437" operator="notEqual">
      <formula>0</formula>
    </cfRule>
    <cfRule type="expression" dxfId="28" priority="438">
      <formula>COUNTA(C74)&lt;&gt;0</formula>
    </cfRule>
  </conditionalFormatting>
  <conditionalFormatting sqref="B78:B80">
    <cfRule type="cellIs" dxfId="27" priority="435" operator="notEqual">
      <formula>0</formula>
    </cfRule>
    <cfRule type="expression" dxfId="28" priority="436">
      <formula>COUNTA(C78)&lt;&gt;0</formula>
    </cfRule>
  </conditionalFormatting>
  <conditionalFormatting sqref="B82:B84">
    <cfRule type="cellIs" dxfId="27" priority="433" operator="notEqual">
      <formula>0</formula>
    </cfRule>
    <cfRule type="expression" dxfId="28" priority="434">
      <formula>COUNTA(C82)&lt;&gt;0</formula>
    </cfRule>
  </conditionalFormatting>
  <conditionalFormatting sqref="B86:B88">
    <cfRule type="cellIs" dxfId="27" priority="427" operator="notEqual">
      <formula>0</formula>
    </cfRule>
    <cfRule type="expression" dxfId="28" priority="428">
      <formula>COUNTA(C86)&lt;&gt;0</formula>
    </cfRule>
  </conditionalFormatting>
  <conditionalFormatting sqref="B90:B92">
    <cfRule type="cellIs" dxfId="27" priority="425" operator="notEqual">
      <formula>0</formula>
    </cfRule>
    <cfRule type="expression" dxfId="28" priority="426">
      <formula>COUNTA(C90)&lt;&gt;0</formula>
    </cfRule>
  </conditionalFormatting>
  <conditionalFormatting sqref="B94:B96">
    <cfRule type="cellIs" dxfId="27" priority="419" operator="notEqual">
      <formula>0</formula>
    </cfRule>
    <cfRule type="expression" dxfId="28" priority="420">
      <formula>COUNTA(C94)&lt;&gt;0</formula>
    </cfRule>
  </conditionalFormatting>
  <conditionalFormatting sqref="C7:C9">
    <cfRule type="cellIs" dxfId="2" priority="519" operator="notEqual">
      <formula>0</formula>
    </cfRule>
  </conditionalFormatting>
  <conditionalFormatting sqref="C11:C13">
    <cfRule type="cellIs" dxfId="2" priority="520" operator="notEqual">
      <formula>0</formula>
    </cfRule>
  </conditionalFormatting>
  <conditionalFormatting sqref="C15:C17">
    <cfRule type="cellIs" dxfId="2" priority="521" operator="notEqual">
      <formula>0</formula>
    </cfRule>
  </conditionalFormatting>
  <conditionalFormatting sqref="C19:C21">
    <cfRule type="cellIs" dxfId="2" priority="522" operator="notEqual">
      <formula>0</formula>
    </cfRule>
  </conditionalFormatting>
  <conditionalFormatting sqref="C23:C25">
    <cfRule type="cellIs" dxfId="2" priority="523" operator="notEqual">
      <formula>0</formula>
    </cfRule>
  </conditionalFormatting>
  <conditionalFormatting sqref="C27:C29">
    <cfRule type="cellIs" dxfId="2" priority="524" operator="notEqual">
      <formula>0</formula>
    </cfRule>
  </conditionalFormatting>
  <conditionalFormatting sqref="C31:C33">
    <cfRule type="cellIs" dxfId="2" priority="525" operator="notEqual">
      <formula>0</formula>
    </cfRule>
  </conditionalFormatting>
  <conditionalFormatting sqref="C35:C37">
    <cfRule type="cellIs" dxfId="2" priority="526" operator="notEqual">
      <formula>0</formula>
    </cfRule>
  </conditionalFormatting>
  <conditionalFormatting sqref="C39:C41">
    <cfRule type="cellIs" dxfId="2" priority="527" operator="notEqual">
      <formula>0</formula>
    </cfRule>
  </conditionalFormatting>
  <conditionalFormatting sqref="C43:C45">
    <cfRule type="cellIs" dxfId="2" priority="528" operator="notEqual">
      <formula>0</formula>
    </cfRule>
  </conditionalFormatting>
  <conditionalFormatting sqref="C47:C49">
    <cfRule type="cellIs" dxfId="2" priority="529" operator="notEqual">
      <formula>0</formula>
    </cfRule>
  </conditionalFormatting>
  <conditionalFormatting sqref="C54:C56">
    <cfRule type="cellIs" dxfId="2" priority="459" operator="notEqual">
      <formula>0</formula>
    </cfRule>
  </conditionalFormatting>
  <conditionalFormatting sqref="C58:C60">
    <cfRule type="cellIs" dxfId="2" priority="460" operator="notEqual">
      <formula>0</formula>
    </cfRule>
  </conditionalFormatting>
  <conditionalFormatting sqref="C62:C64">
    <cfRule type="cellIs" dxfId="2" priority="461" operator="notEqual">
      <formula>0</formula>
    </cfRule>
  </conditionalFormatting>
  <conditionalFormatting sqref="C66:C68">
    <cfRule type="cellIs" dxfId="2" priority="462" operator="notEqual">
      <formula>0</formula>
    </cfRule>
  </conditionalFormatting>
  <conditionalFormatting sqref="C70:C72">
    <cfRule type="cellIs" dxfId="2" priority="463" operator="notEqual">
      <formula>0</formula>
    </cfRule>
  </conditionalFormatting>
  <conditionalFormatting sqref="C74:C76">
    <cfRule type="cellIs" dxfId="2" priority="464" operator="notEqual">
      <formula>0</formula>
    </cfRule>
  </conditionalFormatting>
  <conditionalFormatting sqref="C78:C80">
    <cfRule type="cellIs" dxfId="2" priority="465" operator="notEqual">
      <formula>0</formula>
    </cfRule>
  </conditionalFormatting>
  <conditionalFormatting sqref="C82:C84">
    <cfRule type="cellIs" dxfId="2" priority="466" operator="notEqual">
      <formula>0</formula>
    </cfRule>
  </conditionalFormatting>
  <conditionalFormatting sqref="C86:C88">
    <cfRule type="cellIs" dxfId="2" priority="467" operator="notEqual">
      <formula>0</formula>
    </cfRule>
  </conditionalFormatting>
  <conditionalFormatting sqref="C90:C92">
    <cfRule type="cellIs" dxfId="2" priority="468" operator="notEqual">
      <formula>0</formula>
    </cfRule>
  </conditionalFormatting>
  <conditionalFormatting sqref="C94:C96">
    <cfRule type="cellIs" dxfId="2" priority="469" operator="notEqual">
      <formula>0</formula>
    </cfRule>
  </conditionalFormatting>
  <conditionalFormatting sqref="D7:D9">
    <cfRule type="cellIs" dxfId="22" priority="394" operator="equal">
      <formula>""</formula>
    </cfRule>
    <cfRule type="cellIs" dxfId="22" priority="395" operator="greaterThan">
      <formula>TODAY()</formula>
    </cfRule>
    <cfRule type="expression" dxfId="14" priority="405">
      <formula>AND(D7&lt;TODAY(),E7="")</formula>
    </cfRule>
    <cfRule type="expression" dxfId="13" priority="406">
      <formula>E7&lt;TODAY()</formula>
    </cfRule>
    <cfRule type="expression" dxfId="14" priority="407">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401" operator="equal">
      <formula>0</formula>
    </cfRule>
    <cfRule type="cellIs" dxfId="29" priority="402" operator="lessThan">
      <formula>D7</formula>
    </cfRule>
    <cfRule type="expression" dxfId="13" priority="403">
      <formula>E7&lt;TODAY()</formula>
    </cfRule>
    <cfRule type="expression" dxfId="14" priority="404">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517" operator="notEqual">
      <formula>0</formula>
    </cfRule>
    <cfRule type="expression" dxfId="28" priority="518">
      <formula>COUNTA(H7)&lt;&gt;0</formula>
    </cfRule>
  </conditionalFormatting>
  <conditionalFormatting sqref="G11:G13">
    <cfRule type="cellIs" dxfId="27" priority="511" operator="notEqual">
      <formula>0</formula>
    </cfRule>
    <cfRule type="expression" dxfId="28" priority="512">
      <formula>COUNTA(H11)&lt;&gt;0</formula>
    </cfRule>
  </conditionalFormatting>
  <conditionalFormatting sqref="G15:G17">
    <cfRule type="cellIs" dxfId="27" priority="509" operator="notEqual">
      <formula>0</formula>
    </cfRule>
    <cfRule type="expression" dxfId="28" priority="510">
      <formula>COUNTA(H15)&lt;&gt;0</formula>
    </cfRule>
  </conditionalFormatting>
  <conditionalFormatting sqref="G19:G21">
    <cfRule type="cellIs" dxfId="27" priority="503" operator="notEqual">
      <formula>0</formula>
    </cfRule>
    <cfRule type="expression" dxfId="28" priority="504">
      <formula>COUNTA(H19)&lt;&gt;0</formula>
    </cfRule>
  </conditionalFormatting>
  <conditionalFormatting sqref="G23:G25">
    <cfRule type="cellIs" dxfId="27" priority="501" operator="notEqual">
      <formula>0</formula>
    </cfRule>
    <cfRule type="expression" dxfId="28" priority="502">
      <formula>COUNTA(H23)&lt;&gt;0</formula>
    </cfRule>
  </conditionalFormatting>
  <conditionalFormatting sqref="G35:G37">
    <cfRule type="cellIs" dxfId="27" priority="491" operator="notEqual">
      <formula>0</formula>
    </cfRule>
    <cfRule type="expression" dxfId="28" priority="492">
      <formula>COUNTA(H35)&lt;&gt;0</formula>
    </cfRule>
  </conditionalFormatting>
  <conditionalFormatting sqref="G39:G41">
    <cfRule type="cellIs" dxfId="27" priority="489" operator="notEqual">
      <formula>0</formula>
    </cfRule>
    <cfRule type="expression" dxfId="28" priority="490">
      <formula>COUNTA(H39)&lt;&gt;0</formula>
    </cfRule>
  </conditionalFormatting>
  <conditionalFormatting sqref="G43:G45">
    <cfRule type="cellIs" dxfId="27" priority="483" operator="notEqual">
      <formula>0</formula>
    </cfRule>
    <cfRule type="expression" dxfId="28" priority="484">
      <formula>COUNTA(H43)&lt;&gt;0</formula>
    </cfRule>
  </conditionalFormatting>
  <conditionalFormatting sqref="G47:G49">
    <cfRule type="cellIs" dxfId="27" priority="481" operator="notEqual">
      <formula>0</formula>
    </cfRule>
    <cfRule type="expression" dxfId="28" priority="482">
      <formula>COUNTA(H47)&lt;&gt;0</formula>
    </cfRule>
  </conditionalFormatting>
  <conditionalFormatting sqref="G54:G56">
    <cfRule type="cellIs" dxfId="27" priority="457" operator="notEqual">
      <formula>0</formula>
    </cfRule>
    <cfRule type="expression" dxfId="28" priority="458">
      <formula>COUNTA(H54)&lt;&gt;0</formula>
    </cfRule>
  </conditionalFormatting>
  <conditionalFormatting sqref="G58:G60">
    <cfRule type="cellIs" dxfId="27" priority="451" operator="notEqual">
      <formula>0</formula>
    </cfRule>
    <cfRule type="expression" dxfId="28" priority="452">
      <formula>COUNTA(H58)&lt;&gt;0</formula>
    </cfRule>
  </conditionalFormatting>
  <conditionalFormatting sqref="G62:G64">
    <cfRule type="cellIs" dxfId="27" priority="449" operator="notEqual">
      <formula>0</formula>
    </cfRule>
    <cfRule type="expression" dxfId="28" priority="450">
      <formula>COUNTA(H62)&lt;&gt;0</formula>
    </cfRule>
  </conditionalFormatting>
  <conditionalFormatting sqref="G66:G68">
    <cfRule type="cellIs" dxfId="27" priority="443" operator="notEqual">
      <formula>0</formula>
    </cfRule>
    <cfRule type="expression" dxfId="28" priority="444">
      <formula>COUNTA(H66)&lt;&gt;0</formula>
    </cfRule>
  </conditionalFormatting>
  <conditionalFormatting sqref="G70:G72">
    <cfRule type="cellIs" dxfId="27" priority="441" operator="notEqual">
      <formula>0</formula>
    </cfRule>
    <cfRule type="expression" dxfId="28" priority="442">
      <formula>COUNTA(H70)&lt;&gt;0</formula>
    </cfRule>
  </conditionalFormatting>
  <conditionalFormatting sqref="G82:G84">
    <cfRule type="cellIs" dxfId="27" priority="431" operator="notEqual">
      <formula>0</formula>
    </cfRule>
    <cfRule type="expression" dxfId="28" priority="432">
      <formula>COUNTA(H82)&lt;&gt;0</formula>
    </cfRule>
  </conditionalFormatting>
  <conditionalFormatting sqref="G86:G88">
    <cfRule type="cellIs" dxfId="27" priority="429" operator="notEqual">
      <formula>0</formula>
    </cfRule>
    <cfRule type="expression" dxfId="28" priority="430">
      <formula>COUNTA(H86)&lt;&gt;0</formula>
    </cfRule>
  </conditionalFormatting>
  <conditionalFormatting sqref="G90:G92">
    <cfRule type="cellIs" dxfId="27" priority="423" operator="notEqual">
      <formula>0</formula>
    </cfRule>
    <cfRule type="expression" dxfId="28" priority="424">
      <formula>COUNTA(H90)&lt;&gt;0</formula>
    </cfRule>
  </conditionalFormatting>
  <conditionalFormatting sqref="G94:G96">
    <cfRule type="cellIs" dxfId="27" priority="421" operator="notEqual">
      <formula>0</formula>
    </cfRule>
    <cfRule type="expression" dxfId="28" priority="422">
      <formula>COUNTA(H94)&lt;&gt;0</formula>
    </cfRule>
  </conditionalFormatting>
  <conditionalFormatting sqref="H7:H9">
    <cfRule type="cellIs" dxfId="2" priority="470" operator="notEqual">
      <formula>0</formula>
    </cfRule>
  </conditionalFormatting>
  <conditionalFormatting sqref="H11:H13">
    <cfRule type="cellIs" dxfId="2" priority="471" operator="notEqual">
      <formula>0</formula>
    </cfRule>
  </conditionalFormatting>
  <conditionalFormatting sqref="H15:H17">
    <cfRule type="cellIs" dxfId="2" priority="472" operator="notEqual">
      <formula>0</formula>
    </cfRule>
  </conditionalFormatting>
  <conditionalFormatting sqref="H19:H21">
    <cfRule type="cellIs" dxfId="2" priority="473" operator="notEqual">
      <formula>0</formula>
    </cfRule>
  </conditionalFormatting>
  <conditionalFormatting sqref="H23:H25">
    <cfRule type="cellIs" dxfId="2" priority="474" operator="notEqual">
      <formula>0</formula>
    </cfRule>
  </conditionalFormatting>
  <conditionalFormatting sqref="H35:H37">
    <cfRule type="cellIs" dxfId="2" priority="475" operator="notEqual">
      <formula>0</formula>
    </cfRule>
  </conditionalFormatting>
  <conditionalFormatting sqref="H39:H41">
    <cfRule type="cellIs" dxfId="2" priority="476" operator="notEqual">
      <formula>0</formula>
    </cfRule>
  </conditionalFormatting>
  <conditionalFormatting sqref="H43:H45">
    <cfRule type="cellIs" dxfId="2" priority="477" operator="notEqual">
      <formula>0</formula>
    </cfRule>
  </conditionalFormatting>
  <conditionalFormatting sqref="H47:H49">
    <cfRule type="cellIs" dxfId="2" priority="478" operator="notEqual">
      <formula>0</formula>
    </cfRule>
  </conditionalFormatting>
  <conditionalFormatting sqref="H54:H56">
    <cfRule type="cellIs" dxfId="2" priority="410" operator="notEqual">
      <formula>0</formula>
    </cfRule>
  </conditionalFormatting>
  <conditionalFormatting sqref="H58:H60">
    <cfRule type="cellIs" dxfId="2" priority="411" operator="notEqual">
      <formula>0</formula>
    </cfRule>
  </conditionalFormatting>
  <conditionalFormatting sqref="H62:H64">
    <cfRule type="cellIs" dxfId="2" priority="412" operator="notEqual">
      <formula>0</formula>
    </cfRule>
  </conditionalFormatting>
  <conditionalFormatting sqref="H66:H68">
    <cfRule type="cellIs" dxfId="2" priority="413" operator="notEqual">
      <formula>0</formula>
    </cfRule>
  </conditionalFormatting>
  <conditionalFormatting sqref="H70:H72">
    <cfRule type="cellIs" dxfId="2" priority="414" operator="notEqual">
      <formula>0</formula>
    </cfRule>
  </conditionalFormatting>
  <conditionalFormatting sqref="H82:H84">
    <cfRule type="cellIs" dxfId="2" priority="415" operator="notEqual">
      <formula>0</formula>
    </cfRule>
  </conditionalFormatting>
  <conditionalFormatting sqref="H86:H88">
    <cfRule type="cellIs" dxfId="2" priority="416" operator="notEqual">
      <formula>0</formula>
    </cfRule>
  </conditionalFormatting>
  <conditionalFormatting sqref="H90:H92">
    <cfRule type="cellIs" dxfId="2" priority="417" operator="notEqual">
      <formula>0</formula>
    </cfRule>
  </conditionalFormatting>
  <conditionalFormatting sqref="H94:H96">
    <cfRule type="cellIs" dxfId="2" priority="418"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533" operator="equal">
      <formula>L6</formula>
    </cfRule>
  </conditionalFormatting>
  <conditionalFormatting sqref="M$1:M$1048576">
    <cfRule type="cellIs" dxfId="12" priority="530" operator="equal">
      <formula>0</formula>
    </cfRule>
  </conditionalFormatting>
  <conditionalFormatting sqref="U6:U125">
    <cfRule type="cellIs" dxfId="12" priority="531" operator="equal">
      <formula>0</formula>
    </cfRule>
  </conditionalFormatting>
  <conditionalFormatting sqref="X6:X125">
    <cfRule type="expression" dxfId="13" priority="399">
      <formula>Y6&lt;TODAY()</formula>
    </cfRule>
    <cfRule type="expression" dxfId="14" priority="400">
      <formula>X6&lt;TODAY()</formula>
    </cfRule>
  </conditionalFormatting>
  <conditionalFormatting sqref="Y6:Y125">
    <cfRule type="expression" dxfId="15" priority="393">
      <formula>AND(Y6&lt;X6,X6&lt;&gt;"")</formula>
    </cfRule>
    <cfRule type="expression" dxfId="13" priority="396">
      <formula>Y6&lt;TODAY()</formula>
    </cfRule>
    <cfRule type="expression" dxfId="14" priority="397">
      <formula>AND(Y6&gt;TODAY(),X6="")</formula>
    </cfRule>
    <cfRule type="expression" dxfId="14" priority="398">
      <formula>X6&lt;TODAY()</formula>
    </cfRule>
  </conditionalFormatting>
  <conditionalFormatting sqref="AB6:AB125">
    <cfRule type="cellIs" dxfId="30" priority="409"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392" operator="equal">
      <formula>""</formula>
    </cfRule>
  </conditionalFormatting>
  <conditionalFormatting sqref="D8:E9">
    <cfRule type="cellIs" dxfId="2" priority="408"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zoomScale="70" zoomScaleNormal="70" workbookViewId="0">
      <pane ySplit="5" topLeftCell="A57" activePane="bottomLeft" state="frozen"/>
      <selection/>
      <selection pane="bottomLeft" activeCell="H68" sqref="H68"/>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35.2818181818182"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7615</v>
      </c>
      <c r="D4" s="44"/>
      <c r="E4" s="44"/>
      <c r="F4" s="44"/>
      <c r="G4" s="44"/>
      <c r="H4" s="44"/>
      <c r="I4" s="44"/>
      <c r="J4" s="75"/>
      <c r="L4" s="73"/>
      <c r="M4" s="73">
        <f>Q4+R4*2+S4*3</f>
        <v>96</v>
      </c>
      <c r="N4" s="76"/>
      <c r="O4" s="73"/>
      <c r="P4" s="73">
        <f>SUM(Q4:S4)</f>
        <v>40</v>
      </c>
      <c r="Q4" s="96">
        <f>COUNTIFS(Q6:T125,"=Single")</f>
        <v>3</v>
      </c>
      <c r="R4" s="96">
        <f>COUNTIFS(Q6:T125,"=Double")</f>
        <v>18</v>
      </c>
      <c r="S4" s="96">
        <f>COUNTIFS(Q6:T125,"=Triple")</f>
        <v>19</v>
      </c>
      <c r="T4" s="96">
        <f>COUNTIFS(Q6:T125,"=Empty")</f>
        <v>0</v>
      </c>
      <c r="U4" s="73">
        <f>COUNTIFS(V6:W125,"=1")</f>
        <v>3</v>
      </c>
      <c r="V4" s="73">
        <f>COUNTIFS(V6:W125,"=2")</f>
        <v>18</v>
      </c>
      <c r="W4" s="73">
        <f>COUNTIFS(V6:W125,"=3")</f>
        <v>19</v>
      </c>
      <c r="X4" s="97"/>
      <c r="Y4" s="97"/>
      <c r="Z4" s="115">
        <f>COUNTA(Z6:Z130)</f>
        <v>96</v>
      </c>
      <c r="AA4" s="115">
        <f>COUNTA(AA6:AA130)-SUM(COUNTIF(AA6:AA130,{"#N/A"}))</f>
        <v>0</v>
      </c>
      <c r="AB4" s="116"/>
    </row>
    <row r="5" ht="15.25" spans="2:28">
      <c r="B5" s="45" t="s">
        <v>7427</v>
      </c>
      <c r="C5" s="45"/>
      <c r="D5" s="45"/>
      <c r="E5" s="45"/>
      <c r="G5" s="45" t="s">
        <v>7427</v>
      </c>
      <c r="H5" s="45"/>
      <c r="I5" s="45"/>
      <c r="J5" s="45"/>
      <c r="L5" s="77"/>
      <c r="M5" s="78"/>
      <c r="N5" s="77"/>
      <c r="O5" s="77"/>
      <c r="P5" s="77"/>
      <c r="Q5" s="96"/>
      <c r="R5" s="96"/>
      <c r="S5" s="96"/>
      <c r="T5" s="96"/>
      <c r="U5" s="98">
        <f>SUM(V6:W125)</f>
        <v>96</v>
      </c>
      <c r="V5" s="73" t="s">
        <v>7428</v>
      </c>
      <c r="W5" s="98">
        <f>U4+V4+W4</f>
        <v>40</v>
      </c>
      <c r="X5" s="99"/>
      <c r="Y5" s="99"/>
      <c r="Z5" s="117"/>
      <c r="AA5" s="118"/>
      <c r="AB5" s="119"/>
    </row>
    <row r="6" spans="2:28">
      <c r="B6" s="46">
        <v>101</v>
      </c>
      <c r="C6" s="47"/>
      <c r="D6" s="48" t="s">
        <v>6580</v>
      </c>
      <c r="E6" s="49" t="s">
        <v>6581</v>
      </c>
      <c r="G6" s="46">
        <v>120</v>
      </c>
      <c r="H6" s="47"/>
      <c r="I6" s="48" t="s">
        <v>6580</v>
      </c>
      <c r="J6" s="49" t="s">
        <v>6581</v>
      </c>
      <c r="L6" s="6">
        <f>COUNTA(B7)</f>
        <v>1</v>
      </c>
      <c r="M6" s="79">
        <f>C7</f>
        <v>0</v>
      </c>
      <c r="N6" s="80" t="s">
        <v>7430</v>
      </c>
      <c r="O6" s="81">
        <v>31</v>
      </c>
      <c r="P6" s="81">
        <v>101</v>
      </c>
      <c r="Q6" s="81" t="str">
        <f>_xlfn.IFS(COUNTA(B7:B9)=1,"Single",COUNTA(B7:B9)=2,"Double",COUNTA(B7:B9)=3,"Triple",COUNTA(B7:B9)=0,"Empty")</f>
        <v>Triple</v>
      </c>
      <c r="R6" s="81"/>
      <c r="S6" s="81"/>
      <c r="T6" s="81"/>
      <c r="U6" s="81">
        <f>B7</f>
        <v>1</v>
      </c>
      <c r="V6" s="100">
        <f>COUNT(B7:B9)</f>
        <v>3</v>
      </c>
      <c r="W6" s="101"/>
      <c r="X6" s="102" t="str">
        <f>IF(D7=0,"",D7)</f>
        <v/>
      </c>
      <c r="Y6" s="108" t="str">
        <f t="shared" ref="X6:Y8" si="0">IF(E7=0,"",E7)</f>
        <v/>
      </c>
      <c r="Z6" s="120" t="s">
        <v>7616</v>
      </c>
      <c r="AA6" s="121" t="e">
        <f>VLOOKUP($M:$M,Data!$I:$J,2,FALSE)</f>
        <v>#N/A</v>
      </c>
      <c r="AB6" s="122"/>
    </row>
    <row r="7" spans="2:28">
      <c r="B7" s="50">
        <v>1</v>
      </c>
      <c r="C7" s="51">
        <f>VLOOKUP("31/101/1",Data!$A$2:$E$1425,3,FALSE)</f>
        <v>0</v>
      </c>
      <c r="D7" s="52"/>
      <c r="E7" s="53"/>
      <c r="G7" s="50">
        <v>1</v>
      </c>
      <c r="H7" s="51">
        <f>VLOOKUP("31/120/1",Data!$A$2:$E$1425,3,FALSE)</f>
        <v>0</v>
      </c>
      <c r="I7" s="52"/>
      <c r="J7" s="53"/>
      <c r="L7" s="9">
        <f>COUNTA(B8)+L6</f>
        <v>2</v>
      </c>
      <c r="M7" s="31">
        <f>C8</f>
        <v>0</v>
      </c>
      <c r="N7" s="82" t="s">
        <v>7430</v>
      </c>
      <c r="O7" s="36">
        <v>31</v>
      </c>
      <c r="P7" s="36">
        <v>101</v>
      </c>
      <c r="Q7" s="36"/>
      <c r="R7" s="36"/>
      <c r="S7" s="36"/>
      <c r="T7" s="36"/>
      <c r="U7" s="36">
        <f>B8</f>
        <v>2</v>
      </c>
      <c r="V7" s="103"/>
      <c r="W7" s="104"/>
      <c r="X7" s="52" t="str">
        <f t="shared" si="0"/>
        <v/>
      </c>
      <c r="Y7" s="109" t="str">
        <f t="shared" si="0"/>
        <v/>
      </c>
      <c r="Z7" s="317" t="s">
        <v>6768</v>
      </c>
      <c r="AA7" s="124" t="e">
        <f>VLOOKUP($M:$M,Data!$I:$J,2,FALSE)</f>
        <v>#N/A</v>
      </c>
      <c r="AB7" s="125"/>
    </row>
    <row r="8" ht="15.25" spans="2:28">
      <c r="B8" s="50">
        <v>2</v>
      </c>
      <c r="C8" s="51">
        <f>VLOOKUP("31/101/2",Data!$A$2:$E$1425,3,FALSE)</f>
        <v>0</v>
      </c>
      <c r="D8" s="54"/>
      <c r="E8" s="55"/>
      <c r="G8" s="50">
        <v>2</v>
      </c>
      <c r="H8" s="51">
        <f>VLOOKUP("31/120/2",Data!$A$2:$E$1425,3,FALSE)</f>
        <v>0</v>
      </c>
      <c r="I8" s="54"/>
      <c r="J8" s="55"/>
      <c r="L8" s="14">
        <f>COUNTA(B9)+L7</f>
        <v>3</v>
      </c>
      <c r="M8" s="83">
        <f>C9</f>
        <v>0</v>
      </c>
      <c r="N8" s="84" t="s">
        <v>7430</v>
      </c>
      <c r="O8" s="85">
        <v>31</v>
      </c>
      <c r="P8" s="85">
        <v>101</v>
      </c>
      <c r="Q8" s="85"/>
      <c r="R8" s="85"/>
      <c r="S8" s="85"/>
      <c r="T8" s="85"/>
      <c r="U8" s="85">
        <f>B9</f>
        <v>3</v>
      </c>
      <c r="V8" s="105"/>
      <c r="W8" s="106"/>
      <c r="X8" s="107" t="str">
        <f t="shared" si="0"/>
        <v/>
      </c>
      <c r="Y8" s="111" t="str">
        <f t="shared" si="0"/>
        <v/>
      </c>
      <c r="Z8" s="123" t="s">
        <v>6744</v>
      </c>
      <c r="AA8" s="124" t="e">
        <f>VLOOKUP($M:$M,Data!$I:$J,2,FALSE)</f>
        <v>#N/A</v>
      </c>
      <c r="AB8" s="126"/>
    </row>
    <row r="9" ht="15.25" spans="2:28">
      <c r="B9" s="50">
        <v>3</v>
      </c>
      <c r="C9" s="51">
        <f>VLOOKUP("31/101/3",Data!$A$2:$E$1425,3,FALSE)</f>
        <v>0</v>
      </c>
      <c r="D9" s="56"/>
      <c r="E9" s="57"/>
      <c r="G9" s="58">
        <v>3</v>
      </c>
      <c r="H9" s="59">
        <f>VLOOKUP("31/120/3",Data!$A$2:$E$1425,3,FALSE)</f>
        <v>0</v>
      </c>
      <c r="I9" s="56"/>
      <c r="J9" s="57"/>
      <c r="L9" s="6">
        <f>COUNTA(B11)+L8</f>
        <v>4</v>
      </c>
      <c r="M9" s="79">
        <f>C11</f>
        <v>0</v>
      </c>
      <c r="N9" s="80" t="s">
        <v>7430</v>
      </c>
      <c r="O9" s="81">
        <v>31</v>
      </c>
      <c r="P9" s="81">
        <v>102</v>
      </c>
      <c r="Q9" s="62" t="str">
        <f>_xlfn.IFS(COUNTA(B11:B13)=1,"Single",COUNTA(B11:B13)=2,"Double",COUNTA(B11:B13)=3,"Triple",COUNTA(B11:B13)=0,"Empty")</f>
        <v>Triple</v>
      </c>
      <c r="R9" s="62"/>
      <c r="S9" s="62"/>
      <c r="T9" s="62"/>
      <c r="U9" s="81">
        <f>B11</f>
        <v>1</v>
      </c>
      <c r="V9" s="100">
        <f>COUNT(B11:B13)</f>
        <v>3</v>
      </c>
      <c r="W9" s="101"/>
      <c r="X9" s="108" t="str">
        <f t="shared" ref="X9:Y11" si="1">IF(D11=0,"",D11)</f>
        <v/>
      </c>
      <c r="Y9" s="108" t="str">
        <f t="shared" si="1"/>
        <v/>
      </c>
      <c r="Z9" s="120" t="s">
        <v>7617</v>
      </c>
      <c r="AA9" s="121" t="e">
        <f>VLOOKUP($M:$M,Data!$I:$J,2,FALSE)</f>
        <v>#N/A</v>
      </c>
      <c r="AB9" s="122"/>
    </row>
    <row r="10" spans="2:28">
      <c r="B10" s="60">
        <v>102</v>
      </c>
      <c r="C10" s="61"/>
      <c r="D10" s="62" t="s">
        <v>6580</v>
      </c>
      <c r="E10" s="8" t="s">
        <v>6581</v>
      </c>
      <c r="G10" s="46">
        <v>119</v>
      </c>
      <c r="H10" s="47"/>
      <c r="I10" s="48" t="s">
        <v>6580</v>
      </c>
      <c r="J10" s="49" t="s">
        <v>6581</v>
      </c>
      <c r="L10" s="9">
        <f>COUNTA(B12)+L9</f>
        <v>5</v>
      </c>
      <c r="M10" s="31">
        <f>C12</f>
        <v>0</v>
      </c>
      <c r="N10" s="82" t="s">
        <v>7430</v>
      </c>
      <c r="O10" s="36">
        <v>31</v>
      </c>
      <c r="P10" s="36">
        <v>102</v>
      </c>
      <c r="Q10" s="32"/>
      <c r="R10" s="32"/>
      <c r="S10" s="32"/>
      <c r="T10" s="32"/>
      <c r="U10" s="36">
        <f>B12</f>
        <v>2</v>
      </c>
      <c r="V10" s="103"/>
      <c r="W10" s="104"/>
      <c r="X10" s="109" t="str">
        <f t="shared" si="1"/>
        <v/>
      </c>
      <c r="Y10" s="109" t="str">
        <f t="shared" si="1"/>
        <v/>
      </c>
      <c r="Z10" s="123" t="s">
        <v>6734</v>
      </c>
      <c r="AA10" s="124" t="e">
        <f>VLOOKUP($M:$M,Data!$I:$J,2,FALSE)</f>
        <v>#N/A</v>
      </c>
      <c r="AB10" s="125"/>
    </row>
    <row r="11" ht="15.25" spans="2:28">
      <c r="B11" s="50">
        <v>1</v>
      </c>
      <c r="C11" s="51">
        <f>VLOOKUP("31/102/1",Data!$A$2:$E$1425,3,FALSE)</f>
        <v>0</v>
      </c>
      <c r="D11" s="52"/>
      <c r="E11" s="53"/>
      <c r="G11" s="50">
        <v>1</v>
      </c>
      <c r="H11" s="51">
        <f>VLOOKUP("31/119/1",Data!$A$2:$E$1425,3,FALSE)</f>
        <v>0</v>
      </c>
      <c r="I11" s="52"/>
      <c r="J11" s="53"/>
      <c r="L11" s="14">
        <f>COUNTA(B13)+L10</f>
        <v>6</v>
      </c>
      <c r="M11" s="83">
        <f>C13</f>
        <v>0</v>
      </c>
      <c r="N11" s="84" t="s">
        <v>7430</v>
      </c>
      <c r="O11" s="85">
        <v>31</v>
      </c>
      <c r="P11" s="85">
        <v>102</v>
      </c>
      <c r="Q11" s="110"/>
      <c r="R11" s="110"/>
      <c r="S11" s="110"/>
      <c r="T11" s="110"/>
      <c r="U11" s="85">
        <f>B13</f>
        <v>3</v>
      </c>
      <c r="V11" s="105"/>
      <c r="W11" s="106"/>
      <c r="X11" s="111" t="str">
        <f t="shared" si="1"/>
        <v/>
      </c>
      <c r="Y11" s="111" t="str">
        <f t="shared" si="1"/>
        <v/>
      </c>
      <c r="Z11" s="127" t="s">
        <v>7618</v>
      </c>
      <c r="AA11" s="128" t="e">
        <f>VLOOKUP($M:$M,Data!$I:$J,2,FALSE)</f>
        <v>#N/A</v>
      </c>
      <c r="AB11" s="126"/>
    </row>
    <row r="12" spans="2:28">
      <c r="B12" s="50">
        <v>2</v>
      </c>
      <c r="C12" s="51">
        <f>VLOOKUP("31/102/2",Data!$A$2:$E$1425,3,FALSE)</f>
        <v>0</v>
      </c>
      <c r="D12" s="54"/>
      <c r="E12" s="55"/>
      <c r="G12" s="50">
        <v>2</v>
      </c>
      <c r="H12" s="51">
        <f>VLOOKUP("31/119/2",Data!$A$2:$E$1425,3,FALSE)</f>
        <v>0</v>
      </c>
      <c r="I12" s="54"/>
      <c r="J12" s="55"/>
      <c r="L12" s="6">
        <f>COUNTA(B15)+L11</f>
        <v>7</v>
      </c>
      <c r="M12" s="79">
        <f>C15</f>
        <v>0</v>
      </c>
      <c r="N12" s="80" t="s">
        <v>7430</v>
      </c>
      <c r="O12" s="81">
        <v>31</v>
      </c>
      <c r="P12" s="81">
        <v>103</v>
      </c>
      <c r="Q12" s="62" t="str">
        <f>_xlfn.IFS(COUNTA(B15:B17)=1,"Single",COUNTA(B15:B17)=2,"Double",COUNTA(B15:B17)=3,"Triple",COUNTA(B15:B17)=0,"Empty")</f>
        <v>Triple</v>
      </c>
      <c r="R12" s="62"/>
      <c r="S12" s="62"/>
      <c r="T12" s="62"/>
      <c r="U12" s="81">
        <f>B15</f>
        <v>1</v>
      </c>
      <c r="V12" s="100">
        <f>COUNT(B15:B17)</f>
        <v>3</v>
      </c>
      <c r="W12" s="101"/>
      <c r="X12" s="108" t="str">
        <f t="shared" ref="X12:Y14" si="2">IF(D15=0,"",D15)</f>
        <v/>
      </c>
      <c r="Y12" s="108" t="str">
        <f t="shared" si="2"/>
        <v/>
      </c>
      <c r="Z12" s="120" t="s">
        <v>7619</v>
      </c>
      <c r="AA12" s="121" t="e">
        <f>VLOOKUP($M:$M,Data!$I:$J,2,FALSE)</f>
        <v>#N/A</v>
      </c>
      <c r="AB12" s="122"/>
    </row>
    <row r="13" ht="15.25" spans="2:28">
      <c r="B13" s="58">
        <v>3</v>
      </c>
      <c r="C13" s="59">
        <f>VLOOKUP("31/102/3",Data!$A$2:$E$1425,3,FALSE)</f>
        <v>0</v>
      </c>
      <c r="D13" s="56"/>
      <c r="E13" s="57"/>
      <c r="G13" s="58">
        <v>3</v>
      </c>
      <c r="H13" s="59">
        <f>VLOOKUP("31/119/3",Data!$A$2:$E$1425,3,FALSE)</f>
        <v>0</v>
      </c>
      <c r="I13" s="56"/>
      <c r="J13" s="57"/>
      <c r="L13" s="9">
        <f>COUNTA(B16)+L12</f>
        <v>8</v>
      </c>
      <c r="M13" s="31">
        <f>C16</f>
        <v>0</v>
      </c>
      <c r="N13" s="82" t="s">
        <v>7430</v>
      </c>
      <c r="O13" s="36">
        <v>31</v>
      </c>
      <c r="P13" s="36">
        <v>103</v>
      </c>
      <c r="Q13" s="32"/>
      <c r="R13" s="32"/>
      <c r="S13" s="32"/>
      <c r="T13" s="32"/>
      <c r="U13" s="36">
        <f>B16</f>
        <v>2</v>
      </c>
      <c r="V13" s="103"/>
      <c r="W13" s="104"/>
      <c r="X13" s="109" t="str">
        <f t="shared" si="2"/>
        <v/>
      </c>
      <c r="Y13" s="109" t="str">
        <f t="shared" si="2"/>
        <v/>
      </c>
      <c r="Z13" s="123" t="s">
        <v>7620</v>
      </c>
      <c r="AA13" s="124" t="e">
        <f>VLOOKUP($M:$M,Data!$I:$J,2,FALSE)</f>
        <v>#N/A</v>
      </c>
      <c r="AB13" s="125"/>
    </row>
    <row r="14" ht="15.25" spans="2:28">
      <c r="B14" s="63">
        <v>103</v>
      </c>
      <c r="C14" s="64"/>
      <c r="D14" s="65" t="s">
        <v>6580</v>
      </c>
      <c r="E14" s="66" t="s">
        <v>6581</v>
      </c>
      <c r="G14" s="46">
        <v>118</v>
      </c>
      <c r="H14" s="47"/>
      <c r="I14" s="48" t="s">
        <v>6580</v>
      </c>
      <c r="J14" s="49" t="s">
        <v>6581</v>
      </c>
      <c r="L14" s="14">
        <f>COUNTA(B17)+L13</f>
        <v>9</v>
      </c>
      <c r="M14" s="83">
        <f>C17</f>
        <v>0</v>
      </c>
      <c r="N14" s="84" t="s">
        <v>7430</v>
      </c>
      <c r="O14" s="85">
        <v>31</v>
      </c>
      <c r="P14" s="85">
        <v>103</v>
      </c>
      <c r="Q14" s="110"/>
      <c r="R14" s="110"/>
      <c r="S14" s="110"/>
      <c r="T14" s="110"/>
      <c r="U14" s="85">
        <f>B17</f>
        <v>3</v>
      </c>
      <c r="V14" s="105"/>
      <c r="W14" s="106"/>
      <c r="X14" s="111" t="str">
        <f t="shared" si="2"/>
        <v/>
      </c>
      <c r="Y14" s="111" t="str">
        <f t="shared" si="2"/>
        <v/>
      </c>
      <c r="Z14" s="127" t="s">
        <v>7621</v>
      </c>
      <c r="AA14" s="128" t="e">
        <f>VLOOKUP($M:$M,Data!$I:$J,2,FALSE)</f>
        <v>#N/A</v>
      </c>
      <c r="AB14" s="126"/>
    </row>
    <row r="15" spans="2:28">
      <c r="B15" s="50">
        <v>1</v>
      </c>
      <c r="C15" s="51">
        <f>VLOOKUP("31/103/1",Data!$A$2:$E$1425,3,FALSE)</f>
        <v>0</v>
      </c>
      <c r="D15" s="52"/>
      <c r="E15" s="53"/>
      <c r="G15" s="50">
        <v>1</v>
      </c>
      <c r="H15" s="51">
        <f>VLOOKUP("31/118/1",Data!$A$2:$E$1425,3,FALSE)</f>
        <v>0</v>
      </c>
      <c r="I15" s="52"/>
      <c r="J15" s="53"/>
      <c r="L15" s="6">
        <f>COUNTA(B19)+L14</f>
        <v>10</v>
      </c>
      <c r="M15" s="79">
        <f>C19</f>
        <v>0</v>
      </c>
      <c r="N15" s="80" t="s">
        <v>7430</v>
      </c>
      <c r="O15" s="81">
        <v>31</v>
      </c>
      <c r="P15" s="81">
        <v>104</v>
      </c>
      <c r="Q15" s="62" t="str">
        <f>_xlfn.IFS(COUNTA(B19:B21)=1,"Single",COUNTA(B19:B21)=2,"Double",COUNTA(B19:B21)=3,"Triple",COUNTA(B19:B21)=0,"Empty")</f>
        <v>Triple</v>
      </c>
      <c r="R15" s="62"/>
      <c r="S15" s="62"/>
      <c r="T15" s="62"/>
      <c r="U15" s="81">
        <f>B19</f>
        <v>1</v>
      </c>
      <c r="V15" s="100">
        <f>COUNT(B19:B21)</f>
        <v>3</v>
      </c>
      <c r="W15" s="101"/>
      <c r="X15" s="108" t="str">
        <f>IF(D19=0,"",D19)</f>
        <v/>
      </c>
      <c r="Y15" s="108" t="str">
        <f>IF(E19=0,"",E19)</f>
        <v/>
      </c>
      <c r="Z15" s="120" t="s">
        <v>7622</v>
      </c>
      <c r="AA15" s="121" t="e">
        <f>VLOOKUP($M:$M,Data!$I:$J,2,FALSE)</f>
        <v>#N/A</v>
      </c>
      <c r="AB15" s="122"/>
    </row>
    <row r="16" spans="2:28">
      <c r="B16" s="50">
        <v>2</v>
      </c>
      <c r="C16" s="51">
        <f>VLOOKUP("31/103/2",Data!$A$2:$E$1425,3,FALSE)</f>
        <v>0</v>
      </c>
      <c r="D16" s="54"/>
      <c r="E16" s="55"/>
      <c r="G16" s="50">
        <v>2</v>
      </c>
      <c r="H16" s="51">
        <f>VLOOKUP("31/118/2",Data!$A$2:$E$1425,3,FALSE)</f>
        <v>0</v>
      </c>
      <c r="I16" s="54"/>
      <c r="J16" s="55"/>
      <c r="L16" s="9">
        <f>COUNTA(B20)+L15</f>
        <v>11</v>
      </c>
      <c r="M16" s="31">
        <f>C20</f>
        <v>0</v>
      </c>
      <c r="N16" s="82" t="s">
        <v>7430</v>
      </c>
      <c r="O16" s="36">
        <v>31</v>
      </c>
      <c r="P16" s="36">
        <v>104</v>
      </c>
      <c r="Q16" s="32"/>
      <c r="R16" s="32"/>
      <c r="S16" s="32"/>
      <c r="T16" s="32"/>
      <c r="U16" s="36">
        <f>B20</f>
        <v>2</v>
      </c>
      <c r="V16" s="103"/>
      <c r="W16" s="104"/>
      <c r="X16" s="109" t="str">
        <f t="shared" ref="X16:Y17" si="3">IF(D20=0,"",D20)</f>
        <v/>
      </c>
      <c r="Y16" s="109" t="str">
        <f t="shared" si="3"/>
        <v/>
      </c>
      <c r="Z16" s="123" t="s">
        <v>7623</v>
      </c>
      <c r="AA16" s="124" t="e">
        <f>VLOOKUP($M:$M,Data!$I:$J,2,FALSE)</f>
        <v>#N/A</v>
      </c>
      <c r="AB16" s="125"/>
    </row>
    <row r="17" ht="15.25" spans="2:28">
      <c r="B17" s="58">
        <v>3</v>
      </c>
      <c r="C17" s="59">
        <f>VLOOKUP("31/103/3",Data!$A$2:$E$1425,3,FALSE)</f>
        <v>0</v>
      </c>
      <c r="D17" s="56"/>
      <c r="E17" s="57"/>
      <c r="G17" s="58">
        <v>3</v>
      </c>
      <c r="H17" s="59">
        <f>VLOOKUP("31/118/3",Data!$A$2:$E$1425,3,FALSE)</f>
        <v>0</v>
      </c>
      <c r="I17" s="56"/>
      <c r="J17" s="57"/>
      <c r="L17" s="14">
        <f>COUNTA(B21)+L16</f>
        <v>12</v>
      </c>
      <c r="M17" s="83">
        <f>C21</f>
        <v>0</v>
      </c>
      <c r="N17" s="84" t="s">
        <v>7430</v>
      </c>
      <c r="O17" s="85">
        <v>31</v>
      </c>
      <c r="P17" s="85">
        <v>104</v>
      </c>
      <c r="Q17" s="110"/>
      <c r="R17" s="110"/>
      <c r="S17" s="110"/>
      <c r="T17" s="110"/>
      <c r="U17" s="85">
        <f>B21</f>
        <v>3</v>
      </c>
      <c r="V17" s="105"/>
      <c r="W17" s="106"/>
      <c r="X17" s="111" t="str">
        <f t="shared" si="3"/>
        <v/>
      </c>
      <c r="Y17" s="111" t="str">
        <f t="shared" si="3"/>
        <v/>
      </c>
      <c r="Z17" s="127" t="s">
        <v>6773</v>
      </c>
      <c r="AA17" s="128" t="e">
        <f>VLOOKUP($M:$M,Data!$I:$J,2,FALSE)</f>
        <v>#N/A</v>
      </c>
      <c r="AB17" s="126"/>
    </row>
    <row r="18" spans="2:28">
      <c r="B18" s="46">
        <v>104</v>
      </c>
      <c r="C18" s="47"/>
      <c r="D18" s="48" t="s">
        <v>6580</v>
      </c>
      <c r="E18" s="49" t="s">
        <v>6581</v>
      </c>
      <c r="G18" s="46">
        <v>117</v>
      </c>
      <c r="H18" s="47"/>
      <c r="I18" s="48" t="s">
        <v>6580</v>
      </c>
      <c r="J18" s="49" t="s">
        <v>6581</v>
      </c>
      <c r="L18" s="6">
        <f>COUNTA(B23)+L17</f>
        <v>13</v>
      </c>
      <c r="M18" s="79">
        <f>C23</f>
        <v>0</v>
      </c>
      <c r="N18" s="80" t="s">
        <v>7430</v>
      </c>
      <c r="O18" s="81">
        <v>31</v>
      </c>
      <c r="P18" s="81">
        <v>105</v>
      </c>
      <c r="Q18" s="62" t="str">
        <f>_xlfn.IFS(COUNTA(B23:B25)=1,"Single",COUNTA(B23:B25)=2,"Double",COUNTA(B23:B25)=3,"Triple",COUNTA(B23:B25)=0,"Empty")</f>
        <v>Triple</v>
      </c>
      <c r="R18" s="62"/>
      <c r="S18" s="62"/>
      <c r="T18" s="62"/>
      <c r="U18" s="81">
        <f>B23</f>
        <v>1</v>
      </c>
      <c r="V18" s="100">
        <f>COUNT(B23:B25)</f>
        <v>3</v>
      </c>
      <c r="W18" s="101"/>
      <c r="X18" s="108" t="str">
        <f>IF(D23=0,"",D23)</f>
        <v/>
      </c>
      <c r="Y18" s="108" t="str">
        <f>IF(E23=0,"",E23)</f>
        <v/>
      </c>
      <c r="Z18" s="120" t="s">
        <v>7624</v>
      </c>
      <c r="AA18" s="121" t="e">
        <f>VLOOKUP($M:$M,Data!$I:$J,2,FALSE)</f>
        <v>#N/A</v>
      </c>
      <c r="AB18" s="122"/>
    </row>
    <row r="19" spans="2:28">
      <c r="B19" s="50">
        <v>1</v>
      </c>
      <c r="C19" s="51">
        <f>VLOOKUP("31/104/1",Data!$A$2:$E$1425,3,FALSE)</f>
        <v>0</v>
      </c>
      <c r="D19" s="52"/>
      <c r="E19" s="53"/>
      <c r="G19" s="50">
        <v>1</v>
      </c>
      <c r="H19" s="51">
        <f>VLOOKUP("31/117/1",Data!$A$2:$E$1425,3,FALSE)</f>
        <v>0</v>
      </c>
      <c r="I19" s="52"/>
      <c r="J19" s="53"/>
      <c r="L19" s="9">
        <f>COUNTA(B24)+L18</f>
        <v>14</v>
      </c>
      <c r="M19" s="31">
        <f>C24</f>
        <v>0</v>
      </c>
      <c r="N19" s="82" t="s">
        <v>7430</v>
      </c>
      <c r="O19" s="36">
        <v>31</v>
      </c>
      <c r="P19" s="36">
        <v>105</v>
      </c>
      <c r="Q19" s="32"/>
      <c r="R19" s="32"/>
      <c r="S19" s="32"/>
      <c r="T19" s="32"/>
      <c r="U19" s="36">
        <f>B24</f>
        <v>2</v>
      </c>
      <c r="V19" s="103"/>
      <c r="W19" s="104"/>
      <c r="X19" s="109" t="str">
        <f t="shared" ref="X19:Y20" si="4">IF(D24=0,"",D24)</f>
        <v/>
      </c>
      <c r="Y19" s="109" t="str">
        <f t="shared" si="4"/>
        <v/>
      </c>
      <c r="Z19" s="123" t="s">
        <v>7625</v>
      </c>
      <c r="AA19" s="124" t="e">
        <f>VLOOKUP($M:$M,Data!$I:$J,2,FALSE)</f>
        <v>#N/A</v>
      </c>
      <c r="AB19" s="125"/>
    </row>
    <row r="20" ht="15.25" spans="2:28">
      <c r="B20" s="50">
        <v>2</v>
      </c>
      <c r="C20" s="51">
        <f>VLOOKUP("31/104/2",Data!$A$2:$E$1425,3,FALSE)</f>
        <v>0</v>
      </c>
      <c r="D20" s="54"/>
      <c r="E20" s="55"/>
      <c r="G20" s="50">
        <v>2</v>
      </c>
      <c r="H20" s="51">
        <f>VLOOKUP("31/117/2",Data!$A$2:$E$1425,3,FALSE)</f>
        <v>0</v>
      </c>
      <c r="I20" s="54"/>
      <c r="J20" s="55"/>
      <c r="L20" s="14">
        <f>COUNTA(B25)+L19</f>
        <v>15</v>
      </c>
      <c r="M20" s="83">
        <f>C25</f>
        <v>0</v>
      </c>
      <c r="N20" s="84" t="s">
        <v>7430</v>
      </c>
      <c r="O20" s="85">
        <v>31</v>
      </c>
      <c r="P20" s="85">
        <v>105</v>
      </c>
      <c r="Q20" s="110"/>
      <c r="R20" s="110"/>
      <c r="S20" s="110"/>
      <c r="T20" s="110"/>
      <c r="U20" s="85">
        <f>B25</f>
        <v>3</v>
      </c>
      <c r="V20" s="105"/>
      <c r="W20" s="106"/>
      <c r="X20" s="111" t="str">
        <f t="shared" si="4"/>
        <v/>
      </c>
      <c r="Y20" s="111" t="str">
        <f t="shared" si="4"/>
        <v/>
      </c>
      <c r="Z20" s="127" t="s">
        <v>7626</v>
      </c>
      <c r="AA20" s="128" t="e">
        <f>VLOOKUP($M:$M,Data!$I:$J,2,FALSE)</f>
        <v>#N/A</v>
      </c>
      <c r="AB20" s="126"/>
    </row>
    <row r="21" ht="15.25" spans="2:28">
      <c r="B21" s="58">
        <v>3</v>
      </c>
      <c r="C21" s="59">
        <f>VLOOKUP("31/104/3",Data!$A$2:$E$1425,3,FALSE)</f>
        <v>0</v>
      </c>
      <c r="D21" s="56"/>
      <c r="E21" s="57"/>
      <c r="G21" s="58"/>
      <c r="H21" s="59">
        <f>VLOOKUP("31/117/3",Data!$A$2:$E$1425,3,FALSE)</f>
        <v>0</v>
      </c>
      <c r="I21" s="56"/>
      <c r="J21" s="57"/>
      <c r="L21" s="6">
        <f>COUNTA(B27)+L20</f>
        <v>16</v>
      </c>
      <c r="M21" s="79">
        <f>C27</f>
        <v>0</v>
      </c>
      <c r="N21" s="80" t="s">
        <v>7430</v>
      </c>
      <c r="O21" s="81">
        <v>31</v>
      </c>
      <c r="P21" s="81">
        <v>106</v>
      </c>
      <c r="Q21" s="62" t="str">
        <f>_xlfn.IFS(COUNTA(B27:B29)=1,"Single",COUNTA(B27:B29)=2,"Double",COUNTA(B27:B29)=3,"Triple",COUNTA(B27:B29)=0,"Empty")</f>
        <v>Triple</v>
      </c>
      <c r="R21" s="62"/>
      <c r="S21" s="62"/>
      <c r="T21" s="62"/>
      <c r="U21" s="81">
        <f>B27</f>
        <v>1</v>
      </c>
      <c r="V21" s="100">
        <f>COUNT(B27:B29)</f>
        <v>3</v>
      </c>
      <c r="W21" s="101"/>
      <c r="X21" s="108" t="str">
        <f>IF(D27=0,"",D27)</f>
        <v/>
      </c>
      <c r="Y21" s="108" t="str">
        <f>IF(E27=0,"",E27)</f>
        <v/>
      </c>
      <c r="Z21" s="120" t="s">
        <v>7627</v>
      </c>
      <c r="AA21" s="121" t="e">
        <f>VLOOKUP($M:$M,Data!$I:$J,2,FALSE)</f>
        <v>#N/A</v>
      </c>
      <c r="AB21" s="122"/>
    </row>
    <row r="22" spans="2:28">
      <c r="B22" s="46">
        <v>105</v>
      </c>
      <c r="C22" s="47"/>
      <c r="D22" s="48" t="s">
        <v>6580</v>
      </c>
      <c r="E22" s="49" t="s">
        <v>6581</v>
      </c>
      <c r="G22" s="46">
        <v>116</v>
      </c>
      <c r="H22" s="47"/>
      <c r="I22" s="48" t="s">
        <v>6580</v>
      </c>
      <c r="J22" s="49" t="s">
        <v>6581</v>
      </c>
      <c r="L22" s="9">
        <f>COUNTA(B28)+L21</f>
        <v>17</v>
      </c>
      <c r="M22" s="31">
        <f>C28</f>
        <v>0</v>
      </c>
      <c r="N22" s="82" t="s">
        <v>7430</v>
      </c>
      <c r="O22" s="36">
        <v>31</v>
      </c>
      <c r="P22" s="36">
        <v>106</v>
      </c>
      <c r="Q22" s="32"/>
      <c r="R22" s="32"/>
      <c r="S22" s="32"/>
      <c r="T22" s="32"/>
      <c r="U22" s="36">
        <f>B28</f>
        <v>2</v>
      </c>
      <c r="V22" s="103"/>
      <c r="W22" s="104"/>
      <c r="X22" s="109" t="str">
        <f t="shared" ref="X22:Y23" si="5">IF(D28=0,"",D28)</f>
        <v/>
      </c>
      <c r="Y22" s="109" t="str">
        <f t="shared" si="5"/>
        <v/>
      </c>
      <c r="Z22" s="123" t="s">
        <v>7628</v>
      </c>
      <c r="AA22" s="124" t="e">
        <f>VLOOKUP($M:$M,Data!$I:$J,2,FALSE)</f>
        <v>#N/A</v>
      </c>
      <c r="AB22" s="125"/>
    </row>
    <row r="23" ht="15.25" spans="2:28">
      <c r="B23" s="50">
        <v>1</v>
      </c>
      <c r="C23" s="51">
        <f>VLOOKUP("31/105/1",Data!$A$2:$E$1425,3,FALSE)</f>
        <v>0</v>
      </c>
      <c r="D23" s="52"/>
      <c r="E23" s="53"/>
      <c r="G23" s="50">
        <v>1</v>
      </c>
      <c r="H23" s="51">
        <f>VLOOKUP("31/116/1",Data!$A$2:$E$1425,3,FALSE)</f>
        <v>0</v>
      </c>
      <c r="I23" s="52"/>
      <c r="J23" s="53"/>
      <c r="L23" s="14">
        <f>COUNTA(B29)+L22</f>
        <v>18</v>
      </c>
      <c r="M23" s="83">
        <f>C29</f>
        <v>0</v>
      </c>
      <c r="N23" s="84" t="s">
        <v>7430</v>
      </c>
      <c r="O23" s="85">
        <v>31</v>
      </c>
      <c r="P23" s="85">
        <v>106</v>
      </c>
      <c r="Q23" s="110"/>
      <c r="R23" s="110"/>
      <c r="S23" s="110"/>
      <c r="T23" s="110"/>
      <c r="U23" s="85">
        <f>B29</f>
        <v>3</v>
      </c>
      <c r="V23" s="105"/>
      <c r="W23" s="106"/>
      <c r="X23" s="111" t="str">
        <f t="shared" si="5"/>
        <v/>
      </c>
      <c r="Y23" s="111" t="str">
        <f t="shared" si="5"/>
        <v/>
      </c>
      <c r="Z23" s="127" t="s">
        <v>7629</v>
      </c>
      <c r="AA23" s="128" t="e">
        <f>VLOOKUP($M:$M,Data!$I:$J,2,FALSE)</f>
        <v>#N/A</v>
      </c>
      <c r="AB23" s="126"/>
    </row>
    <row r="24" spans="2:28">
      <c r="B24" s="50">
        <v>2</v>
      </c>
      <c r="C24" s="51">
        <f>VLOOKUP("31/105/2",Data!$A$2:$E$1425,3,FALSE)</f>
        <v>0</v>
      </c>
      <c r="D24" s="54"/>
      <c r="E24" s="55"/>
      <c r="G24" s="50">
        <v>2</v>
      </c>
      <c r="H24" s="51">
        <f>VLOOKUP("31/116/2",Data!$A$2:$E$1425,3,FALSE)</f>
        <v>0</v>
      </c>
      <c r="I24" s="54"/>
      <c r="J24" s="55"/>
      <c r="L24" s="6">
        <f>COUNTA(B31)+L23</f>
        <v>19</v>
      </c>
      <c r="M24" s="79">
        <f>C31</f>
        <v>0</v>
      </c>
      <c r="N24" s="80" t="s">
        <v>7430</v>
      </c>
      <c r="O24" s="81">
        <v>31</v>
      </c>
      <c r="P24" s="81">
        <v>107</v>
      </c>
      <c r="Q24" s="62" t="str">
        <f>_xlfn.IFS(COUNTA(B31:B33)=1,"Single",COUNTA(B31:B33)=2,"Double",COUNTA(B31:B33)=3,"Triple",COUNTA(B31:B33)=0,"Empty")</f>
        <v>Triple</v>
      </c>
      <c r="R24" s="62"/>
      <c r="S24" s="62"/>
      <c r="T24" s="62"/>
      <c r="U24" s="81">
        <f>B31</f>
        <v>1</v>
      </c>
      <c r="V24" s="100">
        <f>COUNT(B31:B33)</f>
        <v>3</v>
      </c>
      <c r="W24" s="101"/>
      <c r="X24" s="108" t="str">
        <f>IF(D31=0,"",D31)</f>
        <v/>
      </c>
      <c r="Y24" s="108" t="str">
        <f>IF(E31=0,"",E31)</f>
        <v/>
      </c>
      <c r="Z24" s="120" t="s">
        <v>7630</v>
      </c>
      <c r="AA24" s="121" t="e">
        <f>VLOOKUP($M:$M,Data!$I:$J,2,FALSE)</f>
        <v>#N/A</v>
      </c>
      <c r="AB24" s="122"/>
    </row>
    <row r="25" ht="15.25" spans="2:28">
      <c r="B25" s="58">
        <v>3</v>
      </c>
      <c r="C25" s="59">
        <f>VLOOKUP("31/105/3",Data!$A$2:$E$1425,3,FALSE)</f>
        <v>0</v>
      </c>
      <c r="D25" s="56"/>
      <c r="E25" s="57"/>
      <c r="G25" s="58">
        <v>3</v>
      </c>
      <c r="H25" s="59">
        <f>VLOOKUP("31/116/3",Data!$A$2:$E$1425,3,FALSE)</f>
        <v>0</v>
      </c>
      <c r="I25" s="56"/>
      <c r="J25" s="57"/>
      <c r="L25" s="9">
        <f>COUNTA(B32)+L24</f>
        <v>20</v>
      </c>
      <c r="M25" s="31">
        <f>C32</f>
        <v>0</v>
      </c>
      <c r="N25" s="82" t="s">
        <v>7430</v>
      </c>
      <c r="O25" s="36">
        <v>31</v>
      </c>
      <c r="P25" s="36">
        <v>107</v>
      </c>
      <c r="Q25" s="32"/>
      <c r="R25" s="32"/>
      <c r="S25" s="32"/>
      <c r="T25" s="32"/>
      <c r="U25" s="36">
        <f>B32</f>
        <v>2</v>
      </c>
      <c r="V25" s="103"/>
      <c r="W25" s="104"/>
      <c r="X25" s="109" t="str">
        <f t="shared" ref="X25:Y26" si="6">IF(D32=0,"",D32)</f>
        <v/>
      </c>
      <c r="Y25" s="109" t="str">
        <f t="shared" si="6"/>
        <v/>
      </c>
      <c r="Z25" s="123" t="s">
        <v>7631</v>
      </c>
      <c r="AA25" s="124" t="e">
        <f>VLOOKUP($M:$M,Data!$I:$J,2,FALSE)</f>
        <v>#N/A</v>
      </c>
      <c r="AB25" s="125"/>
    </row>
    <row r="26" ht="15.25" spans="2:28">
      <c r="B26" s="46">
        <v>106</v>
      </c>
      <c r="C26" s="47"/>
      <c r="D26" s="48" t="s">
        <v>6580</v>
      </c>
      <c r="E26" s="49" t="s">
        <v>6581</v>
      </c>
      <c r="G26" s="67" t="s">
        <v>7435</v>
      </c>
      <c r="H26" s="68"/>
      <c r="I26" s="68"/>
      <c r="J26" s="86"/>
      <c r="L26" s="14">
        <f>COUNTA(B33)+L25</f>
        <v>21</v>
      </c>
      <c r="M26" s="83">
        <f>C33</f>
        <v>0</v>
      </c>
      <c r="N26" s="84" t="s">
        <v>7430</v>
      </c>
      <c r="O26" s="85">
        <v>31</v>
      </c>
      <c r="P26" s="85">
        <v>107</v>
      </c>
      <c r="Q26" s="110"/>
      <c r="R26" s="110"/>
      <c r="S26" s="110"/>
      <c r="T26" s="110"/>
      <c r="U26" s="85">
        <f>B33</f>
        <v>3</v>
      </c>
      <c r="V26" s="105"/>
      <c r="W26" s="106"/>
      <c r="X26" s="111" t="str">
        <f t="shared" si="6"/>
        <v/>
      </c>
      <c r="Y26" s="111" t="str">
        <f t="shared" si="6"/>
        <v/>
      </c>
      <c r="Z26" s="127" t="s">
        <v>7632</v>
      </c>
      <c r="AA26" s="128" t="e">
        <f>VLOOKUP($M:$M,Data!$I:$J,2,FALSE)</f>
        <v>#N/A</v>
      </c>
      <c r="AB26" s="126"/>
    </row>
    <row r="27" spans="2:28">
      <c r="B27" s="50">
        <v>1</v>
      </c>
      <c r="C27" s="51">
        <f>VLOOKUP("31/106/1",Data!$A$2:$E$1425,3,FALSE)</f>
        <v>0</v>
      </c>
      <c r="D27" s="52"/>
      <c r="E27" s="53"/>
      <c r="G27" s="69"/>
      <c r="H27" s="70"/>
      <c r="I27" s="70"/>
      <c r="J27" s="87"/>
      <c r="L27" s="6">
        <f>COUNTA(B35)+L26</f>
        <v>22</v>
      </c>
      <c r="M27" s="79">
        <f>C35</f>
        <v>0</v>
      </c>
      <c r="N27" s="80" t="s">
        <v>7430</v>
      </c>
      <c r="O27" s="81">
        <v>31</v>
      </c>
      <c r="P27" s="81">
        <v>108</v>
      </c>
      <c r="Q27" s="62" t="str">
        <f>_xlfn.IFS(COUNTA(B35:B37)=1,"Single",COUNTA(B35:B37)=2,"Double",COUNTA(B35:B37)=3,"Triple",COUNTA(B35:B37)=0,"Empty")</f>
        <v>Triple</v>
      </c>
      <c r="R27" s="62"/>
      <c r="S27" s="62"/>
      <c r="T27" s="62"/>
      <c r="U27" s="81">
        <f>B35</f>
        <v>1</v>
      </c>
      <c r="V27" s="100">
        <f>COUNT(B35:B37)</f>
        <v>3</v>
      </c>
      <c r="W27" s="101"/>
      <c r="X27" s="108" t="str">
        <f>IF(D35=0,"",D35)</f>
        <v/>
      </c>
      <c r="Y27" s="108" t="str">
        <f>IF(E35=0,"",E35)</f>
        <v/>
      </c>
      <c r="Z27" s="120" t="s">
        <v>7633</v>
      </c>
      <c r="AA27" s="121" t="e">
        <f>VLOOKUP($M:$M,Data!$I:$J,2,FALSE)</f>
        <v>#N/A</v>
      </c>
      <c r="AB27" s="122"/>
    </row>
    <row r="28" spans="2:28">
      <c r="B28" s="50">
        <v>2</v>
      </c>
      <c r="C28" s="51">
        <f>VLOOKUP("31/106/2",Data!$A$2:$E$1425,3,FALSE)</f>
        <v>0</v>
      </c>
      <c r="D28" s="54"/>
      <c r="E28" s="55"/>
      <c r="G28" s="69"/>
      <c r="H28" s="70"/>
      <c r="I28" s="70"/>
      <c r="J28" s="87"/>
      <c r="L28" s="9">
        <f>COUNTA(B36)+L27</f>
        <v>23</v>
      </c>
      <c r="M28" s="31">
        <f>C36</f>
        <v>0</v>
      </c>
      <c r="N28" s="82" t="s">
        <v>7430</v>
      </c>
      <c r="O28" s="36">
        <v>31</v>
      </c>
      <c r="P28" s="36">
        <v>108</v>
      </c>
      <c r="Q28" s="32"/>
      <c r="R28" s="32"/>
      <c r="S28" s="32"/>
      <c r="T28" s="32"/>
      <c r="U28" s="36">
        <f>B36</f>
        <v>2</v>
      </c>
      <c r="V28" s="103"/>
      <c r="W28" s="104"/>
      <c r="X28" s="109" t="str">
        <f t="shared" ref="X28:Y29" si="7">IF(D36=0,"",D36)</f>
        <v/>
      </c>
      <c r="Y28" s="109" t="str">
        <f t="shared" si="7"/>
        <v/>
      </c>
      <c r="Z28" s="123" t="s">
        <v>6740</v>
      </c>
      <c r="AA28" s="124" t="e">
        <f>VLOOKUP($M:$M,Data!$I:$J,2,FALSE)</f>
        <v>#N/A</v>
      </c>
      <c r="AB28" s="125"/>
    </row>
    <row r="29" ht="15.25" spans="2:28">
      <c r="B29" s="58">
        <v>3</v>
      </c>
      <c r="C29" s="59">
        <f>VLOOKUP("31/106/3",Data!$A$2:$E$1425,3,FALSE)</f>
        <v>0</v>
      </c>
      <c r="D29" s="56"/>
      <c r="E29" s="57"/>
      <c r="G29" s="69"/>
      <c r="H29" s="70"/>
      <c r="I29" s="70"/>
      <c r="J29" s="87"/>
      <c r="L29" s="14">
        <f>COUNTA(B37)+L28</f>
        <v>24</v>
      </c>
      <c r="M29" s="83">
        <f>C37</f>
        <v>0</v>
      </c>
      <c r="N29" s="84" t="s">
        <v>7430</v>
      </c>
      <c r="O29" s="85">
        <v>31</v>
      </c>
      <c r="P29" s="85">
        <v>108</v>
      </c>
      <c r="Q29" s="110"/>
      <c r="R29" s="110"/>
      <c r="S29" s="110"/>
      <c r="T29" s="110"/>
      <c r="U29" s="85">
        <f>B37</f>
        <v>3</v>
      </c>
      <c r="V29" s="105"/>
      <c r="W29" s="106"/>
      <c r="X29" s="111" t="str">
        <f t="shared" si="7"/>
        <v/>
      </c>
      <c r="Y29" s="111" t="str">
        <f t="shared" si="7"/>
        <v/>
      </c>
      <c r="Z29" s="127" t="s">
        <v>6769</v>
      </c>
      <c r="AA29" s="128" t="e">
        <f>VLOOKUP($M:$M,Data!$I:$J,2,FALSE)</f>
        <v>#N/A</v>
      </c>
      <c r="AB29" s="126"/>
    </row>
    <row r="30" spans="2:28">
      <c r="B30" s="46">
        <v>107</v>
      </c>
      <c r="C30" s="47"/>
      <c r="D30" s="48" t="s">
        <v>6580</v>
      </c>
      <c r="E30" s="49" t="s">
        <v>6581</v>
      </c>
      <c r="G30" s="69"/>
      <c r="H30" s="70"/>
      <c r="I30" s="70"/>
      <c r="J30" s="87"/>
      <c r="L30" s="6">
        <f>COUNTA(B39)+L29</f>
        <v>25</v>
      </c>
      <c r="M30" s="79">
        <f>C39</f>
        <v>0</v>
      </c>
      <c r="N30" s="80" t="s">
        <v>7430</v>
      </c>
      <c r="O30" s="81">
        <v>31</v>
      </c>
      <c r="P30" s="81">
        <v>109</v>
      </c>
      <c r="Q30" s="62" t="str">
        <f>_xlfn.IFS(COUNTA(B39:B41)=1,"Single",COUNTA(B39:B41)=2,"Double",COUNTA(B39:B41)=3,"Triple",COUNTA(B39:B41)=0,"Empty")</f>
        <v>Double</v>
      </c>
      <c r="R30" s="62"/>
      <c r="S30" s="62"/>
      <c r="T30" s="62"/>
      <c r="U30" s="81">
        <f>B39</f>
        <v>1</v>
      </c>
      <c r="V30" s="100">
        <f>COUNT(B39:B41)</f>
        <v>2</v>
      </c>
      <c r="W30" s="101"/>
      <c r="X30" s="108" t="str">
        <f>IF(D39=0,"",D39)</f>
        <v/>
      </c>
      <c r="Y30" s="108" t="str">
        <f>IF(E39=0,"",E39)</f>
        <v/>
      </c>
      <c r="Z30" s="120" t="s">
        <v>6720</v>
      </c>
      <c r="AA30" s="121" t="e">
        <f>VLOOKUP($M:$M,Data!$I:$J,2,FALSE)</f>
        <v>#N/A</v>
      </c>
      <c r="AB30" s="122"/>
    </row>
    <row r="31" spans="2:28">
      <c r="B31" s="50">
        <v>1</v>
      </c>
      <c r="C31" s="51">
        <f>VLOOKUP("31/107/1",Data!$A$2:$E$1425,3,FALSE)</f>
        <v>0</v>
      </c>
      <c r="D31" s="52"/>
      <c r="E31" s="53"/>
      <c r="G31" s="69"/>
      <c r="H31" s="70"/>
      <c r="I31" s="70"/>
      <c r="J31" s="87"/>
      <c r="L31" s="9">
        <f>COUNTA(B40)+L30</f>
        <v>26</v>
      </c>
      <c r="M31" s="31">
        <f>C40</f>
        <v>0</v>
      </c>
      <c r="N31" s="82" t="s">
        <v>7430</v>
      </c>
      <c r="O31" s="36">
        <v>31</v>
      </c>
      <c r="P31" s="36">
        <v>109</v>
      </c>
      <c r="Q31" s="32"/>
      <c r="R31" s="32"/>
      <c r="S31" s="32"/>
      <c r="T31" s="32"/>
      <c r="U31" s="36">
        <f>B40</f>
        <v>2</v>
      </c>
      <c r="V31" s="103"/>
      <c r="W31" s="104"/>
      <c r="X31" s="109" t="str">
        <f t="shared" ref="X31:Y32" si="8">IF(D40=0,"",D40)</f>
        <v/>
      </c>
      <c r="Y31" s="109" t="str">
        <f t="shared" si="8"/>
        <v/>
      </c>
      <c r="Z31" s="123" t="s">
        <v>7634</v>
      </c>
      <c r="AA31" s="124" t="e">
        <f>VLOOKUP($M:$M,Data!$I:$J,2,FALSE)</f>
        <v>#N/A</v>
      </c>
      <c r="AB31" s="125"/>
    </row>
    <row r="32" ht="15.25" spans="2:28">
      <c r="B32" s="50">
        <v>2</v>
      </c>
      <c r="C32" s="51">
        <f>VLOOKUP("31/107/2",Data!$A$2:$E$1425,3,FALSE)</f>
        <v>0</v>
      </c>
      <c r="D32" s="54"/>
      <c r="E32" s="55"/>
      <c r="G32" s="69"/>
      <c r="H32" s="70"/>
      <c r="I32" s="70"/>
      <c r="J32" s="87"/>
      <c r="L32" s="14">
        <f>COUNTA(B41)+L31</f>
        <v>26</v>
      </c>
      <c r="M32" s="83">
        <f>C41</f>
        <v>0</v>
      </c>
      <c r="N32" s="84" t="s">
        <v>7430</v>
      </c>
      <c r="O32" s="85">
        <v>31</v>
      </c>
      <c r="P32" s="85">
        <v>109</v>
      </c>
      <c r="Q32" s="110"/>
      <c r="R32" s="110"/>
      <c r="S32" s="110"/>
      <c r="T32" s="110"/>
      <c r="U32" s="85">
        <f>B41</f>
        <v>0</v>
      </c>
      <c r="V32" s="105"/>
      <c r="W32" s="106"/>
      <c r="X32" s="111" t="str">
        <f t="shared" si="8"/>
        <v/>
      </c>
      <c r="Y32" s="111" t="str">
        <f t="shared" si="8"/>
        <v/>
      </c>
      <c r="Z32" s="127"/>
      <c r="AA32" s="128" t="e">
        <f>VLOOKUP($M:$M,Data!$I:$J,2,FALSE)</f>
        <v>#N/A</v>
      </c>
      <c r="AB32" s="126"/>
    </row>
    <row r="33" ht="15.25" spans="2:28">
      <c r="B33" s="58">
        <v>3</v>
      </c>
      <c r="C33" s="59">
        <f>VLOOKUP("31/107/3",Data!$A$2:$E$1425,3,FALSE)</f>
        <v>0</v>
      </c>
      <c r="D33" s="56"/>
      <c r="E33" s="57"/>
      <c r="G33" s="71"/>
      <c r="H33" s="72"/>
      <c r="I33" s="72"/>
      <c r="J33" s="88"/>
      <c r="L33" s="6">
        <f>COUNTA(B43)+L32</f>
        <v>27</v>
      </c>
      <c r="M33" s="79">
        <f>C43</f>
        <v>0</v>
      </c>
      <c r="N33" s="80" t="s">
        <v>7430</v>
      </c>
      <c r="O33" s="81">
        <v>31</v>
      </c>
      <c r="P33" s="81">
        <v>110</v>
      </c>
      <c r="Q33" s="62" t="str">
        <f>_xlfn.IFS(COUNTA(B43:B45)=1,"Single",COUNTA(B43:B45)=2,"Double",COUNTA(B43:B45)=3,"Triple",COUNTA(B43:B45)=0,"Empty")</f>
        <v>Triple</v>
      </c>
      <c r="R33" s="62"/>
      <c r="S33" s="62"/>
      <c r="T33" s="62"/>
      <c r="U33" s="81">
        <f>B43</f>
        <v>1</v>
      </c>
      <c r="V33" s="100">
        <f>COUNT(B43:B45)</f>
        <v>3</v>
      </c>
      <c r="W33" s="101"/>
      <c r="X33" s="108" t="str">
        <f>IF(D43=0,"",D43)</f>
        <v/>
      </c>
      <c r="Y33" s="108" t="str">
        <f>IF(E43=0,"",E43)</f>
        <v/>
      </c>
      <c r="Z33" s="120" t="s">
        <v>7635</v>
      </c>
      <c r="AA33" s="121" t="e">
        <f>VLOOKUP($M:$M,Data!$I:$J,2,FALSE)</f>
        <v>#N/A</v>
      </c>
      <c r="AB33" s="122"/>
    </row>
    <row r="34" spans="2:28">
      <c r="B34" s="46">
        <v>108</v>
      </c>
      <c r="C34" s="47"/>
      <c r="D34" s="48" t="s">
        <v>6580</v>
      </c>
      <c r="E34" s="49" t="s">
        <v>6581</v>
      </c>
      <c r="G34" s="46">
        <v>115</v>
      </c>
      <c r="H34" s="47"/>
      <c r="I34" s="48" t="s">
        <v>6580</v>
      </c>
      <c r="J34" s="49" t="s">
        <v>6581</v>
      </c>
      <c r="L34" s="9">
        <f>COUNTA(B44)+L33</f>
        <v>28</v>
      </c>
      <c r="M34" s="31">
        <f>C44</f>
        <v>0</v>
      </c>
      <c r="N34" s="82" t="s">
        <v>7430</v>
      </c>
      <c r="O34" s="36">
        <v>31</v>
      </c>
      <c r="P34" s="36">
        <v>110</v>
      </c>
      <c r="Q34" s="32"/>
      <c r="R34" s="32"/>
      <c r="S34" s="32"/>
      <c r="T34" s="32"/>
      <c r="U34" s="36">
        <f>B44</f>
        <v>2</v>
      </c>
      <c r="V34" s="103"/>
      <c r="W34" s="104"/>
      <c r="X34" s="109" t="str">
        <f t="shared" ref="X34:Y35" si="9">IF(D44=0,"",D44)</f>
        <v/>
      </c>
      <c r="Y34" s="109" t="str">
        <f t="shared" si="9"/>
        <v/>
      </c>
      <c r="Z34" s="123" t="s">
        <v>7636</v>
      </c>
      <c r="AA34" s="124" t="e">
        <f>VLOOKUP($M:$M,Data!$I:$J,2,FALSE)</f>
        <v>#N/A</v>
      </c>
      <c r="AB34" s="125"/>
    </row>
    <row r="35" ht="15.25" spans="2:28">
      <c r="B35" s="50">
        <v>1</v>
      </c>
      <c r="C35" s="51">
        <f>VLOOKUP("31/108/1",Data!$A$2:$E$1425,3,FALSE)</f>
        <v>0</v>
      </c>
      <c r="D35" s="52"/>
      <c r="E35" s="53"/>
      <c r="G35" s="50">
        <v>1</v>
      </c>
      <c r="H35" s="51">
        <f>VLOOKUP("31/115/1",Data!$A$2:$E$1425,3,FALSE)</f>
        <v>0</v>
      </c>
      <c r="I35" s="52"/>
      <c r="J35" s="53"/>
      <c r="L35" s="14">
        <f>COUNTA(B45)+L34</f>
        <v>29</v>
      </c>
      <c r="M35" s="83">
        <f>C45</f>
        <v>0</v>
      </c>
      <c r="N35" s="84" t="s">
        <v>7430</v>
      </c>
      <c r="O35" s="85">
        <v>31</v>
      </c>
      <c r="P35" s="85">
        <v>110</v>
      </c>
      <c r="Q35" s="110"/>
      <c r="R35" s="110"/>
      <c r="S35" s="110"/>
      <c r="T35" s="110"/>
      <c r="U35" s="85">
        <f>B45</f>
        <v>3</v>
      </c>
      <c r="V35" s="105"/>
      <c r="W35" s="106"/>
      <c r="X35" s="111" t="str">
        <f t="shared" si="9"/>
        <v/>
      </c>
      <c r="Y35" s="111" t="str">
        <f t="shared" si="9"/>
        <v/>
      </c>
      <c r="Z35" s="127" t="s">
        <v>7637</v>
      </c>
      <c r="AA35" s="128" t="e">
        <f>VLOOKUP($M:$M,Data!$I:$J,2,FALSE)</f>
        <v>#N/A</v>
      </c>
      <c r="AB35" s="126"/>
    </row>
    <row r="36" spans="2:28">
      <c r="B36" s="50">
        <v>2</v>
      </c>
      <c r="C36" s="51">
        <f>VLOOKUP("31/108/2",Data!$A$2:$E$1425,3,FALSE)</f>
        <v>0</v>
      </c>
      <c r="D36" s="54"/>
      <c r="E36" s="55"/>
      <c r="G36" s="50">
        <v>2</v>
      </c>
      <c r="H36" s="51">
        <f>VLOOKUP("31/115/2",Data!$A$2:$E$1425,3,FALSE)</f>
        <v>0</v>
      </c>
      <c r="I36" s="54"/>
      <c r="J36" s="55"/>
      <c r="L36" s="6">
        <f>COUNTA(B47)+L35</f>
        <v>30</v>
      </c>
      <c r="M36" s="79">
        <f>C47</f>
        <v>0</v>
      </c>
      <c r="N36" s="80" t="s">
        <v>7430</v>
      </c>
      <c r="O36" s="81">
        <v>31</v>
      </c>
      <c r="P36" s="81">
        <v>111</v>
      </c>
      <c r="Q36" s="62" t="str">
        <f>_xlfn.IFS(COUNTA(B47:B49)=1,"Single",COUNTA(B47:B49)=2,"Double",COUNTA(B47:B49)=3,"Triple",COUNTA(B47:B49)=0,"Empty")</f>
        <v>Double</v>
      </c>
      <c r="R36" s="62"/>
      <c r="S36" s="62"/>
      <c r="T36" s="62"/>
      <c r="U36" s="81">
        <f>B47</f>
        <v>1</v>
      </c>
      <c r="V36" s="100">
        <f>COUNT(B47:B49)</f>
        <v>2</v>
      </c>
      <c r="W36" s="101"/>
      <c r="X36" s="108" t="str">
        <f>IF(D47=0,"",D47)</f>
        <v/>
      </c>
      <c r="Y36" s="108" t="str">
        <f>IF(E47=0,"",E47)</f>
        <v/>
      </c>
      <c r="Z36" s="120" t="s">
        <v>7638</v>
      </c>
      <c r="AA36" s="121" t="e">
        <f>VLOOKUP($M:$M,Data!$I:$J,2,FALSE)</f>
        <v>#N/A</v>
      </c>
      <c r="AB36" s="122"/>
    </row>
    <row r="37" ht="15.25" spans="2:28">
      <c r="B37" s="58">
        <v>3</v>
      </c>
      <c r="C37" s="59">
        <f>VLOOKUP("31/108/3",Data!$A$2:$E$1425,3,FALSE)</f>
        <v>0</v>
      </c>
      <c r="D37" s="56"/>
      <c r="E37" s="57"/>
      <c r="G37" s="58">
        <v>3</v>
      </c>
      <c r="H37" s="59">
        <f>VLOOKUP("31/115/3",Data!$A$2:$E$1425,3,FALSE)</f>
        <v>0</v>
      </c>
      <c r="I37" s="56"/>
      <c r="J37" s="57"/>
      <c r="L37" s="9">
        <f>COUNTA(B48)+L36</f>
        <v>31</v>
      </c>
      <c r="M37" s="31">
        <f>C48</f>
        <v>0</v>
      </c>
      <c r="N37" s="82" t="s">
        <v>7430</v>
      </c>
      <c r="O37" s="36">
        <v>31</v>
      </c>
      <c r="P37" s="36">
        <v>111</v>
      </c>
      <c r="Q37" s="32"/>
      <c r="R37" s="32"/>
      <c r="S37" s="32"/>
      <c r="T37" s="32"/>
      <c r="U37" s="36">
        <f>B48</f>
        <v>2</v>
      </c>
      <c r="V37" s="103"/>
      <c r="W37" s="104"/>
      <c r="X37" s="109" t="str">
        <f t="shared" ref="X37:Y38" si="10">IF(D48=0,"",D48)</f>
        <v/>
      </c>
      <c r="Y37" s="109" t="str">
        <f t="shared" si="10"/>
        <v/>
      </c>
      <c r="Z37" s="123" t="s">
        <v>7639</v>
      </c>
      <c r="AA37" s="124" t="e">
        <f>VLOOKUP($M:$M,Data!$I:$J,2,FALSE)</f>
        <v>#N/A</v>
      </c>
      <c r="AB37" s="125"/>
    </row>
    <row r="38" ht="15.25" spans="2:28">
      <c r="B38" s="46">
        <v>109</v>
      </c>
      <c r="C38" s="47"/>
      <c r="D38" s="48" t="s">
        <v>6580</v>
      </c>
      <c r="E38" s="49" t="s">
        <v>6581</v>
      </c>
      <c r="G38" s="46">
        <v>114</v>
      </c>
      <c r="H38" s="47"/>
      <c r="I38" s="48" t="s">
        <v>6580</v>
      </c>
      <c r="J38" s="49" t="s">
        <v>6581</v>
      </c>
      <c r="L38" s="14">
        <f>COUNTA(B49)+L37</f>
        <v>31</v>
      </c>
      <c r="M38" s="83">
        <f>C49</f>
        <v>0</v>
      </c>
      <c r="N38" s="84" t="s">
        <v>7430</v>
      </c>
      <c r="O38" s="85">
        <v>31</v>
      </c>
      <c r="P38" s="85">
        <v>111</v>
      </c>
      <c r="Q38" s="110"/>
      <c r="R38" s="110"/>
      <c r="S38" s="110"/>
      <c r="T38" s="110"/>
      <c r="U38" s="85">
        <f>B49</f>
        <v>0</v>
      </c>
      <c r="V38" s="105"/>
      <c r="W38" s="106"/>
      <c r="X38" s="111" t="str">
        <f t="shared" si="10"/>
        <v/>
      </c>
      <c r="Y38" s="111" t="str">
        <f t="shared" si="10"/>
        <v/>
      </c>
      <c r="Z38" s="127"/>
      <c r="AA38" s="128" t="e">
        <f>VLOOKUP($M:$M,Data!$I:$J,2,FALSE)</f>
        <v>#N/A</v>
      </c>
      <c r="AB38" s="126"/>
    </row>
    <row r="39" spans="2:28">
      <c r="B39" s="50">
        <v>1</v>
      </c>
      <c r="C39" s="51">
        <f>VLOOKUP("31/109/1",Data!$A$2:$E$1425,3,FALSE)</f>
        <v>0</v>
      </c>
      <c r="D39" s="52"/>
      <c r="E39" s="53"/>
      <c r="G39" s="50">
        <v>1</v>
      </c>
      <c r="H39" s="51">
        <f>VLOOKUP("31/114/1",Data!$A$2:$E$1425,3,FALSE)</f>
        <v>0</v>
      </c>
      <c r="I39" s="52"/>
      <c r="J39" s="53"/>
      <c r="L39" s="6">
        <f>COUNTA(G47)+L38</f>
        <v>32</v>
      </c>
      <c r="M39" s="79">
        <f>H47</f>
        <v>0</v>
      </c>
      <c r="N39" s="80" t="s">
        <v>7430</v>
      </c>
      <c r="O39" s="81">
        <v>31</v>
      </c>
      <c r="P39" s="81">
        <v>112</v>
      </c>
      <c r="Q39" s="62" t="str">
        <f>_xlfn.IFS(COUNTA(G47:G49)=1,"Single",COUNTA(G47:G49)=2,"Double",COUNTA(G47:G49)=3,"Triple",COUNTA(G47:G49)=0,"Empty")</f>
        <v>Double</v>
      </c>
      <c r="R39" s="62"/>
      <c r="S39" s="62"/>
      <c r="T39" s="62"/>
      <c r="U39" s="81">
        <f>G47</f>
        <v>1</v>
      </c>
      <c r="V39" s="100">
        <f>COUNT(G47:G49)</f>
        <v>2</v>
      </c>
      <c r="W39" s="101"/>
      <c r="X39" s="108" t="str">
        <f>IF(I47=0,"",I47)</f>
        <v/>
      </c>
      <c r="Y39" s="108" t="str">
        <f>IF(J47=0,"",J47)</f>
        <v/>
      </c>
      <c r="Z39" s="120" t="s">
        <v>7640</v>
      </c>
      <c r="AA39" s="121" t="e">
        <f>VLOOKUP($M:$M,Data!$I:$J,2,FALSE)</f>
        <v>#N/A</v>
      </c>
      <c r="AB39" s="122"/>
    </row>
    <row r="40" spans="2:28">
      <c r="B40" s="50">
        <v>2</v>
      </c>
      <c r="C40" s="51">
        <f>VLOOKUP("31/109/2",Data!$A$2:$E$1425,3,FALSE)</f>
        <v>0</v>
      </c>
      <c r="D40" s="54"/>
      <c r="E40" s="55"/>
      <c r="G40" s="50">
        <v>2</v>
      </c>
      <c r="H40" s="51">
        <f>VLOOKUP("31/114/2",Data!$A$2:$E$1425,3,FALSE)</f>
        <v>0</v>
      </c>
      <c r="I40" s="54"/>
      <c r="J40" s="55"/>
      <c r="L40" s="9">
        <f>COUNTA(G48)+L39</f>
        <v>33</v>
      </c>
      <c r="M40" s="31">
        <f>H48</f>
        <v>0</v>
      </c>
      <c r="N40" s="82" t="s">
        <v>7430</v>
      </c>
      <c r="O40" s="36">
        <v>31</v>
      </c>
      <c r="P40" s="36">
        <v>112</v>
      </c>
      <c r="Q40" s="32"/>
      <c r="R40" s="32"/>
      <c r="S40" s="32"/>
      <c r="T40" s="32"/>
      <c r="U40" s="36">
        <f>G48</f>
        <v>2</v>
      </c>
      <c r="V40" s="103"/>
      <c r="W40" s="104"/>
      <c r="X40" s="109" t="str">
        <f t="shared" ref="X40:Y41" si="11">IF(I48=0,"",I48)</f>
        <v/>
      </c>
      <c r="Y40" s="109" t="str">
        <f t="shared" si="11"/>
        <v/>
      </c>
      <c r="Z40" s="123" t="s">
        <v>6701</v>
      </c>
      <c r="AA40" s="124" t="e">
        <f>VLOOKUP($M:$M,Data!$I:$J,2,FALSE)</f>
        <v>#N/A</v>
      </c>
      <c r="AB40" s="125"/>
    </row>
    <row r="41" ht="15.25" spans="2:28">
      <c r="B41" s="58"/>
      <c r="C41" s="59">
        <f>VLOOKUP("31/109/3",Data!$A$2:$E$1425,3,FALSE)</f>
        <v>0</v>
      </c>
      <c r="D41" s="56"/>
      <c r="E41" s="57"/>
      <c r="G41" s="58">
        <v>3</v>
      </c>
      <c r="H41" s="59">
        <f>VLOOKUP("31/114/3",Data!$A$2:$E$1425,3,FALSE)</f>
        <v>0</v>
      </c>
      <c r="I41" s="56"/>
      <c r="J41" s="57"/>
      <c r="L41" s="14">
        <f>COUNTA(G49)+L40</f>
        <v>33</v>
      </c>
      <c r="M41" s="83">
        <f>H49</f>
        <v>0</v>
      </c>
      <c r="N41" s="84" t="s">
        <v>7430</v>
      </c>
      <c r="O41" s="85">
        <v>31</v>
      </c>
      <c r="P41" s="85">
        <v>112</v>
      </c>
      <c r="Q41" s="110"/>
      <c r="R41" s="110"/>
      <c r="S41" s="110"/>
      <c r="T41" s="110"/>
      <c r="U41" s="85">
        <f>G49</f>
        <v>0</v>
      </c>
      <c r="V41" s="105"/>
      <c r="W41" s="106"/>
      <c r="X41" s="111" t="str">
        <f t="shared" si="11"/>
        <v/>
      </c>
      <c r="Y41" s="111" t="str">
        <f t="shared" si="11"/>
        <v/>
      </c>
      <c r="Z41" s="127"/>
      <c r="AA41" s="128" t="e">
        <f>VLOOKUP($M:$M,Data!$I:$J,2,FALSE)</f>
        <v>#N/A</v>
      </c>
      <c r="AB41" s="126"/>
    </row>
    <row r="42" spans="2:28">
      <c r="B42" s="46">
        <v>110</v>
      </c>
      <c r="C42" s="47"/>
      <c r="D42" s="48" t="s">
        <v>6580</v>
      </c>
      <c r="E42" s="49" t="s">
        <v>6581</v>
      </c>
      <c r="G42" s="46">
        <v>113</v>
      </c>
      <c r="H42" s="47"/>
      <c r="I42" s="48" t="s">
        <v>6580</v>
      </c>
      <c r="J42" s="49" t="s">
        <v>6581</v>
      </c>
      <c r="L42" s="6">
        <f>COUNTA(G43)+L41</f>
        <v>34</v>
      </c>
      <c r="M42" s="79">
        <f>H43</f>
        <v>0</v>
      </c>
      <c r="N42" s="80" t="s">
        <v>7430</v>
      </c>
      <c r="O42" s="81">
        <v>31</v>
      </c>
      <c r="P42" s="81">
        <v>113</v>
      </c>
      <c r="Q42" s="62" t="str">
        <f>_xlfn.IFS(COUNTA(G43:G45)=1,"Single",COUNTA(G43:G45)=2,"Double",COUNTA(G43:G45)=3,"Triple",COUNTA(G43:G45)=0,"Empty")</f>
        <v>Triple</v>
      </c>
      <c r="R42" s="62"/>
      <c r="S42" s="62"/>
      <c r="T42" s="62"/>
      <c r="U42" s="81">
        <f>G43</f>
        <v>1</v>
      </c>
      <c r="V42" s="100">
        <f>COUNT(G43:G45)</f>
        <v>3</v>
      </c>
      <c r="W42" s="101"/>
      <c r="X42" s="108" t="str">
        <f>IF(I43=0,"",I43)</f>
        <v/>
      </c>
      <c r="Y42" s="108" t="str">
        <f>IF(J43=0,"",J43)</f>
        <v/>
      </c>
      <c r="Z42" s="120" t="s">
        <v>7641</v>
      </c>
      <c r="AA42" s="121" t="e">
        <f>VLOOKUP($M:$M,Data!$I:$J,2,FALSE)</f>
        <v>#N/A</v>
      </c>
      <c r="AB42" s="122"/>
    </row>
    <row r="43" spans="2:28">
      <c r="B43" s="50">
        <v>1</v>
      </c>
      <c r="C43" s="51">
        <f>VLOOKUP("31/110/1",Data!$A$2:$E$1425,3,FALSE)</f>
        <v>0</v>
      </c>
      <c r="D43" s="52"/>
      <c r="E43" s="53"/>
      <c r="G43" s="50">
        <v>1</v>
      </c>
      <c r="H43" s="51">
        <f>VLOOKUP("31/113/1",Data!$A$2:$E$1425,3,FALSE)</f>
        <v>0</v>
      </c>
      <c r="I43" s="52"/>
      <c r="J43" s="53"/>
      <c r="L43" s="9">
        <f>COUNTA(G44)+L42</f>
        <v>35</v>
      </c>
      <c r="M43" s="31">
        <f>H44</f>
        <v>0</v>
      </c>
      <c r="N43" s="82" t="s">
        <v>7430</v>
      </c>
      <c r="O43" s="36">
        <v>31</v>
      </c>
      <c r="P43" s="36">
        <v>113</v>
      </c>
      <c r="Q43" s="32"/>
      <c r="R43" s="32"/>
      <c r="S43" s="32"/>
      <c r="T43" s="32"/>
      <c r="U43" s="36">
        <f>G44</f>
        <v>2</v>
      </c>
      <c r="V43" s="103"/>
      <c r="W43" s="104"/>
      <c r="X43" s="109" t="str">
        <f t="shared" ref="X43:Y44" si="12">IF(I44=0,"",I44)</f>
        <v/>
      </c>
      <c r="Y43" s="109" t="str">
        <f t="shared" si="12"/>
        <v/>
      </c>
      <c r="Z43" s="123" t="s">
        <v>7642</v>
      </c>
      <c r="AA43" s="124" t="e">
        <f>VLOOKUP($M:$M,Data!$I:$J,2,FALSE)</f>
        <v>#N/A</v>
      </c>
      <c r="AB43" s="125"/>
    </row>
    <row r="44" ht="15.25" spans="2:28">
      <c r="B44" s="50">
        <v>2</v>
      </c>
      <c r="C44" s="51">
        <f>VLOOKUP("31/110/2",Data!$A$2:$E$1425,3,FALSE)</f>
        <v>0</v>
      </c>
      <c r="D44" s="54"/>
      <c r="E44" s="55"/>
      <c r="G44" s="50">
        <v>2</v>
      </c>
      <c r="H44" s="51">
        <f>VLOOKUP("31/113/2",Data!$A$2:$E$1425,3,FALSE)</f>
        <v>0</v>
      </c>
      <c r="I44" s="54"/>
      <c r="J44" s="55"/>
      <c r="L44" s="14">
        <f>COUNTA(G45)+L43</f>
        <v>36</v>
      </c>
      <c r="M44" s="83">
        <f>H45</f>
        <v>0</v>
      </c>
      <c r="N44" s="84" t="s">
        <v>7430</v>
      </c>
      <c r="O44" s="85">
        <v>31</v>
      </c>
      <c r="P44" s="85">
        <v>113</v>
      </c>
      <c r="Q44" s="110"/>
      <c r="R44" s="110"/>
      <c r="S44" s="110"/>
      <c r="T44" s="110"/>
      <c r="U44" s="85">
        <f>G45</f>
        <v>3</v>
      </c>
      <c r="V44" s="105"/>
      <c r="W44" s="106"/>
      <c r="X44" s="111" t="str">
        <f t="shared" si="12"/>
        <v/>
      </c>
      <c r="Y44" s="111" t="str">
        <f t="shared" si="12"/>
        <v/>
      </c>
      <c r="Z44" s="127" t="s">
        <v>7643</v>
      </c>
      <c r="AA44" s="128" t="e">
        <f>VLOOKUP($M:$M,Data!$I:$J,2,FALSE)</f>
        <v>#N/A</v>
      </c>
      <c r="AB44" s="126"/>
    </row>
    <row r="45" ht="15.25" spans="2:28">
      <c r="B45" s="58">
        <v>3</v>
      </c>
      <c r="C45" s="59">
        <f>VLOOKUP("31/110/3",Data!$A$2:$E$1425,3,FALSE)</f>
        <v>0</v>
      </c>
      <c r="D45" s="56"/>
      <c r="E45" s="57"/>
      <c r="G45" s="58">
        <v>3</v>
      </c>
      <c r="H45" s="59">
        <f>VLOOKUP("31/113/3",Data!$A$2:$E$1425,3,FALSE)</f>
        <v>0</v>
      </c>
      <c r="I45" s="56"/>
      <c r="J45" s="57"/>
      <c r="L45" s="6">
        <f>COUNTA(G39)+L44</f>
        <v>37</v>
      </c>
      <c r="M45" s="79">
        <f>H39</f>
        <v>0</v>
      </c>
      <c r="N45" s="80" t="s">
        <v>7430</v>
      </c>
      <c r="O45" s="81">
        <v>31</v>
      </c>
      <c r="P45" s="81">
        <v>114</v>
      </c>
      <c r="Q45" s="62" t="str">
        <f>_xlfn.IFS(COUNTA(G39:G41)=1,"Single",COUNTA(G39:G41)=2,"Double",COUNTA(G39:G41)=3,"Triple",COUNTA(G39:G41)=0,"Empty")</f>
        <v>Triple</v>
      </c>
      <c r="R45" s="62"/>
      <c r="S45" s="62"/>
      <c r="T45" s="62"/>
      <c r="U45" s="81">
        <f>G39</f>
        <v>1</v>
      </c>
      <c r="V45" s="100">
        <f>COUNT(G39:G41)</f>
        <v>3</v>
      </c>
      <c r="W45" s="101"/>
      <c r="X45" s="108" t="str">
        <f>IF(I39=0,"",I39)</f>
        <v/>
      </c>
      <c r="Y45" s="108" t="str">
        <f>IF(J39=0,"",J39)</f>
        <v/>
      </c>
      <c r="Z45" s="120" t="s">
        <v>6725</v>
      </c>
      <c r="AA45" s="121" t="e">
        <f>VLOOKUP($M:$M,Data!$I:$J,2,FALSE)</f>
        <v>#N/A</v>
      </c>
      <c r="AB45" s="122"/>
    </row>
    <row r="46" spans="2:28">
      <c r="B46" s="46">
        <v>111</v>
      </c>
      <c r="C46" s="47"/>
      <c r="D46" s="48" t="s">
        <v>6580</v>
      </c>
      <c r="E46" s="49" t="s">
        <v>6581</v>
      </c>
      <c r="G46" s="46">
        <v>112</v>
      </c>
      <c r="H46" s="47"/>
      <c r="I46" s="48" t="s">
        <v>6580</v>
      </c>
      <c r="J46" s="49" t="s">
        <v>6581</v>
      </c>
      <c r="L46" s="9">
        <f>COUNTA(G40)+L45</f>
        <v>38</v>
      </c>
      <c r="M46" s="31">
        <f>H40</f>
        <v>0</v>
      </c>
      <c r="N46" s="82" t="s">
        <v>7430</v>
      </c>
      <c r="O46" s="36">
        <v>31</v>
      </c>
      <c r="P46" s="36">
        <v>114</v>
      </c>
      <c r="Q46" s="32"/>
      <c r="R46" s="32"/>
      <c r="S46" s="32"/>
      <c r="T46" s="32"/>
      <c r="U46" s="36">
        <f>G40</f>
        <v>2</v>
      </c>
      <c r="V46" s="103"/>
      <c r="W46" s="104"/>
      <c r="X46" s="109" t="str">
        <f t="shared" ref="X46:Y47" si="13">IF(I40=0,"",I40)</f>
        <v/>
      </c>
      <c r="Y46" s="109" t="str">
        <f t="shared" si="13"/>
        <v/>
      </c>
      <c r="Z46" s="123" t="s">
        <v>6754</v>
      </c>
      <c r="AA46" s="124" t="e">
        <f>VLOOKUP($M:$M,Data!$I:$J,2,FALSE)</f>
        <v>#N/A</v>
      </c>
      <c r="AB46" s="125"/>
    </row>
    <row r="47" ht="15.25" spans="2:28">
      <c r="B47" s="50">
        <v>1</v>
      </c>
      <c r="C47" s="51">
        <f>VLOOKUP("31/111/1",Data!$A$2:$E$1425,3,FALSE)</f>
        <v>0</v>
      </c>
      <c r="D47" s="52"/>
      <c r="E47" s="53"/>
      <c r="G47" s="50">
        <v>1</v>
      </c>
      <c r="H47" s="51">
        <f>VLOOKUP("31/112/1",Data!$A$2:$E$1425,3,FALSE)</f>
        <v>0</v>
      </c>
      <c r="I47" s="52"/>
      <c r="J47" s="53"/>
      <c r="L47" s="14">
        <f>COUNTA(G41)+L46</f>
        <v>39</v>
      </c>
      <c r="M47" s="83">
        <f>H41</f>
        <v>0</v>
      </c>
      <c r="N47" s="84" t="s">
        <v>7430</v>
      </c>
      <c r="O47" s="85">
        <v>31</v>
      </c>
      <c r="P47" s="85">
        <v>114</v>
      </c>
      <c r="Q47" s="110"/>
      <c r="R47" s="110"/>
      <c r="S47" s="110"/>
      <c r="T47" s="110"/>
      <c r="U47" s="85">
        <f>G41</f>
        <v>3</v>
      </c>
      <c r="V47" s="105"/>
      <c r="W47" s="106"/>
      <c r="X47" s="111" t="str">
        <f t="shared" si="13"/>
        <v/>
      </c>
      <c r="Y47" s="111" t="str">
        <f t="shared" si="13"/>
        <v/>
      </c>
      <c r="Z47" s="127" t="s">
        <v>7644</v>
      </c>
      <c r="AA47" s="128" t="e">
        <f>VLOOKUP($M:$M,Data!$I:$J,2,FALSE)</f>
        <v>#N/A</v>
      </c>
      <c r="AB47" s="126"/>
    </row>
    <row r="48" spans="2:28">
      <c r="B48" s="50">
        <v>2</v>
      </c>
      <c r="C48" s="51">
        <f>VLOOKUP("31/111/2",Data!$A$2:$E$1425,3,FALSE)</f>
        <v>0</v>
      </c>
      <c r="D48" s="54"/>
      <c r="E48" s="55"/>
      <c r="G48" s="50">
        <v>2</v>
      </c>
      <c r="H48" s="51">
        <f>VLOOKUP("31/112/2",Data!$A$2:$E$1425,3,FALSE)</f>
        <v>0</v>
      </c>
      <c r="I48" s="54"/>
      <c r="J48" s="55"/>
      <c r="L48" s="6">
        <f>COUNTA(G35)+L47</f>
        <v>40</v>
      </c>
      <c r="M48" s="79">
        <f>H35</f>
        <v>0</v>
      </c>
      <c r="N48" s="80" t="s">
        <v>7430</v>
      </c>
      <c r="O48" s="81">
        <v>31</v>
      </c>
      <c r="P48" s="81">
        <v>115</v>
      </c>
      <c r="Q48" s="62" t="str">
        <f>_xlfn.IFS(COUNTA(G35:G37)=1,"Single",COUNTA(G35:G37)=2,"Double",COUNTA(G35:G37)=3,"Triple",COUNTA(G35:G37)=0,"Empty")</f>
        <v>Triple</v>
      </c>
      <c r="R48" s="62"/>
      <c r="S48" s="62"/>
      <c r="T48" s="62"/>
      <c r="U48" s="81">
        <f>G35</f>
        <v>1</v>
      </c>
      <c r="V48" s="100">
        <f>COUNT(G35:G37)</f>
        <v>3</v>
      </c>
      <c r="W48" s="101"/>
      <c r="X48" s="108" t="str">
        <f>IF(I35=0,"",I35)</f>
        <v/>
      </c>
      <c r="Y48" s="108" t="str">
        <f>IF(J35=0,"",J35)</f>
        <v/>
      </c>
      <c r="Z48" s="120" t="s">
        <v>7645</v>
      </c>
      <c r="AA48" s="121" t="e">
        <f>VLOOKUP($M:$M,Data!$I:$J,2,FALSE)</f>
        <v>#N/A</v>
      </c>
      <c r="AB48" s="122"/>
    </row>
    <row r="49" ht="15.25" spans="2:28">
      <c r="B49" s="58"/>
      <c r="C49" s="59">
        <f>VLOOKUP("31/111/3",Data!$A$2:$E$1425,3,FALSE)</f>
        <v>0</v>
      </c>
      <c r="D49" s="56"/>
      <c r="E49" s="57"/>
      <c r="G49" s="58"/>
      <c r="H49" s="59">
        <f>VLOOKUP("31/112/3",Data!$A$2:$E$1425,3,FALSE)</f>
        <v>0</v>
      </c>
      <c r="I49" s="56"/>
      <c r="J49" s="57"/>
      <c r="L49" s="9">
        <f>COUNTA(G36)+L48</f>
        <v>41</v>
      </c>
      <c r="M49" s="31">
        <f>H36</f>
        <v>0</v>
      </c>
      <c r="N49" s="82" t="s">
        <v>7430</v>
      </c>
      <c r="O49" s="36">
        <v>31</v>
      </c>
      <c r="P49" s="36">
        <v>115</v>
      </c>
      <c r="Q49" s="32"/>
      <c r="R49" s="32"/>
      <c r="S49" s="32"/>
      <c r="T49" s="32"/>
      <c r="U49" s="36">
        <f>G36</f>
        <v>2</v>
      </c>
      <c r="V49" s="103"/>
      <c r="W49" s="104"/>
      <c r="X49" s="109" t="str">
        <f t="shared" ref="X49:Y50" si="14">IF(I36=0,"",I36)</f>
        <v/>
      </c>
      <c r="Y49" s="109" t="str">
        <f t="shared" si="14"/>
        <v/>
      </c>
      <c r="Z49" s="123" t="s">
        <v>6707</v>
      </c>
      <c r="AA49" s="124" t="e">
        <f>VLOOKUP($M:$M,Data!$I:$J,2,FALSE)</f>
        <v>#N/A</v>
      </c>
      <c r="AB49" s="125"/>
    </row>
    <row r="50" ht="15.25" spans="12:28">
      <c r="L50" s="14">
        <f>COUNTA(G37)+L49</f>
        <v>42</v>
      </c>
      <c r="M50" s="83">
        <f>H37</f>
        <v>0</v>
      </c>
      <c r="N50" s="84" t="s">
        <v>7430</v>
      </c>
      <c r="O50" s="85">
        <v>31</v>
      </c>
      <c r="P50" s="85">
        <v>115</v>
      </c>
      <c r="Q50" s="110"/>
      <c r="R50" s="110"/>
      <c r="S50" s="110"/>
      <c r="T50" s="110"/>
      <c r="U50" s="85">
        <f>G37</f>
        <v>3</v>
      </c>
      <c r="V50" s="105"/>
      <c r="W50" s="106"/>
      <c r="X50" s="111" t="str">
        <f t="shared" si="14"/>
        <v/>
      </c>
      <c r="Y50" s="111" t="str">
        <f t="shared" si="14"/>
        <v/>
      </c>
      <c r="Z50" s="127" t="s">
        <v>7646</v>
      </c>
      <c r="AA50" s="128" t="e">
        <f>VLOOKUP($M:$M,Data!$I:$J,2,FALSE)</f>
        <v>#N/A</v>
      </c>
      <c r="AB50" s="126"/>
    </row>
    <row r="51" spans="3:28">
      <c r="C51" s="1" t="s">
        <v>7647</v>
      </c>
      <c r="D51" s="1"/>
      <c r="E51" s="1"/>
      <c r="F51" s="1"/>
      <c r="G51" s="1"/>
      <c r="H51" s="1"/>
      <c r="I51" s="1"/>
      <c r="J51" s="89"/>
      <c r="L51" s="6">
        <f>COUNTA(G23)+L50</f>
        <v>43</v>
      </c>
      <c r="M51" s="79">
        <f>H23</f>
        <v>0</v>
      </c>
      <c r="N51" s="80" t="s">
        <v>7430</v>
      </c>
      <c r="O51" s="81">
        <v>31</v>
      </c>
      <c r="P51" s="81">
        <v>116</v>
      </c>
      <c r="Q51" s="62" t="str">
        <f>_xlfn.IFS(COUNTA(G23:G25)=1,"Single",COUNTA(G23:G25)=2,"Double",COUNTA(G23:G25)=3,"Triple",COUNTA(G23:G25)=0,"Empty")</f>
        <v>Triple</v>
      </c>
      <c r="R51" s="62"/>
      <c r="S51" s="62"/>
      <c r="T51" s="62"/>
      <c r="U51" s="81">
        <f>G23</f>
        <v>1</v>
      </c>
      <c r="V51" s="100">
        <f>COUNT(G23:G25)</f>
        <v>3</v>
      </c>
      <c r="W51" s="101"/>
      <c r="X51" s="108" t="str">
        <f>IF(I23=0,"",I23)</f>
        <v/>
      </c>
      <c r="Y51" s="108" t="str">
        <f>IF(J23=0,"",J23)</f>
        <v/>
      </c>
      <c r="Z51" s="120" t="s">
        <v>7648</v>
      </c>
      <c r="AA51" s="121" t="e">
        <f>VLOOKUP($M:$M,Data!$I:$J,2,FALSE)</f>
        <v>#N/A</v>
      </c>
      <c r="AB51" s="122"/>
    </row>
    <row r="52" ht="15.25" spans="2:28">
      <c r="B52" s="45" t="s">
        <v>7427</v>
      </c>
      <c r="C52" s="45"/>
      <c r="D52" s="45"/>
      <c r="E52" s="45"/>
      <c r="G52" s="45" t="s">
        <v>7427</v>
      </c>
      <c r="H52" s="45"/>
      <c r="I52" s="45"/>
      <c r="J52" s="45"/>
      <c r="L52" s="9">
        <f>COUNTA(G24)+L51</f>
        <v>44</v>
      </c>
      <c r="M52" s="31">
        <f>H24</f>
        <v>0</v>
      </c>
      <c r="N52" s="82" t="s">
        <v>7430</v>
      </c>
      <c r="O52" s="36">
        <v>31</v>
      </c>
      <c r="P52" s="36">
        <v>116</v>
      </c>
      <c r="Q52" s="32"/>
      <c r="R52" s="32"/>
      <c r="S52" s="32"/>
      <c r="T52" s="32"/>
      <c r="U52" s="36">
        <f>G24</f>
        <v>2</v>
      </c>
      <c r="V52" s="103"/>
      <c r="W52" s="104"/>
      <c r="X52" s="109" t="str">
        <f t="shared" ref="X52:Y53" si="15">IF(I24=0,"",I24)</f>
        <v/>
      </c>
      <c r="Y52" s="109" t="str">
        <f t="shared" si="15"/>
        <v/>
      </c>
      <c r="Z52" s="123" t="s">
        <v>7649</v>
      </c>
      <c r="AA52" s="124" t="e">
        <f>VLOOKUP($M:$M,Data!$I:$J,2,FALSE)</f>
        <v>#N/A</v>
      </c>
      <c r="AB52" s="125"/>
    </row>
    <row r="53" ht="15.25" spans="2:28">
      <c r="B53" s="46">
        <v>201</v>
      </c>
      <c r="C53" s="47"/>
      <c r="D53" s="48" t="s">
        <v>6580</v>
      </c>
      <c r="E53" s="49" t="s">
        <v>6581</v>
      </c>
      <c r="G53" s="46">
        <v>220</v>
      </c>
      <c r="H53" s="47"/>
      <c r="I53" s="48" t="s">
        <v>6580</v>
      </c>
      <c r="J53" s="49" t="s">
        <v>6581</v>
      </c>
      <c r="L53" s="14">
        <f>COUNTA(G25)+L52</f>
        <v>45</v>
      </c>
      <c r="M53" s="83">
        <f>H25</f>
        <v>0</v>
      </c>
      <c r="N53" s="82" t="s">
        <v>7430</v>
      </c>
      <c r="O53" s="85">
        <v>31</v>
      </c>
      <c r="P53" s="85">
        <v>116</v>
      </c>
      <c r="Q53" s="110"/>
      <c r="R53" s="110"/>
      <c r="S53" s="110"/>
      <c r="T53" s="110"/>
      <c r="U53" s="85">
        <f>G25</f>
        <v>3</v>
      </c>
      <c r="V53" s="105"/>
      <c r="W53" s="106"/>
      <c r="X53" s="111" t="str">
        <f t="shared" si="15"/>
        <v/>
      </c>
      <c r="Y53" s="111" t="str">
        <f t="shared" si="15"/>
        <v/>
      </c>
      <c r="Z53" s="127" t="s">
        <v>7650</v>
      </c>
      <c r="AA53" s="128" t="e">
        <f>VLOOKUP($M:$M,Data!$I:$J,2,FALSE)</f>
        <v>#N/A</v>
      </c>
      <c r="AB53" s="126"/>
    </row>
    <row r="54" spans="2:28">
      <c r="B54" s="50">
        <v>1</v>
      </c>
      <c r="C54" s="51">
        <f>VLOOKUP("31/201/1",Data!$A$2:$E$1425,3,FALSE)</f>
        <v>0</v>
      </c>
      <c r="D54" s="52"/>
      <c r="E54" s="53"/>
      <c r="G54" s="50">
        <v>1</v>
      </c>
      <c r="H54" s="51">
        <f>VLOOKUP("31/220/1",Data!$A$2:$E$1425,3,FALSE)</f>
        <v>0</v>
      </c>
      <c r="I54" s="52"/>
      <c r="J54" s="53"/>
      <c r="L54" s="6">
        <f>COUNTA(G19)+L53</f>
        <v>46</v>
      </c>
      <c r="M54" s="79">
        <f>H19</f>
        <v>0</v>
      </c>
      <c r="N54" s="80" t="s">
        <v>7430</v>
      </c>
      <c r="O54" s="81">
        <v>31</v>
      </c>
      <c r="P54" s="81">
        <v>117</v>
      </c>
      <c r="Q54" s="62" t="str">
        <f>_xlfn.IFS(COUNTA(G19:G21)=1,"Single",COUNTA(G19:G21)=2,"Double",COUNTA(G19:G21)=3,"Triple",COUNTA(G19:G21)=0,"Empty")</f>
        <v>Double</v>
      </c>
      <c r="R54" s="62"/>
      <c r="S54" s="62"/>
      <c r="T54" s="62"/>
      <c r="U54" s="81">
        <f>G19</f>
        <v>1</v>
      </c>
      <c r="V54" s="100">
        <f>COUNT(G19:G21)</f>
        <v>2</v>
      </c>
      <c r="W54" s="101"/>
      <c r="X54" s="108" t="str">
        <f>IF(I19=0,"",I19)</f>
        <v/>
      </c>
      <c r="Y54" s="108" t="str">
        <f>IF(J19=0,"",J19)</f>
        <v/>
      </c>
      <c r="Z54" s="120" t="s">
        <v>7651</v>
      </c>
      <c r="AA54" s="121" t="e">
        <f>VLOOKUP($M:$M,Data!$I:$J,2,FALSE)</f>
        <v>#N/A</v>
      </c>
      <c r="AB54" s="122"/>
    </row>
    <row r="55" spans="2:28">
      <c r="B55" s="50">
        <v>2</v>
      </c>
      <c r="C55" s="51">
        <f>VLOOKUP("31/201/2",Data!$A$2:$E$1425,3,FALSE)</f>
        <v>0</v>
      </c>
      <c r="D55" s="54"/>
      <c r="E55" s="55"/>
      <c r="G55" s="50">
        <v>2</v>
      </c>
      <c r="H55" s="51">
        <f>VLOOKUP("31/220/2",Data!$A$2:$E$1425,3,FALSE)</f>
        <v>0</v>
      </c>
      <c r="I55" s="54"/>
      <c r="J55" s="55"/>
      <c r="L55" s="9">
        <f>COUNTA(G20)+L54</f>
        <v>47</v>
      </c>
      <c r="M55" s="31">
        <f>H20</f>
        <v>0</v>
      </c>
      <c r="N55" s="82" t="s">
        <v>7430</v>
      </c>
      <c r="O55" s="36">
        <v>31</v>
      </c>
      <c r="P55" s="36">
        <v>117</v>
      </c>
      <c r="Q55" s="32"/>
      <c r="R55" s="32"/>
      <c r="S55" s="32"/>
      <c r="T55" s="32"/>
      <c r="U55" s="36">
        <f>G20</f>
        <v>2</v>
      </c>
      <c r="V55" s="103"/>
      <c r="W55" s="104"/>
      <c r="X55" s="109" t="str">
        <f t="shared" ref="X55:Y56" si="16">IF(I20=0,"",I20)</f>
        <v/>
      </c>
      <c r="Y55" s="109" t="str">
        <f t="shared" si="16"/>
        <v/>
      </c>
      <c r="Z55" s="123" t="s">
        <v>7652</v>
      </c>
      <c r="AA55" s="124" t="e">
        <f>VLOOKUP($M:$M,Data!$I:$J,2,FALSE)</f>
        <v>#N/A</v>
      </c>
      <c r="AB55" s="125"/>
    </row>
    <row r="56" ht="15.25" spans="2:28">
      <c r="B56" s="58"/>
      <c r="C56" s="59">
        <f>VLOOKUP("31/201/3",Data!$A$2:$E$1425,3,FALSE)</f>
        <v>0</v>
      </c>
      <c r="D56" s="56"/>
      <c r="E56" s="57"/>
      <c r="G56" s="58"/>
      <c r="H56" s="59">
        <f>VLOOKUP("31/220/3",Data!$A$2:$E$1425,3,FALSE)</f>
        <v>0</v>
      </c>
      <c r="I56" s="56"/>
      <c r="J56" s="57"/>
      <c r="L56" s="14">
        <f>COUNTA(G21)+L55</f>
        <v>47</v>
      </c>
      <c r="M56" s="83">
        <f>H21</f>
        <v>0</v>
      </c>
      <c r="N56" s="84" t="s">
        <v>7430</v>
      </c>
      <c r="O56" s="85">
        <v>31</v>
      </c>
      <c r="P56" s="85">
        <v>117</v>
      </c>
      <c r="Q56" s="110"/>
      <c r="R56" s="110"/>
      <c r="S56" s="110"/>
      <c r="T56" s="110"/>
      <c r="U56" s="85">
        <f>G21</f>
        <v>0</v>
      </c>
      <c r="V56" s="105"/>
      <c r="W56" s="106"/>
      <c r="X56" s="111" t="str">
        <f t="shared" si="16"/>
        <v/>
      </c>
      <c r="Y56" s="111" t="str">
        <f t="shared" si="16"/>
        <v/>
      </c>
      <c r="Z56" s="127"/>
      <c r="AA56" s="128" t="e">
        <f>VLOOKUP($M:$M,Data!$I:$J,2,FALSE)</f>
        <v>#N/A</v>
      </c>
      <c r="AB56" s="126"/>
    </row>
    <row r="57" spans="2:28">
      <c r="B57" s="46">
        <v>202</v>
      </c>
      <c r="C57" s="47"/>
      <c r="D57" s="48" t="s">
        <v>6580</v>
      </c>
      <c r="E57" s="49" t="s">
        <v>6581</v>
      </c>
      <c r="G57" s="46">
        <v>219</v>
      </c>
      <c r="H57" s="47"/>
      <c r="I57" s="48" t="s">
        <v>6580</v>
      </c>
      <c r="J57" s="49" t="s">
        <v>6581</v>
      </c>
      <c r="L57" s="6">
        <f>COUNTA(G15)+L56</f>
        <v>48</v>
      </c>
      <c r="M57" s="79">
        <f>H15</f>
        <v>0</v>
      </c>
      <c r="N57" s="80" t="s">
        <v>7430</v>
      </c>
      <c r="O57" s="81">
        <v>31</v>
      </c>
      <c r="P57" s="81">
        <v>118</v>
      </c>
      <c r="Q57" s="62" t="str">
        <f>_xlfn.IFS(COUNTA(G15:G17)=1,"Single",COUNTA(G15:G17)=2,"Double",COUNTA(G15:G17)=3,"Triple",COUNTA(G15:G17)=0,"Empty")</f>
        <v>Triple</v>
      </c>
      <c r="R57" s="62"/>
      <c r="S57" s="62"/>
      <c r="T57" s="62"/>
      <c r="U57" s="81">
        <f>G15</f>
        <v>1</v>
      </c>
      <c r="V57" s="100">
        <f>COUNT(G15:G17)</f>
        <v>3</v>
      </c>
      <c r="W57" s="101"/>
      <c r="X57" s="108" t="str">
        <f>IF(I15=0,"",I15)</f>
        <v/>
      </c>
      <c r="Y57" s="108" t="str">
        <f>IF(J15=0,"",J15)</f>
        <v/>
      </c>
      <c r="Z57" s="120" t="s">
        <v>7653</v>
      </c>
      <c r="AA57" s="121" t="e">
        <f>VLOOKUP($M:$M,Data!$I:$J,2,FALSE)</f>
        <v>#N/A</v>
      </c>
      <c r="AB57" s="122"/>
    </row>
    <row r="58" spans="2:28">
      <c r="B58" s="50">
        <v>1</v>
      </c>
      <c r="C58" s="51">
        <f>VLOOKUP("31/202/1",Data!$A$2:$E$1425,3,FALSE)</f>
        <v>0</v>
      </c>
      <c r="D58" s="52"/>
      <c r="E58" s="53"/>
      <c r="G58" s="50">
        <v>1</v>
      </c>
      <c r="H58" s="51">
        <f>VLOOKUP("31/219/1",Data!$A$2:$E$1425,3,FALSE)</f>
        <v>0</v>
      </c>
      <c r="I58" s="52"/>
      <c r="J58" s="53"/>
      <c r="L58" s="9">
        <f>COUNTA(G16)+L57</f>
        <v>49</v>
      </c>
      <c r="M58" s="31">
        <f>H16</f>
        <v>0</v>
      </c>
      <c r="N58" s="82" t="s">
        <v>7430</v>
      </c>
      <c r="O58" s="36">
        <v>31</v>
      </c>
      <c r="P58" s="36">
        <v>118</v>
      </c>
      <c r="Q58" s="32"/>
      <c r="R58" s="32"/>
      <c r="S58" s="32"/>
      <c r="T58" s="32"/>
      <c r="U58" s="36">
        <f>G16</f>
        <v>2</v>
      </c>
      <c r="V58" s="103"/>
      <c r="W58" s="104"/>
      <c r="X58" s="109" t="str">
        <f t="shared" ref="X58:Y59" si="17">IF(I16=0,"",I16)</f>
        <v/>
      </c>
      <c r="Y58" s="109" t="str">
        <f t="shared" si="17"/>
        <v/>
      </c>
      <c r="Z58" s="123" t="s">
        <v>7654</v>
      </c>
      <c r="AA58" s="124" t="e">
        <f>VLOOKUP($M:$M,Data!$I:$J,2,FALSE)</f>
        <v>#N/A</v>
      </c>
      <c r="AB58" s="125"/>
    </row>
    <row r="59" ht="15.25" spans="2:28">
      <c r="B59" s="50">
        <v>2</v>
      </c>
      <c r="C59" s="51">
        <f>VLOOKUP("31/202/2",Data!$A$2:$E$1425,3,FALSE)</f>
        <v>0</v>
      </c>
      <c r="D59" s="54"/>
      <c r="E59" s="55"/>
      <c r="G59" s="50">
        <v>2</v>
      </c>
      <c r="H59" s="51">
        <f>VLOOKUP("31/219/2",Data!$A$2:$E$1425,3,FALSE)</f>
        <v>0</v>
      </c>
      <c r="I59" s="54"/>
      <c r="J59" s="55"/>
      <c r="L59" s="14">
        <f>COUNTA(G17)+L58</f>
        <v>50</v>
      </c>
      <c r="M59" s="83">
        <f>H17</f>
        <v>0</v>
      </c>
      <c r="N59" s="84" t="s">
        <v>7430</v>
      </c>
      <c r="O59" s="85">
        <v>31</v>
      </c>
      <c r="P59" s="85">
        <v>118</v>
      </c>
      <c r="Q59" s="110"/>
      <c r="R59" s="110"/>
      <c r="S59" s="110"/>
      <c r="T59" s="110"/>
      <c r="U59" s="85">
        <f>G17</f>
        <v>3</v>
      </c>
      <c r="V59" s="105"/>
      <c r="W59" s="106"/>
      <c r="X59" s="111" t="str">
        <f t="shared" si="17"/>
        <v/>
      </c>
      <c r="Y59" s="111" t="str">
        <f t="shared" si="17"/>
        <v/>
      </c>
      <c r="Z59" s="127" t="s">
        <v>7655</v>
      </c>
      <c r="AA59" s="128" t="e">
        <f>VLOOKUP($M:$M,Data!$I:$J,2,FALSE)</f>
        <v>#N/A</v>
      </c>
      <c r="AB59" s="126"/>
    </row>
    <row r="60" ht="15.25" spans="2:28">
      <c r="B60" s="58"/>
      <c r="C60" s="59">
        <f>VLOOKUP("31/202/3",Data!$A$2:$E$1425,3,FALSE)</f>
        <v>0</v>
      </c>
      <c r="D60" s="56"/>
      <c r="E60" s="57"/>
      <c r="G60" s="58"/>
      <c r="H60" s="59">
        <f>VLOOKUP("31/219/3",Data!$A$2:$E$1425,3,FALSE)</f>
        <v>0</v>
      </c>
      <c r="I60" s="56"/>
      <c r="J60" s="57"/>
      <c r="L60" s="6">
        <f>COUNTA(G11)+L59</f>
        <v>51</v>
      </c>
      <c r="M60" s="79">
        <f>H11</f>
        <v>0</v>
      </c>
      <c r="N60" s="80" t="s">
        <v>7430</v>
      </c>
      <c r="O60" s="81">
        <v>31</v>
      </c>
      <c r="P60" s="81">
        <v>119</v>
      </c>
      <c r="Q60" s="62" t="str">
        <f>_xlfn.IFS(COUNTA(G11:G13)=1,"Single",COUNTA(G11:G13)=2,"Double",COUNTA(G11:G13)=3,"Triple",COUNTA(G11:G13)=0,"Empty")</f>
        <v>Triple</v>
      </c>
      <c r="R60" s="62"/>
      <c r="S60" s="62"/>
      <c r="T60" s="62"/>
      <c r="U60" s="81">
        <f>G11</f>
        <v>1</v>
      </c>
      <c r="V60" s="100">
        <f>COUNT(G11:G13)</f>
        <v>3</v>
      </c>
      <c r="W60" s="101"/>
      <c r="X60" s="108" t="str">
        <f>IF(I11=0,"",I11)</f>
        <v/>
      </c>
      <c r="Y60" s="108" t="str">
        <f>IF(J11=0,"",J11)</f>
        <v/>
      </c>
      <c r="Z60" s="120" t="s">
        <v>7656</v>
      </c>
      <c r="AA60" s="121" t="e">
        <f>VLOOKUP($M:$M,Data!$I:$J,2,FALSE)</f>
        <v>#N/A</v>
      </c>
      <c r="AB60" s="122"/>
    </row>
    <row r="61" spans="2:28">
      <c r="B61" s="46">
        <v>203</v>
      </c>
      <c r="C61" s="47"/>
      <c r="D61" s="48" t="s">
        <v>6580</v>
      </c>
      <c r="E61" s="49" t="s">
        <v>6581</v>
      </c>
      <c r="G61" s="46">
        <v>218</v>
      </c>
      <c r="H61" s="47"/>
      <c r="I61" s="48" t="s">
        <v>6580</v>
      </c>
      <c r="J61" s="49" t="s">
        <v>6581</v>
      </c>
      <c r="L61" s="9">
        <f>COUNTA(G12)+L60</f>
        <v>52</v>
      </c>
      <c r="M61" s="31">
        <f>H12</f>
        <v>0</v>
      </c>
      <c r="N61" s="82" t="s">
        <v>7430</v>
      </c>
      <c r="O61" s="36">
        <v>31</v>
      </c>
      <c r="P61" s="36">
        <v>119</v>
      </c>
      <c r="Q61" s="32"/>
      <c r="R61" s="32"/>
      <c r="S61" s="32"/>
      <c r="T61" s="32"/>
      <c r="U61" s="36">
        <f>G12</f>
        <v>2</v>
      </c>
      <c r="V61" s="103"/>
      <c r="W61" s="104"/>
      <c r="X61" s="109" t="str">
        <f t="shared" ref="X61:Y62" si="18">IF(I12=0,"",I12)</f>
        <v/>
      </c>
      <c r="Y61" s="109" t="str">
        <f t="shared" si="18"/>
        <v/>
      </c>
      <c r="Z61" s="123" t="s">
        <v>7657</v>
      </c>
      <c r="AA61" s="124" t="e">
        <f>VLOOKUP($M:$M,Data!$I:$J,2,FALSE)</f>
        <v>#N/A</v>
      </c>
      <c r="AB61" s="125"/>
    </row>
    <row r="62" ht="15.25" spans="2:28">
      <c r="B62" s="50">
        <v>1</v>
      </c>
      <c r="C62" s="51">
        <f>VLOOKUP("31/203/1",Data!$A$2:$E$1425,3,FALSE)</f>
        <v>0</v>
      </c>
      <c r="D62" s="52"/>
      <c r="E62" s="53"/>
      <c r="G62" s="50">
        <v>1</v>
      </c>
      <c r="H62" s="51">
        <f>VLOOKUP("31/218/1",Data!$A$2:$E$1425,3,FALSE)</f>
        <v>0</v>
      </c>
      <c r="I62" s="52"/>
      <c r="J62" s="53"/>
      <c r="L62" s="14">
        <f>COUNTA(G13)+L61</f>
        <v>53</v>
      </c>
      <c r="M62" s="83">
        <f>H13</f>
        <v>0</v>
      </c>
      <c r="N62" s="84" t="s">
        <v>7430</v>
      </c>
      <c r="O62" s="85">
        <v>31</v>
      </c>
      <c r="P62" s="85">
        <v>119</v>
      </c>
      <c r="Q62" s="110"/>
      <c r="R62" s="110"/>
      <c r="S62" s="110"/>
      <c r="T62" s="110"/>
      <c r="U62" s="85">
        <f>G13</f>
        <v>3</v>
      </c>
      <c r="V62" s="105"/>
      <c r="W62" s="106"/>
      <c r="X62" s="111" t="str">
        <f t="shared" si="18"/>
        <v/>
      </c>
      <c r="Y62" s="111" t="str">
        <f t="shared" si="18"/>
        <v/>
      </c>
      <c r="Z62" s="127" t="s">
        <v>7658</v>
      </c>
      <c r="AA62" s="128" t="e">
        <f>VLOOKUP($M:$M,Data!$I:$J,2,FALSE)</f>
        <v>#N/A</v>
      </c>
      <c r="AB62" s="126"/>
    </row>
    <row r="63" spans="2:28">
      <c r="B63" s="50">
        <v>2</v>
      </c>
      <c r="C63" s="51">
        <f>VLOOKUP("31/203/2",Data!$A$2:$E$1425,3,FALSE)</f>
        <v>0</v>
      </c>
      <c r="D63" s="54"/>
      <c r="E63" s="55"/>
      <c r="G63" s="50">
        <v>2</v>
      </c>
      <c r="H63" s="51">
        <f>VLOOKUP("31/218/2",Data!$A$2:$E$1425,3,FALSE)</f>
        <v>0</v>
      </c>
      <c r="I63" s="54"/>
      <c r="J63" s="55"/>
      <c r="L63" s="6">
        <f>COUNTA(G7)+L62</f>
        <v>54</v>
      </c>
      <c r="M63" s="79">
        <f>H7</f>
        <v>0</v>
      </c>
      <c r="N63" s="80" t="s">
        <v>7430</v>
      </c>
      <c r="O63" s="81">
        <v>31</v>
      </c>
      <c r="P63" s="81">
        <v>120</v>
      </c>
      <c r="Q63" s="62" t="str">
        <f>_xlfn.IFS(COUNTA(G7:G9)=1,"Single",COUNTA(G7:G9)=2,"Double",COUNTA(G7:G9)=3,"Triple",COUNTA(G7:G9)=0,"Empty")</f>
        <v>Triple</v>
      </c>
      <c r="R63" s="62"/>
      <c r="S63" s="62"/>
      <c r="T63" s="62"/>
      <c r="U63" s="81">
        <f>G7</f>
        <v>1</v>
      </c>
      <c r="V63" s="100">
        <f>COUNT(G7:G9)</f>
        <v>3</v>
      </c>
      <c r="W63" s="101"/>
      <c r="X63" s="108" t="str">
        <f>IF(I7=0,"",I7)</f>
        <v/>
      </c>
      <c r="Y63" s="108" t="str">
        <f>IF(J7=0,"",J7)</f>
        <v/>
      </c>
      <c r="Z63" s="120" t="s">
        <v>7659</v>
      </c>
      <c r="AA63" s="121" t="e">
        <f>VLOOKUP($M:$M,Data!$I:$J,2,FALSE)</f>
        <v>#N/A</v>
      </c>
      <c r="AB63" s="122"/>
    </row>
    <row r="64" ht="15.25" spans="2:28">
      <c r="B64" s="58"/>
      <c r="C64" s="59">
        <f>VLOOKUP("31/203/3",Data!$A$2:$E$1425,3,FALSE)</f>
        <v>0</v>
      </c>
      <c r="D64" s="56"/>
      <c r="E64" s="57"/>
      <c r="G64" s="58">
        <v>3</v>
      </c>
      <c r="H64" s="59">
        <f>VLOOKUP("31/218/3",Data!$A$2:$E$1425,3,FALSE)</f>
        <v>0</v>
      </c>
      <c r="I64" s="56"/>
      <c r="J64" s="57"/>
      <c r="L64" s="9">
        <f>COUNTA(G8)+L63</f>
        <v>55</v>
      </c>
      <c r="M64" s="31">
        <f>H8</f>
        <v>0</v>
      </c>
      <c r="N64" s="82" t="s">
        <v>7430</v>
      </c>
      <c r="O64" s="36">
        <v>31</v>
      </c>
      <c r="P64" s="36">
        <v>120</v>
      </c>
      <c r="Q64" s="32"/>
      <c r="R64" s="32"/>
      <c r="S64" s="32"/>
      <c r="T64" s="32"/>
      <c r="U64" s="36">
        <f>G8</f>
        <v>2</v>
      </c>
      <c r="V64" s="103"/>
      <c r="W64" s="104"/>
      <c r="X64" s="109" t="str">
        <f t="shared" ref="X64:Y65" si="19">IF(I8=0,"",I8)</f>
        <v/>
      </c>
      <c r="Y64" s="109" t="str">
        <f t="shared" si="19"/>
        <v/>
      </c>
      <c r="Z64" s="123" t="s">
        <v>7660</v>
      </c>
      <c r="AA64" s="124" t="e">
        <f>VLOOKUP($M:$M,Data!$I:$J,2,FALSE)</f>
        <v>#N/A</v>
      </c>
      <c r="AB64" s="125"/>
    </row>
    <row r="65" ht="15.25" spans="2:28">
      <c r="B65" s="46">
        <v>204</v>
      </c>
      <c r="C65" s="47"/>
      <c r="D65" s="48" t="s">
        <v>6580</v>
      </c>
      <c r="E65" s="49" t="s">
        <v>6581</v>
      </c>
      <c r="G65" s="46">
        <v>217</v>
      </c>
      <c r="H65" s="47"/>
      <c r="I65" s="48" t="s">
        <v>6580</v>
      </c>
      <c r="J65" s="49" t="s">
        <v>6581</v>
      </c>
      <c r="L65" s="14">
        <f>COUNTA(G9)+L64</f>
        <v>56</v>
      </c>
      <c r="M65" s="83">
        <f>H9</f>
        <v>0</v>
      </c>
      <c r="N65" s="84" t="s">
        <v>7430</v>
      </c>
      <c r="O65" s="85">
        <v>31</v>
      </c>
      <c r="P65" s="85">
        <v>120</v>
      </c>
      <c r="Q65" s="110"/>
      <c r="R65" s="110"/>
      <c r="S65" s="110"/>
      <c r="T65" s="110"/>
      <c r="U65" s="85">
        <f>G9</f>
        <v>3</v>
      </c>
      <c r="V65" s="105"/>
      <c r="W65" s="106"/>
      <c r="X65" s="111" t="str">
        <f t="shared" si="19"/>
        <v/>
      </c>
      <c r="Y65" s="111" t="str">
        <f t="shared" si="19"/>
        <v/>
      </c>
      <c r="Z65" s="127" t="s">
        <v>6699</v>
      </c>
      <c r="AA65" s="128" t="e">
        <f>VLOOKUP($M:$M,Data!$I:$J,2,FALSE)</f>
        <v>#N/A</v>
      </c>
      <c r="AB65" s="126"/>
    </row>
    <row r="66" spans="2:28">
      <c r="B66" s="50">
        <v>1</v>
      </c>
      <c r="C66" s="51">
        <f>VLOOKUP("31/204/1",Data!$A$2:$E$1425,3,FALSE)</f>
        <v>0</v>
      </c>
      <c r="D66" s="52"/>
      <c r="E66" s="53"/>
      <c r="G66" s="50">
        <v>1</v>
      </c>
      <c r="H66" s="51">
        <f>VLOOKUP("31/217/1",Data!$A$2:$E$1425,3,FALSE)</f>
        <v>0</v>
      </c>
      <c r="I66" s="52"/>
      <c r="J66" s="53"/>
      <c r="L66" s="6">
        <f>COUNTA(B54)+L65</f>
        <v>57</v>
      </c>
      <c r="M66" s="79">
        <f>C54</f>
        <v>0</v>
      </c>
      <c r="N66" s="80" t="s">
        <v>7430</v>
      </c>
      <c r="O66" s="81">
        <v>31</v>
      </c>
      <c r="P66" s="81">
        <v>201</v>
      </c>
      <c r="Q66" s="62" t="str">
        <f>_xlfn.IFS(COUNTA(B54:B56)=1,"Single",COUNTA(B54:B56)=2,"Double",COUNTA(B54:B56)=3,"Triple",COUNTA(B54:B56)=0,"Empty")</f>
        <v>Double</v>
      </c>
      <c r="R66" s="62"/>
      <c r="S66" s="62"/>
      <c r="T66" s="62"/>
      <c r="U66" s="81">
        <f>B54</f>
        <v>1</v>
      </c>
      <c r="V66" s="100">
        <f>COUNT(B54:B56)</f>
        <v>2</v>
      </c>
      <c r="W66" s="101"/>
      <c r="X66" s="108" t="str">
        <f>IF(D54=0,"",D54)</f>
        <v/>
      </c>
      <c r="Y66" s="108" t="str">
        <f>IF(E54=0,"",E54)</f>
        <v/>
      </c>
      <c r="Z66" s="120" t="s">
        <v>7661</v>
      </c>
      <c r="AA66" s="121" t="e">
        <f>VLOOKUP($M:$M,Data!$I:$J,2,FALSE)</f>
        <v>#N/A</v>
      </c>
      <c r="AB66" s="122"/>
    </row>
    <row r="67" spans="2:28">
      <c r="B67" s="50">
        <v>2</v>
      </c>
      <c r="C67" s="51">
        <f>VLOOKUP("31/204/2",Data!$A$2:$E$1425,3,FALSE)</f>
        <v>0</v>
      </c>
      <c r="D67" s="54"/>
      <c r="E67" s="55"/>
      <c r="G67" s="50">
        <v>2</v>
      </c>
      <c r="H67" s="51">
        <f>VLOOKUP("31/217/2",Data!$A$2:$E$1425,3,FALSE)</f>
        <v>0</v>
      </c>
      <c r="I67" s="54"/>
      <c r="J67" s="55"/>
      <c r="L67" s="9">
        <f>COUNTA(B55)+L66</f>
        <v>58</v>
      </c>
      <c r="M67" s="31">
        <f>C55</f>
        <v>0</v>
      </c>
      <c r="N67" s="82" t="s">
        <v>7430</v>
      </c>
      <c r="O67" s="36">
        <v>31</v>
      </c>
      <c r="P67" s="36">
        <v>201</v>
      </c>
      <c r="Q67" s="32"/>
      <c r="R67" s="32"/>
      <c r="S67" s="32"/>
      <c r="T67" s="32"/>
      <c r="U67" s="36">
        <f>B55</f>
        <v>2</v>
      </c>
      <c r="V67" s="103"/>
      <c r="W67" s="104"/>
      <c r="X67" s="109" t="str">
        <f t="shared" ref="X67:Y68" si="20">IF(D55=0,"",D55)</f>
        <v/>
      </c>
      <c r="Y67" s="109" t="str">
        <f t="shared" si="20"/>
        <v/>
      </c>
      <c r="Z67" s="123" t="s">
        <v>7662</v>
      </c>
      <c r="AA67" s="124" t="e">
        <f>VLOOKUP($M:$M,Data!$I:$J,2,FALSE)</f>
        <v>#N/A</v>
      </c>
      <c r="AB67" s="125"/>
    </row>
    <row r="68" ht="15.25" spans="2:28">
      <c r="B68" s="58">
        <v>3</v>
      </c>
      <c r="C68" s="59">
        <f>VLOOKUP("31/204/3",Data!$A$2:$E$1425,3,FALSE)</f>
        <v>0</v>
      </c>
      <c r="D68" s="56"/>
      <c r="E68" s="57"/>
      <c r="G68" s="58">
        <v>3</v>
      </c>
      <c r="H68" s="59">
        <f>VLOOKUP("31/217/3",Data!$A$2:$E$1425,3,FALSE)</f>
        <v>0</v>
      </c>
      <c r="I68" s="56"/>
      <c r="J68" s="57"/>
      <c r="L68" s="14">
        <f>COUNTA(B56)+L67</f>
        <v>58</v>
      </c>
      <c r="M68" s="83">
        <f>C56</f>
        <v>0</v>
      </c>
      <c r="N68" s="84" t="s">
        <v>7430</v>
      </c>
      <c r="O68" s="85">
        <v>31</v>
      </c>
      <c r="P68" s="85">
        <v>201</v>
      </c>
      <c r="Q68" s="110"/>
      <c r="R68" s="110"/>
      <c r="S68" s="110"/>
      <c r="T68" s="110"/>
      <c r="U68" s="85">
        <f>B56</f>
        <v>0</v>
      </c>
      <c r="V68" s="105"/>
      <c r="W68" s="106"/>
      <c r="X68" s="111" t="str">
        <f t="shared" si="20"/>
        <v/>
      </c>
      <c r="Y68" s="111" t="str">
        <f t="shared" si="20"/>
        <v/>
      </c>
      <c r="Z68" s="127"/>
      <c r="AA68" s="128" t="e">
        <f>VLOOKUP($M:$M,Data!$I:$J,2,FALSE)</f>
        <v>#N/A</v>
      </c>
      <c r="AB68" s="126"/>
    </row>
    <row r="69" spans="2:28">
      <c r="B69" s="46">
        <v>205</v>
      </c>
      <c r="C69" s="47"/>
      <c r="D69" s="48" t="s">
        <v>6580</v>
      </c>
      <c r="E69" s="49" t="s">
        <v>6581</v>
      </c>
      <c r="G69" s="46">
        <v>216</v>
      </c>
      <c r="H69" s="47"/>
      <c r="I69" s="48" t="s">
        <v>6580</v>
      </c>
      <c r="J69" s="49" t="s">
        <v>6581</v>
      </c>
      <c r="L69" s="6">
        <f>COUNTA(B58)+L68</f>
        <v>59</v>
      </c>
      <c r="M69" s="79">
        <f>C58</f>
        <v>0</v>
      </c>
      <c r="N69" s="80" t="s">
        <v>7430</v>
      </c>
      <c r="O69" s="81">
        <v>31</v>
      </c>
      <c r="P69" s="81">
        <v>202</v>
      </c>
      <c r="Q69" s="62" t="str">
        <f>_xlfn.IFS(COUNTA(B58:B60)=1,"Single",COUNTA(B58:B60)=2,"Double",COUNTA(B58:B60)=3,"Triple",COUNTA(B58:B60)=0,"Empty")</f>
        <v>Double</v>
      </c>
      <c r="R69" s="62"/>
      <c r="S69" s="62"/>
      <c r="T69" s="62"/>
      <c r="U69" s="81">
        <f>B58</f>
        <v>1</v>
      </c>
      <c r="V69" s="100">
        <f>COUNT(B58:B60)</f>
        <v>2</v>
      </c>
      <c r="W69" s="101"/>
      <c r="X69" s="108" t="str">
        <f>IF(D58=0,"",D58)</f>
        <v/>
      </c>
      <c r="Y69" s="108" t="str">
        <f>IF(E58=0,"",E58)</f>
        <v/>
      </c>
      <c r="Z69" s="120" t="s">
        <v>7663</v>
      </c>
      <c r="AA69" s="121" t="e">
        <f>VLOOKUP($M:$M,Data!$I:$J,2,FALSE)</f>
        <v>#N/A</v>
      </c>
      <c r="AB69" s="122"/>
    </row>
    <row r="70" spans="2:28">
      <c r="B70" s="50"/>
      <c r="C70" s="51">
        <f>VLOOKUP("31/205/1",Data!$A$2:$E$1425,3,FALSE)</f>
        <v>0</v>
      </c>
      <c r="D70" s="52"/>
      <c r="E70" s="53"/>
      <c r="G70" s="50"/>
      <c r="H70" s="51">
        <f>VLOOKUP("31/216/1",Data!$A$2:$E$1425,3,FALSE)</f>
        <v>0</v>
      </c>
      <c r="I70" s="52"/>
      <c r="J70" s="53"/>
      <c r="L70" s="9">
        <f>COUNTA(B59)+L69</f>
        <v>60</v>
      </c>
      <c r="M70" s="31">
        <f>C59</f>
        <v>0</v>
      </c>
      <c r="N70" s="82" t="s">
        <v>7430</v>
      </c>
      <c r="O70" s="36">
        <v>31</v>
      </c>
      <c r="P70" s="36">
        <v>202</v>
      </c>
      <c r="Q70" s="32"/>
      <c r="R70" s="32"/>
      <c r="S70" s="32"/>
      <c r="T70" s="32"/>
      <c r="U70" s="36">
        <f>B59</f>
        <v>2</v>
      </c>
      <c r="V70" s="103"/>
      <c r="W70" s="104"/>
      <c r="X70" s="109" t="str">
        <f t="shared" ref="X70:Y71" si="21">IF(D59=0,"",D59)</f>
        <v/>
      </c>
      <c r="Y70" s="109" t="str">
        <f t="shared" si="21"/>
        <v/>
      </c>
      <c r="Z70" s="123" t="s">
        <v>6670</v>
      </c>
      <c r="AA70" s="124" t="e">
        <f>VLOOKUP($M:$M,Data!$I:$J,2,FALSE)</f>
        <v>#N/A</v>
      </c>
      <c r="AB70" s="125"/>
    </row>
    <row r="71" ht="15.25" spans="2:28">
      <c r="B71" s="50">
        <v>2</v>
      </c>
      <c r="C71" s="51">
        <f>VLOOKUP("31/205/2",Data!$A$2:$E$1425,3,FALSE)</f>
        <v>0</v>
      </c>
      <c r="D71" s="54"/>
      <c r="E71" s="55"/>
      <c r="G71" s="50">
        <v>2</v>
      </c>
      <c r="H71" s="51">
        <f>VLOOKUP("31/216/2",Data!$A$2:$E$1425,3,FALSE)</f>
        <v>0</v>
      </c>
      <c r="I71" s="54"/>
      <c r="J71" s="55"/>
      <c r="L71" s="14">
        <f>COUNTA(B60)+L70</f>
        <v>60</v>
      </c>
      <c r="M71" s="83">
        <f>C60</f>
        <v>0</v>
      </c>
      <c r="N71" s="84" t="s">
        <v>7430</v>
      </c>
      <c r="O71" s="85">
        <v>31</v>
      </c>
      <c r="P71" s="85">
        <v>202</v>
      </c>
      <c r="Q71" s="110"/>
      <c r="R71" s="110"/>
      <c r="S71" s="110"/>
      <c r="T71" s="110"/>
      <c r="U71" s="85">
        <f>B60</f>
        <v>0</v>
      </c>
      <c r="V71" s="105"/>
      <c r="W71" s="106"/>
      <c r="X71" s="111" t="str">
        <f t="shared" si="21"/>
        <v/>
      </c>
      <c r="Y71" s="111" t="str">
        <f t="shared" si="21"/>
        <v/>
      </c>
      <c r="Z71" s="127"/>
      <c r="AA71" s="128" t="e">
        <f>VLOOKUP($M:$M,Data!$I:$J,2,FALSE)</f>
        <v>#N/A</v>
      </c>
      <c r="AB71" s="126"/>
    </row>
    <row r="72" ht="15.25" spans="2:28">
      <c r="B72" s="58"/>
      <c r="C72" s="59">
        <f>VLOOKUP("31/205/3",Data!$A$2:$E$1425,3,FALSE)</f>
        <v>0</v>
      </c>
      <c r="D72" s="56"/>
      <c r="E72" s="57"/>
      <c r="G72" s="58">
        <v>3</v>
      </c>
      <c r="H72" s="59">
        <f>VLOOKUP("31/216/3",Data!$A$2:$E$1425,3,FALSE)</f>
        <v>0</v>
      </c>
      <c r="I72" s="56"/>
      <c r="J72" s="57"/>
      <c r="L72" s="6">
        <f>COUNTA(B62)+L71</f>
        <v>61</v>
      </c>
      <c r="M72" s="79">
        <f>C62</f>
        <v>0</v>
      </c>
      <c r="N72" s="80" t="s">
        <v>7430</v>
      </c>
      <c r="O72" s="81">
        <v>31</v>
      </c>
      <c r="P72" s="81">
        <v>203</v>
      </c>
      <c r="Q72" s="62" t="str">
        <f>_xlfn.IFS(COUNTA(B62:B64)=1,"Single",COUNTA(B62:B64)=2,"Double",COUNTA(B62:B64)=3,"Triple",COUNTA(B62:B64)=0,"Empty")</f>
        <v>Double</v>
      </c>
      <c r="R72" s="62"/>
      <c r="S72" s="62"/>
      <c r="T72" s="62"/>
      <c r="U72" s="81">
        <f>B62</f>
        <v>1</v>
      </c>
      <c r="V72" s="100">
        <f>COUNT(B62:B64)</f>
        <v>2</v>
      </c>
      <c r="W72" s="101"/>
      <c r="X72" s="108" t="str">
        <f>IF(D62=0,"",D62)</f>
        <v/>
      </c>
      <c r="Y72" s="108" t="str">
        <f>IF(E62=0,"",E62)</f>
        <v/>
      </c>
      <c r="Z72" s="120" t="s">
        <v>6736</v>
      </c>
      <c r="AA72" s="121" t="e">
        <f>VLOOKUP($M:$M,Data!$I:$J,2,FALSE)</f>
        <v>#N/A</v>
      </c>
      <c r="AB72" s="122"/>
    </row>
    <row r="73" spans="2:28">
      <c r="B73" s="46">
        <v>206</v>
      </c>
      <c r="C73" s="47"/>
      <c r="D73" s="48" t="s">
        <v>6580</v>
      </c>
      <c r="E73" s="49" t="s">
        <v>6581</v>
      </c>
      <c r="G73" s="67" t="s">
        <v>7435</v>
      </c>
      <c r="H73" s="68"/>
      <c r="I73" s="68"/>
      <c r="J73" s="86"/>
      <c r="L73" s="9">
        <f>COUNTA(B63)+L72</f>
        <v>62</v>
      </c>
      <c r="M73" s="31">
        <f>C63</f>
        <v>0</v>
      </c>
      <c r="N73" s="82" t="s">
        <v>7430</v>
      </c>
      <c r="O73" s="36">
        <v>31</v>
      </c>
      <c r="P73" s="36">
        <v>203</v>
      </c>
      <c r="Q73" s="32"/>
      <c r="R73" s="32"/>
      <c r="S73" s="32"/>
      <c r="T73" s="32"/>
      <c r="U73" s="36">
        <f>B63</f>
        <v>2</v>
      </c>
      <c r="V73" s="103"/>
      <c r="W73" s="104"/>
      <c r="X73" s="109" t="str">
        <f t="shared" ref="X73:Y74" si="22">IF(D63=0,"",D63)</f>
        <v/>
      </c>
      <c r="Y73" s="109" t="str">
        <f t="shared" si="22"/>
        <v/>
      </c>
      <c r="Z73" s="123" t="s">
        <v>7664</v>
      </c>
      <c r="AA73" s="124" t="e">
        <f>VLOOKUP($M:$M,Data!$I:$J,2,FALSE)</f>
        <v>#N/A</v>
      </c>
      <c r="AB73" s="125"/>
    </row>
    <row r="74" ht="15.25" spans="2:28">
      <c r="B74" s="50">
        <v>1</v>
      </c>
      <c r="C74" s="51">
        <f>VLOOKUP("31/206/1",Data!$A$2:$E$1425,3,FALSE)</f>
        <v>0</v>
      </c>
      <c r="D74" s="52"/>
      <c r="E74" s="53"/>
      <c r="G74" s="69"/>
      <c r="H74" s="70"/>
      <c r="I74" s="70"/>
      <c r="J74" s="87"/>
      <c r="L74" s="14">
        <f>COUNTA(B64)+L73</f>
        <v>62</v>
      </c>
      <c r="M74" s="83">
        <f>C64</f>
        <v>0</v>
      </c>
      <c r="N74" s="84" t="s">
        <v>7430</v>
      </c>
      <c r="O74" s="85">
        <v>31</v>
      </c>
      <c r="P74" s="85">
        <v>203</v>
      </c>
      <c r="Q74" s="110"/>
      <c r="R74" s="110"/>
      <c r="S74" s="110"/>
      <c r="T74" s="110"/>
      <c r="U74" s="85">
        <f>B64</f>
        <v>0</v>
      </c>
      <c r="V74" s="105"/>
      <c r="W74" s="106"/>
      <c r="X74" s="111" t="str">
        <f t="shared" si="22"/>
        <v/>
      </c>
      <c r="Y74" s="111" t="str">
        <f t="shared" si="22"/>
        <v/>
      </c>
      <c r="Z74" s="127"/>
      <c r="AA74" s="128" t="e">
        <f>VLOOKUP($M:$M,Data!$I:$J,2,FALSE)</f>
        <v>#N/A</v>
      </c>
      <c r="AB74" s="126"/>
    </row>
    <row r="75" spans="2:28">
      <c r="B75" s="50">
        <v>2</v>
      </c>
      <c r="C75" s="51">
        <f>VLOOKUP("31/206/2",Data!$A$2:$E$1425,3,FALSE)</f>
        <v>0</v>
      </c>
      <c r="D75" s="54"/>
      <c r="E75" s="55"/>
      <c r="G75" s="69"/>
      <c r="H75" s="70"/>
      <c r="I75" s="70"/>
      <c r="J75" s="87"/>
      <c r="L75" s="6">
        <f>COUNTA(B66)+L74</f>
        <v>63</v>
      </c>
      <c r="M75" s="79">
        <f>C66</f>
        <v>0</v>
      </c>
      <c r="N75" s="80" t="s">
        <v>7430</v>
      </c>
      <c r="O75" s="81">
        <v>31</v>
      </c>
      <c r="P75" s="81">
        <v>204</v>
      </c>
      <c r="Q75" s="62" t="str">
        <f>_xlfn.IFS(COUNTA(B66:B68)=1,"Single",COUNTA(B66:B68)=2,"Double",COUNTA(B66:B68)=3,"Triple",COUNTA(B66:B68)=0,"Empty")</f>
        <v>Triple</v>
      </c>
      <c r="R75" s="62"/>
      <c r="S75" s="62"/>
      <c r="T75" s="62"/>
      <c r="U75" s="81">
        <f>B66</f>
        <v>1</v>
      </c>
      <c r="V75" s="100">
        <f>COUNT(B66:B68)</f>
        <v>3</v>
      </c>
      <c r="W75" s="101"/>
      <c r="X75" s="108" t="str">
        <f>IF(D66=0,"",D66)</f>
        <v/>
      </c>
      <c r="Y75" s="108" t="str">
        <f>IF(E66=0,"",E66)</f>
        <v/>
      </c>
      <c r="Z75" s="120" t="s">
        <v>6666</v>
      </c>
      <c r="AA75" s="121" t="e">
        <f>VLOOKUP($M:$M,Data!$I:$J,2,FALSE)</f>
        <v>#N/A</v>
      </c>
      <c r="AB75" s="122"/>
    </row>
    <row r="76" ht="15.25" spans="2:28">
      <c r="B76" s="58"/>
      <c r="C76" s="59">
        <f>VLOOKUP("31/206/3",Data!$A$2:$E$1425,3,FALSE)</f>
        <v>0</v>
      </c>
      <c r="D76" s="56"/>
      <c r="E76" s="57"/>
      <c r="G76" s="69"/>
      <c r="H76" s="70"/>
      <c r="I76" s="70"/>
      <c r="J76" s="87"/>
      <c r="L76" s="9">
        <f>COUNTA(B67)+L75</f>
        <v>64</v>
      </c>
      <c r="M76" s="31">
        <f>C67</f>
        <v>0</v>
      </c>
      <c r="N76" s="82" t="s">
        <v>7430</v>
      </c>
      <c r="O76" s="36">
        <v>31</v>
      </c>
      <c r="P76" s="36">
        <v>204</v>
      </c>
      <c r="Q76" s="32"/>
      <c r="R76" s="32"/>
      <c r="S76" s="32"/>
      <c r="T76" s="32"/>
      <c r="U76" s="36">
        <f>B67</f>
        <v>2</v>
      </c>
      <c r="V76" s="103"/>
      <c r="W76" s="104"/>
      <c r="X76" s="109" t="str">
        <f t="shared" ref="X76:Y77" si="23">IF(D67=0,"",D67)</f>
        <v/>
      </c>
      <c r="Y76" s="109" t="str">
        <f t="shared" si="23"/>
        <v/>
      </c>
      <c r="Z76" s="123" t="s">
        <v>7665</v>
      </c>
      <c r="AA76" s="124" t="e">
        <f>VLOOKUP($M:$M,Data!$I:$J,2,FALSE)</f>
        <v>#N/A</v>
      </c>
      <c r="AB76" s="125"/>
    </row>
    <row r="77" ht="15.25" spans="2:28">
      <c r="B77" s="46">
        <v>207</v>
      </c>
      <c r="C77" s="47"/>
      <c r="D77" s="48" t="s">
        <v>6580</v>
      </c>
      <c r="E77" s="49" t="s">
        <v>6581</v>
      </c>
      <c r="G77" s="69"/>
      <c r="H77" s="70"/>
      <c r="I77" s="70"/>
      <c r="J77" s="87"/>
      <c r="L77" s="14">
        <f>COUNTA(B68)+L76</f>
        <v>65</v>
      </c>
      <c r="M77" s="83">
        <f>C68</f>
        <v>0</v>
      </c>
      <c r="N77" s="84" t="s">
        <v>7430</v>
      </c>
      <c r="O77" s="85">
        <v>31</v>
      </c>
      <c r="P77" s="85">
        <v>204</v>
      </c>
      <c r="Q77" s="110"/>
      <c r="R77" s="110"/>
      <c r="S77" s="110"/>
      <c r="T77" s="110"/>
      <c r="U77" s="85">
        <f>B68</f>
        <v>3</v>
      </c>
      <c r="V77" s="105"/>
      <c r="W77" s="106"/>
      <c r="X77" s="111" t="str">
        <f t="shared" si="23"/>
        <v/>
      </c>
      <c r="Y77" s="111" t="str">
        <f t="shared" si="23"/>
        <v/>
      </c>
      <c r="Z77" s="127" t="s">
        <v>7666</v>
      </c>
      <c r="AA77" s="128" t="e">
        <f>VLOOKUP($M:$M,Data!$I:$J,2,FALSE)</f>
        <v>#N/A</v>
      </c>
      <c r="AB77" s="126"/>
    </row>
    <row r="78" spans="2:28">
      <c r="B78" s="50">
        <v>1</v>
      </c>
      <c r="C78" s="51">
        <f>VLOOKUP("31/207/1",Data!$A$2:$E$1425,3,FALSE)</f>
        <v>0</v>
      </c>
      <c r="D78" s="52"/>
      <c r="E78" s="53"/>
      <c r="G78" s="69"/>
      <c r="H78" s="70"/>
      <c r="I78" s="70"/>
      <c r="J78" s="87"/>
      <c r="L78" s="6">
        <f>COUNTA(B70)+L77</f>
        <v>65</v>
      </c>
      <c r="M78" s="79">
        <f>C70</f>
        <v>0</v>
      </c>
      <c r="N78" s="80" t="s">
        <v>7430</v>
      </c>
      <c r="O78" s="81">
        <v>31</v>
      </c>
      <c r="P78" s="81">
        <v>205</v>
      </c>
      <c r="Q78" s="62" t="str">
        <f>_xlfn.IFS(COUNTA(B70:B72)=1,"Single",COUNTA(B70:B72)=2,"Double",COUNTA(B70:B72)=3,"Triple",COUNTA(B70:B72)=0,"Empty")</f>
        <v>Single</v>
      </c>
      <c r="R78" s="62"/>
      <c r="S78" s="62"/>
      <c r="T78" s="62"/>
      <c r="U78" s="81">
        <f>B70</f>
        <v>0</v>
      </c>
      <c r="V78" s="100">
        <f>COUNT(B70:B72)</f>
        <v>1</v>
      </c>
      <c r="W78" s="101"/>
      <c r="X78" s="108" t="str">
        <f>IF(D70=0,"",D70)</f>
        <v/>
      </c>
      <c r="Y78" s="108" t="str">
        <f>IF(E70=0,"",E70)</f>
        <v/>
      </c>
      <c r="Z78" s="120"/>
      <c r="AA78" s="121" t="e">
        <f>VLOOKUP($M:$M,Data!$I:$J,2,FALSE)</f>
        <v>#N/A</v>
      </c>
      <c r="AB78" s="122"/>
    </row>
    <row r="79" spans="2:28">
      <c r="B79" s="50">
        <v>2</v>
      </c>
      <c r="C79" s="51">
        <f>VLOOKUP("31/207/2",Data!$A$2:$E$1425,3,FALSE)</f>
        <v>0</v>
      </c>
      <c r="D79" s="54"/>
      <c r="E79" s="55"/>
      <c r="G79" s="69"/>
      <c r="H79" s="70"/>
      <c r="I79" s="70"/>
      <c r="J79" s="87"/>
      <c r="L79" s="9">
        <f>COUNTA(B71)+L78</f>
        <v>66</v>
      </c>
      <c r="M79" s="31">
        <f>C71</f>
        <v>0</v>
      </c>
      <c r="N79" s="82" t="s">
        <v>7430</v>
      </c>
      <c r="O79" s="36">
        <v>31</v>
      </c>
      <c r="P79" s="36">
        <v>205</v>
      </c>
      <c r="Q79" s="32"/>
      <c r="R79" s="32"/>
      <c r="S79" s="32"/>
      <c r="T79" s="32"/>
      <c r="U79" s="36">
        <f>B71</f>
        <v>2</v>
      </c>
      <c r="V79" s="103"/>
      <c r="W79" s="104"/>
      <c r="X79" s="109" t="str">
        <f t="shared" ref="X79:Y80" si="24">IF(D71=0,"",D71)</f>
        <v/>
      </c>
      <c r="Y79" s="109" t="str">
        <f t="shared" si="24"/>
        <v/>
      </c>
      <c r="Z79" s="123" t="s">
        <v>7667</v>
      </c>
      <c r="AA79" s="124" t="e">
        <f>VLOOKUP($M:$M,Data!$I:$J,2,FALSE)</f>
        <v>#N/A</v>
      </c>
      <c r="AB79" s="125"/>
    </row>
    <row r="80" ht="15.25" spans="2:28">
      <c r="B80" s="58"/>
      <c r="C80" s="59">
        <f>VLOOKUP("31/207/3",Data!$A$2:$E$1425,3,FALSE)</f>
        <v>0</v>
      </c>
      <c r="D80" s="56"/>
      <c r="E80" s="57"/>
      <c r="G80" s="71"/>
      <c r="H80" s="72"/>
      <c r="I80" s="72"/>
      <c r="J80" s="88"/>
      <c r="L80" s="14">
        <f>COUNTA(B72)+L79</f>
        <v>66</v>
      </c>
      <c r="M80" s="83">
        <f>C72</f>
        <v>0</v>
      </c>
      <c r="N80" s="84" t="s">
        <v>7430</v>
      </c>
      <c r="O80" s="85">
        <v>31</v>
      </c>
      <c r="P80" s="85">
        <v>205</v>
      </c>
      <c r="Q80" s="110"/>
      <c r="R80" s="110"/>
      <c r="S80" s="110"/>
      <c r="T80" s="110"/>
      <c r="U80" s="85">
        <f>B72</f>
        <v>0</v>
      </c>
      <c r="V80" s="105"/>
      <c r="W80" s="106"/>
      <c r="X80" s="111" t="str">
        <f t="shared" si="24"/>
        <v/>
      </c>
      <c r="Y80" s="111" t="str">
        <f t="shared" si="24"/>
        <v/>
      </c>
      <c r="Z80" s="127"/>
      <c r="AA80" s="128" t="e">
        <f>VLOOKUP($M:$M,Data!$I:$J,2,FALSE)</f>
        <v>#N/A</v>
      </c>
      <c r="AB80" s="126"/>
    </row>
    <row r="81" spans="2:28">
      <c r="B81" s="46">
        <v>208</v>
      </c>
      <c r="C81" s="47"/>
      <c r="D81" s="48" t="s">
        <v>6580</v>
      </c>
      <c r="E81" s="49" t="s">
        <v>6581</v>
      </c>
      <c r="G81" s="46">
        <v>215</v>
      </c>
      <c r="H81" s="47"/>
      <c r="I81" s="48" t="s">
        <v>6580</v>
      </c>
      <c r="J81" s="49" t="s">
        <v>6581</v>
      </c>
      <c r="L81" s="6">
        <f>COUNTA(B74)+L80</f>
        <v>67</v>
      </c>
      <c r="M81" s="79">
        <f>C74</f>
        <v>0</v>
      </c>
      <c r="N81" s="80" t="s">
        <v>7430</v>
      </c>
      <c r="O81" s="81">
        <v>31</v>
      </c>
      <c r="P81" s="81">
        <v>206</v>
      </c>
      <c r="Q81" s="62" t="str">
        <f>_xlfn.IFS(COUNTA(B74:B76)=1,"Single",COUNTA(B74:B76)=2,"Double",COUNTA(B74:B76)=3,"Triple",COUNTA(B74:B76)=0,"Empty")</f>
        <v>Double</v>
      </c>
      <c r="R81" s="62"/>
      <c r="S81" s="62"/>
      <c r="T81" s="62"/>
      <c r="U81" s="81">
        <f>B74</f>
        <v>1</v>
      </c>
      <c r="V81" s="100">
        <f>COUNT(B74:B76)</f>
        <v>2</v>
      </c>
      <c r="W81" s="101"/>
      <c r="X81" s="108" t="str">
        <f>IF(D74=0,"",D74)</f>
        <v/>
      </c>
      <c r="Y81" s="108" t="str">
        <f>IF(E74=0,"",E74)</f>
        <v/>
      </c>
      <c r="Z81" s="120" t="s">
        <v>6756</v>
      </c>
      <c r="AA81" s="121" t="e">
        <f>VLOOKUP($M:$M,Data!$I:$J,2,FALSE)</f>
        <v>#N/A</v>
      </c>
      <c r="AB81" s="122"/>
    </row>
    <row r="82" spans="2:28">
      <c r="B82" s="50">
        <v>1</v>
      </c>
      <c r="C82" s="51">
        <f>VLOOKUP("31/208/1",Data!$A$2:$E$1425,3,FALSE)</f>
        <v>0</v>
      </c>
      <c r="D82" s="52"/>
      <c r="E82" s="53"/>
      <c r="G82" s="50">
        <v>1</v>
      </c>
      <c r="H82" s="51">
        <f>VLOOKUP("31/215/1",Data!$A$2:$E$1425,3,FALSE)</f>
        <v>0</v>
      </c>
      <c r="I82" s="52"/>
      <c r="J82" s="53"/>
      <c r="L82" s="9">
        <f>COUNTA(B75)+L81</f>
        <v>68</v>
      </c>
      <c r="M82" s="31">
        <f>C75</f>
        <v>0</v>
      </c>
      <c r="N82" s="82" t="s">
        <v>7430</v>
      </c>
      <c r="O82" s="36">
        <v>31</v>
      </c>
      <c r="P82" s="36">
        <v>206</v>
      </c>
      <c r="Q82" s="32"/>
      <c r="R82" s="32"/>
      <c r="S82" s="32"/>
      <c r="T82" s="32"/>
      <c r="U82" s="36">
        <f>B75</f>
        <v>2</v>
      </c>
      <c r="V82" s="103"/>
      <c r="W82" s="104"/>
      <c r="X82" s="109" t="str">
        <f t="shared" ref="X82:Y83" si="25">IF(D75=0,"",D75)</f>
        <v/>
      </c>
      <c r="Y82" s="109" t="str">
        <f t="shared" si="25"/>
        <v/>
      </c>
      <c r="Z82" s="123" t="s">
        <v>7668</v>
      </c>
      <c r="AA82" s="124" t="e">
        <f>VLOOKUP($M:$M,Data!$I:$J,2,FALSE)</f>
        <v>#N/A</v>
      </c>
      <c r="AB82" s="125"/>
    </row>
    <row r="83" ht="15.25" spans="2:28">
      <c r="B83" s="50">
        <v>2</v>
      </c>
      <c r="C83" s="51">
        <f>VLOOKUP("31/208/2",Data!$A$2:$E$1425,3,FALSE)</f>
        <v>0</v>
      </c>
      <c r="D83" s="54"/>
      <c r="E83" s="55"/>
      <c r="G83" s="50">
        <v>2</v>
      </c>
      <c r="H83" s="51">
        <f>VLOOKUP("31/215/2",Data!$A$2:$E$1425,3,FALSE)</f>
        <v>0</v>
      </c>
      <c r="I83" s="54"/>
      <c r="J83" s="55"/>
      <c r="L83" s="14">
        <f>COUNTA(B76)+L82</f>
        <v>68</v>
      </c>
      <c r="M83" s="83">
        <f>C76</f>
        <v>0</v>
      </c>
      <c r="N83" s="84" t="s">
        <v>7430</v>
      </c>
      <c r="O83" s="85">
        <v>31</v>
      </c>
      <c r="P83" s="85">
        <v>206</v>
      </c>
      <c r="Q83" s="110"/>
      <c r="R83" s="110"/>
      <c r="S83" s="110"/>
      <c r="T83" s="110"/>
      <c r="U83" s="85">
        <f>B76</f>
        <v>0</v>
      </c>
      <c r="V83" s="105"/>
      <c r="W83" s="106"/>
      <c r="X83" s="111" t="str">
        <f t="shared" si="25"/>
        <v/>
      </c>
      <c r="Y83" s="111" t="str">
        <f t="shared" si="25"/>
        <v/>
      </c>
      <c r="Z83" s="127"/>
      <c r="AA83" s="128" t="e">
        <f>VLOOKUP($M:$M,Data!$I:$J,2,FALSE)</f>
        <v>#N/A</v>
      </c>
      <c r="AB83" s="126"/>
    </row>
    <row r="84" ht="15.25" spans="2:28">
      <c r="B84" s="58"/>
      <c r="C84" s="59">
        <f>VLOOKUP("31/208/3",Data!$A$2:$E$1425,3,FALSE)</f>
        <v>0</v>
      </c>
      <c r="D84" s="56"/>
      <c r="E84" s="57"/>
      <c r="G84" s="58"/>
      <c r="H84" s="59">
        <f>VLOOKUP("31/215/3",Data!$A$2:$E$1425,3,FALSE)</f>
        <v>0</v>
      </c>
      <c r="I84" s="56"/>
      <c r="J84" s="57"/>
      <c r="L84" s="6">
        <f>COUNTA(B78)+L83</f>
        <v>69</v>
      </c>
      <c r="M84" s="79">
        <f>C78</f>
        <v>0</v>
      </c>
      <c r="N84" s="80" t="s">
        <v>7430</v>
      </c>
      <c r="O84" s="81">
        <v>31</v>
      </c>
      <c r="P84" s="81">
        <v>207</v>
      </c>
      <c r="Q84" s="62" t="str">
        <f>_xlfn.IFS(COUNTA(B78:B80)=1,"Single",COUNTA(B78:B80)=2,"Double",COUNTA(B78:B80)=3,"Triple",COUNTA(B78:B80)=0,"Empty")</f>
        <v>Double</v>
      </c>
      <c r="R84" s="62"/>
      <c r="S84" s="62"/>
      <c r="T84" s="62"/>
      <c r="U84" s="81">
        <f>B78</f>
        <v>1</v>
      </c>
      <c r="V84" s="100">
        <f>COUNT(B78:B80)</f>
        <v>2</v>
      </c>
      <c r="W84" s="101"/>
      <c r="X84" s="108" t="str">
        <f>IF(D78=0,"",D78)</f>
        <v/>
      </c>
      <c r="Y84" s="108" t="str">
        <f>IF(E78=0,"",E78)</f>
        <v/>
      </c>
      <c r="Z84" s="318" t="s">
        <v>6664</v>
      </c>
      <c r="AA84" s="121" t="e">
        <f>VLOOKUP($M:$M,Data!$I:$J,2,FALSE)</f>
        <v>#N/A</v>
      </c>
      <c r="AB84" s="122"/>
    </row>
    <row r="85" spans="2:28">
      <c r="B85" s="46">
        <v>209</v>
      </c>
      <c r="C85" s="47"/>
      <c r="D85" s="48" t="s">
        <v>6580</v>
      </c>
      <c r="E85" s="49" t="s">
        <v>6581</v>
      </c>
      <c r="G85" s="46">
        <v>214</v>
      </c>
      <c r="H85" s="47"/>
      <c r="I85" s="48" t="s">
        <v>6580</v>
      </c>
      <c r="J85" s="49" t="s">
        <v>6581</v>
      </c>
      <c r="L85" s="9">
        <f>COUNTA(B79)+L84</f>
        <v>70</v>
      </c>
      <c r="M85" s="31">
        <f>C79</f>
        <v>0</v>
      </c>
      <c r="N85" s="82" t="s">
        <v>7430</v>
      </c>
      <c r="O85" s="36">
        <v>31</v>
      </c>
      <c r="P85" s="36">
        <v>207</v>
      </c>
      <c r="Q85" s="32"/>
      <c r="R85" s="32"/>
      <c r="S85" s="32"/>
      <c r="T85" s="32"/>
      <c r="U85" s="36">
        <f>B79</f>
        <v>2</v>
      </c>
      <c r="V85" s="103"/>
      <c r="W85" s="104"/>
      <c r="X85" s="109" t="str">
        <f t="shared" ref="X85:Y86" si="26">IF(D79=0,"",D79)</f>
        <v/>
      </c>
      <c r="Y85" s="109" t="str">
        <f t="shared" si="26"/>
        <v/>
      </c>
      <c r="Z85" s="123" t="s">
        <v>7669</v>
      </c>
      <c r="AA85" s="124" t="e">
        <f>VLOOKUP($M:$M,Data!$I:$J,2,FALSE)</f>
        <v>#N/A</v>
      </c>
      <c r="AB85" s="125"/>
    </row>
    <row r="86" ht="15.25" spans="2:28">
      <c r="B86" s="50">
        <v>1</v>
      </c>
      <c r="C86" s="51" t="str">
        <f>VLOOKUP("31/209/1",Data!$A$2:$E$1425,3,FALSE)</f>
        <v>Jesper Tunroth</v>
      </c>
      <c r="D86" s="52"/>
      <c r="E86" s="53"/>
      <c r="G86" s="50">
        <v>1</v>
      </c>
      <c r="H86" s="51" t="str">
        <f>VLOOKUP("31/214/1",Data!$A$2:$E$1425,3,FALSE)</f>
        <v>Johan Boström</v>
      </c>
      <c r="I86" s="52"/>
      <c r="J86" s="53"/>
      <c r="L86" s="14">
        <f>COUNTA(B80)+L85</f>
        <v>70</v>
      </c>
      <c r="M86" s="83">
        <f>C80</f>
        <v>0</v>
      </c>
      <c r="N86" s="84" t="s">
        <v>7430</v>
      </c>
      <c r="O86" s="85">
        <v>31</v>
      </c>
      <c r="P86" s="85">
        <v>207</v>
      </c>
      <c r="Q86" s="110"/>
      <c r="R86" s="110"/>
      <c r="S86" s="110"/>
      <c r="T86" s="110"/>
      <c r="U86" s="85">
        <f>B80</f>
        <v>0</v>
      </c>
      <c r="V86" s="105"/>
      <c r="W86" s="106"/>
      <c r="X86" s="111" t="str">
        <f t="shared" si="26"/>
        <v/>
      </c>
      <c r="Y86" s="111" t="str">
        <f t="shared" si="26"/>
        <v/>
      </c>
      <c r="Z86" s="127"/>
      <c r="AA86" s="128" t="e">
        <f>VLOOKUP($M:$M,Data!$I:$J,2,FALSE)</f>
        <v>#N/A</v>
      </c>
      <c r="AB86" s="126"/>
    </row>
    <row r="87" spans="2:28">
      <c r="B87" s="50"/>
      <c r="C87" s="51" t="str">
        <f>VLOOKUP("31/209/2",Data!$A$2:$E$1425,3,FALSE)</f>
        <v>Joakim Söderqvist</v>
      </c>
      <c r="D87" s="54"/>
      <c r="E87" s="55"/>
      <c r="G87" s="50">
        <v>2</v>
      </c>
      <c r="H87" s="51" t="str">
        <f>VLOOKUP("31/214/2",Data!$A$2:$E$1425,3,FALSE)</f>
        <v>Mikael Eklund</v>
      </c>
      <c r="I87" s="54"/>
      <c r="J87" s="55"/>
      <c r="L87" s="6">
        <f>COUNTA(B82)+L86</f>
        <v>71</v>
      </c>
      <c r="M87" s="79">
        <f>C82</f>
        <v>0</v>
      </c>
      <c r="N87" s="80" t="s">
        <v>7430</v>
      </c>
      <c r="O87" s="81">
        <v>31</v>
      </c>
      <c r="P87" s="81">
        <v>208</v>
      </c>
      <c r="Q87" s="62" t="str">
        <f>_xlfn.IFS(COUNTA(B82:B84)=1,"Single",COUNTA(B82:B84)=2,"Double",COUNTA(B82:B84)=3,"Triple",COUNTA(B82:B84)=0,"Empty")</f>
        <v>Double</v>
      </c>
      <c r="R87" s="62"/>
      <c r="S87" s="62"/>
      <c r="T87" s="62"/>
      <c r="U87" s="81">
        <f>B82</f>
        <v>1</v>
      </c>
      <c r="V87" s="100">
        <f>COUNT(B82:B84)</f>
        <v>2</v>
      </c>
      <c r="W87" s="101"/>
      <c r="X87" s="108" t="str">
        <f>IF(D82=0,"",D82)</f>
        <v/>
      </c>
      <c r="Y87" s="108" t="str">
        <f>IF(E82=0,"",E82)</f>
        <v/>
      </c>
      <c r="Z87" s="120" t="s">
        <v>7670</v>
      </c>
      <c r="AA87" s="121" t="e">
        <f>VLOOKUP($M:$M,Data!$I:$J,2,FALSE)</f>
        <v>#N/A</v>
      </c>
      <c r="AB87" s="122"/>
    </row>
    <row r="88" ht="15.25" spans="2:28">
      <c r="B88" s="58"/>
      <c r="C88" s="59">
        <f>VLOOKUP("31/209/3",Data!$A$2:$E$1425,3,FALSE)</f>
        <v>0</v>
      </c>
      <c r="D88" s="56"/>
      <c r="E88" s="57"/>
      <c r="G88" s="58"/>
      <c r="H88" s="59">
        <f>VLOOKUP("31/214/3",Data!$A$2:$E$1425,3,FALSE)</f>
        <v>0</v>
      </c>
      <c r="I88" s="56"/>
      <c r="J88" s="57"/>
      <c r="L88" s="9">
        <f>COUNTA(B83)+L87</f>
        <v>72</v>
      </c>
      <c r="M88" s="31">
        <f>C83</f>
        <v>0</v>
      </c>
      <c r="N88" s="82" t="s">
        <v>7430</v>
      </c>
      <c r="O88" s="36">
        <v>31</v>
      </c>
      <c r="P88" s="36">
        <v>208</v>
      </c>
      <c r="Q88" s="32"/>
      <c r="R88" s="32"/>
      <c r="S88" s="32"/>
      <c r="T88" s="32"/>
      <c r="U88" s="36">
        <f>B83</f>
        <v>2</v>
      </c>
      <c r="V88" s="103"/>
      <c r="W88" s="104"/>
      <c r="X88" s="109" t="str">
        <f t="shared" ref="X88:Y89" si="27">IF(D83=0,"",D83)</f>
        <v/>
      </c>
      <c r="Y88" s="109" t="str">
        <f t="shared" si="27"/>
        <v/>
      </c>
      <c r="Z88" s="123" t="s">
        <v>6767</v>
      </c>
      <c r="AA88" s="124" t="e">
        <f>VLOOKUP($M:$M,Data!$I:$J,2,FALSE)</f>
        <v>#N/A</v>
      </c>
      <c r="AB88" s="125"/>
    </row>
    <row r="89" ht="15.25" spans="2:28">
      <c r="B89" s="46">
        <v>210</v>
      </c>
      <c r="C89" s="47"/>
      <c r="D89" s="48" t="s">
        <v>6580</v>
      </c>
      <c r="E89" s="49" t="s">
        <v>6581</v>
      </c>
      <c r="G89" s="46">
        <v>213</v>
      </c>
      <c r="H89" s="47"/>
      <c r="I89" s="48" t="s">
        <v>6580</v>
      </c>
      <c r="J89" s="49" t="s">
        <v>6581</v>
      </c>
      <c r="L89" s="14">
        <f>COUNTA(B84)+L88</f>
        <v>72</v>
      </c>
      <c r="M89" s="83">
        <f>C84</f>
        <v>0</v>
      </c>
      <c r="N89" s="84" t="s">
        <v>7430</v>
      </c>
      <c r="O89" s="85">
        <v>31</v>
      </c>
      <c r="P89" s="85">
        <v>208</v>
      </c>
      <c r="Q89" s="110"/>
      <c r="R89" s="110"/>
      <c r="S89" s="110"/>
      <c r="T89" s="110"/>
      <c r="U89" s="85">
        <f>B84</f>
        <v>0</v>
      </c>
      <c r="V89" s="105"/>
      <c r="W89" s="106"/>
      <c r="X89" s="111" t="str">
        <f t="shared" si="27"/>
        <v/>
      </c>
      <c r="Y89" s="111" t="str">
        <f t="shared" si="27"/>
        <v/>
      </c>
      <c r="Z89" s="127"/>
      <c r="AA89" s="128" t="e">
        <f>VLOOKUP($M:$M,Data!$I:$J,2,FALSE)</f>
        <v>#N/A</v>
      </c>
      <c r="AB89" s="126"/>
    </row>
    <row r="90" spans="2:28">
      <c r="B90" s="50">
        <v>1</v>
      </c>
      <c r="C90" s="51" t="str">
        <f>VLOOKUP("31/210/1",Data!$A$2:$E$1425,3,FALSE)</f>
        <v>Anton Hurtig</v>
      </c>
      <c r="D90" s="52"/>
      <c r="E90" s="53"/>
      <c r="G90" s="50">
        <v>1</v>
      </c>
      <c r="H90" s="51" t="str">
        <f>VLOOKUP("31/213/1",Data!$A$2:$E$1425,3,FALSE)</f>
        <v>Peter Lindskog</v>
      </c>
      <c r="I90" s="52"/>
      <c r="J90" s="53"/>
      <c r="L90" s="6">
        <f>COUNTA(B86)+L89</f>
        <v>73</v>
      </c>
      <c r="M90" s="79" t="str">
        <f>C86</f>
        <v>Jesper Tunroth</v>
      </c>
      <c r="N90" s="80" t="s">
        <v>7430</v>
      </c>
      <c r="O90" s="81">
        <v>31</v>
      </c>
      <c r="P90" s="81">
        <v>209</v>
      </c>
      <c r="Q90" s="62" t="str">
        <f>_xlfn.IFS(COUNTA(B86:B88)=1,"Single",COUNTA(B86:B88)=2,"Double",COUNTA(B86:B88)=3,"Triple",COUNTA(B86:B88)=0,"Empty")</f>
        <v>Single</v>
      </c>
      <c r="R90" s="62"/>
      <c r="S90" s="62"/>
      <c r="T90" s="62"/>
      <c r="U90" s="81">
        <f>B86</f>
        <v>1</v>
      </c>
      <c r="V90" s="100">
        <f>COUNT(B86:B88)</f>
        <v>1</v>
      </c>
      <c r="W90" s="101"/>
      <c r="X90" s="108" t="str">
        <f>IF(D86=0,"",D86)</f>
        <v/>
      </c>
      <c r="Y90" s="108" t="str">
        <f>IF(E86=0,"",E86)</f>
        <v/>
      </c>
      <c r="Z90" s="120" t="s">
        <v>7389</v>
      </c>
      <c r="AA90" s="121" t="e">
        <f>VLOOKUP($M:$M,Data!$I:$J,2,FALSE)</f>
        <v>#N/A</v>
      </c>
      <c r="AB90" s="122"/>
    </row>
    <row r="91" spans="2:28">
      <c r="B91" s="50">
        <v>2</v>
      </c>
      <c r="C91" s="51" t="str">
        <f>VLOOKUP("31/210/2",Data!$A$2:$E$1425,3,FALSE)</f>
        <v>Tobias Lindh</v>
      </c>
      <c r="D91" s="54"/>
      <c r="E91" s="55"/>
      <c r="G91" s="50">
        <v>2</v>
      </c>
      <c r="H91" s="51" t="str">
        <f>VLOOKUP("31/213/2",Data!$A$2:$E$1425,3,FALSE)</f>
        <v>Carl Backström</v>
      </c>
      <c r="I91" s="54"/>
      <c r="J91" s="55"/>
      <c r="L91" s="9">
        <f>COUNTA(B87)+L90</f>
        <v>73</v>
      </c>
      <c r="M91" s="31" t="str">
        <f>C87</f>
        <v>Joakim Söderqvist</v>
      </c>
      <c r="N91" s="82" t="s">
        <v>7430</v>
      </c>
      <c r="O91" s="36">
        <v>31</v>
      </c>
      <c r="P91" s="36">
        <v>209</v>
      </c>
      <c r="Q91" s="32"/>
      <c r="R91" s="32"/>
      <c r="S91" s="32"/>
      <c r="T91" s="32"/>
      <c r="U91" s="36">
        <f>B87</f>
        <v>0</v>
      </c>
      <c r="V91" s="103"/>
      <c r="W91" s="104"/>
      <c r="X91" s="109" t="str">
        <f t="shared" ref="X91:Y92" si="28">IF(D87=0,"",D87)</f>
        <v/>
      </c>
      <c r="Y91" s="109" t="str">
        <f t="shared" si="28"/>
        <v/>
      </c>
      <c r="Z91" s="123"/>
      <c r="AA91" s="124" t="e">
        <f>VLOOKUP($M:$M,Data!$I:$J,2,FALSE)</f>
        <v>#N/A</v>
      </c>
      <c r="AB91" s="125"/>
    </row>
    <row r="92" ht="15.25" spans="2:28">
      <c r="B92" s="58"/>
      <c r="C92" s="59">
        <f>VLOOKUP("31/210/3",Data!$A$2:$E$1425,3,FALSE)</f>
        <v>0</v>
      </c>
      <c r="D92" s="56"/>
      <c r="E92" s="57"/>
      <c r="G92" s="58"/>
      <c r="H92" s="59">
        <f>VLOOKUP("31/213/3",Data!$A$2:$E$1425,3,FALSE)</f>
        <v>0</v>
      </c>
      <c r="I92" s="56"/>
      <c r="J92" s="57"/>
      <c r="L92" s="14">
        <f>COUNTA(B88)+L91</f>
        <v>73</v>
      </c>
      <c r="M92" s="83">
        <f>C88</f>
        <v>0</v>
      </c>
      <c r="N92" s="84" t="s">
        <v>7430</v>
      </c>
      <c r="O92" s="85">
        <v>31</v>
      </c>
      <c r="P92" s="85">
        <v>209</v>
      </c>
      <c r="Q92" s="110"/>
      <c r="R92" s="110"/>
      <c r="S92" s="110"/>
      <c r="T92" s="110"/>
      <c r="U92" s="85">
        <f>B88</f>
        <v>0</v>
      </c>
      <c r="V92" s="105"/>
      <c r="W92" s="106"/>
      <c r="X92" s="111" t="str">
        <f t="shared" si="28"/>
        <v/>
      </c>
      <c r="Y92" s="111" t="str">
        <f t="shared" si="28"/>
        <v/>
      </c>
      <c r="Z92" s="127"/>
      <c r="AA92" s="128" t="e">
        <f>VLOOKUP($M:$M,Data!$I:$J,2,FALSE)</f>
        <v>#N/A</v>
      </c>
      <c r="AB92" s="126"/>
    </row>
    <row r="93" spans="2:28">
      <c r="B93" s="46">
        <v>211</v>
      </c>
      <c r="C93" s="47"/>
      <c r="D93" s="48" t="s">
        <v>6580</v>
      </c>
      <c r="E93" s="49" t="s">
        <v>6581</v>
      </c>
      <c r="G93" s="46">
        <v>212</v>
      </c>
      <c r="H93" s="47"/>
      <c r="I93" s="48" t="s">
        <v>6580</v>
      </c>
      <c r="J93" s="49" t="s">
        <v>6581</v>
      </c>
      <c r="L93" s="6">
        <f>COUNTA(B90)+L92</f>
        <v>74</v>
      </c>
      <c r="M93" s="79" t="str">
        <f>C90</f>
        <v>Anton Hurtig</v>
      </c>
      <c r="N93" s="80" t="s">
        <v>7430</v>
      </c>
      <c r="O93" s="81">
        <v>31</v>
      </c>
      <c r="P93" s="81">
        <v>210</v>
      </c>
      <c r="Q93" s="62" t="str">
        <f>_xlfn.IFS(COUNTA(B90:B92)=1,"Single",COUNTA(B90:B92)=2,"Double",COUNTA(B90:B92)=3,"Triple",COUNTA(B90:B92)=0,"Empty")</f>
        <v>Double</v>
      </c>
      <c r="R93" s="62"/>
      <c r="S93" s="62"/>
      <c r="T93" s="62"/>
      <c r="U93" s="81">
        <f>B90</f>
        <v>1</v>
      </c>
      <c r="V93" s="100">
        <f>COUNT(B90:B92)</f>
        <v>2</v>
      </c>
      <c r="W93" s="101"/>
      <c r="X93" s="108" t="str">
        <f>IF(D90=0,"",D90)</f>
        <v/>
      </c>
      <c r="Y93" s="108" t="str">
        <f>IF(E90=0,"",E90)</f>
        <v/>
      </c>
      <c r="Z93" s="120" t="s">
        <v>7671</v>
      </c>
      <c r="AA93" s="121" t="e">
        <f>VLOOKUP($M:$M,Data!$I:$J,2,FALSE)</f>
        <v>#N/A</v>
      </c>
      <c r="AB93" s="122"/>
    </row>
    <row r="94" spans="2:28">
      <c r="B94" s="50">
        <v>1</v>
      </c>
      <c r="C94" s="51" t="str">
        <f>VLOOKUP("31/211/1",Data!$A$2:$E$1425,3,FALSE)</f>
        <v>Mathias Nilsson</v>
      </c>
      <c r="D94" s="52"/>
      <c r="E94" s="53"/>
      <c r="G94" s="50">
        <v>1</v>
      </c>
      <c r="H94" s="51" t="str">
        <f>VLOOKUP("31/212/1",Data!$A$2:$E$1425,3,FALSE)</f>
        <v>Joel Johansson</v>
      </c>
      <c r="I94" s="52"/>
      <c r="J94" s="53"/>
      <c r="L94" s="9">
        <f>COUNTA(B91)+L93</f>
        <v>75</v>
      </c>
      <c r="M94" s="31" t="str">
        <f>C91</f>
        <v>Tobias Lindh</v>
      </c>
      <c r="N94" s="82" t="s">
        <v>7430</v>
      </c>
      <c r="O94" s="36">
        <v>31</v>
      </c>
      <c r="P94" s="36">
        <v>210</v>
      </c>
      <c r="Q94" s="32"/>
      <c r="R94" s="32"/>
      <c r="S94" s="32"/>
      <c r="T94" s="32"/>
      <c r="U94" s="36">
        <f>B91</f>
        <v>2</v>
      </c>
      <c r="V94" s="103"/>
      <c r="W94" s="104"/>
      <c r="X94" s="109" t="str">
        <f t="shared" ref="X94:Y95" si="29">IF(D91=0,"",D91)</f>
        <v/>
      </c>
      <c r="Y94" s="109" t="str">
        <f t="shared" si="29"/>
        <v/>
      </c>
      <c r="Z94" s="123" t="s">
        <v>7672</v>
      </c>
      <c r="AA94" s="124" t="e">
        <f>VLOOKUP($M:$M,Data!$I:$J,2,FALSE)</f>
        <v>#N/A</v>
      </c>
      <c r="AB94" s="125"/>
    </row>
    <row r="95" ht="15.25" spans="2:28">
      <c r="B95" s="50">
        <v>2</v>
      </c>
      <c r="C95" s="51" t="str">
        <f>VLOOKUP("31/211/2",Data!$A$2:$E$1425,3,FALSE)</f>
        <v>Jerry Jönsson</v>
      </c>
      <c r="D95" s="54"/>
      <c r="E95" s="55"/>
      <c r="G95" s="50"/>
      <c r="H95" s="51" t="str">
        <f>VLOOKUP("31/212/2",Data!$A$2:$E$1425,3,FALSE)</f>
        <v>Niklas Davidsson</v>
      </c>
      <c r="I95" s="54"/>
      <c r="J95" s="55"/>
      <c r="L95" s="14">
        <f>COUNTA(B92)+L94</f>
        <v>75</v>
      </c>
      <c r="M95" s="83">
        <f>C92</f>
        <v>0</v>
      </c>
      <c r="N95" s="84" t="s">
        <v>7430</v>
      </c>
      <c r="O95" s="85">
        <v>31</v>
      </c>
      <c r="P95" s="85">
        <v>210</v>
      </c>
      <c r="Q95" s="110"/>
      <c r="R95" s="110"/>
      <c r="S95" s="110"/>
      <c r="T95" s="110"/>
      <c r="U95" s="85">
        <f>B92</f>
        <v>0</v>
      </c>
      <c r="V95" s="105"/>
      <c r="W95" s="106"/>
      <c r="X95" s="111" t="str">
        <f t="shared" si="29"/>
        <v/>
      </c>
      <c r="Y95" s="111" t="str">
        <f t="shared" si="29"/>
        <v/>
      </c>
      <c r="Z95" s="127"/>
      <c r="AA95" s="128" t="e">
        <f>VLOOKUP($M:$M,Data!$I:$J,2,FALSE)</f>
        <v>#N/A</v>
      </c>
      <c r="AB95" s="126"/>
    </row>
    <row r="96" ht="15.25" spans="2:28">
      <c r="B96" s="58"/>
      <c r="C96" s="59">
        <f>VLOOKUP("31/211/3",Data!$A$2:$E$1425,3,FALSE)</f>
        <v>0</v>
      </c>
      <c r="D96" s="56"/>
      <c r="E96" s="57"/>
      <c r="G96" s="58"/>
      <c r="H96" s="59">
        <f>VLOOKUP("31/212/3",Data!$A$2:$E$1425,3,FALSE)</f>
        <v>0</v>
      </c>
      <c r="I96" s="56"/>
      <c r="J96" s="57"/>
      <c r="L96" s="6">
        <f>COUNTA(B94)+L95</f>
        <v>76</v>
      </c>
      <c r="M96" s="79" t="str">
        <f>C94</f>
        <v>Mathias Nilsson</v>
      </c>
      <c r="N96" s="80" t="s">
        <v>7430</v>
      </c>
      <c r="O96" s="81">
        <v>31</v>
      </c>
      <c r="P96" s="81">
        <v>211</v>
      </c>
      <c r="Q96" s="62" t="str">
        <f>_xlfn.IFS(COUNTA(B94:B96)=1,"Single",COUNTA(B94:B96)=2,"Double",COUNTA(B94:B96)=3,"Triple",COUNTA(B94:B96)=0,"Empty")</f>
        <v>Double</v>
      </c>
      <c r="R96" s="62"/>
      <c r="S96" s="62"/>
      <c r="T96" s="62"/>
      <c r="U96" s="81">
        <f>B94</f>
        <v>1</v>
      </c>
      <c r="V96" s="100">
        <f>COUNT(B94:B96)</f>
        <v>2</v>
      </c>
      <c r="W96" s="101"/>
      <c r="X96" s="108" t="str">
        <f>IF(D94=0,"",D94)</f>
        <v/>
      </c>
      <c r="Y96" s="108" t="str">
        <f>IF(E94=0,"",E94)</f>
        <v/>
      </c>
      <c r="Z96" s="120" t="s">
        <v>7673</v>
      </c>
      <c r="AA96" s="121" t="e">
        <f>VLOOKUP($M:$M,Data!$I:$J,2,FALSE)</f>
        <v>#N/A</v>
      </c>
      <c r="AB96" s="122"/>
    </row>
    <row r="97" spans="12:28">
      <c r="L97" s="9">
        <f>COUNTA(B95)+L96</f>
        <v>77</v>
      </c>
      <c r="M97" s="31" t="str">
        <f>C95</f>
        <v>Jerry Jönsson</v>
      </c>
      <c r="N97" s="82" t="s">
        <v>7430</v>
      </c>
      <c r="O97" s="36">
        <v>31</v>
      </c>
      <c r="P97" s="36">
        <v>211</v>
      </c>
      <c r="Q97" s="32"/>
      <c r="R97" s="32"/>
      <c r="S97" s="32"/>
      <c r="T97" s="32"/>
      <c r="U97" s="36">
        <f>B95</f>
        <v>2</v>
      </c>
      <c r="V97" s="103"/>
      <c r="W97" s="104"/>
      <c r="X97" s="109" t="str">
        <f t="shared" ref="X97:Y98" si="30">IF(D95=0,"",D95)</f>
        <v/>
      </c>
      <c r="Y97" s="109" t="str">
        <f t="shared" si="30"/>
        <v/>
      </c>
      <c r="Z97" s="123" t="s">
        <v>7674</v>
      </c>
      <c r="AA97" s="124" t="e">
        <f>VLOOKUP($M:$M,Data!$I:$J,2,FALSE)</f>
        <v>#N/A</v>
      </c>
      <c r="AB97" s="125"/>
    </row>
    <row r="98" ht="15.25" spans="12:28">
      <c r="L98" s="14">
        <f>COUNTA(B96)+L97</f>
        <v>77</v>
      </c>
      <c r="M98" s="83">
        <f>C96</f>
        <v>0</v>
      </c>
      <c r="N98" s="84" t="s">
        <v>7430</v>
      </c>
      <c r="O98" s="85">
        <v>31</v>
      </c>
      <c r="P98" s="85">
        <v>211</v>
      </c>
      <c r="Q98" s="110"/>
      <c r="R98" s="110"/>
      <c r="S98" s="110"/>
      <c r="T98" s="110"/>
      <c r="U98" s="85">
        <f>B96</f>
        <v>0</v>
      </c>
      <c r="V98" s="105"/>
      <c r="W98" s="106"/>
      <c r="X98" s="111" t="str">
        <f t="shared" si="30"/>
        <v/>
      </c>
      <c r="Y98" s="111" t="str">
        <f t="shared" si="30"/>
        <v/>
      </c>
      <c r="Z98" s="127"/>
      <c r="AA98" s="128" t="e">
        <f>VLOOKUP($M:$M,Data!$I:$J,2,FALSE)</f>
        <v>#N/A</v>
      </c>
      <c r="AB98" s="126"/>
    </row>
    <row r="99" spans="12:28">
      <c r="L99" s="6">
        <f>COUNTA(G94)+L98</f>
        <v>78</v>
      </c>
      <c r="M99" s="79" t="str">
        <f>H94</f>
        <v>Joel Johansson</v>
      </c>
      <c r="N99" s="80" t="s">
        <v>7430</v>
      </c>
      <c r="O99" s="81">
        <v>31</v>
      </c>
      <c r="P99" s="81">
        <v>212</v>
      </c>
      <c r="Q99" s="62" t="str">
        <f>_xlfn.IFS(COUNTA(G94:G96)=1,"Single",COUNTA(G94:G96)=2,"Double",COUNTA(G94:G96)=3,"Triple",COUNTA(G94:G96)=0,"Empty")</f>
        <v>Single</v>
      </c>
      <c r="R99" s="62"/>
      <c r="S99" s="62"/>
      <c r="T99" s="62"/>
      <c r="U99" s="81">
        <f>G94</f>
        <v>1</v>
      </c>
      <c r="V99" s="100">
        <f>COUNT(G94:G96)</f>
        <v>1</v>
      </c>
      <c r="W99" s="101"/>
      <c r="X99" s="108" t="str">
        <f>IF(I94=0,"",I94)</f>
        <v/>
      </c>
      <c r="Y99" s="108" t="str">
        <f>IF(J94=0,"",J94)</f>
        <v/>
      </c>
      <c r="Z99" s="120" t="s">
        <v>7675</v>
      </c>
      <c r="AA99" s="121" t="e">
        <f>VLOOKUP($M:$M,Data!$I:$J,2,FALSE)</f>
        <v>#N/A</v>
      </c>
      <c r="AB99" s="122"/>
    </row>
    <row r="100" spans="12:28">
      <c r="L100" s="9">
        <f>COUNTA(G95)+L99</f>
        <v>78</v>
      </c>
      <c r="M100" s="31" t="str">
        <f>H95</f>
        <v>Niklas Davidsson</v>
      </c>
      <c r="N100" s="82" t="s">
        <v>7430</v>
      </c>
      <c r="O100" s="36">
        <v>31</v>
      </c>
      <c r="P100" s="36">
        <v>212</v>
      </c>
      <c r="Q100" s="32"/>
      <c r="R100" s="32"/>
      <c r="S100" s="32"/>
      <c r="T100" s="32"/>
      <c r="U100" s="36">
        <f>G95</f>
        <v>0</v>
      </c>
      <c r="V100" s="103"/>
      <c r="W100" s="104"/>
      <c r="X100" s="109" t="str">
        <f t="shared" ref="X100:Y101" si="31">IF(I95=0,"",I95)</f>
        <v/>
      </c>
      <c r="Y100" s="109" t="str">
        <f t="shared" si="31"/>
        <v/>
      </c>
      <c r="Z100" s="123"/>
      <c r="AA100" s="124" t="e">
        <f>VLOOKUP($M:$M,Data!$I:$J,2,FALSE)</f>
        <v>#N/A</v>
      </c>
      <c r="AB100" s="125"/>
    </row>
    <row r="101" ht="15.25" spans="12:28">
      <c r="L101" s="14">
        <f>COUNTA(G96)+L100</f>
        <v>78</v>
      </c>
      <c r="M101" s="83">
        <f>H96</f>
        <v>0</v>
      </c>
      <c r="N101" s="84" t="s">
        <v>7430</v>
      </c>
      <c r="O101" s="85">
        <v>31</v>
      </c>
      <c r="P101" s="85">
        <v>212</v>
      </c>
      <c r="Q101" s="110"/>
      <c r="R101" s="110"/>
      <c r="S101" s="110"/>
      <c r="T101" s="110"/>
      <c r="U101" s="85">
        <f>G96</f>
        <v>0</v>
      </c>
      <c r="V101" s="105"/>
      <c r="W101" s="106"/>
      <c r="X101" s="111" t="str">
        <f t="shared" si="31"/>
        <v/>
      </c>
      <c r="Y101" s="111" t="str">
        <f t="shared" si="31"/>
        <v/>
      </c>
      <c r="Z101" s="127"/>
      <c r="AA101" s="128" t="e">
        <f>VLOOKUP($M:$M,Data!$I:$J,2,FALSE)</f>
        <v>#N/A</v>
      </c>
      <c r="AB101" s="126"/>
    </row>
    <row r="102" spans="12:28">
      <c r="L102" s="6">
        <f>COUNTA(G90)+L101</f>
        <v>79</v>
      </c>
      <c r="M102" s="79" t="str">
        <f>H90</f>
        <v>Peter Lindskog</v>
      </c>
      <c r="N102" s="80" t="s">
        <v>7430</v>
      </c>
      <c r="O102" s="81">
        <v>31</v>
      </c>
      <c r="P102" s="81">
        <v>213</v>
      </c>
      <c r="Q102" s="62" t="str">
        <f>_xlfn.IFS(COUNTA(G90:G92)=1,"Single",COUNTA(G90:G92)=2,"Double",COUNTA(G90:G92)=3,"Triple",COUNTA(G90:G92)=0,"Empty")</f>
        <v>Double</v>
      </c>
      <c r="R102" s="62"/>
      <c r="S102" s="62"/>
      <c r="T102" s="62"/>
      <c r="U102" s="81">
        <f>G90</f>
        <v>1</v>
      </c>
      <c r="V102" s="100">
        <f>COUNT(G90:G92)</f>
        <v>2</v>
      </c>
      <c r="W102" s="101"/>
      <c r="X102" s="108" t="str">
        <f>IF(I90=0,"",I90)</f>
        <v/>
      </c>
      <c r="Y102" s="108" t="str">
        <f>IF(J90=0,"",J90)</f>
        <v/>
      </c>
      <c r="Z102" s="120" t="s">
        <v>7676</v>
      </c>
      <c r="AA102" s="121" t="e">
        <f>VLOOKUP($M:$M,Data!$I:$J,2,FALSE)</f>
        <v>#N/A</v>
      </c>
      <c r="AB102" s="122"/>
    </row>
    <row r="103" spans="12:28">
      <c r="L103" s="9">
        <f>COUNTA(G91)+L102</f>
        <v>80</v>
      </c>
      <c r="M103" s="31" t="str">
        <f>H91</f>
        <v>Carl Backström</v>
      </c>
      <c r="N103" s="82" t="s">
        <v>7430</v>
      </c>
      <c r="O103" s="36">
        <v>31</v>
      </c>
      <c r="P103" s="36">
        <v>213</v>
      </c>
      <c r="Q103" s="32"/>
      <c r="R103" s="32"/>
      <c r="S103" s="32"/>
      <c r="T103" s="32"/>
      <c r="U103" s="36">
        <f>G91</f>
        <v>2</v>
      </c>
      <c r="V103" s="103"/>
      <c r="W103" s="104"/>
      <c r="X103" s="109" t="str">
        <f t="shared" ref="X103:Y104" si="32">IF(I91=0,"",I91)</f>
        <v/>
      </c>
      <c r="Y103" s="109" t="str">
        <f t="shared" si="32"/>
        <v/>
      </c>
      <c r="Z103" s="123" t="s">
        <v>7677</v>
      </c>
      <c r="AA103" s="124" t="e">
        <f>VLOOKUP($M:$M,Data!$I:$J,2,FALSE)</f>
        <v>#N/A</v>
      </c>
      <c r="AB103" s="125"/>
    </row>
    <row r="104" ht="15.25" spans="12:28">
      <c r="L104" s="14">
        <f>COUNTA(G92)+L103</f>
        <v>80</v>
      </c>
      <c r="M104" s="83">
        <f>H92</f>
        <v>0</v>
      </c>
      <c r="N104" s="84" t="s">
        <v>7430</v>
      </c>
      <c r="O104" s="85">
        <v>31</v>
      </c>
      <c r="P104" s="85">
        <v>213</v>
      </c>
      <c r="Q104" s="110"/>
      <c r="R104" s="110"/>
      <c r="S104" s="110"/>
      <c r="T104" s="110"/>
      <c r="U104" s="85">
        <f>G92</f>
        <v>0</v>
      </c>
      <c r="V104" s="105"/>
      <c r="W104" s="106"/>
      <c r="X104" s="111" t="str">
        <f t="shared" si="32"/>
        <v/>
      </c>
      <c r="Y104" s="111" t="str">
        <f t="shared" si="32"/>
        <v/>
      </c>
      <c r="Z104" s="127"/>
      <c r="AA104" s="128" t="e">
        <f>VLOOKUP($M:$M,Data!$I:$J,2,FALSE)</f>
        <v>#N/A</v>
      </c>
      <c r="AB104" s="126"/>
    </row>
    <row r="105" spans="12:28">
      <c r="L105" s="6">
        <f>COUNTA(G86)+L104</f>
        <v>81</v>
      </c>
      <c r="M105" s="79" t="str">
        <f>H86</f>
        <v>Johan Boström</v>
      </c>
      <c r="N105" s="80" t="s">
        <v>7430</v>
      </c>
      <c r="O105" s="81">
        <v>31</v>
      </c>
      <c r="P105" s="81">
        <v>214</v>
      </c>
      <c r="Q105" s="62" t="str">
        <f>_xlfn.IFS(COUNTA(G86:G88)=1,"Single",COUNTA(G86:G88)=2,"Double",COUNTA(G86:G88)=3,"Triple",COUNTA(G86:G88)=0,"Empty")</f>
        <v>Double</v>
      </c>
      <c r="R105" s="62"/>
      <c r="S105" s="62"/>
      <c r="T105" s="62"/>
      <c r="U105" s="81">
        <f>G86</f>
        <v>1</v>
      </c>
      <c r="V105" s="100">
        <f>COUNT(G86:G88)</f>
        <v>2</v>
      </c>
      <c r="W105" s="101"/>
      <c r="X105" s="108" t="str">
        <f>IF(I86=0,"",I86)</f>
        <v/>
      </c>
      <c r="Y105" s="108" t="str">
        <f>IF(J86=0,"",J86)</f>
        <v/>
      </c>
      <c r="Z105" s="120" t="s">
        <v>7678</v>
      </c>
      <c r="AA105" s="121" t="e">
        <f>VLOOKUP($M:$M,Data!$I:$J,2,FALSE)</f>
        <v>#N/A</v>
      </c>
      <c r="AB105" s="122"/>
    </row>
    <row r="106" spans="12:28">
      <c r="L106" s="9">
        <f>COUNTA(G87)+L105</f>
        <v>82</v>
      </c>
      <c r="M106" s="31" t="str">
        <f>H87</f>
        <v>Mikael Eklund</v>
      </c>
      <c r="N106" s="82" t="s">
        <v>7430</v>
      </c>
      <c r="O106" s="36">
        <v>31</v>
      </c>
      <c r="P106" s="36">
        <v>214</v>
      </c>
      <c r="Q106" s="32"/>
      <c r="R106" s="32"/>
      <c r="S106" s="32"/>
      <c r="T106" s="32"/>
      <c r="U106" s="36">
        <f>G87</f>
        <v>2</v>
      </c>
      <c r="V106" s="103"/>
      <c r="W106" s="104"/>
      <c r="X106" s="109" t="str">
        <f t="shared" ref="X106:Y107" si="33">IF(I87=0,"",I87)</f>
        <v/>
      </c>
      <c r="Y106" s="109" t="str">
        <f t="shared" si="33"/>
        <v/>
      </c>
      <c r="Z106" s="123" t="s">
        <v>7679</v>
      </c>
      <c r="AA106" s="124" t="e">
        <f>VLOOKUP($M:$M,Data!$I:$J,2,FALSE)</f>
        <v>#N/A</v>
      </c>
      <c r="AB106" s="125"/>
    </row>
    <row r="107" ht="15.25" spans="12:28">
      <c r="L107" s="14">
        <f>COUNTA(G88)+L106</f>
        <v>82</v>
      </c>
      <c r="M107" s="83">
        <f>H88</f>
        <v>0</v>
      </c>
      <c r="N107" s="84" t="s">
        <v>7430</v>
      </c>
      <c r="O107" s="85">
        <v>31</v>
      </c>
      <c r="P107" s="85">
        <v>214</v>
      </c>
      <c r="Q107" s="110"/>
      <c r="R107" s="110"/>
      <c r="S107" s="110"/>
      <c r="T107" s="110"/>
      <c r="U107" s="85">
        <f>G88</f>
        <v>0</v>
      </c>
      <c r="V107" s="105"/>
      <c r="W107" s="106"/>
      <c r="X107" s="111" t="str">
        <f t="shared" si="33"/>
        <v/>
      </c>
      <c r="Y107" s="111" t="str">
        <f t="shared" si="33"/>
        <v/>
      </c>
      <c r="Z107" s="127"/>
      <c r="AA107" s="128" t="e">
        <f>VLOOKUP($M:$M,Data!$I:$J,2,FALSE)</f>
        <v>#N/A</v>
      </c>
      <c r="AB107" s="126"/>
    </row>
    <row r="108" spans="12:28">
      <c r="L108" s="6">
        <f>COUNTA(G82)+L107</f>
        <v>83</v>
      </c>
      <c r="M108" s="79">
        <f>H82</f>
        <v>0</v>
      </c>
      <c r="N108" s="80" t="s">
        <v>7430</v>
      </c>
      <c r="O108" s="81">
        <v>31</v>
      </c>
      <c r="P108" s="81">
        <v>215</v>
      </c>
      <c r="Q108" s="62" t="str">
        <f>_xlfn.IFS(COUNTA(G82:G84)=1,"Single",COUNTA(G82:G84)=2,"Double",COUNTA(G82:G84)=3,"Triple",COUNTA(G82:G84)=0,"Empty")</f>
        <v>Double</v>
      </c>
      <c r="R108" s="62"/>
      <c r="S108" s="62"/>
      <c r="T108" s="62"/>
      <c r="U108" s="81">
        <f>G82</f>
        <v>1</v>
      </c>
      <c r="V108" s="100">
        <f>COUNT(G82:G84)</f>
        <v>2</v>
      </c>
      <c r="W108" s="101"/>
      <c r="X108" s="108" t="str">
        <f>IF(I82=0,"",I82)</f>
        <v/>
      </c>
      <c r="Y108" s="108" t="str">
        <f>IF(J82=0,"",J82)</f>
        <v/>
      </c>
      <c r="Z108" s="120" t="s">
        <v>7680</v>
      </c>
      <c r="AA108" s="121" t="e">
        <f>VLOOKUP($M:$M,Data!$I:$J,2,FALSE)</f>
        <v>#N/A</v>
      </c>
      <c r="AB108" s="122"/>
    </row>
    <row r="109" spans="12:28">
      <c r="L109" s="9">
        <f>COUNTA(G83)+L108</f>
        <v>84</v>
      </c>
      <c r="M109" s="31">
        <f>H83</f>
        <v>0</v>
      </c>
      <c r="N109" s="82" t="s">
        <v>7430</v>
      </c>
      <c r="O109" s="36">
        <v>31</v>
      </c>
      <c r="P109" s="36">
        <v>215</v>
      </c>
      <c r="Q109" s="32"/>
      <c r="R109" s="32"/>
      <c r="S109" s="32"/>
      <c r="T109" s="32"/>
      <c r="U109" s="36">
        <f>G83</f>
        <v>2</v>
      </c>
      <c r="V109" s="103"/>
      <c r="W109" s="104"/>
      <c r="X109" s="109" t="str">
        <f t="shared" ref="X109:Y110" si="34">IF(I83=0,"",I83)</f>
        <v/>
      </c>
      <c r="Y109" s="109" t="str">
        <f t="shared" si="34"/>
        <v/>
      </c>
      <c r="Z109" s="123" t="s">
        <v>7681</v>
      </c>
      <c r="AA109" s="124" t="e">
        <f>VLOOKUP($M:$M,Data!$I:$J,2,FALSE)</f>
        <v>#N/A</v>
      </c>
      <c r="AB109" s="125"/>
    </row>
    <row r="110" ht="15.25" spans="12:28">
      <c r="L110" s="14">
        <f>COUNTA(G84)+L109</f>
        <v>84</v>
      </c>
      <c r="M110" s="83">
        <f>H84</f>
        <v>0</v>
      </c>
      <c r="N110" s="84" t="s">
        <v>7430</v>
      </c>
      <c r="O110" s="85">
        <v>31</v>
      </c>
      <c r="P110" s="85">
        <v>215</v>
      </c>
      <c r="Q110" s="110"/>
      <c r="R110" s="110"/>
      <c r="S110" s="110"/>
      <c r="T110" s="110"/>
      <c r="U110" s="85">
        <f>G84</f>
        <v>0</v>
      </c>
      <c r="V110" s="105"/>
      <c r="W110" s="106"/>
      <c r="X110" s="111" t="str">
        <f t="shared" si="34"/>
        <v/>
      </c>
      <c r="Y110" s="111" t="str">
        <f t="shared" si="34"/>
        <v/>
      </c>
      <c r="Z110" s="127"/>
      <c r="AA110" s="128" t="e">
        <f>VLOOKUP($M:$M,Data!$I:$J,2,FALSE)</f>
        <v>#N/A</v>
      </c>
      <c r="AB110" s="126"/>
    </row>
    <row r="111" spans="12:28">
      <c r="L111" s="6">
        <f>COUNTA(G70)+L110</f>
        <v>84</v>
      </c>
      <c r="M111" s="79">
        <f>H70</f>
        <v>0</v>
      </c>
      <c r="N111" s="80" t="s">
        <v>7430</v>
      </c>
      <c r="O111" s="81">
        <v>31</v>
      </c>
      <c r="P111" s="81">
        <v>216</v>
      </c>
      <c r="Q111" s="62" t="str">
        <f>_xlfn.IFS(COUNTA(G70:G72)=1,"Single",COUNTA(G70:G72)=2,"Double",COUNTA(G70:G72)=3,"Triple",COUNTA(G70:G72)=0,"Empty")</f>
        <v>Double</v>
      </c>
      <c r="R111" s="62"/>
      <c r="S111" s="62"/>
      <c r="T111" s="62"/>
      <c r="U111" s="81">
        <f>G70</f>
        <v>0</v>
      </c>
      <c r="V111" s="100">
        <f>COUNT(G70:G72)</f>
        <v>2</v>
      </c>
      <c r="W111" s="101"/>
      <c r="X111" s="108" t="str">
        <f>IF(I70=0,"",I70)</f>
        <v/>
      </c>
      <c r="Y111" s="108" t="str">
        <f>IF(J70=0,"",J70)</f>
        <v/>
      </c>
      <c r="Z111" s="120" t="s">
        <v>7682</v>
      </c>
      <c r="AA111" s="121" t="e">
        <f>VLOOKUP($M:$M,Data!$I:$J,2,FALSE)</f>
        <v>#N/A</v>
      </c>
      <c r="AB111" s="122"/>
    </row>
    <row r="112" spans="12:28">
      <c r="L112" s="9">
        <f>COUNTA(G71)+L111</f>
        <v>85</v>
      </c>
      <c r="M112" s="31">
        <f>H71</f>
        <v>0</v>
      </c>
      <c r="N112" s="82" t="s">
        <v>7430</v>
      </c>
      <c r="O112" s="36">
        <v>31</v>
      </c>
      <c r="P112" s="36">
        <v>216</v>
      </c>
      <c r="Q112" s="32"/>
      <c r="R112" s="32"/>
      <c r="S112" s="32"/>
      <c r="T112" s="32"/>
      <c r="U112" s="36">
        <f>G71</f>
        <v>2</v>
      </c>
      <c r="V112" s="103"/>
      <c r="W112" s="104"/>
      <c r="X112" s="109" t="str">
        <f t="shared" ref="X112:Y113" si="35">IF(I71=0,"",I71)</f>
        <v/>
      </c>
      <c r="Y112" s="109" t="str">
        <f t="shared" si="35"/>
        <v/>
      </c>
      <c r="Z112" s="123" t="s">
        <v>7683</v>
      </c>
      <c r="AA112" s="124" t="e">
        <f>VLOOKUP($M:$M,Data!$I:$J,2,FALSE)</f>
        <v>#N/A</v>
      </c>
      <c r="AB112" s="125"/>
    </row>
    <row r="113" ht="15.25" spans="12:28">
      <c r="L113" s="14">
        <f>COUNTA(G72)+L112</f>
        <v>86</v>
      </c>
      <c r="M113" s="83">
        <f>H72</f>
        <v>0</v>
      </c>
      <c r="N113" s="84" t="s">
        <v>7430</v>
      </c>
      <c r="O113" s="85">
        <v>31</v>
      </c>
      <c r="P113" s="85">
        <v>216</v>
      </c>
      <c r="Q113" s="110"/>
      <c r="R113" s="110"/>
      <c r="S113" s="110"/>
      <c r="T113" s="110"/>
      <c r="U113" s="85">
        <f>G72</f>
        <v>3</v>
      </c>
      <c r="V113" s="105"/>
      <c r="W113" s="106"/>
      <c r="X113" s="111" t="str">
        <f t="shared" si="35"/>
        <v/>
      </c>
      <c r="Y113" s="111" t="str">
        <f t="shared" si="35"/>
        <v/>
      </c>
      <c r="Z113" s="127" t="s">
        <v>7684</v>
      </c>
      <c r="AA113" s="128" t="e">
        <f>VLOOKUP($M:$M,Data!$I:$J,2,FALSE)</f>
        <v>#N/A</v>
      </c>
      <c r="AB113" s="126"/>
    </row>
    <row r="114" spans="12:28">
      <c r="L114" s="6">
        <f>COUNTA(G66)+L113</f>
        <v>87</v>
      </c>
      <c r="M114" s="79">
        <f>H66</f>
        <v>0</v>
      </c>
      <c r="N114" s="80" t="s">
        <v>7430</v>
      </c>
      <c r="O114" s="81">
        <v>31</v>
      </c>
      <c r="P114" s="81">
        <v>217</v>
      </c>
      <c r="Q114" s="62" t="str">
        <f>_xlfn.IFS(COUNTA(G66:G68)=1,"Single",COUNTA(G66:G68)=2,"Double",COUNTA(G66:G68)=3,"Triple",COUNTA(G66:G68)=0,"Empty")</f>
        <v>Triple</v>
      </c>
      <c r="R114" s="62"/>
      <c r="S114" s="62"/>
      <c r="T114" s="62"/>
      <c r="U114" s="81">
        <f>G66</f>
        <v>1</v>
      </c>
      <c r="V114" s="100">
        <f>COUNT(G66:G68)</f>
        <v>3</v>
      </c>
      <c r="W114" s="101"/>
      <c r="X114" s="108" t="str">
        <f>IF(I66=0,"",I66)</f>
        <v/>
      </c>
      <c r="Y114" s="108" t="str">
        <f>IF(J66=0,"",J66)</f>
        <v/>
      </c>
      <c r="Z114" s="120" t="s">
        <v>7685</v>
      </c>
      <c r="AA114" s="121" t="e">
        <f>VLOOKUP($M:$M,Data!$I:$J,2,FALSE)</f>
        <v>#N/A</v>
      </c>
      <c r="AB114" s="122"/>
    </row>
    <row r="115" spans="12:28">
      <c r="L115" s="9">
        <f>COUNTA(G67)+L114</f>
        <v>88</v>
      </c>
      <c r="M115" s="31">
        <f>H67</f>
        <v>0</v>
      </c>
      <c r="N115" s="82" t="s">
        <v>7430</v>
      </c>
      <c r="O115" s="36">
        <v>31</v>
      </c>
      <c r="P115" s="36">
        <v>217</v>
      </c>
      <c r="Q115" s="32"/>
      <c r="R115" s="32"/>
      <c r="S115" s="32"/>
      <c r="T115" s="32"/>
      <c r="U115" s="36">
        <f>G67</f>
        <v>2</v>
      </c>
      <c r="V115" s="103"/>
      <c r="W115" s="104"/>
      <c r="X115" s="109" t="str">
        <f t="shared" ref="X115:Y116" si="36">IF(I67=0,"",I67)</f>
        <v/>
      </c>
      <c r="Y115" s="109" t="str">
        <f t="shared" si="36"/>
        <v/>
      </c>
      <c r="Z115" s="123" t="s">
        <v>7686</v>
      </c>
      <c r="AA115" s="124" t="e">
        <f>VLOOKUP($M:$M,Data!$I:$J,2,FALSE)</f>
        <v>#N/A</v>
      </c>
      <c r="AB115" s="125"/>
    </row>
    <row r="116" ht="15.25" spans="12:28">
      <c r="L116" s="14">
        <f>COUNTA(G68)+L115</f>
        <v>89</v>
      </c>
      <c r="M116" s="83">
        <f>H68</f>
        <v>0</v>
      </c>
      <c r="N116" s="84" t="s">
        <v>7430</v>
      </c>
      <c r="O116" s="85">
        <v>31</v>
      </c>
      <c r="P116" s="85">
        <v>217</v>
      </c>
      <c r="Q116" s="110"/>
      <c r="R116" s="110"/>
      <c r="S116" s="110"/>
      <c r="T116" s="110"/>
      <c r="U116" s="85">
        <f>G68</f>
        <v>3</v>
      </c>
      <c r="V116" s="105"/>
      <c r="W116" s="106"/>
      <c r="X116" s="111" t="str">
        <f t="shared" si="36"/>
        <v/>
      </c>
      <c r="Y116" s="111" t="str">
        <f t="shared" si="36"/>
        <v/>
      </c>
      <c r="Z116" s="127" t="s">
        <v>7687</v>
      </c>
      <c r="AA116" s="128" t="e">
        <f>VLOOKUP($M:$M,Data!$I:$J,2,FALSE)</f>
        <v>#N/A</v>
      </c>
      <c r="AB116" s="126"/>
    </row>
    <row r="117" spans="12:28">
      <c r="L117" s="6">
        <f>COUNTA(G62)+L116</f>
        <v>90</v>
      </c>
      <c r="M117" s="79">
        <f>H62</f>
        <v>0</v>
      </c>
      <c r="N117" s="80" t="s">
        <v>7430</v>
      </c>
      <c r="O117" s="81">
        <v>31</v>
      </c>
      <c r="P117" s="81">
        <v>218</v>
      </c>
      <c r="Q117" s="62" t="str">
        <f>_xlfn.IFS(COUNTA(G62:G64)=1,"Single",COUNTA(G62:G64)=2,"Double",COUNTA(G62:G64)=3,"Triple",COUNTA(G62:G64)=0,"Empty")</f>
        <v>Triple</v>
      </c>
      <c r="R117" s="62"/>
      <c r="S117" s="62"/>
      <c r="T117" s="62"/>
      <c r="U117" s="81">
        <f>G62</f>
        <v>1</v>
      </c>
      <c r="V117" s="100">
        <f>COUNT(G62:G64)</f>
        <v>3</v>
      </c>
      <c r="W117" s="101"/>
      <c r="X117" s="108" t="str">
        <f>IF(I62=0,"",I62)</f>
        <v/>
      </c>
      <c r="Y117" s="108" t="str">
        <f>IF(J62=0,"",J62)</f>
        <v/>
      </c>
      <c r="Z117" s="120" t="s">
        <v>7688</v>
      </c>
      <c r="AA117" s="121" t="e">
        <f>VLOOKUP($M:$M,Data!$I:$J,2,FALSE)</f>
        <v>#N/A</v>
      </c>
      <c r="AB117" s="122"/>
    </row>
    <row r="118" spans="12:28">
      <c r="L118" s="9">
        <f>COUNTA(G63)+L117</f>
        <v>91</v>
      </c>
      <c r="M118" s="31">
        <f>H63</f>
        <v>0</v>
      </c>
      <c r="N118" s="82" t="s">
        <v>7430</v>
      </c>
      <c r="O118" s="36">
        <v>31</v>
      </c>
      <c r="P118" s="36">
        <v>218</v>
      </c>
      <c r="Q118" s="32"/>
      <c r="R118" s="32"/>
      <c r="S118" s="32"/>
      <c r="T118" s="32"/>
      <c r="U118" s="36">
        <f>G63</f>
        <v>2</v>
      </c>
      <c r="V118" s="103"/>
      <c r="W118" s="104"/>
      <c r="X118" s="109" t="str">
        <f t="shared" ref="X118:Y119" si="37">IF(I63=0,"",I63)</f>
        <v/>
      </c>
      <c r="Y118" s="109" t="str">
        <f t="shared" si="37"/>
        <v/>
      </c>
      <c r="Z118" s="123" t="s">
        <v>7689</v>
      </c>
      <c r="AA118" s="124" t="e">
        <f>VLOOKUP($M:$M,Data!$I:$J,2,FALSE)</f>
        <v>#N/A</v>
      </c>
      <c r="AB118" s="125"/>
    </row>
    <row r="119" ht="15.25" spans="12:28">
      <c r="L119" s="14">
        <f>COUNTA(G64)+L118</f>
        <v>92</v>
      </c>
      <c r="M119" s="83">
        <f>H64</f>
        <v>0</v>
      </c>
      <c r="N119" s="84" t="s">
        <v>7430</v>
      </c>
      <c r="O119" s="85">
        <v>31</v>
      </c>
      <c r="P119" s="85">
        <v>218</v>
      </c>
      <c r="Q119" s="110"/>
      <c r="R119" s="110"/>
      <c r="S119" s="110"/>
      <c r="T119" s="110"/>
      <c r="U119" s="85">
        <f>G64</f>
        <v>3</v>
      </c>
      <c r="V119" s="105"/>
      <c r="W119" s="106"/>
      <c r="X119" s="111" t="str">
        <f t="shared" si="37"/>
        <v/>
      </c>
      <c r="Y119" s="111" t="str">
        <f t="shared" si="37"/>
        <v/>
      </c>
      <c r="Z119" s="127" t="s">
        <v>7690</v>
      </c>
      <c r="AA119" s="128" t="e">
        <f>VLOOKUP($M:$M,Data!$I:$J,2,FALSE)</f>
        <v>#N/A</v>
      </c>
      <c r="AB119" s="126"/>
    </row>
    <row r="120" spans="12:28">
      <c r="L120" s="6">
        <f>COUNTA(G58)+L119</f>
        <v>93</v>
      </c>
      <c r="M120" s="79">
        <f>H58</f>
        <v>0</v>
      </c>
      <c r="N120" s="80" t="s">
        <v>7430</v>
      </c>
      <c r="O120" s="81">
        <v>31</v>
      </c>
      <c r="P120" s="81">
        <v>219</v>
      </c>
      <c r="Q120" s="62" t="str">
        <f>_xlfn.IFS(COUNTA(G58:G60)=1,"Single",COUNTA(G58:G60)=2,"Double",COUNTA(G58:G60)=3,"Triple",COUNTA(G58:G60)=0,"Empty")</f>
        <v>Double</v>
      </c>
      <c r="R120" s="62"/>
      <c r="S120" s="62"/>
      <c r="T120" s="62"/>
      <c r="U120" s="81">
        <f>G58</f>
        <v>1</v>
      </c>
      <c r="V120" s="100">
        <f>COUNT(G58:G60)</f>
        <v>2</v>
      </c>
      <c r="W120" s="101"/>
      <c r="X120" s="108" t="str">
        <f>IF(I58=0,"",I58)</f>
        <v/>
      </c>
      <c r="Y120" s="108" t="str">
        <f>IF(J58=0,"",J58)</f>
        <v/>
      </c>
      <c r="Z120" s="120" t="s">
        <v>6795</v>
      </c>
      <c r="AA120" s="121" t="e">
        <f>VLOOKUP($M:$M,Data!$I:$J,2,FALSE)</f>
        <v>#N/A</v>
      </c>
      <c r="AB120" s="122"/>
    </row>
    <row r="121" spans="12:28">
      <c r="L121" s="9">
        <f>COUNTA(G59)+L120</f>
        <v>94</v>
      </c>
      <c r="M121" s="31">
        <f>H59</f>
        <v>0</v>
      </c>
      <c r="N121" s="82" t="s">
        <v>7430</v>
      </c>
      <c r="O121" s="36">
        <v>31</v>
      </c>
      <c r="P121" s="36">
        <v>219</v>
      </c>
      <c r="Q121" s="32"/>
      <c r="R121" s="32"/>
      <c r="S121" s="32"/>
      <c r="T121" s="32"/>
      <c r="U121" s="36">
        <f>G59</f>
        <v>2</v>
      </c>
      <c r="V121" s="103"/>
      <c r="W121" s="104"/>
      <c r="X121" s="109" t="str">
        <f t="shared" ref="X121:Y122" si="38">IF(I59=0,"",I59)</f>
        <v/>
      </c>
      <c r="Y121" s="109" t="str">
        <f t="shared" si="38"/>
        <v/>
      </c>
      <c r="Z121" s="123"/>
      <c r="AA121" s="124" t="e">
        <f>VLOOKUP($M:$M,Data!$I:$J,2,FALSE)</f>
        <v>#N/A</v>
      </c>
      <c r="AB121" s="125"/>
    </row>
    <row r="122" ht="15.25" spans="12:28">
      <c r="L122" s="14">
        <f>COUNTA(G60)+L121</f>
        <v>94</v>
      </c>
      <c r="M122" s="83">
        <f>H60</f>
        <v>0</v>
      </c>
      <c r="N122" s="84" t="s">
        <v>7430</v>
      </c>
      <c r="O122" s="85">
        <v>31</v>
      </c>
      <c r="P122" s="85">
        <v>219</v>
      </c>
      <c r="Q122" s="110"/>
      <c r="R122" s="110"/>
      <c r="S122" s="110"/>
      <c r="T122" s="110"/>
      <c r="U122" s="85">
        <f>G60</f>
        <v>0</v>
      </c>
      <c r="V122" s="105"/>
      <c r="W122" s="106"/>
      <c r="X122" s="111" t="str">
        <f t="shared" si="38"/>
        <v/>
      </c>
      <c r="Y122" s="111" t="str">
        <f t="shared" si="38"/>
        <v/>
      </c>
      <c r="Z122" s="127"/>
      <c r="AA122" s="128" t="e">
        <f>VLOOKUP($M:$M,Data!$I:$J,2,FALSE)</f>
        <v>#N/A</v>
      </c>
      <c r="AB122" s="126"/>
    </row>
    <row r="123" spans="12:28">
      <c r="L123" s="6">
        <f>COUNTA(G54)+L122</f>
        <v>95</v>
      </c>
      <c r="M123" s="79">
        <f>H54</f>
        <v>0</v>
      </c>
      <c r="N123" s="80" t="s">
        <v>7430</v>
      </c>
      <c r="O123" s="81">
        <v>31</v>
      </c>
      <c r="P123" s="81">
        <v>220</v>
      </c>
      <c r="Q123" s="62" t="str">
        <f>_xlfn.IFS(COUNTA(G54:G56)=1,"Single",COUNTA(G54:G56)=2,"Double",COUNTA(G54:G56)=3,"Triple",COUNTA(G54:G56)=0,"Empty")</f>
        <v>Double</v>
      </c>
      <c r="R123" s="62"/>
      <c r="S123" s="62"/>
      <c r="T123" s="62"/>
      <c r="U123" s="81">
        <f>G54</f>
        <v>1</v>
      </c>
      <c r="V123" s="100">
        <f>COUNT(G54:G56)</f>
        <v>2</v>
      </c>
      <c r="W123" s="101"/>
      <c r="X123" s="108" t="str">
        <f>IF(I54=0,"",I54)</f>
        <v/>
      </c>
      <c r="Y123" s="108" t="str">
        <f>IF(J54=0,"",J54)</f>
        <v/>
      </c>
      <c r="Z123" s="120" t="s">
        <v>7691</v>
      </c>
      <c r="AA123" s="121" t="e">
        <f>VLOOKUP($M:$M,Data!$I:$J,2,FALSE)</f>
        <v>#N/A</v>
      </c>
      <c r="AB123" s="122"/>
    </row>
    <row r="124" spans="12:28">
      <c r="L124" s="9">
        <f>COUNTA(G55)+L123</f>
        <v>96</v>
      </c>
      <c r="M124" s="31">
        <f t="shared" ref="M124:M125" si="39">H55</f>
        <v>0</v>
      </c>
      <c r="N124" s="82" t="s">
        <v>7430</v>
      </c>
      <c r="O124" s="36">
        <v>31</v>
      </c>
      <c r="P124" s="36">
        <v>220</v>
      </c>
      <c r="Q124" s="32"/>
      <c r="R124" s="32"/>
      <c r="S124" s="32"/>
      <c r="T124" s="32"/>
      <c r="U124" s="36">
        <f t="shared" ref="U124:U125" si="40">G55</f>
        <v>2</v>
      </c>
      <c r="V124" s="103"/>
      <c r="W124" s="104"/>
      <c r="X124" s="109" t="str">
        <f t="shared" ref="X124:Y125" si="41">IF(I55=0,"",I55)</f>
        <v/>
      </c>
      <c r="Y124" s="109" t="str">
        <f t="shared" si="41"/>
        <v/>
      </c>
      <c r="Z124" s="123" t="s">
        <v>7692</v>
      </c>
      <c r="AA124" s="124" t="e">
        <f>VLOOKUP($M:$M,Data!$I:$J,2,FALSE)</f>
        <v>#N/A</v>
      </c>
      <c r="AB124" s="125"/>
    </row>
    <row r="125" ht="15.25" spans="12:28">
      <c r="L125" s="14">
        <f>COUNTA(G56)+L124</f>
        <v>96</v>
      </c>
      <c r="M125" s="83">
        <f t="shared" si="39"/>
        <v>0</v>
      </c>
      <c r="N125" s="84" t="s">
        <v>7430</v>
      </c>
      <c r="O125" s="85">
        <v>31</v>
      </c>
      <c r="P125" s="85">
        <v>220</v>
      </c>
      <c r="Q125" s="110"/>
      <c r="R125" s="110"/>
      <c r="S125" s="110"/>
      <c r="T125" s="110"/>
      <c r="U125" s="85">
        <f t="shared" si="40"/>
        <v>0</v>
      </c>
      <c r="V125" s="105"/>
      <c r="W125" s="106"/>
      <c r="X125" s="111" t="str">
        <f t="shared" si="41"/>
        <v/>
      </c>
      <c r="Y125" s="111" t="str">
        <f t="shared" si="41"/>
        <v/>
      </c>
      <c r="Z125" s="127"/>
      <c r="AA125" s="128" t="e">
        <f>VLOOKUP($M:$M,Data!$I:$J,2,FALSE)</f>
        <v>#N/A</v>
      </c>
      <c r="AB125" s="126"/>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117:T119"/>
    <mergeCell ref="V117:W119"/>
    <mergeCell ref="Q120:T122"/>
    <mergeCell ref="V120:W122"/>
    <mergeCell ref="Q123:T125"/>
    <mergeCell ref="V123:W125"/>
    <mergeCell ref="Q108:T110"/>
    <mergeCell ref="V108:W110"/>
    <mergeCell ref="Q111:T113"/>
    <mergeCell ref="V111:W113"/>
    <mergeCell ref="Q114:T116"/>
    <mergeCell ref="V114:W116"/>
    <mergeCell ref="Q99:T101"/>
    <mergeCell ref="V99:W101"/>
    <mergeCell ref="Q102:T104"/>
    <mergeCell ref="V102:W104"/>
    <mergeCell ref="Q105:T107"/>
    <mergeCell ref="V105:W107"/>
    <mergeCell ref="Q93:T95"/>
    <mergeCell ref="V93:W95"/>
    <mergeCell ref="Q96:T98"/>
    <mergeCell ref="V96:W98"/>
    <mergeCell ref="Q87:T89"/>
    <mergeCell ref="V87:W89"/>
    <mergeCell ref="Q90:T92"/>
    <mergeCell ref="V90:W92"/>
    <mergeCell ref="Q81:T83"/>
    <mergeCell ref="V81:W83"/>
    <mergeCell ref="Q84:T86"/>
    <mergeCell ref="V84:W86"/>
    <mergeCell ref="Q72:T74"/>
    <mergeCell ref="V72:W74"/>
    <mergeCell ref="G73:J80"/>
    <mergeCell ref="Q75:T77"/>
    <mergeCell ref="V75:W77"/>
    <mergeCell ref="Q78:T80"/>
    <mergeCell ref="V78:W80"/>
    <mergeCell ref="Q66:T68"/>
    <mergeCell ref="V66:W68"/>
    <mergeCell ref="Q69:T71"/>
    <mergeCell ref="V69:W71"/>
    <mergeCell ref="Q60:T62"/>
    <mergeCell ref="V60:W62"/>
    <mergeCell ref="Q63:T65"/>
    <mergeCell ref="V63:W65"/>
    <mergeCell ref="Q54:T56"/>
    <mergeCell ref="V54:W56"/>
    <mergeCell ref="Q57:T59"/>
    <mergeCell ref="V57:W59"/>
    <mergeCell ref="Q48:T50"/>
    <mergeCell ref="V48:W50"/>
    <mergeCell ref="Q51:T53"/>
    <mergeCell ref="V51:W53"/>
    <mergeCell ref="Q42:T44"/>
    <mergeCell ref="V42:W44"/>
    <mergeCell ref="Q45:T47"/>
    <mergeCell ref="V45:W47"/>
    <mergeCell ref="Q36:T38"/>
    <mergeCell ref="V36:W38"/>
    <mergeCell ref="Q39:T41"/>
    <mergeCell ref="V39:W41"/>
    <mergeCell ref="Q30:T32"/>
    <mergeCell ref="V30:W32"/>
    <mergeCell ref="Q33:T35"/>
    <mergeCell ref="V33:W35"/>
    <mergeCell ref="Q21:T23"/>
    <mergeCell ref="V21:W23"/>
    <mergeCell ref="Q24:T26"/>
    <mergeCell ref="V24:W26"/>
    <mergeCell ref="G26:J33"/>
    <mergeCell ref="Q27:T29"/>
    <mergeCell ref="V27:W29"/>
    <mergeCell ref="Q15:T17"/>
    <mergeCell ref="V15:W17"/>
    <mergeCell ref="Q18:T20"/>
    <mergeCell ref="V18:W20"/>
    <mergeCell ref="Q9:T11"/>
    <mergeCell ref="V9:W11"/>
    <mergeCell ref="Q12:T14"/>
    <mergeCell ref="V12:W14"/>
    <mergeCell ref="Q6:T8"/>
    <mergeCell ref="V6:W8"/>
  </mergeCells>
  <conditionalFormatting sqref="L6">
    <cfRule type="cellIs" dxfId="12" priority="532" operator="equal">
      <formula>0</formula>
    </cfRule>
  </conditionalFormatting>
  <conditionalFormatting sqref="B7:B9">
    <cfRule type="cellIs" dxfId="27" priority="515" operator="notEqual">
      <formula>0</formula>
    </cfRule>
    <cfRule type="expression" dxfId="28" priority="516">
      <formula>COUNTA(C7)&lt;&gt;0</formula>
    </cfRule>
  </conditionalFormatting>
  <conditionalFormatting sqref="B11:B13">
    <cfRule type="cellIs" dxfId="27" priority="513" operator="notEqual">
      <formula>0</formula>
    </cfRule>
    <cfRule type="expression" dxfId="28" priority="514">
      <formula>COUNTA(C11)&lt;&gt;0</formula>
    </cfRule>
  </conditionalFormatting>
  <conditionalFormatting sqref="B15:B17">
    <cfRule type="cellIs" dxfId="27" priority="507" operator="notEqual">
      <formula>0</formula>
    </cfRule>
    <cfRule type="expression" dxfId="28" priority="508">
      <formula>COUNTA(C15)&lt;&gt;0</formula>
    </cfRule>
  </conditionalFormatting>
  <conditionalFormatting sqref="B19:B21">
    <cfRule type="cellIs" dxfId="27" priority="505" operator="notEqual">
      <formula>0</formula>
    </cfRule>
    <cfRule type="expression" dxfId="28" priority="506">
      <formula>COUNTA(C19)&lt;&gt;0</formula>
    </cfRule>
  </conditionalFormatting>
  <conditionalFormatting sqref="B23:B25">
    <cfRule type="cellIs" dxfId="27" priority="499" operator="notEqual">
      <formula>0</formula>
    </cfRule>
    <cfRule type="expression" dxfId="28" priority="500">
      <formula>COUNTA(C23)&lt;&gt;0</formula>
    </cfRule>
  </conditionalFormatting>
  <conditionalFormatting sqref="B27:B29">
    <cfRule type="cellIs" dxfId="27" priority="497" operator="notEqual">
      <formula>0</formula>
    </cfRule>
    <cfRule type="expression" dxfId="28" priority="498">
      <formula>COUNTA(C27)&lt;&gt;0</formula>
    </cfRule>
  </conditionalFormatting>
  <conditionalFormatting sqref="B31:B33">
    <cfRule type="cellIs" dxfId="27" priority="495" operator="notEqual">
      <formula>0</formula>
    </cfRule>
    <cfRule type="expression" dxfId="28" priority="496">
      <formula>COUNTA(C31)&lt;&gt;0</formula>
    </cfRule>
  </conditionalFormatting>
  <conditionalFormatting sqref="B35:B37">
    <cfRule type="cellIs" dxfId="27" priority="493" operator="notEqual">
      <formula>0</formula>
    </cfRule>
    <cfRule type="expression" dxfId="28" priority="494">
      <formula>COUNTA(C35)&lt;&gt;0</formula>
    </cfRule>
  </conditionalFormatting>
  <conditionalFormatting sqref="B39:B41">
    <cfRule type="cellIs" dxfId="27" priority="487" operator="notEqual">
      <formula>0</formula>
    </cfRule>
    <cfRule type="expression" dxfId="28" priority="488">
      <formula>COUNTA(C39)&lt;&gt;0</formula>
    </cfRule>
  </conditionalFormatting>
  <conditionalFormatting sqref="B43:B45">
    <cfRule type="cellIs" dxfId="27" priority="485" operator="notEqual">
      <formula>0</formula>
    </cfRule>
    <cfRule type="expression" dxfId="28" priority="486">
      <formula>COUNTA(C43)&lt;&gt;0</formula>
    </cfRule>
  </conditionalFormatting>
  <conditionalFormatting sqref="B47:B49">
    <cfRule type="cellIs" dxfId="27" priority="479" operator="notEqual">
      <formula>0</formula>
    </cfRule>
    <cfRule type="expression" dxfId="28" priority="480">
      <formula>COUNTA(C47)&lt;&gt;0</formula>
    </cfRule>
  </conditionalFormatting>
  <conditionalFormatting sqref="B54:B56">
    <cfRule type="cellIs" dxfId="27" priority="455" operator="notEqual">
      <formula>0</formula>
    </cfRule>
    <cfRule type="expression" dxfId="28" priority="456">
      <formula>COUNTA(C54)&lt;&gt;0</formula>
    </cfRule>
  </conditionalFormatting>
  <conditionalFormatting sqref="B58:B60">
    <cfRule type="cellIs" dxfId="27" priority="453" operator="notEqual">
      <formula>0</formula>
    </cfRule>
    <cfRule type="expression" dxfId="28" priority="454">
      <formula>COUNTA(C58)&lt;&gt;0</formula>
    </cfRule>
  </conditionalFormatting>
  <conditionalFormatting sqref="B62:B64">
    <cfRule type="cellIs" dxfId="27" priority="447" operator="notEqual">
      <formula>0</formula>
    </cfRule>
    <cfRule type="expression" dxfId="28" priority="448">
      <formula>COUNTA(C62)&lt;&gt;0</formula>
    </cfRule>
  </conditionalFormatting>
  <conditionalFormatting sqref="B66:B68">
    <cfRule type="cellIs" dxfId="27" priority="445" operator="notEqual">
      <formula>0</formula>
    </cfRule>
    <cfRule type="expression" dxfId="28" priority="446">
      <formula>COUNTA(C66)&lt;&gt;0</formula>
    </cfRule>
  </conditionalFormatting>
  <conditionalFormatting sqref="B70:B72">
    <cfRule type="cellIs" dxfId="27" priority="439" operator="notEqual">
      <formula>0</formula>
    </cfRule>
    <cfRule type="expression" dxfId="28" priority="440">
      <formula>COUNTA(C70)&lt;&gt;0</formula>
    </cfRule>
  </conditionalFormatting>
  <conditionalFormatting sqref="B74:B76">
    <cfRule type="cellIs" dxfId="27" priority="437" operator="notEqual">
      <formula>0</formula>
    </cfRule>
    <cfRule type="expression" dxfId="28" priority="438">
      <formula>COUNTA(C74)&lt;&gt;0</formula>
    </cfRule>
  </conditionalFormatting>
  <conditionalFormatting sqref="B78:B80">
    <cfRule type="cellIs" dxfId="27" priority="435" operator="notEqual">
      <formula>0</formula>
    </cfRule>
    <cfRule type="expression" dxfId="28" priority="436">
      <formula>COUNTA(C78)&lt;&gt;0</formula>
    </cfRule>
  </conditionalFormatting>
  <conditionalFormatting sqref="B82:B84">
    <cfRule type="cellIs" dxfId="27" priority="433" operator="notEqual">
      <formula>0</formula>
    </cfRule>
    <cfRule type="expression" dxfId="28" priority="434">
      <formula>COUNTA(C82)&lt;&gt;0</formula>
    </cfRule>
  </conditionalFormatting>
  <conditionalFormatting sqref="B86:B88">
    <cfRule type="cellIs" dxfId="27" priority="427" operator="notEqual">
      <formula>0</formula>
    </cfRule>
    <cfRule type="expression" dxfId="28" priority="428">
      <formula>COUNTA(C86)&lt;&gt;0</formula>
    </cfRule>
  </conditionalFormatting>
  <conditionalFormatting sqref="B90:B92">
    <cfRule type="cellIs" dxfId="27" priority="425" operator="notEqual">
      <formula>0</formula>
    </cfRule>
    <cfRule type="expression" dxfId="28" priority="426">
      <formula>COUNTA(C90)&lt;&gt;0</formula>
    </cfRule>
  </conditionalFormatting>
  <conditionalFormatting sqref="B94:B96">
    <cfRule type="cellIs" dxfId="27" priority="419" operator="notEqual">
      <formula>0</formula>
    </cfRule>
    <cfRule type="expression" dxfId="28" priority="420">
      <formula>COUNTA(C94)&lt;&gt;0</formula>
    </cfRule>
  </conditionalFormatting>
  <conditionalFormatting sqref="C7:C9">
    <cfRule type="cellIs" dxfId="2" priority="519" operator="notEqual">
      <formula>0</formula>
    </cfRule>
  </conditionalFormatting>
  <conditionalFormatting sqref="C11:C13">
    <cfRule type="cellIs" dxfId="2" priority="520" operator="notEqual">
      <formula>0</formula>
    </cfRule>
  </conditionalFormatting>
  <conditionalFormatting sqref="C15:C17">
    <cfRule type="cellIs" dxfId="2" priority="521" operator="notEqual">
      <formula>0</formula>
    </cfRule>
  </conditionalFormatting>
  <conditionalFormatting sqref="C19:C21">
    <cfRule type="cellIs" dxfId="2" priority="522" operator="notEqual">
      <formula>0</formula>
    </cfRule>
  </conditionalFormatting>
  <conditionalFormatting sqref="C23:C25">
    <cfRule type="cellIs" dxfId="2" priority="523" operator="notEqual">
      <formula>0</formula>
    </cfRule>
  </conditionalFormatting>
  <conditionalFormatting sqref="C27:C29">
    <cfRule type="cellIs" dxfId="2" priority="524" operator="notEqual">
      <formula>0</formula>
    </cfRule>
  </conditionalFormatting>
  <conditionalFormatting sqref="C31:C33">
    <cfRule type="cellIs" dxfId="2" priority="525" operator="notEqual">
      <formula>0</formula>
    </cfRule>
  </conditionalFormatting>
  <conditionalFormatting sqref="C35:C37">
    <cfRule type="cellIs" dxfId="2" priority="526" operator="notEqual">
      <formula>0</formula>
    </cfRule>
  </conditionalFormatting>
  <conditionalFormatting sqref="C39:C41">
    <cfRule type="cellIs" dxfId="2" priority="527" operator="notEqual">
      <formula>0</formula>
    </cfRule>
  </conditionalFormatting>
  <conditionalFormatting sqref="C43:C45">
    <cfRule type="cellIs" dxfId="2" priority="528" operator="notEqual">
      <formula>0</formula>
    </cfRule>
  </conditionalFormatting>
  <conditionalFormatting sqref="C47:C49">
    <cfRule type="cellIs" dxfId="2" priority="529" operator="notEqual">
      <formula>0</formula>
    </cfRule>
  </conditionalFormatting>
  <conditionalFormatting sqref="C54:C56">
    <cfRule type="cellIs" dxfId="2" priority="459" operator="notEqual">
      <formula>0</formula>
    </cfRule>
  </conditionalFormatting>
  <conditionalFormatting sqref="C58:C60">
    <cfRule type="cellIs" dxfId="2" priority="460" operator="notEqual">
      <formula>0</formula>
    </cfRule>
  </conditionalFormatting>
  <conditionalFormatting sqref="C62:C64">
    <cfRule type="cellIs" dxfId="2" priority="461" operator="notEqual">
      <formula>0</formula>
    </cfRule>
  </conditionalFormatting>
  <conditionalFormatting sqref="C66:C68">
    <cfRule type="cellIs" dxfId="2" priority="462" operator="notEqual">
      <formula>0</formula>
    </cfRule>
  </conditionalFormatting>
  <conditionalFormatting sqref="C70:C72">
    <cfRule type="cellIs" dxfId="2" priority="463" operator="notEqual">
      <formula>0</formula>
    </cfRule>
  </conditionalFormatting>
  <conditionalFormatting sqref="C74:C76">
    <cfRule type="cellIs" dxfId="2" priority="464" operator="notEqual">
      <formula>0</formula>
    </cfRule>
  </conditionalFormatting>
  <conditionalFormatting sqref="C78:C80">
    <cfRule type="cellIs" dxfId="2" priority="465" operator="notEqual">
      <formula>0</formula>
    </cfRule>
  </conditionalFormatting>
  <conditionalFormatting sqref="C82:C84">
    <cfRule type="cellIs" dxfId="2" priority="466" operator="notEqual">
      <formula>0</formula>
    </cfRule>
  </conditionalFormatting>
  <conditionalFormatting sqref="C86:C88">
    <cfRule type="cellIs" dxfId="2" priority="467" operator="notEqual">
      <formula>0</formula>
    </cfRule>
  </conditionalFormatting>
  <conditionalFormatting sqref="C90:C92">
    <cfRule type="cellIs" dxfId="2" priority="468" operator="notEqual">
      <formula>0</formula>
    </cfRule>
  </conditionalFormatting>
  <conditionalFormatting sqref="C94:C96">
    <cfRule type="cellIs" dxfId="2" priority="469" operator="notEqual">
      <formula>0</formula>
    </cfRule>
  </conditionalFormatting>
  <conditionalFormatting sqref="D7:D9">
    <cfRule type="cellIs" dxfId="22" priority="394" operator="equal">
      <formula>""</formula>
    </cfRule>
    <cfRule type="cellIs" dxfId="22" priority="395" operator="greaterThan">
      <formula>TODAY()</formula>
    </cfRule>
    <cfRule type="expression" dxfId="14" priority="405">
      <formula>AND(D7&lt;TODAY(),E7="")</formula>
    </cfRule>
    <cfRule type="expression" dxfId="13" priority="406">
      <formula>E7&lt;TODAY()</formula>
    </cfRule>
    <cfRule type="expression" dxfId="14" priority="407">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401" operator="equal">
      <formula>0</formula>
    </cfRule>
    <cfRule type="cellIs" dxfId="29" priority="402" operator="lessThan">
      <formula>D7</formula>
    </cfRule>
    <cfRule type="expression" dxfId="13" priority="403">
      <formula>E7&lt;TODAY()</formula>
    </cfRule>
    <cfRule type="expression" dxfId="14" priority="404">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517" operator="notEqual">
      <formula>0</formula>
    </cfRule>
    <cfRule type="expression" dxfId="28" priority="518">
      <formula>COUNTA(H7)&lt;&gt;0</formula>
    </cfRule>
  </conditionalFormatting>
  <conditionalFormatting sqref="G11:G13">
    <cfRule type="cellIs" dxfId="27" priority="511" operator="notEqual">
      <formula>0</formula>
    </cfRule>
    <cfRule type="expression" dxfId="28" priority="512">
      <formula>COUNTA(H11)&lt;&gt;0</formula>
    </cfRule>
  </conditionalFormatting>
  <conditionalFormatting sqref="G15:G17">
    <cfRule type="cellIs" dxfId="27" priority="509" operator="notEqual">
      <formula>0</formula>
    </cfRule>
    <cfRule type="expression" dxfId="28" priority="510">
      <formula>COUNTA(H15)&lt;&gt;0</formula>
    </cfRule>
  </conditionalFormatting>
  <conditionalFormatting sqref="G19:G21">
    <cfRule type="cellIs" dxfId="27" priority="503" operator="notEqual">
      <formula>0</formula>
    </cfRule>
    <cfRule type="expression" dxfId="28" priority="504">
      <formula>COUNTA(H19)&lt;&gt;0</formula>
    </cfRule>
  </conditionalFormatting>
  <conditionalFormatting sqref="G23:G25">
    <cfRule type="cellIs" dxfId="27" priority="501" operator="notEqual">
      <formula>0</formula>
    </cfRule>
    <cfRule type="expression" dxfId="28" priority="502">
      <formula>COUNTA(H23)&lt;&gt;0</formula>
    </cfRule>
  </conditionalFormatting>
  <conditionalFormatting sqref="G35:G37">
    <cfRule type="cellIs" dxfId="27" priority="491" operator="notEqual">
      <formula>0</formula>
    </cfRule>
    <cfRule type="expression" dxfId="28" priority="492">
      <formula>COUNTA(H35)&lt;&gt;0</formula>
    </cfRule>
  </conditionalFormatting>
  <conditionalFormatting sqref="G39:G41">
    <cfRule type="cellIs" dxfId="27" priority="489" operator="notEqual">
      <formula>0</formula>
    </cfRule>
    <cfRule type="expression" dxfId="28" priority="490">
      <formula>COUNTA(H39)&lt;&gt;0</formula>
    </cfRule>
  </conditionalFormatting>
  <conditionalFormatting sqref="G43:G45">
    <cfRule type="cellIs" dxfId="27" priority="483" operator="notEqual">
      <formula>0</formula>
    </cfRule>
    <cfRule type="expression" dxfId="28" priority="484">
      <formula>COUNTA(H43)&lt;&gt;0</formula>
    </cfRule>
  </conditionalFormatting>
  <conditionalFormatting sqref="G47:G49">
    <cfRule type="cellIs" dxfId="27" priority="481" operator="notEqual">
      <formula>0</formula>
    </cfRule>
    <cfRule type="expression" dxfId="28" priority="482">
      <formula>COUNTA(H47)&lt;&gt;0</formula>
    </cfRule>
  </conditionalFormatting>
  <conditionalFormatting sqref="G54:G56">
    <cfRule type="cellIs" dxfId="27" priority="457" operator="notEqual">
      <formula>0</formula>
    </cfRule>
    <cfRule type="expression" dxfId="28" priority="458">
      <formula>COUNTA(H54)&lt;&gt;0</formula>
    </cfRule>
  </conditionalFormatting>
  <conditionalFormatting sqref="G58:G60">
    <cfRule type="cellIs" dxfId="27" priority="451" operator="notEqual">
      <formula>0</formula>
    </cfRule>
    <cfRule type="expression" dxfId="28" priority="452">
      <formula>COUNTA(H58)&lt;&gt;0</formula>
    </cfRule>
  </conditionalFormatting>
  <conditionalFormatting sqref="G62:G64">
    <cfRule type="cellIs" dxfId="27" priority="449" operator="notEqual">
      <formula>0</formula>
    </cfRule>
    <cfRule type="expression" dxfId="28" priority="450">
      <formula>COUNTA(H62)&lt;&gt;0</formula>
    </cfRule>
  </conditionalFormatting>
  <conditionalFormatting sqref="G66:G68">
    <cfRule type="cellIs" dxfId="27" priority="443" operator="notEqual">
      <formula>0</formula>
    </cfRule>
    <cfRule type="expression" dxfId="28" priority="444">
      <formula>COUNTA(H66)&lt;&gt;0</formula>
    </cfRule>
  </conditionalFormatting>
  <conditionalFormatting sqref="G70:G72">
    <cfRule type="cellIs" dxfId="27" priority="441" operator="notEqual">
      <formula>0</formula>
    </cfRule>
    <cfRule type="expression" dxfId="28" priority="442">
      <formula>COUNTA(H70)&lt;&gt;0</formula>
    </cfRule>
  </conditionalFormatting>
  <conditionalFormatting sqref="G82:G84">
    <cfRule type="cellIs" dxfId="27" priority="431" operator="notEqual">
      <formula>0</formula>
    </cfRule>
    <cfRule type="expression" dxfId="28" priority="432">
      <formula>COUNTA(H82)&lt;&gt;0</formula>
    </cfRule>
  </conditionalFormatting>
  <conditionalFormatting sqref="G86:G88">
    <cfRule type="cellIs" dxfId="27" priority="429" operator="notEqual">
      <formula>0</formula>
    </cfRule>
    <cfRule type="expression" dxfId="28" priority="430">
      <formula>COUNTA(H86)&lt;&gt;0</formula>
    </cfRule>
  </conditionalFormatting>
  <conditionalFormatting sqref="G90:G92">
    <cfRule type="cellIs" dxfId="27" priority="423" operator="notEqual">
      <formula>0</formula>
    </cfRule>
    <cfRule type="expression" dxfId="28" priority="424">
      <formula>COUNTA(H90)&lt;&gt;0</formula>
    </cfRule>
  </conditionalFormatting>
  <conditionalFormatting sqref="G94:G96">
    <cfRule type="cellIs" dxfId="27" priority="421" operator="notEqual">
      <formula>0</formula>
    </cfRule>
    <cfRule type="expression" dxfId="28" priority="422">
      <formula>COUNTA(H94)&lt;&gt;0</formula>
    </cfRule>
  </conditionalFormatting>
  <conditionalFormatting sqref="H7:H9">
    <cfRule type="cellIs" dxfId="2" priority="470" operator="notEqual">
      <formula>0</formula>
    </cfRule>
  </conditionalFormatting>
  <conditionalFormatting sqref="H11:H13">
    <cfRule type="cellIs" dxfId="2" priority="471" operator="notEqual">
      <formula>0</formula>
    </cfRule>
  </conditionalFormatting>
  <conditionalFormatting sqref="H15:H17">
    <cfRule type="cellIs" dxfId="2" priority="472" operator="notEqual">
      <formula>0</formula>
    </cfRule>
  </conditionalFormatting>
  <conditionalFormatting sqref="H19:H21">
    <cfRule type="cellIs" dxfId="2" priority="473" operator="notEqual">
      <formula>0</formula>
    </cfRule>
  </conditionalFormatting>
  <conditionalFormatting sqref="H23:H25">
    <cfRule type="cellIs" dxfId="2" priority="474" operator="notEqual">
      <formula>0</formula>
    </cfRule>
  </conditionalFormatting>
  <conditionalFormatting sqref="H35:H37">
    <cfRule type="cellIs" dxfId="2" priority="475" operator="notEqual">
      <formula>0</formula>
    </cfRule>
  </conditionalFormatting>
  <conditionalFormatting sqref="H39:H41">
    <cfRule type="cellIs" dxfId="2" priority="476" operator="notEqual">
      <formula>0</formula>
    </cfRule>
  </conditionalFormatting>
  <conditionalFormatting sqref="H43:H45">
    <cfRule type="cellIs" dxfId="2" priority="477" operator="notEqual">
      <formula>0</formula>
    </cfRule>
  </conditionalFormatting>
  <conditionalFormatting sqref="H47:H49">
    <cfRule type="cellIs" dxfId="2" priority="478" operator="notEqual">
      <formula>0</formula>
    </cfRule>
  </conditionalFormatting>
  <conditionalFormatting sqref="H54:H56">
    <cfRule type="cellIs" dxfId="2" priority="410" operator="notEqual">
      <formula>0</formula>
    </cfRule>
  </conditionalFormatting>
  <conditionalFormatting sqref="H58:H60">
    <cfRule type="cellIs" dxfId="2" priority="411" operator="notEqual">
      <formula>0</formula>
    </cfRule>
  </conditionalFormatting>
  <conditionalFormatting sqref="H62:H64">
    <cfRule type="cellIs" dxfId="2" priority="412" operator="notEqual">
      <formula>0</formula>
    </cfRule>
  </conditionalFormatting>
  <conditionalFormatting sqref="H66:H68">
    <cfRule type="cellIs" dxfId="2" priority="413" operator="notEqual">
      <formula>0</formula>
    </cfRule>
  </conditionalFormatting>
  <conditionalFormatting sqref="H70:H72">
    <cfRule type="cellIs" dxfId="2" priority="414" operator="notEqual">
      <formula>0</formula>
    </cfRule>
  </conditionalFormatting>
  <conditionalFormatting sqref="H82:H84">
    <cfRule type="cellIs" dxfId="2" priority="415" operator="notEqual">
      <formula>0</formula>
    </cfRule>
  </conditionalFormatting>
  <conditionalFormatting sqref="H86:H88">
    <cfRule type="cellIs" dxfId="2" priority="416" operator="notEqual">
      <formula>0</formula>
    </cfRule>
  </conditionalFormatting>
  <conditionalFormatting sqref="H90:H92">
    <cfRule type="cellIs" dxfId="2" priority="417" operator="notEqual">
      <formula>0</formula>
    </cfRule>
  </conditionalFormatting>
  <conditionalFormatting sqref="H94:H96">
    <cfRule type="cellIs" dxfId="2" priority="418"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533" operator="equal">
      <formula>L6</formula>
    </cfRule>
  </conditionalFormatting>
  <conditionalFormatting sqref="M$1:M$1048576">
    <cfRule type="cellIs" dxfId="12" priority="530" operator="equal">
      <formula>0</formula>
    </cfRule>
  </conditionalFormatting>
  <conditionalFormatting sqref="U6:U125">
    <cfRule type="cellIs" dxfId="12" priority="531" operator="equal">
      <formula>0</formula>
    </cfRule>
  </conditionalFormatting>
  <conditionalFormatting sqref="X6:X125">
    <cfRule type="expression" dxfId="13" priority="399">
      <formula>Y6&lt;TODAY()</formula>
    </cfRule>
    <cfRule type="expression" dxfId="14" priority="400">
      <formula>X6&lt;TODAY()</formula>
    </cfRule>
  </conditionalFormatting>
  <conditionalFormatting sqref="Y6:Y125">
    <cfRule type="expression" dxfId="15" priority="393">
      <formula>AND(Y6&lt;X6,X6&lt;&gt;"")</formula>
    </cfRule>
    <cfRule type="expression" dxfId="13" priority="396">
      <formula>Y6&lt;TODAY()</formula>
    </cfRule>
    <cfRule type="expression" dxfId="14" priority="397">
      <formula>AND(Y6&gt;TODAY(),X6="")</formula>
    </cfRule>
    <cfRule type="expression" dxfId="14" priority="398">
      <formula>X6&lt;TODAY()</formula>
    </cfRule>
  </conditionalFormatting>
  <conditionalFormatting sqref="AB6:AB125">
    <cfRule type="cellIs" dxfId="30" priority="409"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392" operator="equal">
      <formula>""</formula>
    </cfRule>
  </conditionalFormatting>
  <conditionalFormatting sqref="D8:E9">
    <cfRule type="cellIs" dxfId="2" priority="408"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D165"/>
  <sheetViews>
    <sheetView zoomScale="85" zoomScaleNormal="85" workbookViewId="0">
      <pane ySplit="5" topLeftCell="A38" activePane="bottomLeft" state="frozen"/>
      <selection/>
      <selection pane="bottomLeft" activeCell="B4" sqref="B4:J60"/>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19" width="6.70909090909091" style="2" customWidth="1"/>
    <col min="20" max="20" width="7.42727272727273" style="2" customWidth="1"/>
    <col min="21" max="25" width="6.70909090909091" style="2" customWidth="1"/>
    <col min="26" max="27" width="13.7090909090909" style="40" customWidth="1"/>
    <col min="28" max="28" width="7.70909090909091" style="41" customWidth="1"/>
    <col min="29" max="29" width="9.42727272727273" style="2" customWidth="1"/>
    <col min="30" max="30" width="38" style="42" customWidth="1"/>
    <col min="31" max="16384" width="8.70909090909091" style="18"/>
  </cols>
  <sheetData>
    <row r="1" ht="15.25"/>
    <row r="2" s="2" customFormat="1" ht="15" customHeight="1" spans="4:30">
      <c r="D2" s="129"/>
      <c r="E2" s="129"/>
      <c r="I2" s="129"/>
      <c r="J2" s="129"/>
      <c r="L2" s="77" t="s">
        <v>6565</v>
      </c>
      <c r="M2" s="77" t="s">
        <v>6566</v>
      </c>
      <c r="N2" s="77" t="s">
        <v>6567</v>
      </c>
      <c r="O2" s="77" t="s">
        <v>6568</v>
      </c>
      <c r="P2" s="74" t="s">
        <v>7693</v>
      </c>
      <c r="Q2" s="90"/>
      <c r="R2" s="90"/>
      <c r="S2" s="90"/>
      <c r="T2" s="90"/>
      <c r="U2" s="91"/>
      <c r="V2" s="74" t="s">
        <v>6570</v>
      </c>
      <c r="W2" s="90"/>
      <c r="X2" s="90"/>
      <c r="Y2" s="91"/>
      <c r="Z2" s="92" t="s">
        <v>6571</v>
      </c>
      <c r="AA2" s="112"/>
      <c r="AB2" s="114"/>
      <c r="AC2" s="73"/>
      <c r="AD2" s="73" t="s">
        <v>6572</v>
      </c>
    </row>
    <row r="3" ht="15" customHeight="1" spans="3:30">
      <c r="C3" s="42"/>
      <c r="D3" s="43"/>
      <c r="E3" s="43"/>
      <c r="I3" s="43"/>
      <c r="J3" s="43"/>
      <c r="L3" s="94"/>
      <c r="M3" s="94"/>
      <c r="N3" s="94"/>
      <c r="O3" s="94"/>
      <c r="P3" s="73" t="s">
        <v>6574</v>
      </c>
      <c r="Q3" s="146" t="s">
        <v>6575</v>
      </c>
      <c r="R3" s="147" t="s">
        <v>6576</v>
      </c>
      <c r="S3" s="148" t="s">
        <v>6577</v>
      </c>
      <c r="T3" s="149" t="s">
        <v>6578</v>
      </c>
      <c r="U3" s="93" t="s">
        <v>6579</v>
      </c>
      <c r="V3" s="150">
        <v>1</v>
      </c>
      <c r="W3" s="151">
        <v>2</v>
      </c>
      <c r="X3" s="152">
        <v>3</v>
      </c>
      <c r="Y3" s="162">
        <v>4</v>
      </c>
      <c r="Z3" s="95" t="s">
        <v>6580</v>
      </c>
      <c r="AA3" s="95" t="s">
        <v>6581</v>
      </c>
      <c r="AB3" s="114" t="s">
        <v>6</v>
      </c>
      <c r="AC3" s="115" t="s">
        <v>6582</v>
      </c>
      <c r="AD3" s="116"/>
    </row>
    <row r="4" ht="19.25" spans="3:30">
      <c r="C4" s="44" t="s">
        <v>7694</v>
      </c>
      <c r="D4" s="44"/>
      <c r="E4" s="44"/>
      <c r="F4" s="44"/>
      <c r="G4" s="44"/>
      <c r="H4" s="44"/>
      <c r="I4" s="44"/>
      <c r="J4" s="75"/>
      <c r="L4" s="73"/>
      <c r="M4" s="73">
        <f>Q4+R4*2+S4*3+T4*4</f>
        <v>122</v>
      </c>
      <c r="N4" s="76"/>
      <c r="O4" s="73"/>
      <c r="P4" s="73">
        <f>SUM(Q4:T4)</f>
        <v>37</v>
      </c>
      <c r="Q4" s="146">
        <f>COUNTIFS(Q6:U164,"=Single")</f>
        <v>6</v>
      </c>
      <c r="R4" s="147">
        <f>COUNTIFS(Q6:U164,"=Double")</f>
        <v>2</v>
      </c>
      <c r="S4" s="148">
        <f>COUNTIFS(Q6:U164,"=Triple")</f>
        <v>4</v>
      </c>
      <c r="T4" s="149">
        <f>COUNTIFS(Q6:U164,"=Quadre")</f>
        <v>25</v>
      </c>
      <c r="U4" s="96">
        <f>COUNTIFS(Q6:U164,"=Empty")</f>
        <v>1</v>
      </c>
      <c r="V4" s="153">
        <f>COUNTIFS(W6:Y165,"=1")</f>
        <v>6</v>
      </c>
      <c r="W4" s="154">
        <f>COUNTIFS(W6:Y165,"=2")</f>
        <v>2</v>
      </c>
      <c r="X4" s="155">
        <f>COUNTIFS(W6:Y165,"=3")</f>
        <v>4</v>
      </c>
      <c r="Y4" s="163">
        <f>COUNTIFS(W6:Y165,"=4")</f>
        <v>27</v>
      </c>
      <c r="Z4" s="97"/>
      <c r="AA4" s="97"/>
      <c r="AB4" s="115">
        <f>COUNTA(AB6:AB170)</f>
        <v>0</v>
      </c>
      <c r="AC4" s="115">
        <f>COUNTA(AC6:AC165)-SUM(COUNTIF(AC6:AC165,{"#N/A"}))</f>
        <v>3</v>
      </c>
      <c r="AD4" s="116"/>
    </row>
    <row r="5" ht="15.25" spans="2:30">
      <c r="B5" s="130" t="s">
        <v>7427</v>
      </c>
      <c r="C5" s="130"/>
      <c r="D5" s="130"/>
      <c r="E5" s="130"/>
      <c r="G5" s="131" t="s">
        <v>7427</v>
      </c>
      <c r="H5" s="131"/>
      <c r="I5" s="131"/>
      <c r="J5" s="131"/>
      <c r="L5" s="77"/>
      <c r="M5" s="78"/>
      <c r="N5" s="77"/>
      <c r="O5" s="77"/>
      <c r="P5" s="77"/>
      <c r="Q5" s="96"/>
      <c r="R5" s="96"/>
      <c r="S5" s="96"/>
      <c r="T5" s="96"/>
      <c r="U5" s="96"/>
      <c r="V5" s="156">
        <f>SUM(W6:Y165)</f>
        <v>130</v>
      </c>
      <c r="W5" s="157" t="s">
        <v>7695</v>
      </c>
      <c r="X5" s="158"/>
      <c r="Y5" s="156">
        <f>V4+W4+X4+Y4</f>
        <v>39</v>
      </c>
      <c r="Z5" s="99"/>
      <c r="AA5" s="99"/>
      <c r="AB5" s="117"/>
      <c r="AC5" s="118"/>
      <c r="AD5" s="119"/>
    </row>
    <row r="6" ht="14.65" customHeight="1" spans="2:30">
      <c r="B6" s="46">
        <v>101</v>
      </c>
      <c r="C6" s="132"/>
      <c r="D6" s="62" t="s">
        <v>6580</v>
      </c>
      <c r="E6" s="8" t="s">
        <v>6581</v>
      </c>
      <c r="G6" s="46">
        <v>120</v>
      </c>
      <c r="H6" s="132"/>
      <c r="I6" s="62" t="s">
        <v>6580</v>
      </c>
      <c r="J6" s="8" t="s">
        <v>6581</v>
      </c>
      <c r="L6" s="6">
        <f>COUNTA(B7)</f>
        <v>1</v>
      </c>
      <c r="M6" s="79">
        <f>C7</f>
        <v>0</v>
      </c>
      <c r="N6" s="143" t="s">
        <v>7696</v>
      </c>
      <c r="O6" s="81">
        <v>32</v>
      </c>
      <c r="P6" s="81">
        <v>101</v>
      </c>
      <c r="Q6" s="100" t="str">
        <f>_xlfn.IFS(COUNTA(B7:B10)=1,"Single",COUNTA(B7:B10)=2,"Double",COUNTA(B7:B10)=3,"Triple",COUNTA(B7:B10)=4,"Quadre",COUNTA(B7:B10)=0,"Empty")</f>
        <v>Quadre</v>
      </c>
      <c r="R6" s="159"/>
      <c r="S6" s="159"/>
      <c r="T6" s="159"/>
      <c r="U6" s="101"/>
      <c r="V6" s="81">
        <f>B7</f>
        <v>1</v>
      </c>
      <c r="W6" s="100">
        <f>COUNT(B7:B10)</f>
        <v>4</v>
      </c>
      <c r="X6" s="159"/>
      <c r="Y6" s="101"/>
      <c r="Z6" s="102" t="str">
        <f t="shared" ref="Z6:AA9" si="0">IF(D7=0,"",D7)</f>
        <v/>
      </c>
      <c r="AA6" s="108" t="str">
        <f t="shared" si="0"/>
        <v/>
      </c>
      <c r="AB6" s="164"/>
      <c r="AC6" s="143" t="e">
        <f>VLOOKUP($M:$M,Data!$I:$J,2,FALSE)</f>
        <v>#N/A</v>
      </c>
      <c r="AD6" s="165"/>
    </row>
    <row r="7" spans="2:30">
      <c r="B7" s="133">
        <v>1</v>
      </c>
      <c r="C7" s="134">
        <f>VLOOKUP("32/101/1",Data!$A$2:$E$1425,3,FALSE)</f>
        <v>0</v>
      </c>
      <c r="D7" s="135"/>
      <c r="E7" s="136"/>
      <c r="G7" s="133">
        <v>1</v>
      </c>
      <c r="H7" s="134">
        <f>VLOOKUP("32/120/1",Data!$A$2:$E$1425,3,FALSE)</f>
        <v>0</v>
      </c>
      <c r="I7" s="135"/>
      <c r="J7" s="136"/>
      <c r="L7" s="9">
        <f>COUNTA(B8)+L6</f>
        <v>2</v>
      </c>
      <c r="M7" s="31">
        <f>C8</f>
        <v>0</v>
      </c>
      <c r="N7" s="144" t="s">
        <v>7696</v>
      </c>
      <c r="O7" s="36">
        <v>32</v>
      </c>
      <c r="P7" s="36">
        <v>101</v>
      </c>
      <c r="Q7" s="103"/>
      <c r="R7" s="160"/>
      <c r="S7" s="160"/>
      <c r="T7" s="160"/>
      <c r="U7" s="104"/>
      <c r="V7" s="36">
        <f>B8</f>
        <v>2</v>
      </c>
      <c r="W7" s="103"/>
      <c r="X7" s="160"/>
      <c r="Y7" s="104"/>
      <c r="Z7" s="52" t="str">
        <f t="shared" si="0"/>
        <v/>
      </c>
      <c r="AA7" s="109" t="str">
        <f t="shared" si="0"/>
        <v/>
      </c>
      <c r="AB7" s="166"/>
      <c r="AC7" s="144" t="e">
        <f>VLOOKUP($M:$M,Data!$I:$J,2,FALSE)</f>
        <v>#N/A</v>
      </c>
      <c r="AD7" s="167"/>
    </row>
    <row r="8" spans="2:30">
      <c r="B8" s="133">
        <v>2</v>
      </c>
      <c r="C8" s="134">
        <f>VLOOKUP("32/101/2",Data!$A$2:$E$1425,3,FALSE)</f>
        <v>0</v>
      </c>
      <c r="D8" s="137"/>
      <c r="E8" s="138"/>
      <c r="G8" s="133"/>
      <c r="H8" s="134">
        <f>VLOOKUP("32/120/2",Data!$A$2:$E$1425,3,FALSE)</f>
        <v>0</v>
      </c>
      <c r="I8" s="137"/>
      <c r="J8" s="138"/>
      <c r="L8" s="9">
        <f>COUNTA(B9)+L7</f>
        <v>3</v>
      </c>
      <c r="M8" s="31">
        <f>C9</f>
        <v>0</v>
      </c>
      <c r="N8" s="144" t="s">
        <v>7696</v>
      </c>
      <c r="O8" s="36">
        <v>32</v>
      </c>
      <c r="P8" s="36">
        <v>101</v>
      </c>
      <c r="Q8" s="103"/>
      <c r="R8" s="160"/>
      <c r="S8" s="160"/>
      <c r="T8" s="160"/>
      <c r="U8" s="104"/>
      <c r="V8" s="36">
        <f>B9</f>
        <v>3</v>
      </c>
      <c r="W8" s="103"/>
      <c r="X8" s="160"/>
      <c r="Y8" s="104"/>
      <c r="Z8" s="52" t="str">
        <f t="shared" si="0"/>
        <v/>
      </c>
      <c r="AA8" s="109" t="str">
        <f t="shared" si="0"/>
        <v/>
      </c>
      <c r="AB8" s="166"/>
      <c r="AC8" s="144" t="e">
        <f>VLOOKUP($M:$M,Data!$I:$J,2,FALSE)</f>
        <v>#N/A</v>
      </c>
      <c r="AD8" s="167"/>
    </row>
    <row r="9" ht="15.25" spans="2:30">
      <c r="B9" s="133">
        <v>3</v>
      </c>
      <c r="C9" s="134">
        <f>VLOOKUP("32/101/3",Data!$A$2:$E$1425,3,FALSE)</f>
        <v>0</v>
      </c>
      <c r="D9" s="137"/>
      <c r="E9" s="138"/>
      <c r="G9" s="133">
        <v>3</v>
      </c>
      <c r="H9" s="134">
        <f>VLOOKUP("32/120/3",Data!$A$2:$E$1425,3,FALSE)</f>
        <v>0</v>
      </c>
      <c r="I9" s="137"/>
      <c r="J9" s="138"/>
      <c r="L9" s="14">
        <f>COUNTA(B10)+L8</f>
        <v>4</v>
      </c>
      <c r="M9" s="83">
        <f>C10</f>
        <v>0</v>
      </c>
      <c r="N9" s="145" t="s">
        <v>7696</v>
      </c>
      <c r="O9" s="85">
        <v>32</v>
      </c>
      <c r="P9" s="85">
        <v>101</v>
      </c>
      <c r="Q9" s="105"/>
      <c r="R9" s="161"/>
      <c r="S9" s="161"/>
      <c r="T9" s="161"/>
      <c r="U9" s="106"/>
      <c r="V9" s="85">
        <f>B10</f>
        <v>4</v>
      </c>
      <c r="W9" s="105"/>
      <c r="X9" s="161"/>
      <c r="Y9" s="106"/>
      <c r="Z9" s="107" t="str">
        <f t="shared" si="0"/>
        <v/>
      </c>
      <c r="AA9" s="111" t="str">
        <f t="shared" si="0"/>
        <v/>
      </c>
      <c r="AB9" s="168"/>
      <c r="AC9" s="145" t="e">
        <f>VLOOKUP($M:$M,Data!$I:$J,2,FALSE)</f>
        <v>#N/A</v>
      </c>
      <c r="AD9" s="169"/>
    </row>
    <row r="10" ht="15.25" spans="2:30">
      <c r="B10" s="139">
        <v>4</v>
      </c>
      <c r="C10" s="134">
        <f>VLOOKUP("32/101/4",Data!$A$2:$E$1425,3,FALSE)</f>
        <v>0</v>
      </c>
      <c r="D10" s="140"/>
      <c r="E10" s="141"/>
      <c r="G10" s="139">
        <v>4</v>
      </c>
      <c r="H10" s="142">
        <f>VLOOKUP("32/120/4",Data!$A$2:$E$1425,3,FALSE)</f>
        <v>0</v>
      </c>
      <c r="I10" s="140"/>
      <c r="J10" s="141"/>
      <c r="L10" s="6">
        <f>COUNTA(B12)+L9</f>
        <v>5</v>
      </c>
      <c r="M10" s="79" t="str">
        <f>C12</f>
        <v>51401 Emilia </v>
      </c>
      <c r="N10" s="143" t="s">
        <v>7696</v>
      </c>
      <c r="O10" s="81">
        <v>32</v>
      </c>
      <c r="P10" s="81">
        <v>102</v>
      </c>
      <c r="Q10" s="100" t="e">
        <f>_xlfn.IFS(COUNTA(B11:B15)=1,"Single",COUNTA(B11:B15)=2,"Double",COUNTA(B11:B15)=3,"Triple",COUNTA(B11:B15)=4,"Quadre",COUNTA(B11:B15)=0,"Empty")</f>
        <v>#N/A</v>
      </c>
      <c r="R10" s="159"/>
      <c r="S10" s="159"/>
      <c r="T10" s="159"/>
      <c r="U10" s="101"/>
      <c r="V10" s="81">
        <f>B12</f>
        <v>1</v>
      </c>
      <c r="W10" s="100">
        <f>COUNT(B12:B15)</f>
        <v>4</v>
      </c>
      <c r="X10" s="159"/>
      <c r="Y10" s="101"/>
      <c r="Z10" s="102" t="str">
        <f t="shared" ref="Z10:AA13" si="1">IF(D12=0,"",D12)</f>
        <v/>
      </c>
      <c r="AA10" s="108" t="str">
        <f t="shared" si="1"/>
        <v/>
      </c>
      <c r="AB10" s="164"/>
      <c r="AC10" s="143" t="e">
        <f>VLOOKUP($M:$M,Data!$I:$J,2,FALSE)</f>
        <v>#N/A</v>
      </c>
      <c r="AD10" s="165"/>
    </row>
    <row r="11" ht="14.65" customHeight="1" spans="2:30">
      <c r="B11" s="46">
        <v>102</v>
      </c>
      <c r="C11" s="132"/>
      <c r="D11" s="62" t="s">
        <v>6580</v>
      </c>
      <c r="E11" s="8" t="s">
        <v>6581</v>
      </c>
      <c r="G11" s="46">
        <v>119</v>
      </c>
      <c r="H11" s="132"/>
      <c r="I11" s="62" t="s">
        <v>6580</v>
      </c>
      <c r="J11" s="8" t="s">
        <v>6581</v>
      </c>
      <c r="L11" s="9">
        <f>COUNTA(B13)+L10</f>
        <v>6</v>
      </c>
      <c r="M11" s="31" t="str">
        <f t="shared" ref="M11:M13" si="2">C13</f>
        <v>51203 Iza </v>
      </c>
      <c r="N11" s="144" t="s">
        <v>7696</v>
      </c>
      <c r="O11" s="36">
        <v>32</v>
      </c>
      <c r="P11" s="36">
        <v>102</v>
      </c>
      <c r="Q11" s="103"/>
      <c r="R11" s="160"/>
      <c r="S11" s="160"/>
      <c r="T11" s="160"/>
      <c r="U11" s="104"/>
      <c r="V11" s="36">
        <f t="shared" ref="V11:V13" si="3">B13</f>
        <v>2</v>
      </c>
      <c r="W11" s="103"/>
      <c r="X11" s="160"/>
      <c r="Y11" s="104"/>
      <c r="Z11" s="52" t="str">
        <f t="shared" si="1"/>
        <v/>
      </c>
      <c r="AA11" s="109" t="str">
        <f t="shared" si="1"/>
        <v/>
      </c>
      <c r="AB11" s="166"/>
      <c r="AC11" s="144" t="e">
        <f>VLOOKUP($M:$M,Data!$I:$J,2,FALSE)</f>
        <v>#N/A</v>
      </c>
      <c r="AD11" s="167"/>
    </row>
    <row r="12" spans="2:30">
      <c r="B12" s="133">
        <v>1</v>
      </c>
      <c r="C12" s="134" t="str">
        <f>VLOOKUP("32/102/1",Data!$A$2:$E$1425,3,FALSE)</f>
        <v>51401 Emilia </v>
      </c>
      <c r="D12" s="135"/>
      <c r="E12" s="136"/>
      <c r="G12" s="133">
        <v>1</v>
      </c>
      <c r="H12" s="134" t="str">
        <f>VLOOKUP("32/119/1",Data!$A$2:$E$1425,3,FALSE)</f>
        <v>51405 Jesper </v>
      </c>
      <c r="I12" s="135"/>
      <c r="J12" s="136"/>
      <c r="L12" s="9">
        <f>COUNTA(B14)+L11</f>
        <v>7</v>
      </c>
      <c r="M12" s="31">
        <f t="shared" si="2"/>
        <v>0</v>
      </c>
      <c r="N12" s="144" t="s">
        <v>7696</v>
      </c>
      <c r="O12" s="36">
        <v>32</v>
      </c>
      <c r="P12" s="36">
        <v>102</v>
      </c>
      <c r="Q12" s="103"/>
      <c r="R12" s="160"/>
      <c r="S12" s="160"/>
      <c r="T12" s="160"/>
      <c r="U12" s="104"/>
      <c r="V12" s="36">
        <f t="shared" si="3"/>
        <v>3</v>
      </c>
      <c r="W12" s="103"/>
      <c r="X12" s="160"/>
      <c r="Y12" s="104"/>
      <c r="Z12" s="52" t="str">
        <f t="shared" si="1"/>
        <v/>
      </c>
      <c r="AA12" s="109" t="str">
        <f t="shared" si="1"/>
        <v/>
      </c>
      <c r="AB12" s="166"/>
      <c r="AC12" s="144" t="e">
        <f>VLOOKUP($M:$M,Data!$I:$J,2,FALSE)</f>
        <v>#N/A</v>
      </c>
      <c r="AD12" s="167"/>
    </row>
    <row r="13" ht="15.25" spans="2:30">
      <c r="B13" s="133">
        <v>2</v>
      </c>
      <c r="C13" s="134" t="str">
        <f>VLOOKUP("32/102/2",Data!$A$2:$E$1425,3,FALSE)</f>
        <v>51203 Iza </v>
      </c>
      <c r="D13" s="137"/>
      <c r="E13" s="138"/>
      <c r="G13" s="133">
        <v>2</v>
      </c>
      <c r="H13" s="134" t="str">
        <f>VLOOKUP("32/119/2",Data!$A$2:$E$1425,3,FALSE)</f>
        <v>51408 Vilgot </v>
      </c>
      <c r="I13" s="137"/>
      <c r="J13" s="138"/>
      <c r="L13" s="14">
        <f>COUNTA(B15)+L12</f>
        <v>8</v>
      </c>
      <c r="M13" s="83">
        <f t="shared" si="2"/>
        <v>0</v>
      </c>
      <c r="N13" s="145" t="s">
        <v>7696</v>
      </c>
      <c r="O13" s="85">
        <v>32</v>
      </c>
      <c r="P13" s="85">
        <v>102</v>
      </c>
      <c r="Q13" s="105"/>
      <c r="R13" s="161"/>
      <c r="S13" s="161"/>
      <c r="T13" s="161"/>
      <c r="U13" s="106"/>
      <c r="V13" s="85">
        <f t="shared" si="3"/>
        <v>4</v>
      </c>
      <c r="W13" s="105"/>
      <c r="X13" s="161"/>
      <c r="Y13" s="106"/>
      <c r="Z13" s="107" t="str">
        <f t="shared" si="1"/>
        <v/>
      </c>
      <c r="AA13" s="111" t="str">
        <f t="shared" si="1"/>
        <v/>
      </c>
      <c r="AB13" s="168"/>
      <c r="AC13" s="145" t="e">
        <f>VLOOKUP($M:$M,Data!$I:$J,2,FALSE)</f>
        <v>#N/A</v>
      </c>
      <c r="AD13" s="169"/>
    </row>
    <row r="14" spans="2:30">
      <c r="B14" s="133">
        <v>3</v>
      </c>
      <c r="C14" s="134">
        <f>VLOOKUP("32/102/3",Data!$A$2:$E$1425,3,FALSE)</f>
        <v>0</v>
      </c>
      <c r="D14" s="137"/>
      <c r="E14" s="138"/>
      <c r="G14" s="133">
        <v>3</v>
      </c>
      <c r="H14" s="134">
        <f>VLOOKUP("32/119/3",Data!$A$2:$E$1425,3,FALSE)</f>
        <v>0</v>
      </c>
      <c r="I14" s="137"/>
      <c r="J14" s="138"/>
      <c r="L14" s="6">
        <f>COUNTA(B17)+L13</f>
        <v>9</v>
      </c>
      <c r="M14" s="79" t="str">
        <f>C17</f>
        <v>51407 Jens </v>
      </c>
      <c r="N14" s="143" t="s">
        <v>7696</v>
      </c>
      <c r="O14" s="81">
        <v>32</v>
      </c>
      <c r="P14" s="81">
        <v>103</v>
      </c>
      <c r="Q14" s="100" t="e">
        <f>_xlfn.IFS(COUNTA(B15:B19)=1,"Single",COUNTA(B15:B19)=2,"Double",COUNTA(B15:B19)=3,"Triple",COUNTA(B15:B19)=4,"Quadre",COUNTA(B15:B19)=0,"Empty")</f>
        <v>#N/A</v>
      </c>
      <c r="R14" s="159"/>
      <c r="S14" s="159"/>
      <c r="T14" s="159"/>
      <c r="U14" s="101"/>
      <c r="V14" s="81">
        <f>B17</f>
        <v>1</v>
      </c>
      <c r="W14" s="100">
        <f>COUNT(B17:B20)</f>
        <v>4</v>
      </c>
      <c r="X14" s="159"/>
      <c r="Y14" s="101"/>
      <c r="Z14" s="102" t="str">
        <f t="shared" ref="Z14:AA17" si="4">IF(D17=0,"",D17)</f>
        <v/>
      </c>
      <c r="AA14" s="108" t="str">
        <f t="shared" si="4"/>
        <v/>
      </c>
      <c r="AB14" s="164"/>
      <c r="AC14" s="143" t="e">
        <f>VLOOKUP($M:$M,Data!$I:$J,2,FALSE)</f>
        <v>#N/A</v>
      </c>
      <c r="AD14" s="165"/>
    </row>
    <row r="15" ht="15.25" spans="2:30">
      <c r="B15" s="139">
        <v>4</v>
      </c>
      <c r="C15" s="142">
        <f>VLOOKUP("32/102/4",Data!$A$2:$E$1425,3,FALSE)</f>
        <v>0</v>
      </c>
      <c r="D15" s="140"/>
      <c r="E15" s="141"/>
      <c r="G15" s="139">
        <v>4</v>
      </c>
      <c r="H15" s="142">
        <f>VLOOKUP("32/119/4",Data!$A$2:$E$1425,3,FALSE)</f>
        <v>0</v>
      </c>
      <c r="I15" s="140"/>
      <c r="J15" s="141"/>
      <c r="L15" s="9">
        <f>COUNTA(B18)+L14</f>
        <v>10</v>
      </c>
      <c r="M15" s="31" t="str">
        <f t="shared" ref="M15:M17" si="5">C18</f>
        <v>51501 Mattias </v>
      </c>
      <c r="N15" s="144" t="s">
        <v>7696</v>
      </c>
      <c r="O15" s="36">
        <v>32</v>
      </c>
      <c r="P15" s="36">
        <v>103</v>
      </c>
      <c r="Q15" s="103"/>
      <c r="R15" s="160"/>
      <c r="S15" s="160"/>
      <c r="T15" s="160"/>
      <c r="U15" s="104"/>
      <c r="V15" s="36">
        <f t="shared" ref="V15:V17" si="6">B18</f>
        <v>2</v>
      </c>
      <c r="W15" s="103"/>
      <c r="X15" s="160"/>
      <c r="Y15" s="104"/>
      <c r="Z15" s="52" t="str">
        <f t="shared" si="4"/>
        <v/>
      </c>
      <c r="AA15" s="109" t="str">
        <f t="shared" si="4"/>
        <v/>
      </c>
      <c r="AB15" s="166"/>
      <c r="AC15" s="144" t="e">
        <f>VLOOKUP($M:$M,Data!$I:$J,2,FALSE)</f>
        <v>#N/A</v>
      </c>
      <c r="AD15" s="167"/>
    </row>
    <row r="16" spans="2:30">
      <c r="B16" s="46">
        <v>103</v>
      </c>
      <c r="C16" s="132"/>
      <c r="D16" s="62" t="s">
        <v>6580</v>
      </c>
      <c r="E16" s="8" t="s">
        <v>6581</v>
      </c>
      <c r="G16" s="46">
        <v>118</v>
      </c>
      <c r="H16" s="132"/>
      <c r="I16" s="62" t="s">
        <v>6580</v>
      </c>
      <c r="J16" s="8" t="s">
        <v>6581</v>
      </c>
      <c r="L16" s="9">
        <f>COUNTA(B19)+L15</f>
        <v>11</v>
      </c>
      <c r="M16" s="31">
        <f t="shared" si="5"/>
        <v>0</v>
      </c>
      <c r="N16" s="144" t="s">
        <v>7696</v>
      </c>
      <c r="O16" s="36">
        <v>32</v>
      </c>
      <c r="P16" s="36">
        <v>103</v>
      </c>
      <c r="Q16" s="103"/>
      <c r="R16" s="160"/>
      <c r="S16" s="160"/>
      <c r="T16" s="160"/>
      <c r="U16" s="104"/>
      <c r="V16" s="36">
        <f t="shared" si="6"/>
        <v>3</v>
      </c>
      <c r="W16" s="103"/>
      <c r="X16" s="160"/>
      <c r="Y16" s="104"/>
      <c r="Z16" s="52" t="str">
        <f t="shared" si="4"/>
        <v/>
      </c>
      <c r="AA16" s="109" t="str">
        <f t="shared" si="4"/>
        <v/>
      </c>
      <c r="AB16" s="166"/>
      <c r="AC16" s="144" t="e">
        <f>VLOOKUP($M:$M,Data!$I:$J,2,FALSE)</f>
        <v>#N/A</v>
      </c>
      <c r="AD16" s="167"/>
    </row>
    <row r="17" ht="15.25" spans="2:30">
      <c r="B17" s="133">
        <v>1</v>
      </c>
      <c r="C17" s="134" t="str">
        <f>VLOOKUP("32/103/1",Data!$A$2:$E$1425,3,FALSE)</f>
        <v>51407 Jens </v>
      </c>
      <c r="D17" s="135"/>
      <c r="E17" s="136"/>
      <c r="G17" s="133">
        <v>1</v>
      </c>
      <c r="H17" s="134" t="str">
        <f>VLOOKUP("32/118/1",Data!$A$2:$E$1425,3,FALSE)</f>
        <v>51505 Emil </v>
      </c>
      <c r="I17" s="135"/>
      <c r="J17" s="136"/>
      <c r="L17" s="14">
        <f>COUNTA(B20)+L16</f>
        <v>12</v>
      </c>
      <c r="M17" s="83">
        <f t="shared" si="5"/>
        <v>0</v>
      </c>
      <c r="N17" s="145" t="s">
        <v>7696</v>
      </c>
      <c r="O17" s="85">
        <v>32</v>
      </c>
      <c r="P17" s="85">
        <v>103</v>
      </c>
      <c r="Q17" s="105"/>
      <c r="R17" s="161"/>
      <c r="S17" s="161"/>
      <c r="T17" s="161"/>
      <c r="U17" s="106"/>
      <c r="V17" s="85">
        <f t="shared" si="6"/>
        <v>4</v>
      </c>
      <c r="W17" s="105"/>
      <c r="X17" s="161"/>
      <c r="Y17" s="106"/>
      <c r="Z17" s="107" t="str">
        <f t="shared" si="4"/>
        <v/>
      </c>
      <c r="AA17" s="111" t="str">
        <f t="shared" si="4"/>
        <v/>
      </c>
      <c r="AB17" s="168"/>
      <c r="AC17" s="145" t="e">
        <f>VLOOKUP($M:$M,Data!$I:$J,2,FALSE)</f>
        <v>#N/A</v>
      </c>
      <c r="AD17" s="169"/>
    </row>
    <row r="18" spans="2:30">
      <c r="B18" s="133">
        <v>2</v>
      </c>
      <c r="C18" s="134" t="str">
        <f>VLOOKUP("32/103/2",Data!$A$2:$E$1425,3,FALSE)</f>
        <v>51501 Mattias </v>
      </c>
      <c r="D18" s="137"/>
      <c r="E18" s="138"/>
      <c r="G18" s="133">
        <v>2</v>
      </c>
      <c r="H18" s="134" t="str">
        <f>VLOOKUP("32/118/2",Data!$A$2:$E$1425,3,FALSE)</f>
        <v>51515 Daniel </v>
      </c>
      <c r="I18" s="137"/>
      <c r="J18" s="138"/>
      <c r="L18" s="6">
        <f>COUNTA(B22)+L17</f>
        <v>12</v>
      </c>
      <c r="M18" s="79" t="str">
        <f>C22</f>
        <v>51105 David </v>
      </c>
      <c r="N18" s="143" t="s">
        <v>7696</v>
      </c>
      <c r="O18" s="81">
        <v>32</v>
      </c>
      <c r="P18" s="81">
        <v>104</v>
      </c>
      <c r="Q18" s="100" t="str">
        <f>_xlfn.IFS(COUNTA(B22:B25)=1,"Single",COUNTA(B22:B25)=2,"Double",COUNTA(B22:B25)=3,"Triple",COUNTA(B22:B25)=4,"Quadre",COUNTA(B22:B25)=0,"Empty")</f>
        <v>Single</v>
      </c>
      <c r="R18" s="159"/>
      <c r="S18" s="159"/>
      <c r="T18" s="159"/>
      <c r="U18" s="101"/>
      <c r="V18" s="81">
        <f>B22</f>
        <v>0</v>
      </c>
      <c r="W18" s="100">
        <f>COUNT(B22:B25)</f>
        <v>1</v>
      </c>
      <c r="X18" s="159"/>
      <c r="Y18" s="101"/>
      <c r="Z18" s="102" t="str">
        <f t="shared" ref="Z18:AA21" si="7">IF(D22=0,"",D22)</f>
        <v/>
      </c>
      <c r="AA18" s="108" t="str">
        <f t="shared" si="7"/>
        <v/>
      </c>
      <c r="AB18" s="164"/>
      <c r="AC18" s="143" t="e">
        <f>VLOOKUP($M:$M,Data!$I:$J,2,FALSE)</f>
        <v>#N/A</v>
      </c>
      <c r="AD18" s="165"/>
    </row>
    <row r="19" spans="2:30">
      <c r="B19" s="133">
        <v>3</v>
      </c>
      <c r="C19" s="134">
        <f>VLOOKUP("32/103/3",Data!$A$2:$E$1425,3,FALSE)</f>
        <v>0</v>
      </c>
      <c r="D19" s="137"/>
      <c r="E19" s="138"/>
      <c r="G19" s="133"/>
      <c r="H19" s="134">
        <f>VLOOKUP("32/118/3",Data!$A$2:$E$1425,3,FALSE)</f>
        <v>0</v>
      </c>
      <c r="I19" s="137"/>
      <c r="J19" s="138"/>
      <c r="L19" s="9">
        <f>COUNTA(B23)+L18</f>
        <v>12</v>
      </c>
      <c r="M19" s="31" t="str">
        <f t="shared" ref="M19:M21" si="8">C23</f>
        <v>51108 Colin </v>
      </c>
      <c r="N19" s="144" t="s">
        <v>7696</v>
      </c>
      <c r="O19" s="36">
        <v>32</v>
      </c>
      <c r="P19" s="36">
        <v>104</v>
      </c>
      <c r="Q19" s="103"/>
      <c r="R19" s="160"/>
      <c r="S19" s="160"/>
      <c r="T19" s="160"/>
      <c r="U19" s="104"/>
      <c r="V19" s="36">
        <f t="shared" ref="V19:V21" si="9">B23</f>
        <v>0</v>
      </c>
      <c r="W19" s="103"/>
      <c r="X19" s="160"/>
      <c r="Y19" s="104"/>
      <c r="Z19" s="52" t="str">
        <f t="shared" si="7"/>
        <v/>
      </c>
      <c r="AA19" s="109" t="str">
        <f t="shared" si="7"/>
        <v/>
      </c>
      <c r="AB19" s="166"/>
      <c r="AC19" s="144" t="e">
        <f>VLOOKUP($M:$M,Data!$I:$J,2,FALSE)</f>
        <v>#N/A</v>
      </c>
      <c r="AD19" s="167"/>
    </row>
    <row r="20" ht="15.25" spans="2:30">
      <c r="B20" s="139">
        <v>4</v>
      </c>
      <c r="C20" s="142">
        <f>VLOOKUP("32/103/4",Data!$A$2:$E$1425,3,FALSE)</f>
        <v>0</v>
      </c>
      <c r="D20" s="140"/>
      <c r="E20" s="141"/>
      <c r="G20" s="139">
        <v>4</v>
      </c>
      <c r="H20" s="142">
        <f>VLOOKUP("32/118/4",Data!$A$2:$E$1425,3,FALSE)</f>
        <v>0</v>
      </c>
      <c r="I20" s="140"/>
      <c r="J20" s="141"/>
      <c r="L20" s="9">
        <f>COUNTA(B24)+L19</f>
        <v>13</v>
      </c>
      <c r="M20" s="31">
        <f t="shared" si="8"/>
        <v>0</v>
      </c>
      <c r="N20" s="144" t="s">
        <v>7696</v>
      </c>
      <c r="O20" s="36">
        <v>32</v>
      </c>
      <c r="P20" s="36">
        <v>104</v>
      </c>
      <c r="Q20" s="103"/>
      <c r="R20" s="160"/>
      <c r="S20" s="160"/>
      <c r="T20" s="160"/>
      <c r="U20" s="104"/>
      <c r="V20" s="36">
        <f t="shared" si="9"/>
        <v>3</v>
      </c>
      <c r="W20" s="103"/>
      <c r="X20" s="160"/>
      <c r="Y20" s="104"/>
      <c r="Z20" s="52" t="str">
        <f t="shared" si="7"/>
        <v/>
      </c>
      <c r="AA20" s="109" t="str">
        <f t="shared" si="7"/>
        <v/>
      </c>
      <c r="AB20" s="166"/>
      <c r="AC20" s="144" t="e">
        <f>VLOOKUP($M:$M,Data!$I:$J,2,FALSE)</f>
        <v>#N/A</v>
      </c>
      <c r="AD20" s="167"/>
    </row>
    <row r="21" ht="15.25" spans="2:30">
      <c r="B21" s="46">
        <v>104</v>
      </c>
      <c r="C21" s="132"/>
      <c r="D21" s="62" t="s">
        <v>6580</v>
      </c>
      <c r="E21" s="8" t="s">
        <v>6581</v>
      </c>
      <c r="G21" s="46">
        <v>117</v>
      </c>
      <c r="H21" s="132"/>
      <c r="I21" s="62" t="s">
        <v>6580</v>
      </c>
      <c r="J21" s="8" t="s">
        <v>6581</v>
      </c>
      <c r="L21" s="14">
        <f>COUNTA(B25)+L20</f>
        <v>13</v>
      </c>
      <c r="M21" s="83">
        <f t="shared" si="8"/>
        <v>0</v>
      </c>
      <c r="N21" s="145" t="s">
        <v>7696</v>
      </c>
      <c r="O21" s="85">
        <v>32</v>
      </c>
      <c r="P21" s="85">
        <v>104</v>
      </c>
      <c r="Q21" s="105"/>
      <c r="R21" s="161"/>
      <c r="S21" s="161"/>
      <c r="T21" s="161"/>
      <c r="U21" s="106"/>
      <c r="V21" s="85">
        <f t="shared" si="9"/>
        <v>0</v>
      </c>
      <c r="W21" s="105"/>
      <c r="X21" s="161"/>
      <c r="Y21" s="106"/>
      <c r="Z21" s="107" t="str">
        <f t="shared" si="7"/>
        <v/>
      </c>
      <c r="AA21" s="111" t="str">
        <f t="shared" si="7"/>
        <v/>
      </c>
      <c r="AB21" s="168"/>
      <c r="AC21" s="145" t="e">
        <f>VLOOKUP($M:$M,Data!$I:$J,2,FALSE)</f>
        <v>#N/A</v>
      </c>
      <c r="AD21" s="169"/>
    </row>
    <row r="22" spans="2:30">
      <c r="B22" s="133"/>
      <c r="C22" s="134" t="str">
        <f>VLOOKUP("32/104/1",Data!$A$2:$E$1425,3,FALSE)</f>
        <v>51105 David </v>
      </c>
      <c r="D22" s="135"/>
      <c r="E22" s="136"/>
      <c r="G22" s="133"/>
      <c r="H22" s="134" t="str">
        <f>VLOOKUP("32/117/1",Data!$A$2:$E$1425,3,FALSE)</f>
        <v>51107 Dante </v>
      </c>
      <c r="I22" s="135"/>
      <c r="J22" s="136"/>
      <c r="L22" s="6">
        <f>COUNTA(B27)+L21</f>
        <v>14</v>
      </c>
      <c r="M22" s="79" t="str">
        <f>C27</f>
        <v>51305 Rex </v>
      </c>
      <c r="N22" s="143" t="s">
        <v>7696</v>
      </c>
      <c r="O22" s="81">
        <v>32</v>
      </c>
      <c r="P22" s="81">
        <v>105</v>
      </c>
      <c r="Q22" s="100" t="str">
        <f>_xlfn.IFS(COUNTA(B27:B30)=1,"Single",COUNTA(B27:B30)=2,"Double",COUNTA(B27:B30)=3,"Triple",COUNTA(B27:B30)=4,"Quadre",COUNTA(B27:B30)=0,"Empty")</f>
        <v>Double</v>
      </c>
      <c r="R22" s="159"/>
      <c r="S22" s="159"/>
      <c r="T22" s="159"/>
      <c r="U22" s="101"/>
      <c r="V22" s="81">
        <f>B27</f>
        <v>1</v>
      </c>
      <c r="W22" s="100">
        <f>COUNT(B27:B30)</f>
        <v>2</v>
      </c>
      <c r="X22" s="159"/>
      <c r="Y22" s="101"/>
      <c r="Z22" s="102" t="str">
        <f t="shared" ref="Z22:AA25" si="10">IF(D27=0,"",D27)</f>
        <v/>
      </c>
      <c r="AA22" s="108" t="str">
        <f t="shared" si="10"/>
        <v/>
      </c>
      <c r="AB22" s="164"/>
      <c r="AC22" s="143" t="e">
        <f>VLOOKUP($M:$M,Data!$I:$J,2,FALSE)</f>
        <v>#N/A</v>
      </c>
      <c r="AD22" s="165"/>
    </row>
    <row r="23" spans="2:30">
      <c r="B23" s="133"/>
      <c r="C23" s="134" t="str">
        <f>VLOOKUP("32/104/2",Data!$A$2:$E$1425,3,FALSE)</f>
        <v>51108 Colin </v>
      </c>
      <c r="D23" s="137"/>
      <c r="E23" s="138"/>
      <c r="G23" s="133"/>
      <c r="H23" s="134" t="str">
        <f>VLOOKUP("32/117/2",Data!$A$2:$E$1425,3,FALSE)</f>
        <v>51103 Pontus </v>
      </c>
      <c r="I23" s="137"/>
      <c r="J23" s="138"/>
      <c r="L23" s="9">
        <f>COUNTA(B28)+L22</f>
        <v>15</v>
      </c>
      <c r="M23" s="31" t="str">
        <f t="shared" ref="M23:M25" si="11">C28</f>
        <v>51207 Tim </v>
      </c>
      <c r="N23" s="144" t="s">
        <v>7696</v>
      </c>
      <c r="O23" s="36">
        <v>32</v>
      </c>
      <c r="P23" s="36">
        <v>105</v>
      </c>
      <c r="Q23" s="103"/>
      <c r="R23" s="160"/>
      <c r="S23" s="160"/>
      <c r="T23" s="160"/>
      <c r="U23" s="104"/>
      <c r="V23" s="36">
        <f t="shared" ref="V23:V25" si="12">B28</f>
        <v>2</v>
      </c>
      <c r="W23" s="103"/>
      <c r="X23" s="160"/>
      <c r="Y23" s="104"/>
      <c r="Z23" s="52" t="str">
        <f t="shared" si="10"/>
        <v/>
      </c>
      <c r="AA23" s="109" t="str">
        <f t="shared" si="10"/>
        <v/>
      </c>
      <c r="AB23" s="166"/>
      <c r="AC23" s="144" t="e">
        <f>VLOOKUP($M:$M,Data!$I:$J,2,FALSE)</f>
        <v>#N/A</v>
      </c>
      <c r="AD23" s="167"/>
    </row>
    <row r="24" spans="2:30">
      <c r="B24" s="133">
        <v>3</v>
      </c>
      <c r="C24" s="134">
        <f>VLOOKUP("32/104/3",Data!$A$2:$E$1425,3,FALSE)</f>
        <v>0</v>
      </c>
      <c r="D24" s="137"/>
      <c r="E24" s="138"/>
      <c r="G24" s="133"/>
      <c r="H24" s="134">
        <f>VLOOKUP("32/117/3",Data!$A$2:$E$1425,3,FALSE)</f>
        <v>0</v>
      </c>
      <c r="I24" s="137"/>
      <c r="J24" s="138"/>
      <c r="L24" s="9">
        <f>COUNTA(B29)+L23</f>
        <v>15</v>
      </c>
      <c r="M24" s="31">
        <f t="shared" si="11"/>
        <v>0</v>
      </c>
      <c r="N24" s="144" t="s">
        <v>7696</v>
      </c>
      <c r="O24" s="36">
        <v>32</v>
      </c>
      <c r="P24" s="36">
        <v>105</v>
      </c>
      <c r="Q24" s="103"/>
      <c r="R24" s="160"/>
      <c r="S24" s="160"/>
      <c r="T24" s="160"/>
      <c r="U24" s="104"/>
      <c r="V24" s="36">
        <f t="shared" si="12"/>
        <v>0</v>
      </c>
      <c r="W24" s="103"/>
      <c r="X24" s="160"/>
      <c r="Y24" s="104"/>
      <c r="Z24" s="52" t="str">
        <f t="shared" si="10"/>
        <v/>
      </c>
      <c r="AA24" s="109" t="str">
        <f t="shared" si="10"/>
        <v/>
      </c>
      <c r="AB24" s="166"/>
      <c r="AC24" s="144" t="e">
        <f>VLOOKUP($M:$M,Data!$I:$J,2,FALSE)</f>
        <v>#N/A</v>
      </c>
      <c r="AD24" s="167"/>
    </row>
    <row r="25" ht="15.25" spans="2:30">
      <c r="B25" s="139"/>
      <c r="C25" s="142">
        <f>VLOOKUP("32/104/4",Data!$A$2:$E$1425,3,FALSE)</f>
        <v>0</v>
      </c>
      <c r="D25" s="140"/>
      <c r="E25" s="141"/>
      <c r="G25" s="139"/>
      <c r="H25" s="142">
        <f>VLOOKUP("32/117/4",Data!$A$2:$E$1425,3,FALSE)</f>
        <v>0</v>
      </c>
      <c r="I25" s="140"/>
      <c r="J25" s="141"/>
      <c r="L25" s="14">
        <f>COUNTA(B30)+L24</f>
        <v>15</v>
      </c>
      <c r="M25" s="83">
        <f t="shared" si="11"/>
        <v>0</v>
      </c>
      <c r="N25" s="145" t="s">
        <v>7696</v>
      </c>
      <c r="O25" s="85">
        <v>32</v>
      </c>
      <c r="P25" s="85">
        <v>105</v>
      </c>
      <c r="Q25" s="105"/>
      <c r="R25" s="161"/>
      <c r="S25" s="161"/>
      <c r="T25" s="161"/>
      <c r="U25" s="106"/>
      <c r="V25" s="85">
        <f t="shared" si="12"/>
        <v>0</v>
      </c>
      <c r="W25" s="105"/>
      <c r="X25" s="161"/>
      <c r="Y25" s="106"/>
      <c r="Z25" s="107" t="str">
        <f t="shared" si="10"/>
        <v/>
      </c>
      <c r="AA25" s="111" t="str">
        <f t="shared" si="10"/>
        <v/>
      </c>
      <c r="AB25" s="168"/>
      <c r="AC25" s="145" t="e">
        <f>VLOOKUP($M:$M,Data!$I:$J,2,FALSE)</f>
        <v>#N/A</v>
      </c>
      <c r="AD25" s="169"/>
    </row>
    <row r="26" spans="2:30">
      <c r="B26" s="46">
        <v>105</v>
      </c>
      <c r="C26" s="132"/>
      <c r="D26" s="62" t="s">
        <v>6580</v>
      </c>
      <c r="E26" s="8" t="s">
        <v>6581</v>
      </c>
      <c r="G26" s="46">
        <v>116</v>
      </c>
      <c r="H26" s="132"/>
      <c r="I26" s="62" t="s">
        <v>6580</v>
      </c>
      <c r="J26" s="8" t="s">
        <v>6581</v>
      </c>
      <c r="L26" s="6">
        <f>COUNTA(B32)+L25</f>
        <v>16</v>
      </c>
      <c r="M26" s="79" t="str">
        <f>C32</f>
        <v>51307 Christoffer </v>
      </c>
      <c r="N26" s="143" t="s">
        <v>7696</v>
      </c>
      <c r="O26" s="81">
        <v>32</v>
      </c>
      <c r="P26" s="81">
        <v>106</v>
      </c>
      <c r="Q26" s="100" t="str">
        <f>_xlfn.IFS(COUNTA(B32:B35)=1,"Single",COUNTA(B32:B35)=2,"Double",COUNTA(B32:B35)=3,"Triple",COUNTA(B32:B35)=4,"Quadre",COUNTA(B32:B35)=0,"Empty")</f>
        <v>Quadre</v>
      </c>
      <c r="R26" s="159"/>
      <c r="S26" s="159"/>
      <c r="T26" s="159"/>
      <c r="U26" s="101"/>
      <c r="V26" s="81">
        <f>B32</f>
        <v>1</v>
      </c>
      <c r="W26" s="100">
        <f>COUNT(B32:B35)</f>
        <v>4</v>
      </c>
      <c r="X26" s="159"/>
      <c r="Y26" s="101"/>
      <c r="Z26" s="102" t="str">
        <f t="shared" ref="Z26:AA29" si="13">IF(D32=0,"",D32)</f>
        <v/>
      </c>
      <c r="AA26" s="108" t="str">
        <f t="shared" si="13"/>
        <v/>
      </c>
      <c r="AB26" s="164"/>
      <c r="AC26" s="143" t="e">
        <f>VLOOKUP($M:$M,Data!$I:$J,2,FALSE)</f>
        <v>#N/A</v>
      </c>
      <c r="AD26" s="165"/>
    </row>
    <row r="27" spans="2:30">
      <c r="B27" s="133">
        <v>1</v>
      </c>
      <c r="C27" s="134" t="str">
        <f>VLOOKUP("32/105/1",Data!$A$2:$E$1425,3,FALSE)</f>
        <v>51305 Rex </v>
      </c>
      <c r="D27" s="135"/>
      <c r="E27" s="136"/>
      <c r="G27" s="133">
        <v>1</v>
      </c>
      <c r="H27" s="134" t="str">
        <f>VLOOKUP("32/116/1",Data!$A$2:$E$1425,3,FALSE)</f>
        <v>51208 Eric </v>
      </c>
      <c r="I27" s="135"/>
      <c r="J27" s="136"/>
      <c r="L27" s="9">
        <f>COUNTA(B32)+L26</f>
        <v>17</v>
      </c>
      <c r="M27" s="31" t="str">
        <f t="shared" ref="M27:M29" si="14">C33</f>
        <v>51308 Carl-Gustaf </v>
      </c>
      <c r="N27" s="144" t="s">
        <v>7696</v>
      </c>
      <c r="O27" s="36">
        <v>32</v>
      </c>
      <c r="P27" s="36">
        <v>106</v>
      </c>
      <c r="Q27" s="103"/>
      <c r="R27" s="160"/>
      <c r="S27" s="160"/>
      <c r="T27" s="160"/>
      <c r="U27" s="104"/>
      <c r="V27" s="36">
        <f t="shared" ref="V27:V29" si="15">B33</f>
        <v>2</v>
      </c>
      <c r="W27" s="103"/>
      <c r="X27" s="160"/>
      <c r="Y27" s="104"/>
      <c r="Z27" s="52" t="str">
        <f t="shared" si="13"/>
        <v/>
      </c>
      <c r="AA27" s="109" t="str">
        <f t="shared" si="13"/>
        <v/>
      </c>
      <c r="AB27" s="166"/>
      <c r="AC27" s="144" t="e">
        <f>VLOOKUP($M:$M,Data!$I:$J,2,FALSE)</f>
        <v>#N/A</v>
      </c>
      <c r="AD27" s="167"/>
    </row>
    <row r="28" spans="2:30">
      <c r="B28" s="133">
        <v>2</v>
      </c>
      <c r="C28" s="134" t="str">
        <f>VLOOKUP("32/105/2",Data!$A$2:$E$1425,3,FALSE)</f>
        <v>51207 Tim </v>
      </c>
      <c r="D28" s="137"/>
      <c r="E28" s="138"/>
      <c r="G28" s="133">
        <v>2</v>
      </c>
      <c r="H28" s="134" t="str">
        <f>VLOOKUP("32/116/2",Data!$A$2:$E$1425,3,FALSE)</f>
        <v>51303 Figge </v>
      </c>
      <c r="I28" s="137"/>
      <c r="J28" s="138"/>
      <c r="L28" s="9">
        <f>COUNTA(B34)+L27</f>
        <v>18</v>
      </c>
      <c r="M28" s="31">
        <f t="shared" si="14"/>
        <v>0</v>
      </c>
      <c r="N28" s="144" t="s">
        <v>7696</v>
      </c>
      <c r="O28" s="36">
        <v>32</v>
      </c>
      <c r="P28" s="36">
        <v>106</v>
      </c>
      <c r="Q28" s="103"/>
      <c r="R28" s="160"/>
      <c r="S28" s="160"/>
      <c r="T28" s="160"/>
      <c r="U28" s="104"/>
      <c r="V28" s="36">
        <f t="shared" si="15"/>
        <v>3</v>
      </c>
      <c r="W28" s="103"/>
      <c r="X28" s="160"/>
      <c r="Y28" s="104"/>
      <c r="Z28" s="52" t="str">
        <f t="shared" si="13"/>
        <v/>
      </c>
      <c r="AA28" s="109" t="str">
        <f t="shared" si="13"/>
        <v/>
      </c>
      <c r="AB28" s="166"/>
      <c r="AC28" s="144" t="e">
        <f>VLOOKUP($M:$M,Data!$I:$J,2,FALSE)</f>
        <v>#N/A</v>
      </c>
      <c r="AD28" s="167"/>
    </row>
    <row r="29" ht="15.25" spans="2:30">
      <c r="B29" s="133"/>
      <c r="C29" s="134">
        <f>VLOOKUP("32/105/3",Data!$A$2:$E$1425,3,FALSE)</f>
        <v>0</v>
      </c>
      <c r="D29" s="137"/>
      <c r="E29" s="138"/>
      <c r="G29" s="133"/>
      <c r="H29" s="134">
        <f>VLOOKUP("32/116/3",Data!$A$2:$E$1425,3,FALSE)</f>
        <v>0</v>
      </c>
      <c r="I29" s="137"/>
      <c r="J29" s="138"/>
      <c r="L29" s="14">
        <f>COUNTA(B35)+L28</f>
        <v>19</v>
      </c>
      <c r="M29" s="83">
        <f t="shared" si="14"/>
        <v>0</v>
      </c>
      <c r="N29" s="145" t="s">
        <v>7696</v>
      </c>
      <c r="O29" s="85">
        <v>32</v>
      </c>
      <c r="P29" s="85">
        <v>106</v>
      </c>
      <c r="Q29" s="105"/>
      <c r="R29" s="161"/>
      <c r="S29" s="161"/>
      <c r="T29" s="161"/>
      <c r="U29" s="106"/>
      <c r="V29" s="85">
        <f t="shared" si="15"/>
        <v>4</v>
      </c>
      <c r="W29" s="105"/>
      <c r="X29" s="161"/>
      <c r="Y29" s="106"/>
      <c r="Z29" s="107" t="str">
        <f t="shared" si="13"/>
        <v/>
      </c>
      <c r="AA29" s="111" t="str">
        <f t="shared" si="13"/>
        <v/>
      </c>
      <c r="AB29" s="168"/>
      <c r="AC29" s="145" t="e">
        <f>VLOOKUP($M:$M,Data!$I:$J,2,FALSE)</f>
        <v>#N/A</v>
      </c>
      <c r="AD29" s="169"/>
    </row>
    <row r="30" ht="15.25" spans="2:30">
      <c r="B30" s="139"/>
      <c r="C30" s="142">
        <f>VLOOKUP("32/105/4",Data!$A$2:$E$1425,3,FALSE)</f>
        <v>0</v>
      </c>
      <c r="D30" s="140"/>
      <c r="E30" s="141"/>
      <c r="G30" s="139"/>
      <c r="H30" s="142">
        <f>VLOOKUP("32/116/4",Data!$A$2:$E$1425,3,FALSE)</f>
        <v>0</v>
      </c>
      <c r="I30" s="140"/>
      <c r="J30" s="141"/>
      <c r="L30" s="6">
        <f>COUNTA(B37)+L29</f>
        <v>20</v>
      </c>
      <c r="M30" s="79" t="str">
        <f>C37</f>
        <v>51001 Marcus </v>
      </c>
      <c r="N30" s="143" t="s">
        <v>7696</v>
      </c>
      <c r="O30" s="81">
        <v>32</v>
      </c>
      <c r="P30" s="81">
        <v>107</v>
      </c>
      <c r="Q30" s="100" t="str">
        <f>_xlfn.IFS(COUNTA(B37:B40)=1,"Single",COUNTA(B37:B40)=2,"Double",COUNTA(B37:B40)=3,"Triple",COUNTA(B37:B40)=4,"Quadre",COUNTA(B37:B40)=0,"Empty")</f>
        <v>Quadre</v>
      </c>
      <c r="R30" s="159"/>
      <c r="S30" s="159"/>
      <c r="T30" s="159"/>
      <c r="U30" s="101"/>
      <c r="V30" s="81">
        <f>B37</f>
        <v>1</v>
      </c>
      <c r="W30" s="100">
        <f>COUNT(B37:B40)</f>
        <v>4</v>
      </c>
      <c r="X30" s="159"/>
      <c r="Y30" s="101"/>
      <c r="Z30" s="102" t="str">
        <f t="shared" ref="Z30:AA33" si="16">IF(D37=0,"",D37)</f>
        <v/>
      </c>
      <c r="AA30" s="108" t="str">
        <f t="shared" si="16"/>
        <v/>
      </c>
      <c r="AB30" s="164"/>
      <c r="AC30" s="143" t="e">
        <f>VLOOKUP($M:$M,Data!$I:$J,2,FALSE)</f>
        <v>#N/A</v>
      </c>
      <c r="AD30" s="165"/>
    </row>
    <row r="31" spans="2:30">
      <c r="B31" s="46">
        <v>106</v>
      </c>
      <c r="C31" s="132"/>
      <c r="D31" s="62" t="s">
        <v>6580</v>
      </c>
      <c r="E31" s="8" t="s">
        <v>6581</v>
      </c>
      <c r="G31" s="67" t="s">
        <v>7435</v>
      </c>
      <c r="H31" s="68"/>
      <c r="I31" s="68"/>
      <c r="J31" s="86"/>
      <c r="L31" s="9">
        <f>COUNTA(B38)+L30</f>
        <v>21</v>
      </c>
      <c r="M31" s="31">
        <f t="shared" ref="M31:M33" si="17">C38</f>
        <v>0</v>
      </c>
      <c r="N31" s="144" t="s">
        <v>7696</v>
      </c>
      <c r="O31" s="36">
        <v>32</v>
      </c>
      <c r="P31" s="36">
        <v>107</v>
      </c>
      <c r="Q31" s="103"/>
      <c r="R31" s="160"/>
      <c r="S31" s="160"/>
      <c r="T31" s="160"/>
      <c r="U31" s="104"/>
      <c r="V31" s="36">
        <f t="shared" ref="V31:V33" si="18">B38</f>
        <v>2</v>
      </c>
      <c r="W31" s="103"/>
      <c r="X31" s="160"/>
      <c r="Y31" s="104"/>
      <c r="Z31" s="52" t="str">
        <f t="shared" si="16"/>
        <v/>
      </c>
      <c r="AA31" s="109" t="str">
        <f t="shared" si="16"/>
        <v/>
      </c>
      <c r="AB31" s="166"/>
      <c r="AC31" s="144" t="e">
        <f>VLOOKUP($M:$M,Data!$I:$J,2,FALSE)</f>
        <v>#N/A</v>
      </c>
      <c r="AD31" s="167"/>
    </row>
    <row r="32" spans="2:30">
      <c r="B32" s="133">
        <v>1</v>
      </c>
      <c r="C32" s="134" t="str">
        <f>VLOOKUP("32/106/1",Data!$A$2:$E$1425,3,FALSE)</f>
        <v>51307 Christoffer </v>
      </c>
      <c r="D32" s="135"/>
      <c r="E32" s="136"/>
      <c r="G32" s="69"/>
      <c r="H32" s="70"/>
      <c r="I32" s="70"/>
      <c r="J32" s="87"/>
      <c r="L32" s="9">
        <f>COUNTA(B39)+L31</f>
        <v>22</v>
      </c>
      <c r="M32" s="31">
        <f t="shared" si="17"/>
        <v>0</v>
      </c>
      <c r="N32" s="144" t="s">
        <v>7696</v>
      </c>
      <c r="O32" s="36">
        <v>32</v>
      </c>
      <c r="P32" s="36">
        <v>107</v>
      </c>
      <c r="Q32" s="103"/>
      <c r="R32" s="160"/>
      <c r="S32" s="160"/>
      <c r="T32" s="160"/>
      <c r="U32" s="104"/>
      <c r="V32" s="36">
        <f t="shared" si="18"/>
        <v>3</v>
      </c>
      <c r="W32" s="103"/>
      <c r="X32" s="160"/>
      <c r="Y32" s="104"/>
      <c r="Z32" s="52" t="str">
        <f t="shared" si="16"/>
        <v/>
      </c>
      <c r="AA32" s="109" t="str">
        <f t="shared" si="16"/>
        <v/>
      </c>
      <c r="AB32" s="166"/>
      <c r="AC32" s="144" t="e">
        <f>VLOOKUP($M:$M,Data!$I:$J,2,FALSE)</f>
        <v>#N/A</v>
      </c>
      <c r="AD32" s="167"/>
    </row>
    <row r="33" ht="15.25" spans="2:30">
      <c r="B33" s="133">
        <v>2</v>
      </c>
      <c r="C33" s="134" t="str">
        <f>VLOOKUP("32/106/2",Data!$A$2:$E$1425,3,FALSE)</f>
        <v>51308 Carl-Gustaf </v>
      </c>
      <c r="D33" s="137"/>
      <c r="E33" s="138"/>
      <c r="G33" s="69"/>
      <c r="H33" s="70"/>
      <c r="I33" s="70"/>
      <c r="J33" s="87"/>
      <c r="L33" s="14">
        <f>COUNTA(B40)+L32</f>
        <v>23</v>
      </c>
      <c r="M33" s="83">
        <f t="shared" si="17"/>
        <v>0</v>
      </c>
      <c r="N33" s="145" t="s">
        <v>7696</v>
      </c>
      <c r="O33" s="85">
        <v>32</v>
      </c>
      <c r="P33" s="85">
        <v>107</v>
      </c>
      <c r="Q33" s="105"/>
      <c r="R33" s="161"/>
      <c r="S33" s="161"/>
      <c r="T33" s="161"/>
      <c r="U33" s="106"/>
      <c r="V33" s="85">
        <f t="shared" si="18"/>
        <v>4</v>
      </c>
      <c r="W33" s="105"/>
      <c r="X33" s="161"/>
      <c r="Y33" s="106"/>
      <c r="Z33" s="107" t="str">
        <f t="shared" si="16"/>
        <v/>
      </c>
      <c r="AA33" s="111" t="str">
        <f t="shared" si="16"/>
        <v/>
      </c>
      <c r="AB33" s="168"/>
      <c r="AC33" s="145" t="e">
        <f>VLOOKUP($M:$M,Data!$I:$J,2,FALSE)</f>
        <v>#N/A</v>
      </c>
      <c r="AD33" s="169"/>
    </row>
    <row r="34" spans="2:30">
      <c r="B34" s="133">
        <v>3</v>
      </c>
      <c r="C34" s="134">
        <f>VLOOKUP("32/106/3",Data!$A$2:$E$1425,3,FALSE)</f>
        <v>0</v>
      </c>
      <c r="D34" s="137"/>
      <c r="E34" s="138"/>
      <c r="G34" s="69"/>
      <c r="H34" s="70"/>
      <c r="I34" s="70"/>
      <c r="J34" s="87"/>
      <c r="L34" s="6">
        <f>COUNTA(B42)+L33</f>
        <v>24</v>
      </c>
      <c r="M34" s="79" t="str">
        <f>C42</f>
        <v>51002 Hannah </v>
      </c>
      <c r="N34" s="143" t="s">
        <v>7696</v>
      </c>
      <c r="O34" s="81">
        <v>32</v>
      </c>
      <c r="P34" s="81">
        <v>108</v>
      </c>
      <c r="Q34" s="100" t="str">
        <f>_xlfn.IFS(COUNTA(B42:B45)=1,"Single",COUNTA(B42:B45)=2,"Double",COUNTA(B42:B45)=3,"Triple",COUNTA(B42:B45)=4,"Quadre",COUNTA(B42:B45)=0,"Empty")</f>
        <v>Quadre</v>
      </c>
      <c r="R34" s="159"/>
      <c r="S34" s="159"/>
      <c r="T34" s="159"/>
      <c r="U34" s="101"/>
      <c r="V34" s="81">
        <f>B42</f>
        <v>1</v>
      </c>
      <c r="W34" s="100">
        <f>COUNT(B42:B45)</f>
        <v>4</v>
      </c>
      <c r="X34" s="159"/>
      <c r="Y34" s="101"/>
      <c r="Z34" s="102" t="str">
        <f t="shared" ref="Z34:AA37" si="19">IF(D42=0,"",D42)</f>
        <v/>
      </c>
      <c r="AA34" s="108" t="str">
        <f t="shared" si="19"/>
        <v/>
      </c>
      <c r="AB34" s="164"/>
      <c r="AC34" s="143" t="e">
        <f>VLOOKUP($M:$M,Data!$I:$J,2,FALSE)</f>
        <v>#N/A</v>
      </c>
      <c r="AD34" s="165"/>
    </row>
    <row r="35" ht="15.25" spans="2:30">
      <c r="B35" s="139">
        <v>4</v>
      </c>
      <c r="C35" s="142">
        <f>VLOOKUP("32/106/4",Data!$A$2:$E$1425,3,FALSE)</f>
        <v>0</v>
      </c>
      <c r="D35" s="140"/>
      <c r="E35" s="141"/>
      <c r="G35" s="69"/>
      <c r="H35" s="70"/>
      <c r="I35" s="70"/>
      <c r="J35" s="87"/>
      <c r="L35" s="9">
        <f>COUNTA(B43)+L34</f>
        <v>25</v>
      </c>
      <c r="M35" s="31">
        <f t="shared" ref="M35:M37" si="20">C43</f>
        <v>0</v>
      </c>
      <c r="N35" s="144" t="s">
        <v>7696</v>
      </c>
      <c r="O35" s="36">
        <v>32</v>
      </c>
      <c r="P35" s="36">
        <v>108</v>
      </c>
      <c r="Q35" s="103"/>
      <c r="R35" s="160"/>
      <c r="S35" s="160"/>
      <c r="T35" s="160"/>
      <c r="U35" s="104"/>
      <c r="V35" s="36">
        <f t="shared" ref="V35:V37" si="21">B43</f>
        <v>2</v>
      </c>
      <c r="W35" s="103"/>
      <c r="X35" s="160"/>
      <c r="Y35" s="104"/>
      <c r="Z35" s="52" t="str">
        <f t="shared" si="19"/>
        <v/>
      </c>
      <c r="AA35" s="109" t="str">
        <f t="shared" si="19"/>
        <v/>
      </c>
      <c r="AB35" s="166"/>
      <c r="AC35" s="144" t="e">
        <f>VLOOKUP($M:$M,Data!$I:$J,2,FALSE)</f>
        <v>#N/A</v>
      </c>
      <c r="AD35" s="167"/>
    </row>
    <row r="36" spans="2:30">
      <c r="B36" s="46">
        <v>107</v>
      </c>
      <c r="C36" s="132"/>
      <c r="D36" s="62" t="s">
        <v>6580</v>
      </c>
      <c r="E36" s="8" t="s">
        <v>6581</v>
      </c>
      <c r="G36" s="69"/>
      <c r="H36" s="70"/>
      <c r="I36" s="70"/>
      <c r="J36" s="87"/>
      <c r="L36" s="9">
        <f>COUNTA(B44)+L35</f>
        <v>26</v>
      </c>
      <c r="M36" s="31">
        <f t="shared" si="20"/>
        <v>0</v>
      </c>
      <c r="N36" s="144" t="s">
        <v>7696</v>
      </c>
      <c r="O36" s="36">
        <v>32</v>
      </c>
      <c r="P36" s="36">
        <v>108</v>
      </c>
      <c r="Q36" s="103"/>
      <c r="R36" s="160"/>
      <c r="S36" s="160"/>
      <c r="T36" s="160"/>
      <c r="U36" s="104"/>
      <c r="V36" s="36">
        <f t="shared" si="21"/>
        <v>3</v>
      </c>
      <c r="W36" s="103"/>
      <c r="X36" s="160"/>
      <c r="Y36" s="104"/>
      <c r="Z36" s="52" t="str">
        <f t="shared" si="19"/>
        <v/>
      </c>
      <c r="AA36" s="109" t="str">
        <f t="shared" si="19"/>
        <v/>
      </c>
      <c r="AB36" s="166"/>
      <c r="AC36" s="144" t="e">
        <f>VLOOKUP($M:$M,Data!$I:$J,2,FALSE)</f>
        <v>#N/A</v>
      </c>
      <c r="AD36" s="167"/>
    </row>
    <row r="37" ht="15.25" spans="2:30">
      <c r="B37" s="133">
        <v>1</v>
      </c>
      <c r="C37" s="134" t="str">
        <f>VLOOKUP("32/107/1",Data!$A$2:$E$1425,3,FALSE)</f>
        <v>51001 Marcus </v>
      </c>
      <c r="D37" s="135"/>
      <c r="E37" s="136"/>
      <c r="G37" s="69"/>
      <c r="H37" s="70"/>
      <c r="I37" s="70"/>
      <c r="J37" s="87"/>
      <c r="L37" s="14">
        <f>COUNTA(B45)+L36</f>
        <v>27</v>
      </c>
      <c r="M37" s="83">
        <f t="shared" si="20"/>
        <v>0</v>
      </c>
      <c r="N37" s="145" t="s">
        <v>7696</v>
      </c>
      <c r="O37" s="85">
        <v>32</v>
      </c>
      <c r="P37" s="85">
        <v>108</v>
      </c>
      <c r="Q37" s="105"/>
      <c r="R37" s="161"/>
      <c r="S37" s="161"/>
      <c r="T37" s="161"/>
      <c r="U37" s="106"/>
      <c r="V37" s="85">
        <f t="shared" si="21"/>
        <v>4</v>
      </c>
      <c r="W37" s="105"/>
      <c r="X37" s="161"/>
      <c r="Y37" s="106"/>
      <c r="Z37" s="107" t="str">
        <f t="shared" si="19"/>
        <v/>
      </c>
      <c r="AA37" s="111" t="str">
        <f t="shared" si="19"/>
        <v/>
      </c>
      <c r="AB37" s="168"/>
      <c r="AC37" s="145" t="e">
        <f>VLOOKUP($M:$M,Data!$I:$J,2,FALSE)</f>
        <v>#N/A</v>
      </c>
      <c r="AD37" s="169"/>
    </row>
    <row r="38" spans="2:30">
      <c r="B38" s="133">
        <v>2</v>
      </c>
      <c r="C38" s="134">
        <f>VLOOKUP("32/107/2",Data!$A$2:$E$1425,3,FALSE)</f>
        <v>0</v>
      </c>
      <c r="D38" s="137"/>
      <c r="E38" s="138"/>
      <c r="G38" s="69"/>
      <c r="H38" s="70"/>
      <c r="I38" s="70"/>
      <c r="J38" s="87"/>
      <c r="L38" s="6">
        <f>COUNTA(B47)+L37</f>
        <v>28</v>
      </c>
      <c r="M38" s="79">
        <f>C47</f>
        <v>0</v>
      </c>
      <c r="N38" s="143" t="s">
        <v>7696</v>
      </c>
      <c r="O38" s="81">
        <v>32</v>
      </c>
      <c r="P38" s="81">
        <v>109</v>
      </c>
      <c r="Q38" s="100" t="str">
        <f>_xlfn.IFS(COUNTA(B47:B50)=1,"Single",COUNTA(B47:B50)=2,"Double",COUNTA(B47:B50)=3,"Triple",COUNTA(B47:B50)=4,"Quadre",COUNTA(B47:B50)=0,"Empty")</f>
        <v>Quadre</v>
      </c>
      <c r="R38" s="159"/>
      <c r="S38" s="159"/>
      <c r="T38" s="159"/>
      <c r="U38" s="101"/>
      <c r="V38" s="81">
        <f>B47</f>
        <v>1</v>
      </c>
      <c r="W38" s="100">
        <f>COUNT(B47:B50)</f>
        <v>4</v>
      </c>
      <c r="X38" s="159"/>
      <c r="Y38" s="101"/>
      <c r="Z38" s="102" t="str">
        <f t="shared" ref="Z38:AA41" si="22">IF(D47=0,"",D47)</f>
        <v/>
      </c>
      <c r="AA38" s="108" t="str">
        <f t="shared" si="22"/>
        <v/>
      </c>
      <c r="AB38" s="164"/>
      <c r="AC38" s="143" t="e">
        <f>VLOOKUP($M:$M,Data!$I:$J,2,FALSE)</f>
        <v>#N/A</v>
      </c>
      <c r="AD38" s="165"/>
    </row>
    <row r="39" spans="2:30">
      <c r="B39" s="133">
        <v>3</v>
      </c>
      <c r="C39" s="134">
        <f>VLOOKUP("32/107/3",Data!$A$2:$E$1425,3,FALSE)</f>
        <v>0</v>
      </c>
      <c r="D39" s="137"/>
      <c r="E39" s="138"/>
      <c r="G39" s="69"/>
      <c r="H39" s="70"/>
      <c r="I39" s="70"/>
      <c r="J39" s="87"/>
      <c r="L39" s="9">
        <f>COUNTA(B48)+L38</f>
        <v>29</v>
      </c>
      <c r="M39" s="31">
        <f t="shared" ref="M39:M41" si="23">C48</f>
        <v>0</v>
      </c>
      <c r="N39" s="144" t="s">
        <v>7696</v>
      </c>
      <c r="O39" s="36">
        <v>32</v>
      </c>
      <c r="P39" s="36">
        <v>109</v>
      </c>
      <c r="Q39" s="103"/>
      <c r="R39" s="160"/>
      <c r="S39" s="160"/>
      <c r="T39" s="160"/>
      <c r="U39" s="104"/>
      <c r="V39" s="36">
        <f t="shared" ref="V39:V41" si="24">B48</f>
        <v>2</v>
      </c>
      <c r="W39" s="103"/>
      <c r="X39" s="160"/>
      <c r="Y39" s="104"/>
      <c r="Z39" s="52" t="str">
        <f t="shared" si="22"/>
        <v/>
      </c>
      <c r="AA39" s="109" t="str">
        <f t="shared" si="22"/>
        <v/>
      </c>
      <c r="AB39" s="166"/>
      <c r="AC39" s="144" t="e">
        <f>VLOOKUP($M:$M,Data!$I:$J,2,FALSE)</f>
        <v>#N/A</v>
      </c>
      <c r="AD39" s="167"/>
    </row>
    <row r="40" ht="15.25" spans="2:30">
      <c r="B40" s="139">
        <v>4</v>
      </c>
      <c r="C40" s="142">
        <f>VLOOKUP("32/107/4",Data!$A$2:$E$1425,3,FALSE)</f>
        <v>0</v>
      </c>
      <c r="D40" s="140"/>
      <c r="E40" s="141"/>
      <c r="G40" s="71"/>
      <c r="H40" s="72"/>
      <c r="I40" s="72"/>
      <c r="J40" s="88"/>
      <c r="L40" s="9">
        <f>COUNTA(B49)+L39</f>
        <v>30</v>
      </c>
      <c r="M40" s="31">
        <f t="shared" si="23"/>
        <v>0</v>
      </c>
      <c r="N40" s="144" t="s">
        <v>7696</v>
      </c>
      <c r="O40" s="36">
        <v>32</v>
      </c>
      <c r="P40" s="36">
        <v>109</v>
      </c>
      <c r="Q40" s="103"/>
      <c r="R40" s="160"/>
      <c r="S40" s="160"/>
      <c r="T40" s="160"/>
      <c r="U40" s="104"/>
      <c r="V40" s="36">
        <f t="shared" si="24"/>
        <v>3</v>
      </c>
      <c r="W40" s="103"/>
      <c r="X40" s="160"/>
      <c r="Y40" s="104"/>
      <c r="Z40" s="52" t="str">
        <f t="shared" si="22"/>
        <v/>
      </c>
      <c r="AA40" s="109" t="str">
        <f t="shared" si="22"/>
        <v/>
      </c>
      <c r="AB40" s="166"/>
      <c r="AC40" s="144" t="e">
        <f>VLOOKUP($M:$M,Data!$I:$J,2,FALSE)</f>
        <v>#N/A</v>
      </c>
      <c r="AD40" s="167"/>
    </row>
    <row r="41" ht="15.25" spans="2:30">
      <c r="B41" s="46">
        <v>108</v>
      </c>
      <c r="C41" s="132"/>
      <c r="D41" s="62" t="s">
        <v>6580</v>
      </c>
      <c r="E41" s="8" t="s">
        <v>6581</v>
      </c>
      <c r="G41" s="46">
        <v>115</v>
      </c>
      <c r="H41" s="132"/>
      <c r="I41" s="62" t="s">
        <v>6580</v>
      </c>
      <c r="J41" s="8" t="s">
        <v>6581</v>
      </c>
      <c r="L41" s="14">
        <f>COUNTA(B50)+L40</f>
        <v>31</v>
      </c>
      <c r="M41" s="83">
        <f t="shared" si="23"/>
        <v>0</v>
      </c>
      <c r="N41" s="145" t="s">
        <v>7696</v>
      </c>
      <c r="O41" s="85">
        <v>32</v>
      </c>
      <c r="P41" s="85">
        <v>109</v>
      </c>
      <c r="Q41" s="105"/>
      <c r="R41" s="161"/>
      <c r="S41" s="161"/>
      <c r="T41" s="161"/>
      <c r="U41" s="106"/>
      <c r="V41" s="85">
        <f t="shared" si="24"/>
        <v>4</v>
      </c>
      <c r="W41" s="105"/>
      <c r="X41" s="161"/>
      <c r="Y41" s="106"/>
      <c r="Z41" s="107" t="str">
        <f t="shared" si="22"/>
        <v/>
      </c>
      <c r="AA41" s="111" t="str">
        <f t="shared" si="22"/>
        <v/>
      </c>
      <c r="AB41" s="168"/>
      <c r="AC41" s="145" t="e">
        <f>VLOOKUP($M:$M,Data!$I:$J,2,FALSE)</f>
        <v>#N/A</v>
      </c>
      <c r="AD41" s="169"/>
    </row>
    <row r="42" spans="2:30">
      <c r="B42" s="133">
        <v>1</v>
      </c>
      <c r="C42" s="134" t="str">
        <f>VLOOKUP("32/108/1",Data!$A$2:$E$1425,3,FALSE)</f>
        <v>51002 Hannah </v>
      </c>
      <c r="D42" s="135"/>
      <c r="E42" s="136"/>
      <c r="G42" s="133">
        <v>1</v>
      </c>
      <c r="H42" s="134" t="str">
        <f>VLOOKUP("32/115/1",Data!$A$2:$E$1425,3,FALSE)</f>
        <v>51205 Elias </v>
      </c>
      <c r="I42" s="135"/>
      <c r="J42" s="136"/>
      <c r="L42" s="6">
        <f>COUNTA(B52)+L41</f>
        <v>32</v>
      </c>
      <c r="M42" s="79">
        <f>C52</f>
        <v>0</v>
      </c>
      <c r="N42" s="143" t="s">
        <v>7696</v>
      </c>
      <c r="O42" s="81">
        <v>32</v>
      </c>
      <c r="P42" s="81">
        <v>110</v>
      </c>
      <c r="Q42" s="100" t="str">
        <f>_xlfn.IFS(COUNTA(B52:B55)=1,"Single",COUNTA(B52:B55)=2,"Double",COUNTA(B52:B55)=3,"Triple",COUNTA(B52:B55)=4,"Quadre",COUNTA(B52:B55)=0,"Empty")</f>
        <v>Quadre</v>
      </c>
      <c r="R42" s="159"/>
      <c r="S42" s="159"/>
      <c r="T42" s="159"/>
      <c r="U42" s="101"/>
      <c r="V42" s="81">
        <f>B52</f>
        <v>1</v>
      </c>
      <c r="W42" s="100">
        <f>COUNT(B52:B55)</f>
        <v>4</v>
      </c>
      <c r="X42" s="159"/>
      <c r="Y42" s="101"/>
      <c r="Z42" s="102" t="str">
        <f t="shared" ref="Z42:AA45" si="25">IF(D52=0,"",D52)</f>
        <v/>
      </c>
      <c r="AA42" s="108" t="str">
        <f t="shared" si="25"/>
        <v/>
      </c>
      <c r="AB42" s="164"/>
      <c r="AC42" s="143" t="e">
        <f>VLOOKUP($M:$M,Data!$I:$J,2,FALSE)</f>
        <v>#N/A</v>
      </c>
      <c r="AD42" s="165"/>
    </row>
    <row r="43" spans="2:30">
      <c r="B43" s="133">
        <v>2</v>
      </c>
      <c r="C43" s="134">
        <f>VLOOKUP("32/108/2",Data!$A$2:$E$1425,3,FALSE)</f>
        <v>0</v>
      </c>
      <c r="D43" s="137"/>
      <c r="E43" s="138"/>
      <c r="G43" s="133">
        <v>2</v>
      </c>
      <c r="H43" s="134">
        <f>VLOOKUP("32/115/2",Data!$A$2:$E$1425,3,FALSE)</f>
        <v>0</v>
      </c>
      <c r="I43" s="137"/>
      <c r="J43" s="138"/>
      <c r="L43" s="9">
        <f>COUNTA(B53)+L42</f>
        <v>33</v>
      </c>
      <c r="M43" s="31">
        <f t="shared" ref="M43:M45" si="26">C53</f>
        <v>0</v>
      </c>
      <c r="N43" s="144" t="s">
        <v>7696</v>
      </c>
      <c r="O43" s="36">
        <v>32</v>
      </c>
      <c r="P43" s="36">
        <v>110</v>
      </c>
      <c r="Q43" s="103"/>
      <c r="R43" s="160"/>
      <c r="S43" s="160"/>
      <c r="T43" s="160"/>
      <c r="U43" s="104"/>
      <c r="V43" s="36">
        <f t="shared" ref="V43:V45" si="27">B53</f>
        <v>2</v>
      </c>
      <c r="W43" s="103"/>
      <c r="X43" s="160"/>
      <c r="Y43" s="104"/>
      <c r="Z43" s="52" t="str">
        <f t="shared" si="25"/>
        <v/>
      </c>
      <c r="AA43" s="109" t="str">
        <f t="shared" si="25"/>
        <v/>
      </c>
      <c r="AB43" s="166"/>
      <c r="AC43" s="144" t="e">
        <f>VLOOKUP($M:$M,Data!$I:$J,2,FALSE)</f>
        <v>#N/A</v>
      </c>
      <c r="AD43" s="167"/>
    </row>
    <row r="44" spans="2:30">
      <c r="B44" s="133">
        <v>3</v>
      </c>
      <c r="C44" s="134">
        <f>VLOOKUP("32/108/3",Data!$A$2:$E$1425,3,FALSE)</f>
        <v>0</v>
      </c>
      <c r="D44" s="137"/>
      <c r="E44" s="138"/>
      <c r="G44" s="133">
        <v>3</v>
      </c>
      <c r="H44" s="134">
        <f>VLOOKUP("32/115/3",Data!$A$2:$E$1425,3,FALSE)</f>
        <v>0</v>
      </c>
      <c r="I44" s="137"/>
      <c r="J44" s="138"/>
      <c r="L44" s="9">
        <f>COUNTA(B54)+L43</f>
        <v>34</v>
      </c>
      <c r="M44" s="31">
        <f t="shared" si="26"/>
        <v>0</v>
      </c>
      <c r="N44" s="144" t="s">
        <v>7696</v>
      </c>
      <c r="O44" s="36">
        <v>32</v>
      </c>
      <c r="P44" s="36">
        <v>110</v>
      </c>
      <c r="Q44" s="103"/>
      <c r="R44" s="160"/>
      <c r="S44" s="160"/>
      <c r="T44" s="160"/>
      <c r="U44" s="104"/>
      <c r="V44" s="36">
        <f t="shared" si="27"/>
        <v>3</v>
      </c>
      <c r="W44" s="103"/>
      <c r="X44" s="160"/>
      <c r="Y44" s="104"/>
      <c r="Z44" s="52" t="str">
        <f t="shared" si="25"/>
        <v/>
      </c>
      <c r="AA44" s="109" t="str">
        <f t="shared" si="25"/>
        <v/>
      </c>
      <c r="AB44" s="166"/>
      <c r="AC44" s="144" t="e">
        <f>VLOOKUP($M:$M,Data!$I:$J,2,FALSE)</f>
        <v>#N/A</v>
      </c>
      <c r="AD44" s="167"/>
    </row>
    <row r="45" ht="15.25" spans="2:30">
      <c r="B45" s="139">
        <v>4</v>
      </c>
      <c r="C45" s="142">
        <f>VLOOKUP("32/108/4",Data!$A$2:$E$1425,3,FALSE)</f>
        <v>0</v>
      </c>
      <c r="D45" s="140"/>
      <c r="E45" s="141"/>
      <c r="G45" s="139">
        <v>4</v>
      </c>
      <c r="H45" s="142">
        <f>VLOOKUP("32/115/4",Data!$A$2:$E$1425,3,FALSE)</f>
        <v>0</v>
      </c>
      <c r="I45" s="140"/>
      <c r="J45" s="141"/>
      <c r="L45" s="14">
        <f>COUNTA(B55)+L44</f>
        <v>35</v>
      </c>
      <c r="M45" s="83">
        <f t="shared" si="26"/>
        <v>0</v>
      </c>
      <c r="N45" s="145" t="s">
        <v>7696</v>
      </c>
      <c r="O45" s="85">
        <v>32</v>
      </c>
      <c r="P45" s="85">
        <v>110</v>
      </c>
      <c r="Q45" s="105"/>
      <c r="R45" s="161"/>
      <c r="S45" s="161"/>
      <c r="T45" s="161"/>
      <c r="U45" s="106"/>
      <c r="V45" s="85">
        <f t="shared" si="27"/>
        <v>4</v>
      </c>
      <c r="W45" s="105"/>
      <c r="X45" s="161"/>
      <c r="Y45" s="106"/>
      <c r="Z45" s="107" t="str">
        <f t="shared" si="25"/>
        <v/>
      </c>
      <c r="AA45" s="111" t="str">
        <f t="shared" si="25"/>
        <v/>
      </c>
      <c r="AB45" s="168"/>
      <c r="AC45" s="145" t="e">
        <f>VLOOKUP($M:$M,Data!$I:$J,2,FALSE)</f>
        <v>#N/A</v>
      </c>
      <c r="AD45" s="169"/>
    </row>
    <row r="46" spans="2:30">
      <c r="B46" s="46">
        <v>109</v>
      </c>
      <c r="C46" s="132"/>
      <c r="D46" s="62" t="s">
        <v>6580</v>
      </c>
      <c r="E46" s="8" t="s">
        <v>6581</v>
      </c>
      <c r="G46" s="46">
        <v>114</v>
      </c>
      <c r="H46" s="132"/>
      <c r="I46" s="62" t="s">
        <v>6580</v>
      </c>
      <c r="J46" s="8" t="s">
        <v>6581</v>
      </c>
      <c r="L46" s="6">
        <f>COUNTA(B57)+L45</f>
        <v>36</v>
      </c>
      <c r="M46" s="79">
        <f>C57</f>
        <v>0</v>
      </c>
      <c r="N46" s="143" t="s">
        <v>7696</v>
      </c>
      <c r="O46" s="81">
        <v>32</v>
      </c>
      <c r="P46" s="81">
        <v>111</v>
      </c>
      <c r="Q46" s="100" t="str">
        <f>_xlfn.IFS(COUNTA(B57:B60)=1,"Single",COUNTA(B57:B60)=2,"Double",COUNTA(B57:B60)=3,"Triple",COUNTA(B57:B60)=4,"Quadre",COUNTA(B57:B60)=0,"Empty")</f>
        <v>Quadre</v>
      </c>
      <c r="R46" s="159"/>
      <c r="S46" s="159"/>
      <c r="T46" s="159"/>
      <c r="U46" s="101"/>
      <c r="V46" s="81">
        <f>B57</f>
        <v>1</v>
      </c>
      <c r="W46" s="100">
        <f>COUNT(B57:B60)</f>
        <v>4</v>
      </c>
      <c r="X46" s="159"/>
      <c r="Y46" s="101"/>
      <c r="Z46" s="102" t="str">
        <f t="shared" ref="Z46:AA49" si="28">IF(D57=0,"",D57)</f>
        <v/>
      </c>
      <c r="AA46" s="108" t="str">
        <f t="shared" si="28"/>
        <v/>
      </c>
      <c r="AB46" s="164"/>
      <c r="AC46" s="143" t="e">
        <f>VLOOKUP($M:$M,Data!$I:$J,2,FALSE)</f>
        <v>#N/A</v>
      </c>
      <c r="AD46" s="165"/>
    </row>
    <row r="47" spans="2:30">
      <c r="B47" s="133">
        <v>1</v>
      </c>
      <c r="C47" s="134">
        <f>VLOOKUP("32/109/1",Data!$A$2:$E$1425,3,FALSE)</f>
        <v>0</v>
      </c>
      <c r="D47" s="135"/>
      <c r="E47" s="136"/>
      <c r="G47" s="133">
        <v>1</v>
      </c>
      <c r="H47" s="134">
        <f>VLOOKUP("32/114/1",Data!$A$2:$E$1425,3,FALSE)</f>
        <v>0</v>
      </c>
      <c r="I47" s="135"/>
      <c r="J47" s="136"/>
      <c r="L47" s="9">
        <f>COUNTA(B58)+L46</f>
        <v>37</v>
      </c>
      <c r="M47" s="31">
        <f t="shared" ref="M47:M49" si="29">C58</f>
        <v>0</v>
      </c>
      <c r="N47" s="144" t="s">
        <v>7696</v>
      </c>
      <c r="O47" s="36">
        <v>32</v>
      </c>
      <c r="P47" s="36">
        <v>111</v>
      </c>
      <c r="Q47" s="103"/>
      <c r="R47" s="160"/>
      <c r="S47" s="160"/>
      <c r="T47" s="160"/>
      <c r="U47" s="104"/>
      <c r="V47" s="36">
        <f t="shared" ref="V47:V49" si="30">B58</f>
        <v>2</v>
      </c>
      <c r="W47" s="103"/>
      <c r="X47" s="160"/>
      <c r="Y47" s="104"/>
      <c r="Z47" s="52" t="str">
        <f t="shared" si="28"/>
        <v/>
      </c>
      <c r="AA47" s="109" t="str">
        <f t="shared" si="28"/>
        <v/>
      </c>
      <c r="AB47" s="166"/>
      <c r="AC47" s="144" t="e">
        <f>VLOOKUP($M:$M,Data!$I:$J,2,FALSE)</f>
        <v>#N/A</v>
      </c>
      <c r="AD47" s="167"/>
    </row>
    <row r="48" spans="2:30">
      <c r="B48" s="133">
        <v>2</v>
      </c>
      <c r="C48" s="134">
        <f>VLOOKUP("32/109/2",Data!$A$2:$E$1425,3,FALSE)</f>
        <v>0</v>
      </c>
      <c r="D48" s="137"/>
      <c r="E48" s="138"/>
      <c r="G48" s="133">
        <v>2</v>
      </c>
      <c r="H48" s="134">
        <f>VLOOKUP("32/114/2",Data!$A$2:$E$1425,3,FALSE)</f>
        <v>0</v>
      </c>
      <c r="I48" s="137"/>
      <c r="J48" s="138"/>
      <c r="L48" s="9">
        <f>COUNTA(B59)+L47</f>
        <v>38</v>
      </c>
      <c r="M48" s="31">
        <f t="shared" si="29"/>
        <v>0</v>
      </c>
      <c r="N48" s="144" t="s">
        <v>7696</v>
      </c>
      <c r="O48" s="36">
        <v>32</v>
      </c>
      <c r="P48" s="36">
        <v>111</v>
      </c>
      <c r="Q48" s="103"/>
      <c r="R48" s="160"/>
      <c r="S48" s="160"/>
      <c r="T48" s="160"/>
      <c r="U48" s="104"/>
      <c r="V48" s="36">
        <f t="shared" si="30"/>
        <v>3</v>
      </c>
      <c r="W48" s="103"/>
      <c r="X48" s="160"/>
      <c r="Y48" s="104"/>
      <c r="Z48" s="52" t="str">
        <f t="shared" si="28"/>
        <v/>
      </c>
      <c r="AA48" s="109" t="str">
        <f t="shared" si="28"/>
        <v/>
      </c>
      <c r="AB48" s="166"/>
      <c r="AC48" s="144" t="e">
        <f>VLOOKUP($M:$M,Data!$I:$J,2,FALSE)</f>
        <v>#N/A</v>
      </c>
      <c r="AD48" s="167"/>
    </row>
    <row r="49" ht="15.25" spans="2:30">
      <c r="B49" s="133">
        <v>3</v>
      </c>
      <c r="C49" s="134">
        <f>VLOOKUP("32/109/3",Data!$A$2:$E$1425,3,FALSE)</f>
        <v>0</v>
      </c>
      <c r="D49" s="137"/>
      <c r="E49" s="138"/>
      <c r="G49" s="133">
        <v>3</v>
      </c>
      <c r="H49" s="134">
        <f>VLOOKUP("32/114/3",Data!$A$2:$E$1425,3,FALSE)</f>
        <v>0</v>
      </c>
      <c r="I49" s="137"/>
      <c r="J49" s="138"/>
      <c r="L49" s="14">
        <f>COUNTA(B60)+L48</f>
        <v>39</v>
      </c>
      <c r="M49" s="83">
        <f t="shared" si="29"/>
        <v>0</v>
      </c>
      <c r="N49" s="145" t="s">
        <v>7696</v>
      </c>
      <c r="O49" s="85">
        <v>32</v>
      </c>
      <c r="P49" s="85">
        <v>111</v>
      </c>
      <c r="Q49" s="105"/>
      <c r="R49" s="161"/>
      <c r="S49" s="161"/>
      <c r="T49" s="161"/>
      <c r="U49" s="106"/>
      <c r="V49" s="85">
        <f t="shared" si="30"/>
        <v>4</v>
      </c>
      <c r="W49" s="105"/>
      <c r="X49" s="161"/>
      <c r="Y49" s="106"/>
      <c r="Z49" s="107" t="str">
        <f t="shared" si="28"/>
        <v/>
      </c>
      <c r="AA49" s="111" t="str">
        <f t="shared" si="28"/>
        <v/>
      </c>
      <c r="AB49" s="168"/>
      <c r="AC49" s="145" t="e">
        <f>VLOOKUP($M:$M,Data!$I:$J,2,FALSE)</f>
        <v>#N/A</v>
      </c>
      <c r="AD49" s="169"/>
    </row>
    <row r="50" ht="15.25" spans="2:30">
      <c r="B50" s="139">
        <v>4</v>
      </c>
      <c r="C50" s="142">
        <f>VLOOKUP("32/109/4",Data!$A$2:$E$1425,3,FALSE)</f>
        <v>0</v>
      </c>
      <c r="D50" s="140"/>
      <c r="E50" s="141"/>
      <c r="G50" s="139">
        <v>4</v>
      </c>
      <c r="H50" s="142">
        <f>VLOOKUP("32/114/4",Data!$A$2:$E$1425,3,FALSE)</f>
        <v>0</v>
      </c>
      <c r="I50" s="140"/>
      <c r="J50" s="141"/>
      <c r="L50" s="6">
        <f>COUNTA(G57)+L49</f>
        <v>40</v>
      </c>
      <c r="M50" s="79">
        <f>H57</f>
        <v>0</v>
      </c>
      <c r="N50" s="143" t="s">
        <v>7696</v>
      </c>
      <c r="O50" s="81">
        <v>32</v>
      </c>
      <c r="P50" s="81">
        <v>112</v>
      </c>
      <c r="Q50" s="100" t="str">
        <f>_xlfn.IFS(COUNTA(G57:G60)=1,"Single",COUNTA(G57:G60)=2,"Double",COUNTA(G57:G60)=3,"Triple",COUNTA(G57:G60)=4,"Quadre",COUNTA(G57:G60)=0,"Empty")</f>
        <v>Quadre</v>
      </c>
      <c r="R50" s="159"/>
      <c r="S50" s="159"/>
      <c r="T50" s="159"/>
      <c r="U50" s="101"/>
      <c r="V50" s="81">
        <f>G57</f>
        <v>1</v>
      </c>
      <c r="W50" s="100">
        <f>COUNT(G57:G60)</f>
        <v>4</v>
      </c>
      <c r="X50" s="159"/>
      <c r="Y50" s="101"/>
      <c r="Z50" s="102" t="str">
        <f t="shared" ref="Z50:AA53" si="31">IF(I57=0,"",I57)</f>
        <v/>
      </c>
      <c r="AA50" s="108" t="str">
        <f t="shared" si="31"/>
        <v/>
      </c>
      <c r="AB50" s="164"/>
      <c r="AC50" s="143" t="e">
        <f>VLOOKUP($M:$M,Data!$I:$J,2,FALSE)</f>
        <v>#N/A</v>
      </c>
      <c r="AD50" s="165"/>
    </row>
    <row r="51" spans="2:30">
      <c r="B51" s="46">
        <v>110</v>
      </c>
      <c r="C51" s="132"/>
      <c r="D51" s="62" t="s">
        <v>6580</v>
      </c>
      <c r="E51" s="8" t="s">
        <v>6581</v>
      </c>
      <c r="G51" s="46">
        <v>113</v>
      </c>
      <c r="H51" s="132"/>
      <c r="I51" s="62" t="s">
        <v>6580</v>
      </c>
      <c r="J51" s="8" t="s">
        <v>6581</v>
      </c>
      <c r="L51" s="9">
        <f>COUNTA(G58)+L50</f>
        <v>41</v>
      </c>
      <c r="M51" s="31">
        <f t="shared" ref="M51:M53" si="32">H58</f>
        <v>0</v>
      </c>
      <c r="N51" s="144" t="s">
        <v>7696</v>
      </c>
      <c r="O51" s="36">
        <v>32</v>
      </c>
      <c r="P51" s="36">
        <v>112</v>
      </c>
      <c r="Q51" s="103"/>
      <c r="R51" s="160"/>
      <c r="S51" s="160"/>
      <c r="T51" s="160"/>
      <c r="U51" s="104"/>
      <c r="V51" s="36">
        <f t="shared" ref="V51:V53" si="33">G58</f>
        <v>2</v>
      </c>
      <c r="W51" s="103"/>
      <c r="X51" s="160"/>
      <c r="Y51" s="104"/>
      <c r="Z51" s="52" t="str">
        <f t="shared" si="31"/>
        <v/>
      </c>
      <c r="AA51" s="109" t="str">
        <f t="shared" si="31"/>
        <v/>
      </c>
      <c r="AB51" s="166"/>
      <c r="AC51" s="144" t="e">
        <f>VLOOKUP($M:$M,Data!$I:$J,2,FALSE)</f>
        <v>#N/A</v>
      </c>
      <c r="AD51" s="167"/>
    </row>
    <row r="52" spans="2:30">
      <c r="B52" s="133">
        <v>1</v>
      </c>
      <c r="C52" s="134">
        <f>VLOOKUP("32/110/1",Data!$A$2:$E$1425,3,FALSE)</f>
        <v>0</v>
      </c>
      <c r="D52" s="135"/>
      <c r="E52" s="136"/>
      <c r="G52" s="133">
        <v>1</v>
      </c>
      <c r="H52" s="134">
        <f>VLOOKUP("32/113/1",Data!$A$2:$E$1425,3,FALSE)</f>
        <v>0</v>
      </c>
      <c r="I52" s="135"/>
      <c r="J52" s="136"/>
      <c r="L52" s="9">
        <f>COUNTA(G59)+L51</f>
        <v>42</v>
      </c>
      <c r="M52" s="31">
        <f t="shared" si="32"/>
        <v>0</v>
      </c>
      <c r="N52" s="144" t="s">
        <v>7696</v>
      </c>
      <c r="O52" s="36">
        <v>32</v>
      </c>
      <c r="P52" s="36">
        <v>112</v>
      </c>
      <c r="Q52" s="103"/>
      <c r="R52" s="160"/>
      <c r="S52" s="160"/>
      <c r="T52" s="160"/>
      <c r="U52" s="104"/>
      <c r="V52" s="36">
        <f t="shared" si="33"/>
        <v>3</v>
      </c>
      <c r="W52" s="103"/>
      <c r="X52" s="160"/>
      <c r="Y52" s="104"/>
      <c r="Z52" s="52" t="str">
        <f t="shared" si="31"/>
        <v/>
      </c>
      <c r="AA52" s="109" t="str">
        <f t="shared" si="31"/>
        <v/>
      </c>
      <c r="AB52" s="166"/>
      <c r="AC52" s="144" t="e">
        <f>VLOOKUP($M:$M,Data!$I:$J,2,FALSE)</f>
        <v>#N/A</v>
      </c>
      <c r="AD52" s="167"/>
    </row>
    <row r="53" ht="15.25" spans="2:30">
      <c r="B53" s="133">
        <v>2</v>
      </c>
      <c r="C53" s="134">
        <f>VLOOKUP("32/110/2",Data!$A$2:$E$1425,3,FALSE)</f>
        <v>0</v>
      </c>
      <c r="D53" s="137"/>
      <c r="E53" s="138"/>
      <c r="G53" s="133">
        <v>2</v>
      </c>
      <c r="H53" s="134">
        <f>VLOOKUP("32/113/2",Data!$A$2:$E$1425,3,FALSE)</f>
        <v>0</v>
      </c>
      <c r="I53" s="137"/>
      <c r="J53" s="138"/>
      <c r="L53" s="14">
        <f>COUNTA(G60)+L52</f>
        <v>43</v>
      </c>
      <c r="M53" s="83">
        <f t="shared" si="32"/>
        <v>0</v>
      </c>
      <c r="N53" s="145" t="s">
        <v>7696</v>
      </c>
      <c r="O53" s="85">
        <v>32</v>
      </c>
      <c r="P53" s="85">
        <v>112</v>
      </c>
      <c r="Q53" s="105"/>
      <c r="R53" s="161"/>
      <c r="S53" s="161"/>
      <c r="T53" s="161"/>
      <c r="U53" s="106"/>
      <c r="V53" s="85">
        <f t="shared" si="33"/>
        <v>4</v>
      </c>
      <c r="W53" s="105"/>
      <c r="X53" s="161"/>
      <c r="Y53" s="106"/>
      <c r="Z53" s="107" t="str">
        <f t="shared" si="31"/>
        <v/>
      </c>
      <c r="AA53" s="111" t="str">
        <f t="shared" si="31"/>
        <v/>
      </c>
      <c r="AB53" s="168"/>
      <c r="AC53" s="145" t="e">
        <f>VLOOKUP($M:$M,Data!$I:$J,2,FALSE)</f>
        <v>#N/A</v>
      </c>
      <c r="AD53" s="169"/>
    </row>
    <row r="54" spans="2:30">
      <c r="B54" s="133">
        <v>3</v>
      </c>
      <c r="C54" s="134">
        <f>VLOOKUP("32/110/3",Data!$A$2:$E$1425,3,FALSE)</f>
        <v>0</v>
      </c>
      <c r="D54" s="137"/>
      <c r="E54" s="138"/>
      <c r="G54" s="133">
        <v>3</v>
      </c>
      <c r="H54" s="134">
        <f>VLOOKUP("32/113/3",Data!$A$2:$E$1425,3,FALSE)</f>
        <v>0</v>
      </c>
      <c r="I54" s="137"/>
      <c r="J54" s="138"/>
      <c r="L54" s="6">
        <f>COUNTA(G52)+L53</f>
        <v>44</v>
      </c>
      <c r="M54" s="79">
        <f>H52</f>
        <v>0</v>
      </c>
      <c r="N54" s="143" t="s">
        <v>7696</v>
      </c>
      <c r="O54" s="81">
        <v>32</v>
      </c>
      <c r="P54" s="81">
        <v>113</v>
      </c>
      <c r="Q54" s="100" t="str">
        <f>_xlfn.IFS(COUNTA(G52:G55)=1,"Single",COUNTA(G52:G55)=2,"Double",COUNTA(G52:G55)=3,"Triple",COUNTA(G52:G55)=4,"Quadre",COUNTA(G52:G55)=0,"Empty")</f>
        <v>Quadre</v>
      </c>
      <c r="R54" s="159"/>
      <c r="S54" s="159"/>
      <c r="T54" s="159"/>
      <c r="U54" s="101"/>
      <c r="V54" s="81">
        <f>G52</f>
        <v>1</v>
      </c>
      <c r="W54" s="100">
        <f>COUNT(G52:G55)</f>
        <v>4</v>
      </c>
      <c r="X54" s="159"/>
      <c r="Y54" s="101"/>
      <c r="Z54" s="102" t="str">
        <f t="shared" ref="Z54:AA57" si="34">IF(I52=0,"",I52)</f>
        <v/>
      </c>
      <c r="AA54" s="108" t="str">
        <f t="shared" si="34"/>
        <v/>
      </c>
      <c r="AB54" s="164"/>
      <c r="AC54" s="143" t="e">
        <f>VLOOKUP($M:$M,Data!$I:$J,2,FALSE)</f>
        <v>#N/A</v>
      </c>
      <c r="AD54" s="165"/>
    </row>
    <row r="55" ht="15.25" spans="2:30">
      <c r="B55" s="139">
        <v>4</v>
      </c>
      <c r="C55" s="142">
        <f>VLOOKUP("32/110/4",Data!$A$2:$E$1425,3,FALSE)</f>
        <v>0</v>
      </c>
      <c r="D55" s="140"/>
      <c r="E55" s="141"/>
      <c r="G55" s="139">
        <v>4</v>
      </c>
      <c r="H55" s="142">
        <f>VLOOKUP("32/113/4",Data!$A$2:$E$1425,3,FALSE)</f>
        <v>0</v>
      </c>
      <c r="I55" s="140"/>
      <c r="J55" s="141"/>
      <c r="L55" s="9">
        <f>COUNTA(G53)+L54</f>
        <v>45</v>
      </c>
      <c r="M55" s="31">
        <f t="shared" ref="M55:M57" si="35">H53</f>
        <v>0</v>
      </c>
      <c r="N55" s="144" t="s">
        <v>7696</v>
      </c>
      <c r="O55" s="36">
        <v>32</v>
      </c>
      <c r="P55" s="36">
        <v>113</v>
      </c>
      <c r="Q55" s="103"/>
      <c r="R55" s="160"/>
      <c r="S55" s="160"/>
      <c r="T55" s="160"/>
      <c r="U55" s="104"/>
      <c r="V55" s="36">
        <f t="shared" ref="V55:V57" si="36">G53</f>
        <v>2</v>
      </c>
      <c r="W55" s="103"/>
      <c r="X55" s="160"/>
      <c r="Y55" s="104"/>
      <c r="Z55" s="52" t="str">
        <f t="shared" si="34"/>
        <v/>
      </c>
      <c r="AA55" s="109" t="str">
        <f t="shared" si="34"/>
        <v/>
      </c>
      <c r="AB55" s="166"/>
      <c r="AC55" s="144" t="e">
        <f>VLOOKUP($M:$M,Data!$I:$J,2,FALSE)</f>
        <v>#N/A</v>
      </c>
      <c r="AD55" s="167"/>
    </row>
    <row r="56" spans="2:30">
      <c r="B56" s="46">
        <v>111</v>
      </c>
      <c r="C56" s="132"/>
      <c r="D56" s="62" t="s">
        <v>6580</v>
      </c>
      <c r="E56" s="8" t="s">
        <v>6581</v>
      </c>
      <c r="G56" s="46">
        <v>112</v>
      </c>
      <c r="H56" s="132"/>
      <c r="I56" s="62" t="s">
        <v>6580</v>
      </c>
      <c r="J56" s="8" t="s">
        <v>6581</v>
      </c>
      <c r="L56" s="9">
        <f>COUNTA(G54)+L55</f>
        <v>46</v>
      </c>
      <c r="M56" s="31">
        <f t="shared" si="35"/>
        <v>0</v>
      </c>
      <c r="N56" s="144" t="s">
        <v>7696</v>
      </c>
      <c r="O56" s="36">
        <v>32</v>
      </c>
      <c r="P56" s="36">
        <v>113</v>
      </c>
      <c r="Q56" s="103"/>
      <c r="R56" s="160"/>
      <c r="S56" s="160"/>
      <c r="T56" s="160"/>
      <c r="U56" s="104"/>
      <c r="V56" s="36">
        <f t="shared" si="36"/>
        <v>3</v>
      </c>
      <c r="W56" s="103"/>
      <c r="X56" s="160"/>
      <c r="Y56" s="104"/>
      <c r="Z56" s="52" t="str">
        <f t="shared" si="34"/>
        <v/>
      </c>
      <c r="AA56" s="109" t="str">
        <f t="shared" si="34"/>
        <v/>
      </c>
      <c r="AB56" s="166"/>
      <c r="AC56" s="144" t="e">
        <f>VLOOKUP($M:$M,Data!$I:$J,2,FALSE)</f>
        <v>#N/A</v>
      </c>
      <c r="AD56" s="167"/>
    </row>
    <row r="57" ht="15.25" spans="2:30">
      <c r="B57" s="133">
        <v>1</v>
      </c>
      <c r="C57" s="134">
        <f>VLOOKUP("32/111/1",Data!$A$2:$E$1425,3,FALSE)</f>
        <v>0</v>
      </c>
      <c r="D57" s="135"/>
      <c r="E57" s="136"/>
      <c r="G57" s="133">
        <v>1</v>
      </c>
      <c r="H57" s="134">
        <f>VLOOKUP("32/112/1",Data!$A$2:$E$1425,3,FALSE)</f>
        <v>0</v>
      </c>
      <c r="I57" s="135"/>
      <c r="J57" s="136"/>
      <c r="L57" s="14">
        <f>COUNTA(G55)+L56</f>
        <v>47</v>
      </c>
      <c r="M57" s="83">
        <f t="shared" si="35"/>
        <v>0</v>
      </c>
      <c r="N57" s="145" t="s">
        <v>7696</v>
      </c>
      <c r="O57" s="85">
        <v>32</v>
      </c>
      <c r="P57" s="85">
        <v>113</v>
      </c>
      <c r="Q57" s="105"/>
      <c r="R57" s="161"/>
      <c r="S57" s="161"/>
      <c r="T57" s="161"/>
      <c r="U57" s="106"/>
      <c r="V57" s="85">
        <f t="shared" si="36"/>
        <v>4</v>
      </c>
      <c r="W57" s="105"/>
      <c r="X57" s="161"/>
      <c r="Y57" s="106"/>
      <c r="Z57" s="107" t="str">
        <f t="shared" si="34"/>
        <v/>
      </c>
      <c r="AA57" s="111" t="str">
        <f t="shared" si="34"/>
        <v/>
      </c>
      <c r="AB57" s="168"/>
      <c r="AC57" s="145" t="e">
        <f>VLOOKUP($M:$M,Data!$I:$J,2,FALSE)</f>
        <v>#N/A</v>
      </c>
      <c r="AD57" s="169"/>
    </row>
    <row r="58" spans="2:30">
      <c r="B58" s="133">
        <v>2</v>
      </c>
      <c r="C58" s="134">
        <f>VLOOKUP("32/111/2",Data!$A$2:$E$1425,3,FALSE)</f>
        <v>0</v>
      </c>
      <c r="D58" s="137"/>
      <c r="E58" s="138"/>
      <c r="G58" s="133">
        <v>2</v>
      </c>
      <c r="H58" s="134">
        <f>VLOOKUP("32/112/2",Data!$A$2:$E$1425,3,FALSE)</f>
        <v>0</v>
      </c>
      <c r="I58" s="137"/>
      <c r="J58" s="138"/>
      <c r="L58" s="6">
        <f>COUNTA(G47)+L57</f>
        <v>48</v>
      </c>
      <c r="M58" s="79">
        <f>H47</f>
        <v>0</v>
      </c>
      <c r="N58" s="143" t="s">
        <v>7696</v>
      </c>
      <c r="O58" s="81">
        <v>32</v>
      </c>
      <c r="P58" s="81">
        <v>114</v>
      </c>
      <c r="Q58" s="100" t="str">
        <f>_xlfn.IFS(COUNTA(G47:G50)=1,"Single",COUNTA(G47:G50)=2,"Double",COUNTA(G47:G50)=3,"Triple",COUNTA(G47:G50)=4,"Quadre",COUNTA(G47:G50)=0,"Empty")</f>
        <v>Quadre</v>
      </c>
      <c r="R58" s="159"/>
      <c r="S58" s="159"/>
      <c r="T58" s="159"/>
      <c r="U58" s="101"/>
      <c r="V58" s="81">
        <f>G47</f>
        <v>1</v>
      </c>
      <c r="W58" s="100">
        <f>COUNT(G47:G50)</f>
        <v>4</v>
      </c>
      <c r="X58" s="159"/>
      <c r="Y58" s="101"/>
      <c r="Z58" s="102" t="str">
        <f t="shared" ref="Z58:AA61" si="37">IF(I47=0,"",I47)</f>
        <v/>
      </c>
      <c r="AA58" s="108" t="str">
        <f t="shared" si="37"/>
        <v/>
      </c>
      <c r="AB58" s="164"/>
      <c r="AC58" s="143" t="e">
        <f>VLOOKUP($M:$M,Data!$I:$J,2,FALSE)</f>
        <v>#N/A</v>
      </c>
      <c r="AD58" s="165"/>
    </row>
    <row r="59" spans="2:30">
      <c r="B59" s="133">
        <v>3</v>
      </c>
      <c r="C59" s="134">
        <f>VLOOKUP("32/111/3",Data!$A$2:$E$1425,3,FALSE)</f>
        <v>0</v>
      </c>
      <c r="D59" s="137"/>
      <c r="E59" s="138"/>
      <c r="G59" s="133">
        <v>3</v>
      </c>
      <c r="H59" s="134">
        <f>VLOOKUP("32/112/3",Data!$A$2:$E$1425,3,FALSE)</f>
        <v>0</v>
      </c>
      <c r="I59" s="137"/>
      <c r="J59" s="138"/>
      <c r="L59" s="9">
        <f>COUNTA(G48)+L58</f>
        <v>49</v>
      </c>
      <c r="M59" s="31">
        <f t="shared" ref="M59:M61" si="38">H48</f>
        <v>0</v>
      </c>
      <c r="N59" s="144" t="s">
        <v>7696</v>
      </c>
      <c r="O59" s="36">
        <v>32</v>
      </c>
      <c r="P59" s="36">
        <v>114</v>
      </c>
      <c r="Q59" s="103"/>
      <c r="R59" s="160"/>
      <c r="S59" s="160"/>
      <c r="T59" s="160"/>
      <c r="U59" s="104"/>
      <c r="V59" s="36">
        <f t="shared" ref="V59:V61" si="39">G48</f>
        <v>2</v>
      </c>
      <c r="W59" s="103"/>
      <c r="X59" s="160"/>
      <c r="Y59" s="104"/>
      <c r="Z59" s="52" t="str">
        <f t="shared" si="37"/>
        <v/>
      </c>
      <c r="AA59" s="109" t="str">
        <f t="shared" si="37"/>
        <v/>
      </c>
      <c r="AB59" s="166"/>
      <c r="AC59" s="144" t="e">
        <f>VLOOKUP($M:$M,Data!$I:$J,2,FALSE)</f>
        <v>#N/A</v>
      </c>
      <c r="AD59" s="167"/>
    </row>
    <row r="60" ht="15.25" spans="2:30">
      <c r="B60" s="139">
        <v>4</v>
      </c>
      <c r="C60" s="142">
        <f>VLOOKUP("32/111/4",Data!$A$2:$E$1425,3,FALSE)</f>
        <v>0</v>
      </c>
      <c r="D60" s="140"/>
      <c r="E60" s="141"/>
      <c r="G60" s="139">
        <v>4</v>
      </c>
      <c r="H60" s="142">
        <f>VLOOKUP("32/112/4",Data!$A$2:$E$1425,3,FALSE)</f>
        <v>0</v>
      </c>
      <c r="I60" s="140"/>
      <c r="J60" s="141"/>
      <c r="L60" s="9">
        <f>COUNTA(G49)+L59</f>
        <v>50</v>
      </c>
      <c r="M60" s="31">
        <f t="shared" si="38"/>
        <v>0</v>
      </c>
      <c r="N60" s="144" t="s">
        <v>7696</v>
      </c>
      <c r="O60" s="36">
        <v>32</v>
      </c>
      <c r="P60" s="36">
        <v>114</v>
      </c>
      <c r="Q60" s="103"/>
      <c r="R60" s="160"/>
      <c r="S60" s="160"/>
      <c r="T60" s="160"/>
      <c r="U60" s="104"/>
      <c r="V60" s="36">
        <f t="shared" si="39"/>
        <v>3</v>
      </c>
      <c r="W60" s="103"/>
      <c r="X60" s="160"/>
      <c r="Y60" s="104"/>
      <c r="Z60" s="52" t="str">
        <f t="shared" si="37"/>
        <v/>
      </c>
      <c r="AA60" s="109" t="str">
        <f t="shared" si="37"/>
        <v/>
      </c>
      <c r="AB60" s="166"/>
      <c r="AC60" s="144" t="e">
        <f>VLOOKUP($M:$M,Data!$I:$J,2,FALSE)</f>
        <v>#N/A</v>
      </c>
      <c r="AD60" s="167"/>
    </row>
    <row r="61" ht="15.25" spans="12:30">
      <c r="L61" s="14">
        <f>COUNTA(G50)+L60</f>
        <v>51</v>
      </c>
      <c r="M61" s="83">
        <f t="shared" si="38"/>
        <v>0</v>
      </c>
      <c r="N61" s="145" t="s">
        <v>7696</v>
      </c>
      <c r="O61" s="85">
        <v>32</v>
      </c>
      <c r="P61" s="85">
        <v>114</v>
      </c>
      <c r="Q61" s="105"/>
      <c r="R61" s="161"/>
      <c r="S61" s="161"/>
      <c r="T61" s="161"/>
      <c r="U61" s="106"/>
      <c r="V61" s="85">
        <f t="shared" si="39"/>
        <v>4</v>
      </c>
      <c r="W61" s="105"/>
      <c r="X61" s="161"/>
      <c r="Y61" s="106"/>
      <c r="Z61" s="107" t="str">
        <f t="shared" si="37"/>
        <v/>
      </c>
      <c r="AA61" s="111" t="str">
        <f t="shared" si="37"/>
        <v/>
      </c>
      <c r="AB61" s="168"/>
      <c r="AC61" s="145" t="e">
        <f>VLOOKUP($M:$M,Data!$I:$J,2,FALSE)</f>
        <v>#N/A</v>
      </c>
      <c r="AD61" s="169"/>
    </row>
    <row r="62" spans="3:30">
      <c r="C62" s="1" t="s">
        <v>7697</v>
      </c>
      <c r="D62" s="1"/>
      <c r="E62" s="1"/>
      <c r="F62" s="1"/>
      <c r="G62" s="1"/>
      <c r="H62" s="1"/>
      <c r="I62" s="1"/>
      <c r="J62" s="89"/>
      <c r="L62" s="6">
        <f>COUNTA(G42)+L61</f>
        <v>52</v>
      </c>
      <c r="M62" s="79" t="str">
        <f>H42</f>
        <v>51205 Elias </v>
      </c>
      <c r="N62" s="143" t="s">
        <v>7696</v>
      </c>
      <c r="O62" s="81">
        <v>32</v>
      </c>
      <c r="P62" s="81">
        <v>115</v>
      </c>
      <c r="Q62" s="100" t="str">
        <f>_xlfn.IFS(COUNTA(G42:G45)=1,"Single",COUNTA(G42:G45)=2,"Double",COUNTA(G42:G45)=3,"Triple",COUNTA(G42:G45)=4,"Quadre",COUNTA(G42:G45)=0,"Empty")</f>
        <v>Quadre</v>
      </c>
      <c r="R62" s="159"/>
      <c r="S62" s="159"/>
      <c r="T62" s="159"/>
      <c r="U62" s="101"/>
      <c r="V62" s="81">
        <f>G42</f>
        <v>1</v>
      </c>
      <c r="W62" s="100">
        <f>COUNT(G42:G45)</f>
        <v>4</v>
      </c>
      <c r="X62" s="159"/>
      <c r="Y62" s="101"/>
      <c r="Z62" s="102" t="str">
        <f t="shared" ref="Z62:AA65" si="40">IF(I42=0,"",I42)</f>
        <v/>
      </c>
      <c r="AA62" s="108" t="str">
        <f t="shared" si="40"/>
        <v/>
      </c>
      <c r="AB62" s="164"/>
      <c r="AC62" s="143" t="e">
        <f>VLOOKUP($M:$M,Data!$I:$J,2,FALSE)</f>
        <v>#N/A</v>
      </c>
      <c r="AD62" s="165"/>
    </row>
    <row r="63" ht="15.25" spans="2:30">
      <c r="B63" s="131" t="s">
        <v>7427</v>
      </c>
      <c r="C63" s="131"/>
      <c r="D63" s="131"/>
      <c r="E63" s="131"/>
      <c r="G63" s="131" t="s">
        <v>7427</v>
      </c>
      <c r="H63" s="131"/>
      <c r="I63" s="131"/>
      <c r="J63" s="131"/>
      <c r="L63" s="9">
        <f>COUNTA(G43)+L62</f>
        <v>53</v>
      </c>
      <c r="M63" s="31">
        <f t="shared" ref="M63:M65" si="41">H43</f>
        <v>0</v>
      </c>
      <c r="N63" s="144" t="s">
        <v>7696</v>
      </c>
      <c r="O63" s="36">
        <v>32</v>
      </c>
      <c r="P63" s="36">
        <v>115</v>
      </c>
      <c r="Q63" s="103"/>
      <c r="R63" s="160"/>
      <c r="S63" s="160"/>
      <c r="T63" s="160"/>
      <c r="U63" s="104"/>
      <c r="V63" s="36">
        <f t="shared" ref="V63:V65" si="42">G43</f>
        <v>2</v>
      </c>
      <c r="W63" s="103"/>
      <c r="X63" s="160"/>
      <c r="Y63" s="104"/>
      <c r="Z63" s="52" t="str">
        <f t="shared" si="40"/>
        <v/>
      </c>
      <c r="AA63" s="109" t="str">
        <f t="shared" si="40"/>
        <v/>
      </c>
      <c r="AB63" s="166"/>
      <c r="AC63" s="144" t="e">
        <f>VLOOKUP($M:$M,Data!$I:$J,2,FALSE)</f>
        <v>#N/A</v>
      </c>
      <c r="AD63" s="167"/>
    </row>
    <row r="64" spans="2:30">
      <c r="B64" s="46">
        <v>201</v>
      </c>
      <c r="C64" s="132"/>
      <c r="D64" s="62" t="s">
        <v>6580</v>
      </c>
      <c r="E64" s="8" t="s">
        <v>6581</v>
      </c>
      <c r="G64" s="46">
        <v>220</v>
      </c>
      <c r="H64" s="132"/>
      <c r="I64" s="62" t="s">
        <v>6580</v>
      </c>
      <c r="J64" s="8" t="s">
        <v>6581</v>
      </c>
      <c r="L64" s="9">
        <f>COUNTA(G44)+L63</f>
        <v>54</v>
      </c>
      <c r="M64" s="31">
        <f t="shared" si="41"/>
        <v>0</v>
      </c>
      <c r="N64" s="144" t="s">
        <v>7696</v>
      </c>
      <c r="O64" s="36">
        <v>32</v>
      </c>
      <c r="P64" s="36">
        <v>115</v>
      </c>
      <c r="Q64" s="103"/>
      <c r="R64" s="160"/>
      <c r="S64" s="160"/>
      <c r="T64" s="160"/>
      <c r="U64" s="104"/>
      <c r="V64" s="36">
        <f t="shared" si="42"/>
        <v>3</v>
      </c>
      <c r="W64" s="103"/>
      <c r="X64" s="160"/>
      <c r="Y64" s="104"/>
      <c r="Z64" s="52" t="str">
        <f t="shared" si="40"/>
        <v/>
      </c>
      <c r="AA64" s="109" t="str">
        <f t="shared" si="40"/>
        <v/>
      </c>
      <c r="AB64" s="166"/>
      <c r="AC64" s="144" t="e">
        <f>VLOOKUP($M:$M,Data!$I:$J,2,FALSE)</f>
        <v>#N/A</v>
      </c>
      <c r="AD64" s="167"/>
    </row>
    <row r="65" ht="15.25" spans="2:30">
      <c r="B65" s="133">
        <v>1</v>
      </c>
      <c r="C65" s="134">
        <f>VLOOKUP("32/201/1",Data!$A$2:$E$1425,3,FALSE)</f>
        <v>0</v>
      </c>
      <c r="D65" s="135"/>
      <c r="E65" s="136"/>
      <c r="G65" s="133">
        <v>1</v>
      </c>
      <c r="H65" s="134">
        <f>VLOOKUP("32/220/1",Data!$A$2:$E$1425,3,FALSE)</f>
        <v>0</v>
      </c>
      <c r="I65" s="135"/>
      <c r="J65" s="136"/>
      <c r="L65" s="14">
        <f>COUNTA(G45)+L64</f>
        <v>55</v>
      </c>
      <c r="M65" s="83">
        <f t="shared" si="41"/>
        <v>0</v>
      </c>
      <c r="N65" s="145" t="s">
        <v>7696</v>
      </c>
      <c r="O65" s="85">
        <v>32</v>
      </c>
      <c r="P65" s="85">
        <v>115</v>
      </c>
      <c r="Q65" s="105"/>
      <c r="R65" s="161"/>
      <c r="S65" s="161"/>
      <c r="T65" s="161"/>
      <c r="U65" s="106"/>
      <c r="V65" s="85">
        <f t="shared" si="42"/>
        <v>4</v>
      </c>
      <c r="W65" s="105"/>
      <c r="X65" s="161"/>
      <c r="Y65" s="106"/>
      <c r="Z65" s="107" t="str">
        <f t="shared" si="40"/>
        <v/>
      </c>
      <c r="AA65" s="111" t="str">
        <f t="shared" si="40"/>
        <v/>
      </c>
      <c r="AB65" s="168"/>
      <c r="AC65" s="145" t="e">
        <f>VLOOKUP($M:$M,Data!$I:$J,2,FALSE)</f>
        <v>#N/A</v>
      </c>
      <c r="AD65" s="169"/>
    </row>
    <row r="66" spans="2:30">
      <c r="B66" s="133"/>
      <c r="C66" s="134">
        <f>VLOOKUP("32/201/2",Data!$A$2:$E$1425,3,FALSE)</f>
        <v>0</v>
      </c>
      <c r="D66" s="137"/>
      <c r="E66" s="138"/>
      <c r="G66" s="133"/>
      <c r="H66" s="134">
        <f>VLOOKUP("32/220/2",Data!$A$2:$E$1425,3,FALSE)</f>
        <v>0</v>
      </c>
      <c r="I66" s="137"/>
      <c r="J66" s="138"/>
      <c r="L66" s="6">
        <f>COUNTA(G27)+L65</f>
        <v>56</v>
      </c>
      <c r="M66" s="79" t="str">
        <f>H27</f>
        <v>51208 Eric </v>
      </c>
      <c r="N66" s="143" t="s">
        <v>7696</v>
      </c>
      <c r="O66" s="81">
        <v>32</v>
      </c>
      <c r="P66" s="81">
        <v>116</v>
      </c>
      <c r="Q66" s="100" t="str">
        <f>_xlfn.IFS(COUNTA(G27:G30)=1,"Single",COUNTA(G27:G30)=2,"Double",COUNTA(G27:G30)=3,"Triple",COUNTA(G27:G30)=4,"Quadre",COUNTA(G27:G30)=0,"Empty")</f>
        <v>Double</v>
      </c>
      <c r="R66" s="159"/>
      <c r="S66" s="159"/>
      <c r="T66" s="159"/>
      <c r="U66" s="101"/>
      <c r="V66" s="81">
        <f>G27</f>
        <v>1</v>
      </c>
      <c r="W66" s="100">
        <f>COUNT(G27:G30)</f>
        <v>2</v>
      </c>
      <c r="X66" s="159"/>
      <c r="Y66" s="101"/>
      <c r="Z66" s="102" t="str">
        <f t="shared" ref="Z66:AA69" si="43">IF(I27=0,"",I27)</f>
        <v/>
      </c>
      <c r="AA66" s="108" t="str">
        <f t="shared" si="43"/>
        <v/>
      </c>
      <c r="AB66" s="164"/>
      <c r="AC66" s="143" t="e">
        <f>VLOOKUP($M:$M,Data!$I:$J,2,FALSE)</f>
        <v>#N/A</v>
      </c>
      <c r="AD66" s="165"/>
    </row>
    <row r="67" spans="2:30">
      <c r="B67" s="133"/>
      <c r="C67" s="134">
        <f>VLOOKUP("32/201/3",Data!$A$2:$E$1425,3,FALSE)</f>
        <v>0</v>
      </c>
      <c r="D67" s="137"/>
      <c r="E67" s="138"/>
      <c r="G67" s="133"/>
      <c r="H67" s="134">
        <f>VLOOKUP("32/220/3",Data!$A$2:$E$1425,3,FALSE)</f>
        <v>0</v>
      </c>
      <c r="I67" s="137"/>
      <c r="J67" s="138"/>
      <c r="L67" s="9">
        <f>COUNTA(G28)+L66</f>
        <v>57</v>
      </c>
      <c r="M67" s="31" t="str">
        <f t="shared" ref="M67:M69" si="44">H28</f>
        <v>51303 Figge </v>
      </c>
      <c r="N67" s="144" t="s">
        <v>7696</v>
      </c>
      <c r="O67" s="36">
        <v>32</v>
      </c>
      <c r="P67" s="36">
        <v>116</v>
      </c>
      <c r="Q67" s="103"/>
      <c r="R67" s="160"/>
      <c r="S67" s="160"/>
      <c r="T67" s="160"/>
      <c r="U67" s="104"/>
      <c r="V67" s="36">
        <f t="shared" ref="V67:V69" si="45">G28</f>
        <v>2</v>
      </c>
      <c r="W67" s="103"/>
      <c r="X67" s="160"/>
      <c r="Y67" s="104"/>
      <c r="Z67" s="52" t="str">
        <f t="shared" si="43"/>
        <v/>
      </c>
      <c r="AA67" s="109" t="str">
        <f t="shared" si="43"/>
        <v/>
      </c>
      <c r="AB67" s="166"/>
      <c r="AC67" s="144" t="e">
        <f>VLOOKUP($M:$M,Data!$I:$J,2,FALSE)</f>
        <v>#N/A</v>
      </c>
      <c r="AD67" s="167"/>
    </row>
    <row r="68" ht="15.25" spans="2:30">
      <c r="B68" s="139"/>
      <c r="C68" s="142" t="e">
        <f>VLOOKUP("32/201/4",Data!$A$2:$E$1425,3,FALSE)</f>
        <v>#N/A</v>
      </c>
      <c r="D68" s="140"/>
      <c r="E68" s="141"/>
      <c r="G68" s="139"/>
      <c r="H68" s="142" t="e">
        <f>VLOOKUP("32/220/4",Data!$A$2:$E$1425,3,FALSE)</f>
        <v>#N/A</v>
      </c>
      <c r="I68" s="140"/>
      <c r="J68" s="141"/>
      <c r="L68" s="9">
        <f>COUNTA(G29)+L67</f>
        <v>57</v>
      </c>
      <c r="M68" s="31">
        <f t="shared" si="44"/>
        <v>0</v>
      </c>
      <c r="N68" s="144" t="s">
        <v>7696</v>
      </c>
      <c r="O68" s="36">
        <v>32</v>
      </c>
      <c r="P68" s="36">
        <v>116</v>
      </c>
      <c r="Q68" s="103"/>
      <c r="R68" s="160"/>
      <c r="S68" s="160"/>
      <c r="T68" s="160"/>
      <c r="U68" s="104"/>
      <c r="V68" s="36">
        <f t="shared" si="45"/>
        <v>0</v>
      </c>
      <c r="W68" s="103"/>
      <c r="X68" s="160"/>
      <c r="Y68" s="104"/>
      <c r="Z68" s="52" t="str">
        <f t="shared" si="43"/>
        <v/>
      </c>
      <c r="AA68" s="109" t="str">
        <f t="shared" si="43"/>
        <v/>
      </c>
      <c r="AB68" s="166"/>
      <c r="AC68" s="144" t="e">
        <f>VLOOKUP($M:$M,Data!$I:$J,2,FALSE)</f>
        <v>#N/A</v>
      </c>
      <c r="AD68" s="167"/>
    </row>
    <row r="69" ht="15.25" spans="2:30">
      <c r="B69" s="46">
        <v>202</v>
      </c>
      <c r="C69" s="132"/>
      <c r="D69" s="62" t="s">
        <v>6580</v>
      </c>
      <c r="E69" s="8" t="s">
        <v>6581</v>
      </c>
      <c r="G69" s="46">
        <v>219</v>
      </c>
      <c r="H69" s="132"/>
      <c r="I69" s="62" t="s">
        <v>6580</v>
      </c>
      <c r="J69" s="8" t="s">
        <v>6581</v>
      </c>
      <c r="L69" s="14">
        <f>COUNTA(G30)+L68</f>
        <v>57</v>
      </c>
      <c r="M69" s="83">
        <f t="shared" si="44"/>
        <v>0</v>
      </c>
      <c r="N69" s="145" t="s">
        <v>7696</v>
      </c>
      <c r="O69" s="85">
        <v>32</v>
      </c>
      <c r="P69" s="85">
        <v>116</v>
      </c>
      <c r="Q69" s="105"/>
      <c r="R69" s="161"/>
      <c r="S69" s="161"/>
      <c r="T69" s="161"/>
      <c r="U69" s="106"/>
      <c r="V69" s="85">
        <f t="shared" si="45"/>
        <v>0</v>
      </c>
      <c r="W69" s="105"/>
      <c r="X69" s="161"/>
      <c r="Y69" s="106"/>
      <c r="Z69" s="107" t="str">
        <f t="shared" si="43"/>
        <v/>
      </c>
      <c r="AA69" s="111" t="str">
        <f t="shared" si="43"/>
        <v/>
      </c>
      <c r="AB69" s="168"/>
      <c r="AC69" s="145" t="e">
        <f>VLOOKUP($M:$M,Data!$I:$J,2,FALSE)</f>
        <v>#N/A</v>
      </c>
      <c r="AD69" s="169"/>
    </row>
    <row r="70" spans="2:30">
      <c r="B70" s="133">
        <v>1</v>
      </c>
      <c r="C70" s="134">
        <f>VLOOKUP("32/202/1",Data!$A$2:$E$1425,3,FALSE)</f>
        <v>0</v>
      </c>
      <c r="D70" s="135"/>
      <c r="E70" s="136"/>
      <c r="G70" s="133"/>
      <c r="H70" s="134">
        <f>VLOOKUP("32/219/1",Data!$A$2:$E$1425,3,FALSE)</f>
        <v>0</v>
      </c>
      <c r="I70" s="135"/>
      <c r="J70" s="136"/>
      <c r="L70" s="6">
        <f>COUNTA(G22)+L69</f>
        <v>57</v>
      </c>
      <c r="M70" s="79" t="str">
        <f>H22</f>
        <v>51107 Dante </v>
      </c>
      <c r="N70" s="143" t="s">
        <v>7696</v>
      </c>
      <c r="O70" s="81">
        <v>32</v>
      </c>
      <c r="P70" s="81">
        <v>117</v>
      </c>
      <c r="Q70" s="100" t="str">
        <f>_xlfn.IFS(COUNTA(G22:G25)=1,"Single",COUNTA(G22:G25)=2,"Double",COUNTA(G22:G25)=3,"Triple",COUNTA(G22:G25)=4,"Quadre",COUNTA(G22:G25)=0,"Empty")</f>
        <v>Empty</v>
      </c>
      <c r="R70" s="159"/>
      <c r="S70" s="159"/>
      <c r="T70" s="159"/>
      <c r="U70" s="101"/>
      <c r="V70" s="81">
        <f>G22</f>
        <v>0</v>
      </c>
      <c r="W70" s="100">
        <f>COUNT(G22:G25)</f>
        <v>0</v>
      </c>
      <c r="X70" s="159"/>
      <c r="Y70" s="101"/>
      <c r="Z70" s="102" t="str">
        <f t="shared" ref="Z70:AA73" si="46">IF(I22=0,"",I22)</f>
        <v/>
      </c>
      <c r="AA70" s="108" t="str">
        <f t="shared" si="46"/>
        <v/>
      </c>
      <c r="AB70" s="164"/>
      <c r="AC70" s="143" t="e">
        <f>VLOOKUP($M:$M,Data!$I:$J,2,FALSE)</f>
        <v>#N/A</v>
      </c>
      <c r="AD70" s="165"/>
    </row>
    <row r="71" spans="2:30">
      <c r="B71" s="133"/>
      <c r="C71" s="134">
        <f>VLOOKUP("32/202/2",Data!$A$2:$E$1425,3,FALSE)</f>
        <v>0</v>
      </c>
      <c r="D71" s="137"/>
      <c r="E71" s="138"/>
      <c r="G71" s="133"/>
      <c r="H71" s="134">
        <f>VLOOKUP("32/219/2",Data!$A$2:$E$1425,3,FALSE)</f>
        <v>0</v>
      </c>
      <c r="I71" s="137"/>
      <c r="J71" s="138"/>
      <c r="L71" s="9">
        <f>COUNTA(G23)+L70</f>
        <v>57</v>
      </c>
      <c r="M71" s="31" t="str">
        <f t="shared" ref="M71:M73" si="47">H23</f>
        <v>51103 Pontus </v>
      </c>
      <c r="N71" s="144" t="s">
        <v>7696</v>
      </c>
      <c r="O71" s="36">
        <v>32</v>
      </c>
      <c r="P71" s="36">
        <v>117</v>
      </c>
      <c r="Q71" s="103"/>
      <c r="R71" s="160"/>
      <c r="S71" s="160"/>
      <c r="T71" s="160"/>
      <c r="U71" s="104"/>
      <c r="V71" s="36">
        <f t="shared" ref="V71:V73" si="48">G23</f>
        <v>0</v>
      </c>
      <c r="W71" s="103"/>
      <c r="X71" s="160"/>
      <c r="Y71" s="104"/>
      <c r="Z71" s="52" t="str">
        <f t="shared" si="46"/>
        <v/>
      </c>
      <c r="AA71" s="109" t="str">
        <f t="shared" si="46"/>
        <v/>
      </c>
      <c r="AB71" s="166"/>
      <c r="AC71" s="144" t="e">
        <f>VLOOKUP($M:$M,Data!$I:$J,2,FALSE)</f>
        <v>#N/A</v>
      </c>
      <c r="AD71" s="167"/>
    </row>
    <row r="72" spans="2:30">
      <c r="B72" s="133"/>
      <c r="C72" s="134">
        <f>VLOOKUP("32/202/3",Data!$A$2:$E$1425,3,FALSE)</f>
        <v>0</v>
      </c>
      <c r="D72" s="137"/>
      <c r="E72" s="138"/>
      <c r="G72" s="133">
        <v>3</v>
      </c>
      <c r="H72" s="134">
        <f>VLOOKUP("32/219/3",Data!$A$2:$E$1425,3,FALSE)</f>
        <v>0</v>
      </c>
      <c r="I72" s="137"/>
      <c r="J72" s="138"/>
      <c r="L72" s="9">
        <f>COUNTA(G24)+L71</f>
        <v>57</v>
      </c>
      <c r="M72" s="31">
        <f t="shared" si="47"/>
        <v>0</v>
      </c>
      <c r="N72" s="144" t="s">
        <v>7696</v>
      </c>
      <c r="O72" s="36">
        <v>32</v>
      </c>
      <c r="P72" s="36">
        <v>117</v>
      </c>
      <c r="Q72" s="103"/>
      <c r="R72" s="160"/>
      <c r="S72" s="160"/>
      <c r="T72" s="160"/>
      <c r="U72" s="104"/>
      <c r="V72" s="36">
        <f t="shared" si="48"/>
        <v>0</v>
      </c>
      <c r="W72" s="103"/>
      <c r="X72" s="160"/>
      <c r="Y72" s="104"/>
      <c r="Z72" s="52" t="str">
        <f t="shared" si="46"/>
        <v/>
      </c>
      <c r="AA72" s="109" t="str">
        <f t="shared" si="46"/>
        <v/>
      </c>
      <c r="AB72" s="166"/>
      <c r="AC72" s="144" t="e">
        <f>VLOOKUP($M:$M,Data!$I:$J,2,FALSE)</f>
        <v>#N/A</v>
      </c>
      <c r="AD72" s="167"/>
    </row>
    <row r="73" ht="15.25" spans="2:30">
      <c r="B73" s="139"/>
      <c r="C73" s="142" t="e">
        <f>VLOOKUP("32/202/4",Data!$A$2:$E$1425,3,FALSE)</f>
        <v>#N/A</v>
      </c>
      <c r="D73" s="140"/>
      <c r="E73" s="141"/>
      <c r="G73" s="139"/>
      <c r="H73" s="142" t="e">
        <f>VLOOKUP("32/219/4",Data!$A$2:$E$1425,3,FALSE)</f>
        <v>#N/A</v>
      </c>
      <c r="I73" s="140"/>
      <c r="J73" s="141"/>
      <c r="L73" s="14">
        <f>COUNTA(G25)+L72</f>
        <v>57</v>
      </c>
      <c r="M73" s="83">
        <f t="shared" si="47"/>
        <v>0</v>
      </c>
      <c r="N73" s="145" t="s">
        <v>7696</v>
      </c>
      <c r="O73" s="85">
        <v>32</v>
      </c>
      <c r="P73" s="85">
        <v>117</v>
      </c>
      <c r="Q73" s="105"/>
      <c r="R73" s="161"/>
      <c r="S73" s="161"/>
      <c r="T73" s="161"/>
      <c r="U73" s="106"/>
      <c r="V73" s="85">
        <f t="shared" si="48"/>
        <v>0</v>
      </c>
      <c r="W73" s="105"/>
      <c r="X73" s="161"/>
      <c r="Y73" s="106"/>
      <c r="Z73" s="107" t="str">
        <f t="shared" si="46"/>
        <v/>
      </c>
      <c r="AA73" s="111" t="str">
        <f t="shared" si="46"/>
        <v/>
      </c>
      <c r="AB73" s="168"/>
      <c r="AC73" s="145" t="e">
        <f>VLOOKUP($M:$M,Data!$I:$J,2,FALSE)</f>
        <v>#N/A</v>
      </c>
      <c r="AD73" s="169"/>
    </row>
    <row r="74" spans="2:30">
      <c r="B74" s="46">
        <v>203</v>
      </c>
      <c r="C74" s="132"/>
      <c r="D74" s="62" t="s">
        <v>6580</v>
      </c>
      <c r="E74" s="8" t="s">
        <v>6581</v>
      </c>
      <c r="G74" s="46">
        <v>218</v>
      </c>
      <c r="H74" s="132"/>
      <c r="I74" s="62" t="s">
        <v>6580</v>
      </c>
      <c r="J74" s="8" t="s">
        <v>6581</v>
      </c>
      <c r="L74" s="6">
        <f>COUNTA(G17)+L73</f>
        <v>58</v>
      </c>
      <c r="M74" s="79" t="str">
        <f>H17</f>
        <v>51505 Emil </v>
      </c>
      <c r="N74" s="143" t="s">
        <v>7696</v>
      </c>
      <c r="O74" s="81">
        <v>32</v>
      </c>
      <c r="P74" s="81">
        <v>118</v>
      </c>
      <c r="Q74" s="100" t="str">
        <f>_xlfn.IFS(COUNTA(G17:G20)=1,"Single",COUNTA(G17:G20)=2,"Double",COUNTA(G17:G20)=3,"Triple",COUNTA(G17:G20)=4,"Quadre",COUNTA(G17:G20)=0,"Empty")</f>
        <v>Triple</v>
      </c>
      <c r="R74" s="159"/>
      <c r="S74" s="159"/>
      <c r="T74" s="159"/>
      <c r="U74" s="101"/>
      <c r="V74" s="81">
        <f>G17</f>
        <v>1</v>
      </c>
      <c r="W74" s="100">
        <f>COUNT(G17:G20)</f>
        <v>3</v>
      </c>
      <c r="X74" s="159"/>
      <c r="Y74" s="101"/>
      <c r="Z74" s="102" t="str">
        <f t="shared" ref="Z74:AA77" si="49">IF(I17=0,"",I17)</f>
        <v/>
      </c>
      <c r="AA74" s="108" t="str">
        <f t="shared" si="49"/>
        <v/>
      </c>
      <c r="AB74" s="164"/>
      <c r="AC74" s="143" t="e">
        <f>VLOOKUP($M:$M,Data!$I:$J,2,FALSE)</f>
        <v>#N/A</v>
      </c>
      <c r="AD74" s="165"/>
    </row>
    <row r="75" spans="2:30">
      <c r="B75" s="133">
        <v>1</v>
      </c>
      <c r="C75" s="134" t="str">
        <f>VLOOKUP("32/203/1",Data!$A$2:$E$1425,3,FALSE)</f>
        <v>201379 Nikolai Risvange</v>
      </c>
      <c r="D75" s="135"/>
      <c r="E75" s="136"/>
      <c r="G75" s="133">
        <v>1</v>
      </c>
      <c r="H75" s="134" t="str">
        <f>VLOOKUP("32/218/1",Data!$A$2:$E$1425,3,FALSE)</f>
        <v>225018 Anders Tagge</v>
      </c>
      <c r="I75" s="135"/>
      <c r="J75" s="136"/>
      <c r="L75" s="9">
        <f>COUNTA(G18)+L74</f>
        <v>59</v>
      </c>
      <c r="M75" s="31" t="str">
        <f t="shared" ref="M75:M77" si="50">H18</f>
        <v>51515 Daniel </v>
      </c>
      <c r="N75" s="144" t="s">
        <v>7696</v>
      </c>
      <c r="O75" s="36">
        <v>32</v>
      </c>
      <c r="P75" s="36">
        <v>118</v>
      </c>
      <c r="Q75" s="103"/>
      <c r="R75" s="160"/>
      <c r="S75" s="160"/>
      <c r="T75" s="160"/>
      <c r="U75" s="104"/>
      <c r="V75" s="36">
        <f t="shared" ref="V75:V77" si="51">G18</f>
        <v>2</v>
      </c>
      <c r="W75" s="103"/>
      <c r="X75" s="160"/>
      <c r="Y75" s="104"/>
      <c r="Z75" s="52" t="str">
        <f t="shared" si="49"/>
        <v/>
      </c>
      <c r="AA75" s="109" t="str">
        <f t="shared" si="49"/>
        <v/>
      </c>
      <c r="AB75" s="166"/>
      <c r="AC75" s="144" t="e">
        <f>VLOOKUP($M:$M,Data!$I:$J,2,FALSE)</f>
        <v>#N/A</v>
      </c>
      <c r="AD75" s="167"/>
    </row>
    <row r="76" spans="2:30">
      <c r="B76" s="133">
        <v>2</v>
      </c>
      <c r="C76" s="134">
        <f>VLOOKUP("32/203/2",Data!$A$2:$E$1425,3,FALSE)</f>
        <v>0</v>
      </c>
      <c r="D76" s="137"/>
      <c r="E76" s="138"/>
      <c r="G76" s="133">
        <v>2</v>
      </c>
      <c r="H76" s="134">
        <f>VLOOKUP("32/218/2",Data!$A$2:$E$1425,3,FALSE)</f>
        <v>0</v>
      </c>
      <c r="I76" s="137"/>
      <c r="J76" s="138"/>
      <c r="L76" s="9">
        <f>COUNTA(G19)+L75</f>
        <v>59</v>
      </c>
      <c r="M76" s="31">
        <f t="shared" si="50"/>
        <v>0</v>
      </c>
      <c r="N76" s="144" t="s">
        <v>7696</v>
      </c>
      <c r="O76" s="36">
        <v>32</v>
      </c>
      <c r="P76" s="36">
        <v>118</v>
      </c>
      <c r="Q76" s="103"/>
      <c r="R76" s="160"/>
      <c r="S76" s="160"/>
      <c r="T76" s="160"/>
      <c r="U76" s="104"/>
      <c r="V76" s="36">
        <f t="shared" si="51"/>
        <v>0</v>
      </c>
      <c r="W76" s="103"/>
      <c r="X76" s="160"/>
      <c r="Y76" s="104"/>
      <c r="Z76" s="52" t="str">
        <f t="shared" si="49"/>
        <v/>
      </c>
      <c r="AA76" s="109" t="str">
        <f t="shared" si="49"/>
        <v/>
      </c>
      <c r="AB76" s="166"/>
      <c r="AC76" s="144" t="e">
        <f>VLOOKUP($M:$M,Data!$I:$J,2,FALSE)</f>
        <v>#N/A</v>
      </c>
      <c r="AD76" s="167" t="s">
        <v>7698</v>
      </c>
    </row>
    <row r="77" ht="15.25" spans="2:30">
      <c r="B77" s="133">
        <v>3</v>
      </c>
      <c r="C77" s="134">
        <f>VLOOKUP("32/203/3",Data!$A$2:$E$1425,3,FALSE)</f>
        <v>0</v>
      </c>
      <c r="D77" s="137"/>
      <c r="E77" s="138"/>
      <c r="G77" s="133">
        <v>3</v>
      </c>
      <c r="H77" s="134">
        <f>VLOOKUP("32/218/3",Data!$A$2:$E$1425,3,FALSE)</f>
        <v>0</v>
      </c>
      <c r="I77" s="137"/>
      <c r="J77" s="138"/>
      <c r="L77" s="14">
        <f>COUNTA(G20)+L76</f>
        <v>60</v>
      </c>
      <c r="M77" s="83">
        <f t="shared" si="50"/>
        <v>0</v>
      </c>
      <c r="N77" s="145" t="s">
        <v>7696</v>
      </c>
      <c r="O77" s="85">
        <v>32</v>
      </c>
      <c r="P77" s="85">
        <v>118</v>
      </c>
      <c r="Q77" s="105"/>
      <c r="R77" s="161"/>
      <c r="S77" s="161"/>
      <c r="T77" s="161"/>
      <c r="U77" s="106"/>
      <c r="V77" s="85">
        <f t="shared" si="51"/>
        <v>4</v>
      </c>
      <c r="W77" s="105"/>
      <c r="X77" s="161"/>
      <c r="Y77" s="106"/>
      <c r="Z77" s="107" t="str">
        <f t="shared" si="49"/>
        <v/>
      </c>
      <c r="AA77" s="111" t="str">
        <f t="shared" si="49"/>
        <v/>
      </c>
      <c r="AB77" s="168"/>
      <c r="AC77" s="145" t="e">
        <f>VLOOKUP($M:$M,Data!$I:$J,2,FALSE)</f>
        <v>#N/A</v>
      </c>
      <c r="AD77" s="169"/>
    </row>
    <row r="78" ht="15.25" spans="2:30">
      <c r="B78" s="139">
        <v>4</v>
      </c>
      <c r="C78" s="142">
        <f>VLOOKUP("32/203/4",Data!$A$2:$E$1425,3,FALSE)</f>
        <v>0</v>
      </c>
      <c r="D78" s="140"/>
      <c r="E78" s="141"/>
      <c r="G78" s="139">
        <v>4</v>
      </c>
      <c r="H78" s="142">
        <f>VLOOKUP("32/218/4",Data!$A$2:$E$1425,3,FALSE)</f>
        <v>0</v>
      </c>
      <c r="I78" s="140"/>
      <c r="J78" s="141"/>
      <c r="L78" s="6">
        <f>COUNTA(G12)+L77</f>
        <v>61</v>
      </c>
      <c r="M78" s="79" t="str">
        <f>H12</f>
        <v>51405 Jesper </v>
      </c>
      <c r="N78" s="143" t="s">
        <v>7696</v>
      </c>
      <c r="O78" s="81">
        <v>32</v>
      </c>
      <c r="P78" s="81">
        <v>119</v>
      </c>
      <c r="Q78" s="100" t="str">
        <f>_xlfn.IFS(COUNTA(G12:G15)=1,"Single",COUNTA(G12:G15)=2,"Double",COUNTA(G12:G15)=3,"Triple",COUNTA(G12:G15)=4,"Quadre",COUNTA(G12:G15)=0,"Empty")</f>
        <v>Quadre</v>
      </c>
      <c r="R78" s="159"/>
      <c r="S78" s="159"/>
      <c r="T78" s="159"/>
      <c r="U78" s="101"/>
      <c r="V78" s="81">
        <f>G12</f>
        <v>1</v>
      </c>
      <c r="W78" s="100">
        <f>COUNT(G12:G15)</f>
        <v>4</v>
      </c>
      <c r="X78" s="159"/>
      <c r="Y78" s="101"/>
      <c r="Z78" s="102" t="str">
        <f t="shared" ref="Z78:AA81" si="52">IF(I12=0,"",I12)</f>
        <v/>
      </c>
      <c r="AA78" s="108" t="str">
        <f t="shared" si="52"/>
        <v/>
      </c>
      <c r="AB78" s="164"/>
      <c r="AC78" s="143" t="e">
        <f>VLOOKUP($M:$M,Data!$I:$J,2,FALSE)</f>
        <v>#N/A</v>
      </c>
      <c r="AD78" s="165"/>
    </row>
    <row r="79" spans="2:30">
      <c r="B79" s="46">
        <v>204</v>
      </c>
      <c r="C79" s="132"/>
      <c r="D79" s="62" t="s">
        <v>6580</v>
      </c>
      <c r="E79" s="8" t="s">
        <v>6581</v>
      </c>
      <c r="G79" s="46">
        <v>217</v>
      </c>
      <c r="H79" s="132"/>
      <c r="I79" s="62" t="s">
        <v>6580</v>
      </c>
      <c r="J79" s="8" t="s">
        <v>6581</v>
      </c>
      <c r="L79" s="9">
        <f>COUNTA(G13)+L78</f>
        <v>62</v>
      </c>
      <c r="M79" s="31" t="str">
        <f t="shared" ref="M79:M81" si="53">H13</f>
        <v>51408 Vilgot </v>
      </c>
      <c r="N79" s="144" t="s">
        <v>7696</v>
      </c>
      <c r="O79" s="36">
        <v>32</v>
      </c>
      <c r="P79" s="36">
        <v>119</v>
      </c>
      <c r="Q79" s="103"/>
      <c r="R79" s="160"/>
      <c r="S79" s="160"/>
      <c r="T79" s="160"/>
      <c r="U79" s="104"/>
      <c r="V79" s="36">
        <f t="shared" ref="V79:V81" si="54">G13</f>
        <v>2</v>
      </c>
      <c r="W79" s="103"/>
      <c r="X79" s="160"/>
      <c r="Y79" s="104"/>
      <c r="Z79" s="52" t="str">
        <f t="shared" si="52"/>
        <v/>
      </c>
      <c r="AA79" s="109" t="str">
        <f t="shared" si="52"/>
        <v/>
      </c>
      <c r="AB79" s="166"/>
      <c r="AC79" s="144" t="e">
        <f>VLOOKUP($M:$M,Data!$I:$J,2,FALSE)</f>
        <v>#N/A</v>
      </c>
      <c r="AD79" s="167"/>
    </row>
    <row r="80" spans="2:30">
      <c r="B80" s="133">
        <v>1</v>
      </c>
      <c r="C80" s="134" t="str">
        <f>VLOOKUP("32/204/1",Data!$A$2:$E$1425,3,FALSE)</f>
        <v>485210 Kasper Thomsen</v>
      </c>
      <c r="D80" s="135"/>
      <c r="E80" s="136"/>
      <c r="G80" s="133">
        <v>1</v>
      </c>
      <c r="H80" s="134" t="str">
        <f>VLOOKUP("32/217/1",Data!$A$2:$E$1425,3,FALSE)</f>
        <v>304794 Christian Andersen</v>
      </c>
      <c r="I80" s="135"/>
      <c r="J80" s="136"/>
      <c r="L80" s="9">
        <f>COUNTA(G14)+L79</f>
        <v>63</v>
      </c>
      <c r="M80" s="31">
        <f t="shared" si="53"/>
        <v>0</v>
      </c>
      <c r="N80" s="144" t="s">
        <v>7696</v>
      </c>
      <c r="O80" s="36">
        <v>32</v>
      </c>
      <c r="P80" s="36">
        <v>119</v>
      </c>
      <c r="Q80" s="103"/>
      <c r="R80" s="160"/>
      <c r="S80" s="160"/>
      <c r="T80" s="160"/>
      <c r="U80" s="104"/>
      <c r="V80" s="36">
        <f t="shared" si="54"/>
        <v>3</v>
      </c>
      <c r="W80" s="103"/>
      <c r="X80" s="160"/>
      <c r="Y80" s="104"/>
      <c r="Z80" s="52" t="str">
        <f t="shared" si="52"/>
        <v/>
      </c>
      <c r="AA80" s="109" t="str">
        <f t="shared" si="52"/>
        <v/>
      </c>
      <c r="AB80" s="166"/>
      <c r="AC80" s="144" t="e">
        <f>VLOOKUP($M:$M,Data!$I:$J,2,FALSE)</f>
        <v>#N/A</v>
      </c>
      <c r="AD80" s="167"/>
    </row>
    <row r="81" ht="15.25" spans="2:30">
      <c r="B81" s="133">
        <v>2</v>
      </c>
      <c r="C81" s="134">
        <f>VLOOKUP("32/204/2",Data!$A$2:$E$1425,3,FALSE)</f>
        <v>0</v>
      </c>
      <c r="D81" s="137"/>
      <c r="E81" s="138"/>
      <c r="G81" s="133">
        <v>2</v>
      </c>
      <c r="H81" s="134">
        <f>VLOOKUP("32/217/2",Data!$A$2:$E$1425,3,FALSE)</f>
        <v>0</v>
      </c>
      <c r="I81" s="137"/>
      <c r="J81" s="138"/>
      <c r="L81" s="14">
        <f>COUNTA(G15)+L80</f>
        <v>64</v>
      </c>
      <c r="M81" s="83">
        <f t="shared" si="53"/>
        <v>0</v>
      </c>
      <c r="N81" s="145" t="s">
        <v>7696</v>
      </c>
      <c r="O81" s="85">
        <v>32</v>
      </c>
      <c r="P81" s="85">
        <v>119</v>
      </c>
      <c r="Q81" s="105"/>
      <c r="R81" s="161"/>
      <c r="S81" s="161"/>
      <c r="T81" s="161"/>
      <c r="U81" s="106"/>
      <c r="V81" s="85">
        <f t="shared" si="54"/>
        <v>4</v>
      </c>
      <c r="W81" s="105"/>
      <c r="X81" s="161"/>
      <c r="Y81" s="106"/>
      <c r="Z81" s="107" t="str">
        <f t="shared" si="52"/>
        <v/>
      </c>
      <c r="AA81" s="111" t="str">
        <f t="shared" si="52"/>
        <v/>
      </c>
      <c r="AB81" s="168"/>
      <c r="AC81" s="145" t="e">
        <f>VLOOKUP($M:$M,Data!$I:$J,2,FALSE)</f>
        <v>#N/A</v>
      </c>
      <c r="AD81" s="169"/>
    </row>
    <row r="82" spans="2:30">
      <c r="B82" s="133">
        <v>3</v>
      </c>
      <c r="C82" s="134">
        <f>VLOOKUP("32/204/3",Data!$A$2:$E$1425,3,FALSE)</f>
        <v>0</v>
      </c>
      <c r="D82" s="137"/>
      <c r="E82" s="138"/>
      <c r="G82" s="133">
        <v>3</v>
      </c>
      <c r="H82" s="134">
        <f>VLOOKUP("32/217/3",Data!$A$2:$E$1425,3,FALSE)</f>
        <v>0</v>
      </c>
      <c r="I82" s="137"/>
      <c r="J82" s="138"/>
      <c r="L82" s="6">
        <f>COUNTA(G7)+L81</f>
        <v>65</v>
      </c>
      <c r="M82" s="79">
        <f>H7</f>
        <v>0</v>
      </c>
      <c r="N82" s="143" t="s">
        <v>7696</v>
      </c>
      <c r="O82" s="81">
        <v>32</v>
      </c>
      <c r="P82" s="81">
        <v>120</v>
      </c>
      <c r="Q82" s="100" t="str">
        <f>_xlfn.IFS(COUNTA(G7:G10)=1,"Single",COUNTA(G7:G10)=2,"Double",COUNTA(G7:G10)=3,"Triple",COUNTA(G7:G10)=4,"Quadre",COUNTA(G7:G10)=0,"Empty")</f>
        <v>Triple</v>
      </c>
      <c r="R82" s="159"/>
      <c r="S82" s="159"/>
      <c r="T82" s="159"/>
      <c r="U82" s="101"/>
      <c r="V82" s="81">
        <f>G7</f>
        <v>1</v>
      </c>
      <c r="W82" s="100">
        <f>COUNT(G7:G10)</f>
        <v>3</v>
      </c>
      <c r="X82" s="159"/>
      <c r="Y82" s="101"/>
      <c r="Z82" s="102" t="str">
        <f t="shared" ref="Z82:AA85" si="55">IF(I7=0,"",I7)</f>
        <v/>
      </c>
      <c r="AA82" s="108" t="str">
        <f t="shared" si="55"/>
        <v/>
      </c>
      <c r="AB82" s="164"/>
      <c r="AC82" s="143" t="e">
        <f>VLOOKUP($M:$M,Data!$I:$J,2,FALSE)</f>
        <v>#N/A</v>
      </c>
      <c r="AD82" s="165"/>
    </row>
    <row r="83" ht="15.25" spans="2:30">
      <c r="B83" s="139">
        <v>4</v>
      </c>
      <c r="C83" s="142">
        <f>VLOOKUP("32/204/4",Data!$A$2:$E$1425,3,FALSE)</f>
        <v>0</v>
      </c>
      <c r="D83" s="140"/>
      <c r="E83" s="141"/>
      <c r="G83" s="139">
        <v>4</v>
      </c>
      <c r="H83" s="142">
        <f>VLOOKUP("32/217/4",Data!$A$2:$E$1425,3,FALSE)</f>
        <v>0</v>
      </c>
      <c r="I83" s="140"/>
      <c r="J83" s="141"/>
      <c r="L83" s="9">
        <f>COUNTA(G8)+L82</f>
        <v>65</v>
      </c>
      <c r="M83" s="31">
        <f t="shared" ref="M83:M85" si="56">H8</f>
        <v>0</v>
      </c>
      <c r="N83" s="144" t="s">
        <v>7696</v>
      </c>
      <c r="O83" s="36">
        <v>32</v>
      </c>
      <c r="P83" s="36">
        <v>120</v>
      </c>
      <c r="Q83" s="103"/>
      <c r="R83" s="160"/>
      <c r="S83" s="160"/>
      <c r="T83" s="160"/>
      <c r="U83" s="104"/>
      <c r="V83" s="36">
        <f t="shared" ref="V83:V85" si="57">G8</f>
        <v>0</v>
      </c>
      <c r="W83" s="103"/>
      <c r="X83" s="160"/>
      <c r="Y83" s="104"/>
      <c r="Z83" s="52" t="str">
        <f t="shared" si="55"/>
        <v/>
      </c>
      <c r="AA83" s="109" t="str">
        <f t="shared" si="55"/>
        <v/>
      </c>
      <c r="AB83" s="166"/>
      <c r="AC83" s="144" t="e">
        <f>VLOOKUP($M:$M,Data!$I:$J,2,FALSE)</f>
        <v>#N/A</v>
      </c>
      <c r="AD83" s="167" t="s">
        <v>7699</v>
      </c>
    </row>
    <row r="84" spans="2:30">
      <c r="B84" s="46">
        <v>205</v>
      </c>
      <c r="C84" s="132"/>
      <c r="D84" s="62" t="s">
        <v>6580</v>
      </c>
      <c r="E84" s="8" t="s">
        <v>6581</v>
      </c>
      <c r="G84" s="46">
        <v>216</v>
      </c>
      <c r="H84" s="132"/>
      <c r="I84" s="62" t="s">
        <v>6580</v>
      </c>
      <c r="J84" s="8" t="s">
        <v>6581</v>
      </c>
      <c r="L84" s="9">
        <f>COUNTA(G9)+L83</f>
        <v>66</v>
      </c>
      <c r="M84" s="31">
        <f t="shared" si="56"/>
        <v>0</v>
      </c>
      <c r="N84" s="144" t="s">
        <v>7696</v>
      </c>
      <c r="O84" s="36">
        <v>32</v>
      </c>
      <c r="P84" s="36">
        <v>120</v>
      </c>
      <c r="Q84" s="103"/>
      <c r="R84" s="160"/>
      <c r="S84" s="160"/>
      <c r="T84" s="160"/>
      <c r="U84" s="104"/>
      <c r="V84" s="36">
        <f t="shared" si="57"/>
        <v>3</v>
      </c>
      <c r="W84" s="103"/>
      <c r="X84" s="160"/>
      <c r="Y84" s="104"/>
      <c r="Z84" s="52" t="str">
        <f t="shared" si="55"/>
        <v/>
      </c>
      <c r="AA84" s="109" t="str">
        <f t="shared" si="55"/>
        <v/>
      </c>
      <c r="AB84" s="166"/>
      <c r="AC84" s="144" t="e">
        <f>VLOOKUP($M:$M,Data!$I:$J,2,FALSE)</f>
        <v>#N/A</v>
      </c>
      <c r="AD84" s="167"/>
    </row>
    <row r="85" ht="15.25" spans="2:30">
      <c r="B85" s="133">
        <v>1</v>
      </c>
      <c r="C85" s="134" t="str">
        <f>VLOOKUP("32/205/1",Data!$A$2:$E$1425,3,FALSE)</f>
        <v>167039 Jesper</v>
      </c>
      <c r="D85" s="135"/>
      <c r="E85" s="136"/>
      <c r="G85" s="133">
        <v>1</v>
      </c>
      <c r="H85" s="134" t="str">
        <f>VLOOKUP("32/216/1",Data!$A$2:$E$1425,3,FALSE)</f>
        <v>171631 Bjarne S. Munk</v>
      </c>
      <c r="I85" s="135"/>
      <c r="J85" s="136"/>
      <c r="L85" s="14">
        <f>COUNTA(G10)+L84</f>
        <v>67</v>
      </c>
      <c r="M85" s="83">
        <f t="shared" si="56"/>
        <v>0</v>
      </c>
      <c r="N85" s="145" t="s">
        <v>7696</v>
      </c>
      <c r="O85" s="85">
        <v>32</v>
      </c>
      <c r="P85" s="85">
        <v>120</v>
      </c>
      <c r="Q85" s="105"/>
      <c r="R85" s="161"/>
      <c r="S85" s="161"/>
      <c r="T85" s="161"/>
      <c r="U85" s="106"/>
      <c r="V85" s="85">
        <f t="shared" si="57"/>
        <v>4</v>
      </c>
      <c r="W85" s="105"/>
      <c r="X85" s="161"/>
      <c r="Y85" s="106"/>
      <c r="Z85" s="107" t="str">
        <f t="shared" si="55"/>
        <v/>
      </c>
      <c r="AA85" s="111" t="str">
        <f t="shared" si="55"/>
        <v/>
      </c>
      <c r="AB85" s="168"/>
      <c r="AC85" s="145" t="e">
        <f>VLOOKUP($M:$M,Data!$I:$J,2,FALSE)</f>
        <v>#N/A</v>
      </c>
      <c r="AD85" s="169"/>
    </row>
    <row r="86" spans="2:30">
      <c r="B86" s="133">
        <v>2</v>
      </c>
      <c r="C86" s="134">
        <f>VLOOKUP("32/205/2",Data!$A$2:$E$1425,3,FALSE)</f>
        <v>0</v>
      </c>
      <c r="D86" s="137"/>
      <c r="E86" s="138"/>
      <c r="G86" s="133">
        <v>2</v>
      </c>
      <c r="H86" s="134">
        <f>VLOOKUP("32/216/2",Data!$A$2:$E$1425,3,FALSE)</f>
        <v>0</v>
      </c>
      <c r="I86" s="137"/>
      <c r="J86" s="138"/>
      <c r="L86" s="6">
        <f>COUNTA(B65)+L85</f>
        <v>68</v>
      </c>
      <c r="M86" s="79">
        <f>C65</f>
        <v>0</v>
      </c>
      <c r="N86" s="143" t="s">
        <v>7696</v>
      </c>
      <c r="O86" s="81">
        <v>32</v>
      </c>
      <c r="P86" s="81">
        <v>201</v>
      </c>
      <c r="Q86" s="100" t="str">
        <f>_xlfn.IFS(COUNTA(B65:B68)=1,"Single",COUNTA(B65:B68)=2,"Double",COUNTA(B65:B68)=3,"Triple",COUNTA(B65:B68)=4,"Quadre",COUNTA(B65:B68)=0,"Empty")</f>
        <v>Single</v>
      </c>
      <c r="R86" s="159"/>
      <c r="S86" s="159"/>
      <c r="T86" s="159"/>
      <c r="U86" s="101"/>
      <c r="V86" s="81">
        <f>B65</f>
        <v>1</v>
      </c>
      <c r="W86" s="100">
        <f>COUNT(B65:B68)</f>
        <v>1</v>
      </c>
      <c r="X86" s="159"/>
      <c r="Y86" s="101"/>
      <c r="Z86" s="102" t="str">
        <f t="shared" ref="Z86:AA89" si="58">IF(D65=0,"",D65)</f>
        <v/>
      </c>
      <c r="AA86" s="108" t="str">
        <f t="shared" si="58"/>
        <v/>
      </c>
      <c r="AB86" s="164"/>
      <c r="AC86" s="143" t="e">
        <f>VLOOKUP($M:$M,Data!$I:$J,2,FALSE)</f>
        <v>#N/A</v>
      </c>
      <c r="AD86" s="165"/>
    </row>
    <row r="87" spans="2:30">
      <c r="B87" s="133">
        <v>3</v>
      </c>
      <c r="C87" s="134">
        <f>VLOOKUP("32/205/3",Data!$A$2:$E$1425,3,FALSE)</f>
        <v>0</v>
      </c>
      <c r="D87" s="137"/>
      <c r="E87" s="138"/>
      <c r="G87" s="133">
        <v>3</v>
      </c>
      <c r="H87" s="134">
        <f>VLOOKUP("32/216/3",Data!$A$2:$E$1425,3,FALSE)</f>
        <v>0</v>
      </c>
      <c r="I87" s="137"/>
      <c r="J87" s="138"/>
      <c r="L87" s="9">
        <f>COUNTA(B66)+L86</f>
        <v>68</v>
      </c>
      <c r="M87" s="31">
        <f t="shared" ref="M87:M89" si="59">C66</f>
        <v>0</v>
      </c>
      <c r="N87" s="144" t="s">
        <v>7696</v>
      </c>
      <c r="O87" s="36">
        <v>32</v>
      </c>
      <c r="P87" s="36">
        <v>201</v>
      </c>
      <c r="Q87" s="103"/>
      <c r="R87" s="160"/>
      <c r="S87" s="160"/>
      <c r="T87" s="160"/>
      <c r="U87" s="104"/>
      <c r="V87" s="36">
        <f t="shared" ref="V87:V89" si="60">B66</f>
        <v>0</v>
      </c>
      <c r="W87" s="103"/>
      <c r="X87" s="160"/>
      <c r="Y87" s="104"/>
      <c r="Z87" s="52" t="str">
        <f t="shared" si="58"/>
        <v/>
      </c>
      <c r="AA87" s="109" t="str">
        <f t="shared" si="58"/>
        <v/>
      </c>
      <c r="AB87" s="166"/>
      <c r="AC87" s="144" t="e">
        <f>VLOOKUP($M:$M,Data!$I:$J,2,FALSE)</f>
        <v>#N/A</v>
      </c>
      <c r="AD87" s="167"/>
    </row>
    <row r="88" ht="15.25" spans="2:30">
      <c r="B88" s="139">
        <v>4</v>
      </c>
      <c r="C88" s="142">
        <f>VLOOKUP("32/205/4",Data!$A$2:$E$1425,3,FALSE)</f>
        <v>0</v>
      </c>
      <c r="D88" s="140"/>
      <c r="E88" s="141"/>
      <c r="G88" s="139">
        <v>4</v>
      </c>
      <c r="H88" s="142">
        <f>VLOOKUP("32/216/4",Data!$A$2:$E$1425,3,FALSE)</f>
        <v>0</v>
      </c>
      <c r="I88" s="140"/>
      <c r="J88" s="141"/>
      <c r="L88" s="9">
        <f>COUNTA(B67)+L87</f>
        <v>68</v>
      </c>
      <c r="M88" s="31">
        <f t="shared" si="59"/>
        <v>0</v>
      </c>
      <c r="N88" s="144" t="s">
        <v>7696</v>
      </c>
      <c r="O88" s="36">
        <v>32</v>
      </c>
      <c r="P88" s="36">
        <v>201</v>
      </c>
      <c r="Q88" s="103"/>
      <c r="R88" s="160"/>
      <c r="S88" s="160"/>
      <c r="T88" s="160"/>
      <c r="U88" s="104"/>
      <c r="V88" s="36">
        <f t="shared" si="60"/>
        <v>0</v>
      </c>
      <c r="W88" s="103"/>
      <c r="X88" s="160"/>
      <c r="Y88" s="104"/>
      <c r="Z88" s="52" t="str">
        <f t="shared" si="58"/>
        <v/>
      </c>
      <c r="AA88" s="109" t="str">
        <f t="shared" si="58"/>
        <v/>
      </c>
      <c r="AB88" s="166"/>
      <c r="AC88" s="144" t="e">
        <f>VLOOKUP($M:$M,Data!$I:$J,2,FALSE)</f>
        <v>#N/A</v>
      </c>
      <c r="AD88" s="167"/>
    </row>
    <row r="89" ht="15.25" spans="2:30">
      <c r="B89" s="46">
        <v>206</v>
      </c>
      <c r="C89" s="132"/>
      <c r="D89" s="62" t="s">
        <v>6580</v>
      </c>
      <c r="E89" s="8" t="s">
        <v>6581</v>
      </c>
      <c r="G89" s="67" t="s">
        <v>7435</v>
      </c>
      <c r="H89" s="68"/>
      <c r="I89" s="68"/>
      <c r="J89" s="86"/>
      <c r="L89" s="14">
        <f>COUNTA(B68)+L88</f>
        <v>68</v>
      </c>
      <c r="M89" s="83" t="e">
        <f t="shared" si="59"/>
        <v>#N/A</v>
      </c>
      <c r="N89" s="145" t="s">
        <v>7696</v>
      </c>
      <c r="O89" s="85">
        <v>32</v>
      </c>
      <c r="P89" s="85">
        <v>201</v>
      </c>
      <c r="Q89" s="105"/>
      <c r="R89" s="161"/>
      <c r="S89" s="161"/>
      <c r="T89" s="161"/>
      <c r="U89" s="106"/>
      <c r="V89" s="85">
        <f t="shared" si="60"/>
        <v>0</v>
      </c>
      <c r="W89" s="105"/>
      <c r="X89" s="161"/>
      <c r="Y89" s="106"/>
      <c r="Z89" s="107" t="str">
        <f t="shared" si="58"/>
        <v/>
      </c>
      <c r="AA89" s="111" t="str">
        <f t="shared" si="58"/>
        <v/>
      </c>
      <c r="AB89" s="168"/>
      <c r="AC89" s="145" t="e">
        <f>VLOOKUP($M:$M,Data!$I:$J,2,FALSE)</f>
        <v>#N/A</v>
      </c>
      <c r="AD89" s="169"/>
    </row>
    <row r="90" spans="2:30">
      <c r="B90" s="133">
        <v>1</v>
      </c>
      <c r="C90" s="134" t="str">
        <f>VLOOKUP("32/206/1",Data!$A$2:$E$1425,3,FALSE)</f>
        <v>399105 Chris</v>
      </c>
      <c r="D90" s="135"/>
      <c r="E90" s="136"/>
      <c r="G90" s="69"/>
      <c r="H90" s="70"/>
      <c r="I90" s="70"/>
      <c r="J90" s="87"/>
      <c r="L90" s="6">
        <f>COUNTA(B70)+L89</f>
        <v>69</v>
      </c>
      <c r="M90" s="79">
        <f>C70</f>
        <v>0</v>
      </c>
      <c r="N90" s="143" t="s">
        <v>7696</v>
      </c>
      <c r="O90" s="81">
        <v>32</v>
      </c>
      <c r="P90" s="81">
        <v>202</v>
      </c>
      <c r="Q90" s="100" t="str">
        <f>_xlfn.IFS(COUNTA(B70:B73)=1,"Single",COUNTA(B70:B73)=2,"Double",COUNTA(B70:B73)=3,"Triple",COUNTA(B70:B73)=4,"Quadre",COUNTA(B70:B73)=0,"Empty")</f>
        <v>Single</v>
      </c>
      <c r="R90" s="159"/>
      <c r="S90" s="159"/>
      <c r="T90" s="159"/>
      <c r="U90" s="101"/>
      <c r="V90" s="81">
        <f>B70</f>
        <v>1</v>
      </c>
      <c r="W90" s="100">
        <f>COUNT(B70:B73)</f>
        <v>1</v>
      </c>
      <c r="X90" s="159"/>
      <c r="Y90" s="101"/>
      <c r="Z90" s="102" t="str">
        <f t="shared" ref="Z90:AA93" si="61">IF(D70=0,"",D70)</f>
        <v/>
      </c>
      <c r="AA90" s="108" t="str">
        <f t="shared" si="61"/>
        <v/>
      </c>
      <c r="AB90" s="164"/>
      <c r="AC90" s="143" t="e">
        <f>VLOOKUP($M:$M,Data!$I:$J,2,FALSE)</f>
        <v>#N/A</v>
      </c>
      <c r="AD90" s="165"/>
    </row>
    <row r="91" spans="2:30">
      <c r="B91" s="133">
        <v>2</v>
      </c>
      <c r="C91" s="134">
        <f>VLOOKUP("32/206/2",Data!$A$2:$E$1425,3,FALSE)</f>
        <v>0</v>
      </c>
      <c r="D91" s="137"/>
      <c r="E91" s="138"/>
      <c r="G91" s="69"/>
      <c r="H91" s="70"/>
      <c r="I91" s="70"/>
      <c r="J91" s="87"/>
      <c r="L91" s="9">
        <f>COUNTA(B71)+L90</f>
        <v>69</v>
      </c>
      <c r="M91" s="31">
        <f t="shared" ref="M91:M93" si="62">C71</f>
        <v>0</v>
      </c>
      <c r="N91" s="144" t="s">
        <v>7696</v>
      </c>
      <c r="O91" s="36">
        <v>32</v>
      </c>
      <c r="P91" s="36">
        <v>202</v>
      </c>
      <c r="Q91" s="103"/>
      <c r="R91" s="160"/>
      <c r="S91" s="160"/>
      <c r="T91" s="160"/>
      <c r="U91" s="104"/>
      <c r="V91" s="36">
        <f t="shared" ref="V91:V93" si="63">B71</f>
        <v>0</v>
      </c>
      <c r="W91" s="103"/>
      <c r="X91" s="160"/>
      <c r="Y91" s="104"/>
      <c r="Z91" s="52" t="str">
        <f t="shared" si="61"/>
        <v/>
      </c>
      <c r="AA91" s="109" t="str">
        <f t="shared" si="61"/>
        <v/>
      </c>
      <c r="AB91" s="166"/>
      <c r="AC91" s="144" t="e">
        <f>VLOOKUP($M:$M,Data!$I:$J,2,FALSE)</f>
        <v>#N/A</v>
      </c>
      <c r="AD91" s="167"/>
    </row>
    <row r="92" spans="2:30">
      <c r="B92" s="133">
        <v>3</v>
      </c>
      <c r="C92" s="134">
        <f>VLOOKUP("32/206/3",Data!$A$2:$E$1425,3,FALSE)</f>
        <v>0</v>
      </c>
      <c r="D92" s="137"/>
      <c r="E92" s="138"/>
      <c r="G92" s="69"/>
      <c r="H92" s="70"/>
      <c r="I92" s="70"/>
      <c r="J92" s="87"/>
      <c r="L92" s="9">
        <f>COUNTA(B72)+L91</f>
        <v>69</v>
      </c>
      <c r="M92" s="31">
        <f t="shared" si="62"/>
        <v>0</v>
      </c>
      <c r="N92" s="144" t="s">
        <v>7696</v>
      </c>
      <c r="O92" s="36">
        <v>32</v>
      </c>
      <c r="P92" s="36">
        <v>202</v>
      </c>
      <c r="Q92" s="103"/>
      <c r="R92" s="160"/>
      <c r="S92" s="160"/>
      <c r="T92" s="160"/>
      <c r="U92" s="104"/>
      <c r="V92" s="36">
        <f t="shared" si="63"/>
        <v>0</v>
      </c>
      <c r="W92" s="103"/>
      <c r="X92" s="160"/>
      <c r="Y92" s="104"/>
      <c r="Z92" s="52" t="str">
        <f t="shared" si="61"/>
        <v/>
      </c>
      <c r="AA92" s="109" t="str">
        <f t="shared" si="61"/>
        <v/>
      </c>
      <c r="AB92" s="166"/>
      <c r="AC92" s="144" t="e">
        <f>VLOOKUP($M:$M,Data!$I:$J,2,FALSE)</f>
        <v>#N/A</v>
      </c>
      <c r="AD92" s="167"/>
    </row>
    <row r="93" ht="15.25" spans="2:30">
      <c r="B93" s="139">
        <v>4</v>
      </c>
      <c r="C93" s="142">
        <f>VLOOKUP("32/206/4",Data!$A$2:$E$1425,3,FALSE)</f>
        <v>0</v>
      </c>
      <c r="D93" s="140"/>
      <c r="E93" s="141"/>
      <c r="G93" s="69"/>
      <c r="H93" s="70"/>
      <c r="I93" s="70"/>
      <c r="J93" s="87"/>
      <c r="L93" s="14">
        <f>COUNTA(B73)+L92</f>
        <v>69</v>
      </c>
      <c r="M93" s="83" t="e">
        <f t="shared" si="62"/>
        <v>#N/A</v>
      </c>
      <c r="N93" s="145" t="s">
        <v>7696</v>
      </c>
      <c r="O93" s="85">
        <v>32</v>
      </c>
      <c r="P93" s="85">
        <v>202</v>
      </c>
      <c r="Q93" s="105"/>
      <c r="R93" s="161"/>
      <c r="S93" s="161"/>
      <c r="T93" s="161"/>
      <c r="U93" s="106"/>
      <c r="V93" s="85">
        <f t="shared" si="63"/>
        <v>0</v>
      </c>
      <c r="W93" s="105"/>
      <c r="X93" s="161"/>
      <c r="Y93" s="106"/>
      <c r="Z93" s="107" t="str">
        <f t="shared" si="61"/>
        <v/>
      </c>
      <c r="AA93" s="111" t="str">
        <f t="shared" si="61"/>
        <v/>
      </c>
      <c r="AB93" s="168"/>
      <c r="AC93" s="145" t="e">
        <f>VLOOKUP($M:$M,Data!$I:$J,2,FALSE)</f>
        <v>#N/A</v>
      </c>
      <c r="AD93" s="169"/>
    </row>
    <row r="94" spans="2:30">
      <c r="B94" s="46">
        <v>207</v>
      </c>
      <c r="C94" s="132"/>
      <c r="D94" s="62" t="s">
        <v>6580</v>
      </c>
      <c r="E94" s="8" t="s">
        <v>6581</v>
      </c>
      <c r="G94" s="69"/>
      <c r="H94" s="70"/>
      <c r="I94" s="70"/>
      <c r="J94" s="87"/>
      <c r="L94" s="6">
        <f>COUNTA(B75)+L93</f>
        <v>70</v>
      </c>
      <c r="M94" s="79" t="str">
        <f>C75</f>
        <v>201379 Nikolai Risvange</v>
      </c>
      <c r="N94" s="143" t="s">
        <v>7696</v>
      </c>
      <c r="O94" s="81">
        <v>32</v>
      </c>
      <c r="P94" s="81">
        <v>203</v>
      </c>
      <c r="Q94" s="100" t="str">
        <f>_xlfn.IFS(COUNTA(B75:B78)=1,"Single",COUNTA(B75:B78)=2,"Double",COUNTA(B75:B78)=3,"Triple",COUNTA(B75:B78)=4,"Quadre",COUNTA(B75:B78)=0,"Empty")</f>
        <v>Quadre</v>
      </c>
      <c r="R94" s="159"/>
      <c r="S94" s="159"/>
      <c r="T94" s="159"/>
      <c r="U94" s="101"/>
      <c r="V94" s="81">
        <f>B75</f>
        <v>1</v>
      </c>
      <c r="W94" s="100">
        <f>COUNT(B75:B78)</f>
        <v>4</v>
      </c>
      <c r="X94" s="159"/>
      <c r="Y94" s="101"/>
      <c r="Z94" s="102" t="str">
        <f t="shared" ref="Z94:AA97" si="64">IF(D75=0,"",D75)</f>
        <v/>
      </c>
      <c r="AA94" s="108" t="str">
        <f t="shared" si="64"/>
        <v/>
      </c>
      <c r="AB94" s="164"/>
      <c r="AC94" s="143" t="e">
        <f>VLOOKUP($M:$M,Data!$I:$J,2,FALSE)</f>
        <v>#N/A</v>
      </c>
      <c r="AD94" s="165"/>
    </row>
    <row r="95" spans="2:30">
      <c r="B95" s="133">
        <v>1</v>
      </c>
      <c r="C95" s="134" t="str">
        <f>VLOOKUP("32/207/1",Data!$A$2:$E$1425,3,FALSE)</f>
        <v>443003 Jesper</v>
      </c>
      <c r="D95" s="135"/>
      <c r="E95" s="136"/>
      <c r="G95" s="69"/>
      <c r="H95" s="70"/>
      <c r="I95" s="70"/>
      <c r="J95" s="87"/>
      <c r="L95" s="9">
        <f>COUNTA(B76)+L94</f>
        <v>71</v>
      </c>
      <c r="M95" s="31">
        <f t="shared" ref="M95:M97" si="65">C76</f>
        <v>0</v>
      </c>
      <c r="N95" s="144" t="s">
        <v>7696</v>
      </c>
      <c r="O95" s="36">
        <v>32</v>
      </c>
      <c r="P95" s="36">
        <v>203</v>
      </c>
      <c r="Q95" s="103"/>
      <c r="R95" s="160"/>
      <c r="S95" s="160"/>
      <c r="T95" s="160"/>
      <c r="U95" s="104"/>
      <c r="V95" s="36">
        <f t="shared" ref="V95:V97" si="66">B76</f>
        <v>2</v>
      </c>
      <c r="W95" s="103"/>
      <c r="X95" s="160"/>
      <c r="Y95" s="104"/>
      <c r="Z95" s="52" t="str">
        <f t="shared" si="64"/>
        <v/>
      </c>
      <c r="AA95" s="109" t="str">
        <f t="shared" si="64"/>
        <v/>
      </c>
      <c r="AB95" s="166"/>
      <c r="AC95" s="144" t="e">
        <f>VLOOKUP($M:$M,Data!$I:$J,2,FALSE)</f>
        <v>#N/A</v>
      </c>
      <c r="AD95" s="167"/>
    </row>
    <row r="96" spans="2:30">
      <c r="B96" s="133">
        <v>2</v>
      </c>
      <c r="C96" s="134">
        <f>VLOOKUP("32/207/2",Data!$A$2:$E$1425,3,FALSE)</f>
        <v>0</v>
      </c>
      <c r="D96" s="137"/>
      <c r="E96" s="138"/>
      <c r="G96" s="69"/>
      <c r="H96" s="70"/>
      <c r="I96" s="70"/>
      <c r="J96" s="87"/>
      <c r="L96" s="9">
        <f>COUNTA(B77)+L95</f>
        <v>72</v>
      </c>
      <c r="M96" s="31">
        <f t="shared" si="65"/>
        <v>0</v>
      </c>
      <c r="N96" s="144" t="s">
        <v>7696</v>
      </c>
      <c r="O96" s="36">
        <v>32</v>
      </c>
      <c r="P96" s="36">
        <v>203</v>
      </c>
      <c r="Q96" s="103"/>
      <c r="R96" s="160"/>
      <c r="S96" s="160"/>
      <c r="T96" s="160"/>
      <c r="U96" s="104"/>
      <c r="V96" s="36">
        <f t="shared" si="66"/>
        <v>3</v>
      </c>
      <c r="W96" s="103"/>
      <c r="X96" s="160"/>
      <c r="Y96" s="104"/>
      <c r="Z96" s="52" t="str">
        <f t="shared" si="64"/>
        <v/>
      </c>
      <c r="AA96" s="109" t="str">
        <f t="shared" si="64"/>
        <v/>
      </c>
      <c r="AB96" s="166"/>
      <c r="AC96" s="144" t="e">
        <f>VLOOKUP($M:$M,Data!$I:$J,2,FALSE)</f>
        <v>#N/A</v>
      </c>
      <c r="AD96" s="167"/>
    </row>
    <row r="97" ht="15.25" spans="2:30">
      <c r="B97" s="133">
        <v>3</v>
      </c>
      <c r="C97" s="134">
        <f>VLOOKUP("32/207/3",Data!$A$2:$E$1425,3,FALSE)</f>
        <v>0</v>
      </c>
      <c r="D97" s="137"/>
      <c r="E97" s="138"/>
      <c r="G97" s="69"/>
      <c r="H97" s="70"/>
      <c r="I97" s="70"/>
      <c r="J97" s="87"/>
      <c r="L97" s="14">
        <f>COUNTA(B78)+L96</f>
        <v>73</v>
      </c>
      <c r="M97" s="83">
        <f t="shared" si="65"/>
        <v>0</v>
      </c>
      <c r="N97" s="145" t="s">
        <v>7696</v>
      </c>
      <c r="O97" s="85">
        <v>32</v>
      </c>
      <c r="P97" s="85">
        <v>203</v>
      </c>
      <c r="Q97" s="105"/>
      <c r="R97" s="161"/>
      <c r="S97" s="161"/>
      <c r="T97" s="161"/>
      <c r="U97" s="106"/>
      <c r="V97" s="85">
        <f t="shared" si="66"/>
        <v>4</v>
      </c>
      <c r="W97" s="105"/>
      <c r="X97" s="161"/>
      <c r="Y97" s="106"/>
      <c r="Z97" s="107" t="str">
        <f t="shared" si="64"/>
        <v/>
      </c>
      <c r="AA97" s="111" t="str">
        <f t="shared" si="64"/>
        <v/>
      </c>
      <c r="AB97" s="168"/>
      <c r="AC97" s="145" t="e">
        <f>VLOOKUP($M:$M,Data!$I:$J,2,FALSE)</f>
        <v>#N/A</v>
      </c>
      <c r="AD97" s="169"/>
    </row>
    <row r="98" ht="15.25" spans="2:30">
      <c r="B98" s="139">
        <v>4</v>
      </c>
      <c r="C98" s="142">
        <f>VLOOKUP("32/207/4",Data!$A$2:$E$1425,3,FALSE)</f>
        <v>0</v>
      </c>
      <c r="D98" s="140"/>
      <c r="E98" s="141"/>
      <c r="G98" s="71"/>
      <c r="H98" s="72"/>
      <c r="I98" s="72"/>
      <c r="J98" s="88"/>
      <c r="L98" s="6">
        <f>COUNTA(B80)+L97</f>
        <v>74</v>
      </c>
      <c r="M98" s="79" t="str">
        <f>C80</f>
        <v>485210 Kasper Thomsen</v>
      </c>
      <c r="N98" s="143" t="s">
        <v>7696</v>
      </c>
      <c r="O98" s="81">
        <v>32</v>
      </c>
      <c r="P98" s="81">
        <v>204</v>
      </c>
      <c r="Q98" s="100" t="str">
        <f>_xlfn.IFS(COUNTA(B80:B83)=1,"Single",COUNTA(B80:B83)=2,"Double",COUNTA(B80:B83)=3,"Triple",COUNTA(B80:B83)=4,"Quadre",COUNTA(B80:B83)=0,"Empty")</f>
        <v>Quadre</v>
      </c>
      <c r="R98" s="159"/>
      <c r="S98" s="159"/>
      <c r="T98" s="159"/>
      <c r="U98" s="101"/>
      <c r="V98" s="81">
        <f>B80</f>
        <v>1</v>
      </c>
      <c r="W98" s="100">
        <f>COUNT(B80:B83)</f>
        <v>4</v>
      </c>
      <c r="X98" s="159"/>
      <c r="Y98" s="101"/>
      <c r="Z98" s="102" t="str">
        <f t="shared" ref="Z98:AA101" si="67">IF(D80=0,"",D80)</f>
        <v/>
      </c>
      <c r="AA98" s="108" t="str">
        <f t="shared" si="67"/>
        <v/>
      </c>
      <c r="AB98" s="164"/>
      <c r="AC98" s="143" t="e">
        <f>VLOOKUP($M:$M,Data!$I:$J,2,FALSE)</f>
        <v>#N/A</v>
      </c>
      <c r="AD98" s="165"/>
    </row>
    <row r="99" spans="2:30">
      <c r="B99" s="46">
        <v>208</v>
      </c>
      <c r="C99" s="132"/>
      <c r="D99" s="62" t="s">
        <v>6580</v>
      </c>
      <c r="E99" s="8" t="s">
        <v>6581</v>
      </c>
      <c r="G99" s="46">
        <v>215</v>
      </c>
      <c r="H99" s="132"/>
      <c r="I99" s="62" t="s">
        <v>6580</v>
      </c>
      <c r="J99" s="8" t="s">
        <v>6581</v>
      </c>
      <c r="L99" s="9">
        <f>COUNTA(B81)+L98</f>
        <v>75</v>
      </c>
      <c r="M99" s="31">
        <f t="shared" ref="M99:M101" si="68">C81</f>
        <v>0</v>
      </c>
      <c r="N99" s="144" t="s">
        <v>7696</v>
      </c>
      <c r="O99" s="36">
        <v>32</v>
      </c>
      <c r="P99" s="36">
        <v>204</v>
      </c>
      <c r="Q99" s="103"/>
      <c r="R99" s="160"/>
      <c r="S99" s="160"/>
      <c r="T99" s="160"/>
      <c r="U99" s="104"/>
      <c r="V99" s="36">
        <f t="shared" ref="V99:V101" si="69">B81</f>
        <v>2</v>
      </c>
      <c r="W99" s="103"/>
      <c r="X99" s="160"/>
      <c r="Y99" s="104"/>
      <c r="Z99" s="52" t="str">
        <f t="shared" si="67"/>
        <v/>
      </c>
      <c r="AA99" s="109" t="str">
        <f t="shared" si="67"/>
        <v/>
      </c>
      <c r="AB99" s="166"/>
      <c r="AC99" s="144" t="e">
        <f>VLOOKUP($M:$M,Data!$I:$J,2,FALSE)</f>
        <v>#N/A</v>
      </c>
      <c r="AD99" s="167"/>
    </row>
    <row r="100" spans="2:30">
      <c r="B100" s="133">
        <v>1</v>
      </c>
      <c r="C100" s="134" t="str">
        <f>VLOOKUP("32/208/1",Data!$A$2:$E$1425,3,FALSE)</f>
        <v>514113 Abdul</v>
      </c>
      <c r="D100" s="135"/>
      <c r="E100" s="136"/>
      <c r="G100" s="133">
        <v>1</v>
      </c>
      <c r="H100" s="134" t="str">
        <f>VLOOKUP("32/215/1",Data!$A$2:$E$1425,3,FALSE)</f>
        <v>500640 Philip</v>
      </c>
      <c r="I100" s="135"/>
      <c r="J100" s="136"/>
      <c r="L100" s="9">
        <f>COUNTA(B82)+L99</f>
        <v>76</v>
      </c>
      <c r="M100" s="31">
        <f t="shared" si="68"/>
        <v>0</v>
      </c>
      <c r="N100" s="144" t="s">
        <v>7696</v>
      </c>
      <c r="O100" s="36">
        <v>32</v>
      </c>
      <c r="P100" s="36">
        <v>204</v>
      </c>
      <c r="Q100" s="103"/>
      <c r="R100" s="160"/>
      <c r="S100" s="160"/>
      <c r="T100" s="160"/>
      <c r="U100" s="104"/>
      <c r="V100" s="36">
        <f t="shared" si="69"/>
        <v>3</v>
      </c>
      <c r="W100" s="103"/>
      <c r="X100" s="160"/>
      <c r="Y100" s="104"/>
      <c r="Z100" s="52" t="str">
        <f t="shared" si="67"/>
        <v/>
      </c>
      <c r="AA100" s="109" t="str">
        <f t="shared" si="67"/>
        <v/>
      </c>
      <c r="AB100" s="166"/>
      <c r="AC100" s="144" t="e">
        <f>VLOOKUP($M:$M,Data!$I:$J,2,FALSE)</f>
        <v>#N/A</v>
      </c>
      <c r="AD100" s="167"/>
    </row>
    <row r="101" ht="15.25" spans="2:30">
      <c r="B101" s="133">
        <v>2</v>
      </c>
      <c r="C101" s="134">
        <f>VLOOKUP("32/208/2",Data!$A$2:$E$1425,3,FALSE)</f>
        <v>0</v>
      </c>
      <c r="D101" s="137"/>
      <c r="E101" s="138"/>
      <c r="G101" s="133">
        <v>2</v>
      </c>
      <c r="H101" s="134">
        <f>VLOOKUP("32/215/2",Data!$A$2:$E$1425,3,FALSE)</f>
        <v>0</v>
      </c>
      <c r="I101" s="137"/>
      <c r="J101" s="138"/>
      <c r="L101" s="14">
        <f>COUNTA(B83)+L100</f>
        <v>77</v>
      </c>
      <c r="M101" s="83">
        <f t="shared" si="68"/>
        <v>0</v>
      </c>
      <c r="N101" s="145" t="s">
        <v>7696</v>
      </c>
      <c r="O101" s="85">
        <v>32</v>
      </c>
      <c r="P101" s="85">
        <v>204</v>
      </c>
      <c r="Q101" s="105"/>
      <c r="R101" s="161"/>
      <c r="S101" s="161"/>
      <c r="T101" s="161"/>
      <c r="U101" s="106"/>
      <c r="V101" s="85">
        <f t="shared" si="69"/>
        <v>4</v>
      </c>
      <c r="W101" s="105"/>
      <c r="X101" s="161"/>
      <c r="Y101" s="106"/>
      <c r="Z101" s="107" t="str">
        <f t="shared" si="67"/>
        <v/>
      </c>
      <c r="AA101" s="111" t="str">
        <f t="shared" si="67"/>
        <v/>
      </c>
      <c r="AB101" s="168"/>
      <c r="AC101" s="145" t="e">
        <f>VLOOKUP($M:$M,Data!$I:$J,2,FALSE)</f>
        <v>#N/A</v>
      </c>
      <c r="AD101" s="169"/>
    </row>
    <row r="102" spans="2:30">
      <c r="B102" s="133">
        <v>3</v>
      </c>
      <c r="C102" s="134">
        <f>VLOOKUP("32/208/3",Data!$A$2:$E$1425,3,FALSE)</f>
        <v>0</v>
      </c>
      <c r="D102" s="137"/>
      <c r="E102" s="138"/>
      <c r="G102" s="133">
        <v>3</v>
      </c>
      <c r="H102" s="134">
        <f>VLOOKUP("32/215/3",Data!$A$2:$E$1425,3,FALSE)</f>
        <v>0</v>
      </c>
      <c r="I102" s="137"/>
      <c r="J102" s="138"/>
      <c r="L102" s="6">
        <f>COUNTA(B85)+L101</f>
        <v>78</v>
      </c>
      <c r="M102" s="79" t="str">
        <f>C85</f>
        <v>167039 Jesper</v>
      </c>
      <c r="N102" s="143" t="s">
        <v>7696</v>
      </c>
      <c r="O102" s="81">
        <v>32</v>
      </c>
      <c r="P102" s="81">
        <v>205</v>
      </c>
      <c r="Q102" s="100" t="str">
        <f>_xlfn.IFS(COUNTA(B85:B88)=1,"Single",COUNTA(B85:B88)=2,"Double",COUNTA(B85:B88)=3,"Triple",COUNTA(B85:B88)=4,"Quadre",COUNTA(B85:B88)=0,"Empty")</f>
        <v>Quadre</v>
      </c>
      <c r="R102" s="159"/>
      <c r="S102" s="159"/>
      <c r="T102" s="159"/>
      <c r="U102" s="101"/>
      <c r="V102" s="81">
        <f>B85</f>
        <v>1</v>
      </c>
      <c r="W102" s="100">
        <f>COUNT(B85:B88)</f>
        <v>4</v>
      </c>
      <c r="X102" s="159"/>
      <c r="Y102" s="101"/>
      <c r="Z102" s="102" t="str">
        <f t="shared" ref="Z102:AA105" si="70">IF(D85=0,"",D85)</f>
        <v/>
      </c>
      <c r="AA102" s="108" t="str">
        <f t="shared" si="70"/>
        <v/>
      </c>
      <c r="AB102" s="164"/>
      <c r="AC102" s="143" t="e">
        <f>VLOOKUP($M:$M,Data!$I:$J,2,FALSE)</f>
        <v>#N/A</v>
      </c>
      <c r="AD102" s="165"/>
    </row>
    <row r="103" ht="15.25" spans="2:30">
      <c r="B103" s="139">
        <v>4</v>
      </c>
      <c r="C103" s="142">
        <f>VLOOKUP("32/208/4",Data!$A$2:$E$1425,3,FALSE)</f>
        <v>0</v>
      </c>
      <c r="D103" s="140"/>
      <c r="E103" s="141"/>
      <c r="G103" s="139">
        <v>4</v>
      </c>
      <c r="H103" s="142">
        <f>VLOOKUP("32/215/4",Data!$A$2:$E$1425,3,FALSE)</f>
        <v>0</v>
      </c>
      <c r="I103" s="140"/>
      <c r="J103" s="141"/>
      <c r="L103" s="9">
        <f>COUNTA(B86)+L102</f>
        <v>79</v>
      </c>
      <c r="M103" s="31">
        <f t="shared" ref="M103:M105" si="71">C86</f>
        <v>0</v>
      </c>
      <c r="N103" s="144" t="s">
        <v>7696</v>
      </c>
      <c r="O103" s="36">
        <v>32</v>
      </c>
      <c r="P103" s="36">
        <v>205</v>
      </c>
      <c r="Q103" s="103"/>
      <c r="R103" s="160"/>
      <c r="S103" s="160"/>
      <c r="T103" s="160"/>
      <c r="U103" s="104"/>
      <c r="V103" s="36">
        <f t="shared" ref="V103:V105" si="72">B86</f>
        <v>2</v>
      </c>
      <c r="W103" s="103"/>
      <c r="X103" s="160"/>
      <c r="Y103" s="104"/>
      <c r="Z103" s="52" t="str">
        <f t="shared" si="70"/>
        <v/>
      </c>
      <c r="AA103" s="109" t="str">
        <f t="shared" si="70"/>
        <v/>
      </c>
      <c r="AB103" s="166"/>
      <c r="AC103" s="144" t="e">
        <f>VLOOKUP($M:$M,Data!$I:$J,2,FALSE)</f>
        <v>#N/A</v>
      </c>
      <c r="AD103" s="167"/>
    </row>
    <row r="104" spans="2:30">
      <c r="B104" s="46">
        <v>209</v>
      </c>
      <c r="C104" s="132"/>
      <c r="D104" s="62" t="s">
        <v>6580</v>
      </c>
      <c r="E104" s="8" t="s">
        <v>6581</v>
      </c>
      <c r="G104" s="46">
        <v>214</v>
      </c>
      <c r="H104" s="132"/>
      <c r="I104" s="62" t="s">
        <v>6580</v>
      </c>
      <c r="J104" s="8" t="s">
        <v>6581</v>
      </c>
      <c r="L104" s="9">
        <f>COUNTA(B87)+L103</f>
        <v>80</v>
      </c>
      <c r="M104" s="31">
        <f t="shared" si="71"/>
        <v>0</v>
      </c>
      <c r="N104" s="144" t="s">
        <v>7696</v>
      </c>
      <c r="O104" s="36">
        <v>32</v>
      </c>
      <c r="P104" s="36">
        <v>205</v>
      </c>
      <c r="Q104" s="103"/>
      <c r="R104" s="160"/>
      <c r="S104" s="160"/>
      <c r="T104" s="160"/>
      <c r="U104" s="104"/>
      <c r="V104" s="36">
        <f t="shared" si="72"/>
        <v>3</v>
      </c>
      <c r="W104" s="103"/>
      <c r="X104" s="160"/>
      <c r="Y104" s="104"/>
      <c r="Z104" s="52" t="str">
        <f t="shared" si="70"/>
        <v/>
      </c>
      <c r="AA104" s="109" t="str">
        <f t="shared" si="70"/>
        <v/>
      </c>
      <c r="AB104" s="166"/>
      <c r="AC104" s="144" t="e">
        <f>VLOOKUP($M:$M,Data!$I:$J,2,FALSE)</f>
        <v>#N/A</v>
      </c>
      <c r="AD104" s="167"/>
    </row>
    <row r="105" ht="15.25" spans="2:30">
      <c r="B105" s="133"/>
      <c r="C105" s="134">
        <f>VLOOKUP("32/209/1",Data!$A$2:$E$1425,3,FALSE)</f>
        <v>0</v>
      </c>
      <c r="D105" s="135"/>
      <c r="E105" s="136"/>
      <c r="G105" s="133">
        <v>1</v>
      </c>
      <c r="H105" s="134">
        <f>VLOOKUP("32/214/1",Data!$A$2:$E$1425,3,FALSE)</f>
        <v>0</v>
      </c>
      <c r="I105" s="135"/>
      <c r="J105" s="136"/>
      <c r="L105" s="14">
        <f>COUNTA(B88)+L104</f>
        <v>81</v>
      </c>
      <c r="M105" s="83">
        <f t="shared" si="71"/>
        <v>0</v>
      </c>
      <c r="N105" s="145" t="s">
        <v>7696</v>
      </c>
      <c r="O105" s="85">
        <v>32</v>
      </c>
      <c r="P105" s="85">
        <v>205</v>
      </c>
      <c r="Q105" s="105"/>
      <c r="R105" s="161"/>
      <c r="S105" s="161"/>
      <c r="T105" s="161"/>
      <c r="U105" s="106"/>
      <c r="V105" s="85">
        <f t="shared" si="72"/>
        <v>4</v>
      </c>
      <c r="W105" s="105"/>
      <c r="X105" s="161"/>
      <c r="Y105" s="106"/>
      <c r="Z105" s="107" t="str">
        <f t="shared" si="70"/>
        <v/>
      </c>
      <c r="AA105" s="111" t="str">
        <f t="shared" si="70"/>
        <v/>
      </c>
      <c r="AB105" s="168"/>
      <c r="AC105" s="145" t="e">
        <f>VLOOKUP($M:$M,Data!$I:$J,2,FALSE)</f>
        <v>#N/A</v>
      </c>
      <c r="AD105" s="169"/>
    </row>
    <row r="106" spans="2:30">
      <c r="B106" s="133">
        <v>2</v>
      </c>
      <c r="C106" s="134">
        <f>VLOOKUP("32/209/2",Data!$A$2:$E$1425,3,FALSE)</f>
        <v>0</v>
      </c>
      <c r="D106" s="137"/>
      <c r="E106" s="138"/>
      <c r="G106" s="133">
        <v>2</v>
      </c>
      <c r="H106" s="134">
        <f>VLOOKUP("32/214/2",Data!$A$2:$E$1425,3,FALSE)</f>
        <v>0</v>
      </c>
      <c r="I106" s="137"/>
      <c r="J106" s="138"/>
      <c r="L106" s="6">
        <f>COUNTA(B90)+L105</f>
        <v>82</v>
      </c>
      <c r="M106" s="79" t="str">
        <f>C90</f>
        <v>399105 Chris</v>
      </c>
      <c r="N106" s="143" t="s">
        <v>7696</v>
      </c>
      <c r="O106" s="81">
        <v>32</v>
      </c>
      <c r="P106" s="81">
        <v>206</v>
      </c>
      <c r="Q106" s="100" t="str">
        <f>_xlfn.IFS(COUNTA(B90:B93)=1,"Single",COUNTA(B90:B93)=2,"Double",COUNTA(B90:B93)=3,"Triple",COUNTA(B90:B93)=4,"Quadre",COUNTA(B90:B93)=0,"Empty")</f>
        <v>Quadre</v>
      </c>
      <c r="R106" s="159"/>
      <c r="S106" s="159"/>
      <c r="T106" s="159"/>
      <c r="U106" s="101"/>
      <c r="V106" s="81">
        <f>B90</f>
        <v>1</v>
      </c>
      <c r="W106" s="100">
        <f>COUNT(B90:B93)</f>
        <v>4</v>
      </c>
      <c r="X106" s="159"/>
      <c r="Y106" s="101"/>
      <c r="Z106" s="102" t="str">
        <f t="shared" ref="Z106:AA109" si="73">IF(D90=0,"",D90)</f>
        <v/>
      </c>
      <c r="AA106" s="108" t="str">
        <f t="shared" si="73"/>
        <v/>
      </c>
      <c r="AB106" s="164"/>
      <c r="AC106" s="143" t="e">
        <f>VLOOKUP($M:$M,Data!$I:$J,2,FALSE)</f>
        <v>#N/A</v>
      </c>
      <c r="AD106" s="165"/>
    </row>
    <row r="107" spans="2:30">
      <c r="B107" s="133"/>
      <c r="C107" s="134">
        <f>VLOOKUP("32/209/3",Data!$A$2:$E$1425,3,FALSE)</f>
        <v>0</v>
      </c>
      <c r="D107" s="137"/>
      <c r="E107" s="138"/>
      <c r="G107" s="133">
        <v>3</v>
      </c>
      <c r="H107" s="134">
        <f>VLOOKUP("32/214/3",Data!$A$2:$E$1425,3,FALSE)</f>
        <v>0</v>
      </c>
      <c r="I107" s="137"/>
      <c r="J107" s="138"/>
      <c r="L107" s="9">
        <f>COUNTA(B91)+L106</f>
        <v>83</v>
      </c>
      <c r="M107" s="31">
        <f t="shared" ref="M107:M109" si="74">C91</f>
        <v>0</v>
      </c>
      <c r="N107" s="144" t="s">
        <v>7696</v>
      </c>
      <c r="O107" s="36">
        <v>32</v>
      </c>
      <c r="P107" s="36">
        <v>206</v>
      </c>
      <c r="Q107" s="103"/>
      <c r="R107" s="160"/>
      <c r="S107" s="160"/>
      <c r="T107" s="160"/>
      <c r="U107" s="104"/>
      <c r="V107" s="36">
        <f t="shared" ref="V107:V109" si="75">B91</f>
        <v>2</v>
      </c>
      <c r="W107" s="103"/>
      <c r="X107" s="160"/>
      <c r="Y107" s="104"/>
      <c r="Z107" s="52" t="str">
        <f t="shared" si="73"/>
        <v/>
      </c>
      <c r="AA107" s="109" t="str">
        <f t="shared" si="73"/>
        <v/>
      </c>
      <c r="AB107" s="166"/>
      <c r="AC107" s="144" t="e">
        <f>VLOOKUP($M:$M,Data!$I:$J,2,FALSE)</f>
        <v>#N/A</v>
      </c>
      <c r="AD107" s="167"/>
    </row>
    <row r="108" ht="15.25" spans="2:30">
      <c r="B108" s="139"/>
      <c r="C108" s="142">
        <f>VLOOKUP("32/209/4",Data!$A$2:$E$1425,3,FALSE)</f>
        <v>0</v>
      </c>
      <c r="D108" s="140"/>
      <c r="E108" s="141"/>
      <c r="G108" s="139">
        <v>4</v>
      </c>
      <c r="H108" s="142">
        <f>VLOOKUP("32/214/4",Data!$A$2:$E$1425,3,FALSE)</f>
        <v>0</v>
      </c>
      <c r="I108" s="140"/>
      <c r="J108" s="141"/>
      <c r="L108" s="9">
        <f>COUNTA(B92)+L107</f>
        <v>84</v>
      </c>
      <c r="M108" s="31">
        <f t="shared" si="74"/>
        <v>0</v>
      </c>
      <c r="N108" s="144" t="s">
        <v>7696</v>
      </c>
      <c r="O108" s="36">
        <v>32</v>
      </c>
      <c r="P108" s="36">
        <v>206</v>
      </c>
      <c r="Q108" s="103"/>
      <c r="R108" s="160"/>
      <c r="S108" s="160"/>
      <c r="T108" s="160"/>
      <c r="U108" s="104"/>
      <c r="V108" s="36">
        <f t="shared" si="75"/>
        <v>3</v>
      </c>
      <c r="W108" s="103"/>
      <c r="X108" s="160"/>
      <c r="Y108" s="104"/>
      <c r="Z108" s="52" t="str">
        <f t="shared" si="73"/>
        <v/>
      </c>
      <c r="AA108" s="109" t="str">
        <f t="shared" si="73"/>
        <v/>
      </c>
      <c r="AB108" s="166"/>
      <c r="AC108" s="144" t="e">
        <f>VLOOKUP($M:$M,Data!$I:$J,2,FALSE)</f>
        <v>#N/A</v>
      </c>
      <c r="AD108" s="167"/>
    </row>
    <row r="109" ht="15.25" spans="2:30">
      <c r="B109" s="46">
        <v>210</v>
      </c>
      <c r="C109" s="132"/>
      <c r="D109" s="62" t="s">
        <v>6580</v>
      </c>
      <c r="E109" s="8" t="s">
        <v>6581</v>
      </c>
      <c r="G109" s="46">
        <v>213</v>
      </c>
      <c r="H109" s="132"/>
      <c r="I109" s="62" t="s">
        <v>6580</v>
      </c>
      <c r="J109" s="8" t="s">
        <v>6581</v>
      </c>
      <c r="L109" s="14">
        <f>COUNTA(B93)+L108</f>
        <v>85</v>
      </c>
      <c r="M109" s="83">
        <f t="shared" si="74"/>
        <v>0</v>
      </c>
      <c r="N109" s="145" t="s">
        <v>7696</v>
      </c>
      <c r="O109" s="85">
        <v>32</v>
      </c>
      <c r="P109" s="85">
        <v>206</v>
      </c>
      <c r="Q109" s="105"/>
      <c r="R109" s="161"/>
      <c r="S109" s="161"/>
      <c r="T109" s="161"/>
      <c r="U109" s="106"/>
      <c r="V109" s="85">
        <f t="shared" si="75"/>
        <v>4</v>
      </c>
      <c r="W109" s="105"/>
      <c r="X109" s="161"/>
      <c r="Y109" s="106"/>
      <c r="Z109" s="107" t="str">
        <f t="shared" si="73"/>
        <v/>
      </c>
      <c r="AA109" s="111" t="str">
        <f t="shared" si="73"/>
        <v/>
      </c>
      <c r="AB109" s="168"/>
      <c r="AC109" s="145" t="e">
        <f>VLOOKUP($M:$M,Data!$I:$J,2,FALSE)</f>
        <v>#N/A</v>
      </c>
      <c r="AD109" s="169"/>
    </row>
    <row r="110" spans="2:30">
      <c r="B110" s="133">
        <v>1</v>
      </c>
      <c r="C110" s="134">
        <f>VLOOKUP("32/210/1",Data!$A$2:$E$1425,3,FALSE)</f>
        <v>0</v>
      </c>
      <c r="D110" s="135"/>
      <c r="E110" s="136"/>
      <c r="G110" s="133">
        <v>1</v>
      </c>
      <c r="H110" s="134">
        <f>VLOOKUP("32/213/1",Data!$A$2:$E$1425,3,FALSE)</f>
        <v>0</v>
      </c>
      <c r="I110" s="135"/>
      <c r="J110" s="136"/>
      <c r="L110" s="6">
        <f>COUNTA(B95)+L109</f>
        <v>86</v>
      </c>
      <c r="M110" s="79" t="str">
        <f>C95</f>
        <v>443003 Jesper</v>
      </c>
      <c r="N110" s="143" t="s">
        <v>7696</v>
      </c>
      <c r="O110" s="81">
        <v>32</v>
      </c>
      <c r="P110" s="81">
        <v>207</v>
      </c>
      <c r="Q110" s="100" t="str">
        <f>_xlfn.IFS(COUNTA(B95:B98)=1,"Single",COUNTA(B95:B98)=2,"Double",COUNTA(B95:B98)=3,"Triple",COUNTA(B95:B98)=4,"Quadre",COUNTA(B95:B98)=0,"Empty")</f>
        <v>Quadre</v>
      </c>
      <c r="R110" s="159"/>
      <c r="S110" s="159"/>
      <c r="T110" s="159"/>
      <c r="U110" s="101"/>
      <c r="V110" s="81">
        <f>B95</f>
        <v>1</v>
      </c>
      <c r="W110" s="100">
        <f>COUNT(B95:B98)</f>
        <v>4</v>
      </c>
      <c r="X110" s="159"/>
      <c r="Y110" s="101"/>
      <c r="Z110" s="102" t="str">
        <f t="shared" ref="Z110:AA113" si="76">IF(D95=0,"",D95)</f>
        <v/>
      </c>
      <c r="AA110" s="108" t="str">
        <f t="shared" si="76"/>
        <v/>
      </c>
      <c r="AB110" s="164"/>
      <c r="AC110" s="143" t="str">
        <f>VLOOKUP($M:$M,Data!$I:$J,2,FALSE)</f>
        <v>Bag 0677</v>
      </c>
      <c r="AD110" s="165"/>
    </row>
    <row r="111" spans="2:30">
      <c r="B111" s="133">
        <v>2</v>
      </c>
      <c r="C111" s="134">
        <f>VLOOKUP("32/210/2",Data!$A$2:$E$1425,3,FALSE)</f>
        <v>0</v>
      </c>
      <c r="D111" s="137"/>
      <c r="E111" s="138"/>
      <c r="G111" s="133">
        <v>2</v>
      </c>
      <c r="H111" s="134">
        <f>VLOOKUP("32/213/2",Data!$A$2:$E$1425,3,FALSE)</f>
        <v>0</v>
      </c>
      <c r="I111" s="137"/>
      <c r="J111" s="138"/>
      <c r="L111" s="9">
        <f>COUNTA(B96)+L110</f>
        <v>87</v>
      </c>
      <c r="M111" s="31">
        <f t="shared" ref="M111:M113" si="77">C96</f>
        <v>0</v>
      </c>
      <c r="N111" s="144" t="s">
        <v>7696</v>
      </c>
      <c r="O111" s="36">
        <v>32</v>
      </c>
      <c r="P111" s="36">
        <v>207</v>
      </c>
      <c r="Q111" s="103"/>
      <c r="R111" s="160"/>
      <c r="S111" s="160"/>
      <c r="T111" s="160"/>
      <c r="U111" s="104"/>
      <c r="V111" s="36">
        <f t="shared" ref="V111:V113" si="78">B96</f>
        <v>2</v>
      </c>
      <c r="W111" s="103"/>
      <c r="X111" s="160"/>
      <c r="Y111" s="104"/>
      <c r="Z111" s="52" t="str">
        <f t="shared" si="76"/>
        <v/>
      </c>
      <c r="AA111" s="109" t="str">
        <f t="shared" si="76"/>
        <v/>
      </c>
      <c r="AB111" s="166"/>
      <c r="AC111" s="144" t="e">
        <f>VLOOKUP($M:$M,Data!$I:$J,2,FALSE)</f>
        <v>#N/A</v>
      </c>
      <c r="AD111" s="167"/>
    </row>
    <row r="112" spans="2:30">
      <c r="B112" s="133">
        <v>3</v>
      </c>
      <c r="C112" s="134">
        <f>VLOOKUP("32/210/3",Data!$A$2:$E$1425,3,FALSE)</f>
        <v>0</v>
      </c>
      <c r="D112" s="137"/>
      <c r="E112" s="138"/>
      <c r="G112" s="133">
        <v>3</v>
      </c>
      <c r="H112" s="134">
        <f>VLOOKUP("32/213/3",Data!$A$2:$E$1425,3,FALSE)</f>
        <v>0</v>
      </c>
      <c r="I112" s="137"/>
      <c r="J112" s="138"/>
      <c r="L112" s="9">
        <f>COUNTA(B97)+L111</f>
        <v>88</v>
      </c>
      <c r="M112" s="31">
        <f t="shared" si="77"/>
        <v>0</v>
      </c>
      <c r="N112" s="144" t="s">
        <v>7696</v>
      </c>
      <c r="O112" s="36">
        <v>32</v>
      </c>
      <c r="P112" s="36">
        <v>207</v>
      </c>
      <c r="Q112" s="103"/>
      <c r="R112" s="160"/>
      <c r="S112" s="160"/>
      <c r="T112" s="160"/>
      <c r="U112" s="104"/>
      <c r="V112" s="36">
        <f t="shared" si="78"/>
        <v>3</v>
      </c>
      <c r="W112" s="103"/>
      <c r="X112" s="160"/>
      <c r="Y112" s="104"/>
      <c r="Z112" s="52" t="str">
        <f t="shared" si="76"/>
        <v/>
      </c>
      <c r="AA112" s="109" t="str">
        <f t="shared" si="76"/>
        <v/>
      </c>
      <c r="AB112" s="166"/>
      <c r="AC112" s="144" t="e">
        <f>VLOOKUP($M:$M,Data!$I:$J,2,FALSE)</f>
        <v>#N/A</v>
      </c>
      <c r="AD112" s="167"/>
    </row>
    <row r="113" ht="15.25" spans="2:30">
      <c r="B113" s="139"/>
      <c r="C113" s="142">
        <f>VLOOKUP("32/210/4",Data!$A$2:$E$1425,3,FALSE)</f>
        <v>0</v>
      </c>
      <c r="D113" s="140"/>
      <c r="E113" s="141"/>
      <c r="G113" s="139">
        <v>4</v>
      </c>
      <c r="H113" s="142">
        <f>VLOOKUP("32/213/4",Data!$A$2:$E$1425,3,FALSE)</f>
        <v>0</v>
      </c>
      <c r="I113" s="140"/>
      <c r="J113" s="141"/>
      <c r="L113" s="14">
        <f>COUNTA(B98)+L112</f>
        <v>89</v>
      </c>
      <c r="M113" s="83">
        <f t="shared" si="77"/>
        <v>0</v>
      </c>
      <c r="N113" s="145" t="s">
        <v>7696</v>
      </c>
      <c r="O113" s="85">
        <v>32</v>
      </c>
      <c r="P113" s="85">
        <v>207</v>
      </c>
      <c r="Q113" s="105"/>
      <c r="R113" s="161"/>
      <c r="S113" s="161"/>
      <c r="T113" s="161"/>
      <c r="U113" s="106"/>
      <c r="V113" s="85">
        <f t="shared" si="78"/>
        <v>4</v>
      </c>
      <c r="W113" s="105"/>
      <c r="X113" s="161"/>
      <c r="Y113" s="106"/>
      <c r="Z113" s="107" t="str">
        <f t="shared" si="76"/>
        <v/>
      </c>
      <c r="AA113" s="111" t="str">
        <f t="shared" si="76"/>
        <v/>
      </c>
      <c r="AB113" s="168"/>
      <c r="AC113" s="145" t="e">
        <f>VLOOKUP($M:$M,Data!$I:$J,2,FALSE)</f>
        <v>#N/A</v>
      </c>
      <c r="AD113" s="169"/>
    </row>
    <row r="114" spans="2:30">
      <c r="B114" s="46">
        <v>211</v>
      </c>
      <c r="C114" s="132"/>
      <c r="D114" s="62" t="s">
        <v>6580</v>
      </c>
      <c r="E114" s="8" t="s">
        <v>6581</v>
      </c>
      <c r="G114" s="46">
        <v>212</v>
      </c>
      <c r="H114" s="132"/>
      <c r="I114" s="62" t="s">
        <v>6580</v>
      </c>
      <c r="J114" s="8" t="s">
        <v>6581</v>
      </c>
      <c r="L114" s="6">
        <f>COUNTA(B100)+L113</f>
        <v>90</v>
      </c>
      <c r="M114" s="79" t="str">
        <f>C100</f>
        <v>514113 Abdul</v>
      </c>
      <c r="N114" s="143" t="s">
        <v>7696</v>
      </c>
      <c r="O114" s="81">
        <v>32</v>
      </c>
      <c r="P114" s="81">
        <v>208</v>
      </c>
      <c r="Q114" s="100" t="str">
        <f>_xlfn.IFS(COUNTA(B100:B103)=1,"Single",COUNTA(B100:B103)=2,"Double",COUNTA(B100:B103)=3,"Triple",COUNTA(B100:B103)=4,"Quadre",COUNTA(B100:B103)=0,"Empty")</f>
        <v>Quadre</v>
      </c>
      <c r="R114" s="159"/>
      <c r="S114" s="159"/>
      <c r="T114" s="159"/>
      <c r="U114" s="101"/>
      <c r="V114" s="81">
        <f>B100</f>
        <v>1</v>
      </c>
      <c r="W114" s="100">
        <f>COUNT(B100:B103)</f>
        <v>4</v>
      </c>
      <c r="X114" s="159"/>
      <c r="Y114" s="101"/>
      <c r="Z114" s="102" t="str">
        <f t="shared" ref="Z114:AA117" si="79">IF(D100=0,"",D100)</f>
        <v/>
      </c>
      <c r="AA114" s="108" t="str">
        <f t="shared" si="79"/>
        <v/>
      </c>
      <c r="AB114" s="164"/>
      <c r="AC114" s="143" t="str">
        <f>VLOOKUP($M:$M,Data!$I:$J,2,FALSE)</f>
        <v>Bag 0791</v>
      </c>
      <c r="AD114" s="165" t="s">
        <v>7700</v>
      </c>
    </row>
    <row r="115" spans="2:30">
      <c r="B115" s="133">
        <v>1</v>
      </c>
      <c r="C115" s="134">
        <f>VLOOKUP("32/211/1",Data!$A$2:$E$1425,3,FALSE)</f>
        <v>0</v>
      </c>
      <c r="D115" s="135"/>
      <c r="E115" s="136"/>
      <c r="G115" s="133">
        <v>1</v>
      </c>
      <c r="H115" s="134">
        <f>VLOOKUP("32/212/1",Data!$A$2:$E$1425,3,FALSE)</f>
        <v>0</v>
      </c>
      <c r="I115" s="135"/>
      <c r="J115" s="136"/>
      <c r="L115" s="9">
        <f>COUNTA(B101)+L114</f>
        <v>91</v>
      </c>
      <c r="M115" s="31">
        <f>C101</f>
        <v>0</v>
      </c>
      <c r="N115" s="144" t="s">
        <v>7696</v>
      </c>
      <c r="O115" s="36">
        <v>32</v>
      </c>
      <c r="P115" s="36">
        <v>208</v>
      </c>
      <c r="Q115" s="103"/>
      <c r="R115" s="160"/>
      <c r="S115" s="160"/>
      <c r="T115" s="160"/>
      <c r="U115" s="104"/>
      <c r="V115" s="36">
        <f t="shared" ref="V115:V117" si="80">B101</f>
        <v>2</v>
      </c>
      <c r="W115" s="103"/>
      <c r="X115" s="160"/>
      <c r="Y115" s="104"/>
      <c r="Z115" s="52" t="str">
        <f t="shared" si="79"/>
        <v/>
      </c>
      <c r="AA115" s="109" t="str">
        <f t="shared" si="79"/>
        <v/>
      </c>
      <c r="AB115" s="166"/>
      <c r="AC115" s="144" t="e">
        <f>VLOOKUP($M:$M,Data!$I:$J,2,FALSE)</f>
        <v>#N/A</v>
      </c>
      <c r="AD115" s="167" t="s">
        <v>7701</v>
      </c>
    </row>
    <row r="116" spans="2:30">
      <c r="B116" s="133">
        <v>2</v>
      </c>
      <c r="C116" s="134">
        <f>VLOOKUP("32/211/2",Data!$A$2:$E$1425,3,FALSE)</f>
        <v>0</v>
      </c>
      <c r="D116" s="137"/>
      <c r="E116" s="138"/>
      <c r="G116" s="133">
        <v>2</v>
      </c>
      <c r="H116" s="134">
        <f>VLOOKUP("32/212/2",Data!$A$2:$E$1425,3,FALSE)</f>
        <v>0</v>
      </c>
      <c r="I116" s="137"/>
      <c r="J116" s="138"/>
      <c r="L116" s="9">
        <f>COUNTA(B102)+L115</f>
        <v>92</v>
      </c>
      <c r="M116" s="31">
        <f t="shared" ref="M116:M117" si="81">C102</f>
        <v>0</v>
      </c>
      <c r="N116" s="144" t="s">
        <v>7696</v>
      </c>
      <c r="O116" s="36">
        <v>32</v>
      </c>
      <c r="P116" s="36">
        <v>208</v>
      </c>
      <c r="Q116" s="103"/>
      <c r="R116" s="160"/>
      <c r="S116" s="160"/>
      <c r="T116" s="160"/>
      <c r="U116" s="104"/>
      <c r="V116" s="36">
        <f t="shared" si="80"/>
        <v>3</v>
      </c>
      <c r="W116" s="103"/>
      <c r="X116" s="160"/>
      <c r="Y116" s="104"/>
      <c r="Z116" s="52" t="str">
        <f t="shared" si="79"/>
        <v/>
      </c>
      <c r="AA116" s="109" t="str">
        <f t="shared" si="79"/>
        <v/>
      </c>
      <c r="AB116" s="166"/>
      <c r="AC116" s="144" t="e">
        <f>VLOOKUP($M:$M,Data!$I:$J,2,FALSE)</f>
        <v>#N/A</v>
      </c>
      <c r="AD116" s="167"/>
    </row>
    <row r="117" ht="15.25" spans="2:30">
      <c r="B117" s="133">
        <v>3</v>
      </c>
      <c r="C117" s="134">
        <f>VLOOKUP("32/211/3",Data!$A$2:$E$1425,3,FALSE)</f>
        <v>0</v>
      </c>
      <c r="D117" s="137"/>
      <c r="E117" s="138"/>
      <c r="G117" s="133">
        <v>3</v>
      </c>
      <c r="H117" s="134">
        <f>VLOOKUP("32/212/3",Data!$A$2:$E$1425,3,FALSE)</f>
        <v>0</v>
      </c>
      <c r="I117" s="137"/>
      <c r="J117" s="138"/>
      <c r="L117" s="14">
        <f>COUNTA(B103)+L116</f>
        <v>93</v>
      </c>
      <c r="M117" s="83">
        <f t="shared" si="81"/>
        <v>0</v>
      </c>
      <c r="N117" s="145" t="s">
        <v>7696</v>
      </c>
      <c r="O117" s="85">
        <v>32</v>
      </c>
      <c r="P117" s="85">
        <v>208</v>
      </c>
      <c r="Q117" s="105"/>
      <c r="R117" s="161"/>
      <c r="S117" s="161"/>
      <c r="T117" s="161"/>
      <c r="U117" s="106"/>
      <c r="V117" s="85">
        <f t="shared" si="80"/>
        <v>4</v>
      </c>
      <c r="W117" s="105"/>
      <c r="X117" s="161"/>
      <c r="Y117" s="106"/>
      <c r="Z117" s="107" t="str">
        <f t="shared" si="79"/>
        <v/>
      </c>
      <c r="AA117" s="111" t="str">
        <f t="shared" si="79"/>
        <v/>
      </c>
      <c r="AB117" s="168"/>
      <c r="AC117" s="145" t="e">
        <f>VLOOKUP($M:$M,Data!$I:$J,2,FALSE)</f>
        <v>#N/A</v>
      </c>
      <c r="AD117" s="169"/>
    </row>
    <row r="118" ht="15.25" spans="2:30">
      <c r="B118" s="139"/>
      <c r="C118" s="142">
        <f>VLOOKUP("32/211/4",Data!$A$2:$E$1425,3,FALSE)</f>
        <v>0</v>
      </c>
      <c r="D118" s="140"/>
      <c r="E118" s="141"/>
      <c r="G118" s="139">
        <v>4</v>
      </c>
      <c r="H118" s="142">
        <f>VLOOKUP("32/212/4",Data!$A$2:$E$1425,3,FALSE)</f>
        <v>0</v>
      </c>
      <c r="I118" s="140"/>
      <c r="J118" s="141"/>
      <c r="L118" s="6">
        <f>COUNTA(B105)+L117</f>
        <v>93</v>
      </c>
      <c r="M118" s="79">
        <f>C105</f>
        <v>0</v>
      </c>
      <c r="N118" s="143" t="s">
        <v>7696</v>
      </c>
      <c r="O118" s="81">
        <v>32</v>
      </c>
      <c r="P118" s="81">
        <v>209</v>
      </c>
      <c r="Q118" s="100" t="str">
        <f>_xlfn.IFS(COUNTA(B105:B108)=1,"Single",COUNTA(B105:B108)=2,"Double",COUNTA(B105:B108)=3,"Triple",COUNTA(B105:B108)=4,"Quadre",COUNTA(B105:B108)=0,"Empty")</f>
        <v>Single</v>
      </c>
      <c r="R118" s="159"/>
      <c r="S118" s="159"/>
      <c r="T118" s="159"/>
      <c r="U118" s="101"/>
      <c r="V118" s="81">
        <f>B105</f>
        <v>0</v>
      </c>
      <c r="W118" s="100">
        <f>COUNT(B105:B108)</f>
        <v>1</v>
      </c>
      <c r="X118" s="159"/>
      <c r="Y118" s="101"/>
      <c r="Z118" s="102" t="str">
        <f t="shared" ref="Z118:AA121" si="82">IF(D105=0,"",D105)</f>
        <v/>
      </c>
      <c r="AA118" s="108" t="str">
        <f t="shared" si="82"/>
        <v/>
      </c>
      <c r="AB118" s="164"/>
      <c r="AC118" s="143" t="e">
        <f>VLOOKUP($M:$M,Data!$I:$J,2,FALSE)</f>
        <v>#N/A</v>
      </c>
      <c r="AD118" s="165"/>
    </row>
    <row r="119" spans="12:30">
      <c r="L119" s="9">
        <f>COUNTA(B106)+L118</f>
        <v>94</v>
      </c>
      <c r="M119" s="31">
        <f t="shared" ref="M119:M121" si="83">C106</f>
        <v>0</v>
      </c>
      <c r="N119" s="144" t="s">
        <v>7696</v>
      </c>
      <c r="O119" s="36">
        <v>32</v>
      </c>
      <c r="P119" s="36">
        <v>209</v>
      </c>
      <c r="Q119" s="103"/>
      <c r="R119" s="160"/>
      <c r="S119" s="160"/>
      <c r="T119" s="160"/>
      <c r="U119" s="104"/>
      <c r="V119" s="36">
        <f t="shared" ref="V119:V121" si="84">B106</f>
        <v>2</v>
      </c>
      <c r="W119" s="103"/>
      <c r="X119" s="160"/>
      <c r="Y119" s="104"/>
      <c r="Z119" s="52" t="str">
        <f t="shared" si="82"/>
        <v/>
      </c>
      <c r="AA119" s="109" t="str">
        <f t="shared" si="82"/>
        <v/>
      </c>
      <c r="AB119" s="166"/>
      <c r="AC119" s="144" t="e">
        <f>VLOOKUP($M:$M,Data!$I:$J,2,FALSE)</f>
        <v>#N/A</v>
      </c>
      <c r="AD119" s="167"/>
    </row>
    <row r="120" spans="12:30">
      <c r="L120" s="9">
        <f>COUNTA(B107)+L119</f>
        <v>94</v>
      </c>
      <c r="M120" s="31">
        <f t="shared" si="83"/>
        <v>0</v>
      </c>
      <c r="N120" s="144" t="s">
        <v>7696</v>
      </c>
      <c r="O120" s="36">
        <v>32</v>
      </c>
      <c r="P120" s="36">
        <v>209</v>
      </c>
      <c r="Q120" s="103"/>
      <c r="R120" s="160"/>
      <c r="S120" s="160"/>
      <c r="T120" s="160"/>
      <c r="U120" s="104"/>
      <c r="V120" s="36">
        <f t="shared" si="84"/>
        <v>0</v>
      </c>
      <c r="W120" s="103"/>
      <c r="X120" s="160"/>
      <c r="Y120" s="104"/>
      <c r="Z120" s="52" t="str">
        <f t="shared" si="82"/>
        <v/>
      </c>
      <c r="AA120" s="109" t="str">
        <f t="shared" si="82"/>
        <v/>
      </c>
      <c r="AB120" s="166"/>
      <c r="AC120" s="144" t="e">
        <f>VLOOKUP($M:$M,Data!$I:$J,2,FALSE)</f>
        <v>#N/A</v>
      </c>
      <c r="AD120" s="167" t="s">
        <v>7702</v>
      </c>
    </row>
    <row r="121" ht="15.25" spans="12:30">
      <c r="L121" s="14">
        <f>COUNTA(B108)+L120</f>
        <v>94</v>
      </c>
      <c r="M121" s="83">
        <f t="shared" si="83"/>
        <v>0</v>
      </c>
      <c r="N121" s="145" t="s">
        <v>7696</v>
      </c>
      <c r="O121" s="85">
        <v>32</v>
      </c>
      <c r="P121" s="85">
        <v>209</v>
      </c>
      <c r="Q121" s="105"/>
      <c r="R121" s="161"/>
      <c r="S121" s="161"/>
      <c r="T121" s="161"/>
      <c r="U121" s="106"/>
      <c r="V121" s="85">
        <f t="shared" si="84"/>
        <v>0</v>
      </c>
      <c r="W121" s="105"/>
      <c r="X121" s="161"/>
      <c r="Y121" s="106"/>
      <c r="Z121" s="107" t="str">
        <f t="shared" si="82"/>
        <v/>
      </c>
      <c r="AA121" s="111" t="str">
        <f t="shared" si="82"/>
        <v/>
      </c>
      <c r="AB121" s="168"/>
      <c r="AC121" s="145" t="e">
        <f>VLOOKUP($M:$M,Data!$I:$J,2,FALSE)</f>
        <v>#N/A</v>
      </c>
      <c r="AD121" s="169" t="s">
        <v>7703</v>
      </c>
    </row>
    <row r="122" spans="12:30">
      <c r="L122" s="6">
        <f>COUNTA(B110)+L121</f>
        <v>95</v>
      </c>
      <c r="M122" s="79">
        <f>C110</f>
        <v>0</v>
      </c>
      <c r="N122" s="143" t="s">
        <v>7696</v>
      </c>
      <c r="O122" s="81">
        <v>32</v>
      </c>
      <c r="P122" s="81">
        <v>210</v>
      </c>
      <c r="Q122" s="100" t="str">
        <f>_xlfn.IFS(COUNTA(B110:B113)=1,"Single",COUNTA(B110:B113)=2,"Double",COUNTA(B110:B113)=3,"Triple",COUNTA(B110:B113)=4,"Quadre",COUNTA(B110:B113)=0,"Empty")</f>
        <v>Triple</v>
      </c>
      <c r="R122" s="159"/>
      <c r="S122" s="159"/>
      <c r="T122" s="159"/>
      <c r="U122" s="101"/>
      <c r="V122" s="81">
        <f>B110</f>
        <v>1</v>
      </c>
      <c r="W122" s="100">
        <f>COUNT(B110:B113)</f>
        <v>3</v>
      </c>
      <c r="X122" s="159"/>
      <c r="Y122" s="101"/>
      <c r="Z122" s="102" t="str">
        <f t="shared" ref="Z122:AA125" si="85">IF(D110=0,"",D110)</f>
        <v/>
      </c>
      <c r="AA122" s="108" t="str">
        <f t="shared" si="85"/>
        <v/>
      </c>
      <c r="AB122" s="164"/>
      <c r="AC122" s="143" t="e">
        <f>VLOOKUP($M:$M,Data!$I:$J,2,FALSE)</f>
        <v>#N/A</v>
      </c>
      <c r="AD122" s="165" t="s">
        <v>7704</v>
      </c>
    </row>
    <row r="123" spans="12:30">
      <c r="L123" s="9">
        <f>COUNTA(B111)+L122</f>
        <v>96</v>
      </c>
      <c r="M123" s="31">
        <f t="shared" ref="M123:M125" si="86">C111</f>
        <v>0</v>
      </c>
      <c r="N123" s="144" t="s">
        <v>7696</v>
      </c>
      <c r="O123" s="36">
        <v>32</v>
      </c>
      <c r="P123" s="36">
        <v>210</v>
      </c>
      <c r="Q123" s="103"/>
      <c r="R123" s="160"/>
      <c r="S123" s="160"/>
      <c r="T123" s="160"/>
      <c r="U123" s="104"/>
      <c r="V123" s="36">
        <f t="shared" ref="V123:V125" si="87">B111</f>
        <v>2</v>
      </c>
      <c r="W123" s="103"/>
      <c r="X123" s="160"/>
      <c r="Y123" s="104"/>
      <c r="Z123" s="52" t="str">
        <f t="shared" si="85"/>
        <v/>
      </c>
      <c r="AA123" s="109" t="str">
        <f t="shared" si="85"/>
        <v/>
      </c>
      <c r="AB123" s="166"/>
      <c r="AC123" s="144" t="e">
        <f>VLOOKUP($M:$M,Data!$I:$J,2,FALSE)</f>
        <v>#N/A</v>
      </c>
      <c r="AD123" s="167" t="s">
        <v>7705</v>
      </c>
    </row>
    <row r="124" spans="12:30">
      <c r="L124" s="9">
        <f>COUNTA(B112)+L123</f>
        <v>97</v>
      </c>
      <c r="M124" s="31">
        <f t="shared" si="86"/>
        <v>0</v>
      </c>
      <c r="N124" s="144" t="s">
        <v>7696</v>
      </c>
      <c r="O124" s="36">
        <v>32</v>
      </c>
      <c r="P124" s="36">
        <v>210</v>
      </c>
      <c r="Q124" s="103"/>
      <c r="R124" s="160"/>
      <c r="S124" s="160"/>
      <c r="T124" s="160"/>
      <c r="U124" s="104"/>
      <c r="V124" s="36">
        <f t="shared" si="87"/>
        <v>3</v>
      </c>
      <c r="W124" s="103"/>
      <c r="X124" s="160"/>
      <c r="Y124" s="104"/>
      <c r="Z124" s="52" t="str">
        <f t="shared" si="85"/>
        <v/>
      </c>
      <c r="AA124" s="109" t="str">
        <f t="shared" si="85"/>
        <v/>
      </c>
      <c r="AB124" s="166"/>
      <c r="AC124" s="144" t="e">
        <f>VLOOKUP($M:$M,Data!$I:$J,2,FALSE)</f>
        <v>#N/A</v>
      </c>
      <c r="AD124" s="167" t="s">
        <v>7706</v>
      </c>
    </row>
    <row r="125" ht="15.25" spans="12:30">
      <c r="L125" s="14">
        <f>COUNTA(B113)+L124</f>
        <v>97</v>
      </c>
      <c r="M125" s="83">
        <f t="shared" si="86"/>
        <v>0</v>
      </c>
      <c r="N125" s="145" t="s">
        <v>7696</v>
      </c>
      <c r="O125" s="85">
        <v>32</v>
      </c>
      <c r="P125" s="85">
        <v>210</v>
      </c>
      <c r="Q125" s="105"/>
      <c r="R125" s="161"/>
      <c r="S125" s="161"/>
      <c r="T125" s="161"/>
      <c r="U125" s="106"/>
      <c r="V125" s="85">
        <f t="shared" si="87"/>
        <v>0</v>
      </c>
      <c r="W125" s="105"/>
      <c r="X125" s="161"/>
      <c r="Y125" s="106"/>
      <c r="Z125" s="107" t="str">
        <f t="shared" si="85"/>
        <v/>
      </c>
      <c r="AA125" s="111" t="str">
        <f t="shared" si="85"/>
        <v/>
      </c>
      <c r="AB125" s="168"/>
      <c r="AC125" s="145" t="e">
        <f>VLOOKUP($M:$M,Data!$I:$J,2,FALSE)</f>
        <v>#N/A</v>
      </c>
      <c r="AD125" s="169"/>
    </row>
    <row r="126" spans="12:30">
      <c r="L126" s="6">
        <f>COUNTA(B115)+L125</f>
        <v>98</v>
      </c>
      <c r="M126" s="79">
        <f>C115</f>
        <v>0</v>
      </c>
      <c r="N126" s="143" t="s">
        <v>7696</v>
      </c>
      <c r="O126" s="81">
        <v>32</v>
      </c>
      <c r="P126" s="81">
        <v>211</v>
      </c>
      <c r="Q126" s="100" t="str">
        <f>_xlfn.IFS(COUNTA(B115:B118)=1,"Single",COUNTA(B115:B118)=2,"Double",COUNTA(B115:B118)=3,"Triple",COUNTA(B115:B118)=4,"Quadre",COUNTA(B115:B118)=0,"Empty")</f>
        <v>Triple</v>
      </c>
      <c r="R126" s="159"/>
      <c r="S126" s="159"/>
      <c r="T126" s="159"/>
      <c r="U126" s="101"/>
      <c r="V126" s="81">
        <f>B115</f>
        <v>1</v>
      </c>
      <c r="W126" s="100">
        <f>COUNT(B115:B118)</f>
        <v>3</v>
      </c>
      <c r="X126" s="159"/>
      <c r="Y126" s="101"/>
      <c r="Z126" s="102" t="str">
        <f t="shared" ref="Z126:AA129" si="88">IF(D115=0,"",D115)</f>
        <v/>
      </c>
      <c r="AA126" s="108" t="str">
        <f t="shared" si="88"/>
        <v/>
      </c>
      <c r="AB126" s="164"/>
      <c r="AC126" s="143" t="e">
        <f>VLOOKUP($M:$M,Data!$I:$J,2,FALSE)</f>
        <v>#N/A</v>
      </c>
      <c r="AD126" s="165"/>
    </row>
    <row r="127" spans="12:30">
      <c r="L127" s="9">
        <f>COUNTA(B116)+L126</f>
        <v>99</v>
      </c>
      <c r="M127" s="31">
        <f t="shared" ref="M127:M129" si="89">C116</f>
        <v>0</v>
      </c>
      <c r="N127" s="144" t="s">
        <v>7696</v>
      </c>
      <c r="O127" s="36">
        <v>32</v>
      </c>
      <c r="P127" s="36">
        <v>211</v>
      </c>
      <c r="Q127" s="103"/>
      <c r="R127" s="160"/>
      <c r="S127" s="160"/>
      <c r="T127" s="160"/>
      <c r="U127" s="104"/>
      <c r="V127" s="36">
        <f t="shared" ref="V127:V129" si="90">B116</f>
        <v>2</v>
      </c>
      <c r="W127" s="103"/>
      <c r="X127" s="160"/>
      <c r="Y127" s="104"/>
      <c r="Z127" s="52" t="str">
        <f t="shared" si="88"/>
        <v/>
      </c>
      <c r="AA127" s="109" t="str">
        <f t="shared" si="88"/>
        <v/>
      </c>
      <c r="AB127" s="166"/>
      <c r="AC127" s="144" t="e">
        <f>VLOOKUP($M:$M,Data!$I:$J,2,FALSE)</f>
        <v>#N/A</v>
      </c>
      <c r="AD127" s="167"/>
    </row>
    <row r="128" spans="12:30">
      <c r="L128" s="9">
        <f>COUNTA(B117)+L127</f>
        <v>100</v>
      </c>
      <c r="M128" s="31">
        <f t="shared" si="89"/>
        <v>0</v>
      </c>
      <c r="N128" s="144" t="s">
        <v>7696</v>
      </c>
      <c r="O128" s="36">
        <v>32</v>
      </c>
      <c r="P128" s="36">
        <v>211</v>
      </c>
      <c r="Q128" s="103"/>
      <c r="R128" s="160"/>
      <c r="S128" s="160"/>
      <c r="T128" s="160"/>
      <c r="U128" s="104"/>
      <c r="V128" s="36">
        <f t="shared" si="90"/>
        <v>3</v>
      </c>
      <c r="W128" s="103"/>
      <c r="X128" s="160"/>
      <c r="Y128" s="104"/>
      <c r="Z128" s="52" t="str">
        <f t="shared" si="88"/>
        <v/>
      </c>
      <c r="AA128" s="109" t="str">
        <f t="shared" si="88"/>
        <v/>
      </c>
      <c r="AB128" s="166"/>
      <c r="AC128" s="144" t="e">
        <f>VLOOKUP($M:$M,Data!$I:$J,2,FALSE)</f>
        <v>#N/A</v>
      </c>
      <c r="AD128" s="167"/>
    </row>
    <row r="129" ht="15.25" spans="12:30">
      <c r="L129" s="14">
        <f>COUNTA(B118)+L128</f>
        <v>100</v>
      </c>
      <c r="M129" s="83">
        <f t="shared" si="89"/>
        <v>0</v>
      </c>
      <c r="N129" s="145" t="s">
        <v>7696</v>
      </c>
      <c r="O129" s="85">
        <v>32</v>
      </c>
      <c r="P129" s="85">
        <v>211</v>
      </c>
      <c r="Q129" s="105"/>
      <c r="R129" s="161"/>
      <c r="S129" s="161"/>
      <c r="T129" s="161"/>
      <c r="U129" s="106"/>
      <c r="V129" s="85">
        <f t="shared" si="90"/>
        <v>0</v>
      </c>
      <c r="W129" s="105"/>
      <c r="X129" s="161"/>
      <c r="Y129" s="106"/>
      <c r="Z129" s="107" t="str">
        <f t="shared" si="88"/>
        <v/>
      </c>
      <c r="AA129" s="111" t="str">
        <f t="shared" si="88"/>
        <v/>
      </c>
      <c r="AB129" s="168"/>
      <c r="AC129" s="145" t="e">
        <f>VLOOKUP($M:$M,Data!$I:$J,2,FALSE)</f>
        <v>#N/A</v>
      </c>
      <c r="AD129" s="169" t="s">
        <v>7707</v>
      </c>
    </row>
    <row r="130" spans="12:30">
      <c r="L130" s="6">
        <f>COUNTA(G115)+L129</f>
        <v>101</v>
      </c>
      <c r="M130" s="79">
        <f>H115</f>
        <v>0</v>
      </c>
      <c r="N130" s="143" t="s">
        <v>7696</v>
      </c>
      <c r="O130" s="81">
        <v>32</v>
      </c>
      <c r="P130" s="81">
        <v>212</v>
      </c>
      <c r="Q130" s="100" t="str">
        <f>_xlfn.IFS(COUNTA(G115:G118)=1,"Single",COUNTA(G115:G118)=2,"Double",COUNTA(G115:G118)=3,"Triple",COUNTA(G115:G118)=4,"Quadre",COUNTA(G115:G118)=0,"Empty")</f>
        <v>Quadre</v>
      </c>
      <c r="R130" s="159"/>
      <c r="S130" s="159"/>
      <c r="T130" s="159"/>
      <c r="U130" s="101"/>
      <c r="V130" s="81">
        <f>G115</f>
        <v>1</v>
      </c>
      <c r="W130" s="100">
        <f>COUNT(G115:G118)</f>
        <v>4</v>
      </c>
      <c r="X130" s="159"/>
      <c r="Y130" s="101"/>
      <c r="Z130" s="102" t="str">
        <f t="shared" ref="Z130:AA133" si="91">IF(I115=0,"",I115)</f>
        <v/>
      </c>
      <c r="AA130" s="108" t="str">
        <f t="shared" si="91"/>
        <v/>
      </c>
      <c r="AB130" s="164"/>
      <c r="AC130" s="143" t="e">
        <f>VLOOKUP($M:$M,Data!$I:$J,2,FALSE)</f>
        <v>#N/A</v>
      </c>
      <c r="AD130" s="165"/>
    </row>
    <row r="131" spans="12:30">
      <c r="L131" s="9">
        <f>COUNTA(G116)+L130</f>
        <v>102</v>
      </c>
      <c r="M131" s="31">
        <f t="shared" ref="M131:M133" si="92">H116</f>
        <v>0</v>
      </c>
      <c r="N131" s="144" t="s">
        <v>7696</v>
      </c>
      <c r="O131" s="36">
        <v>32</v>
      </c>
      <c r="P131" s="36">
        <v>212</v>
      </c>
      <c r="Q131" s="103"/>
      <c r="R131" s="160"/>
      <c r="S131" s="160"/>
      <c r="T131" s="160"/>
      <c r="U131" s="104"/>
      <c r="V131" s="36">
        <f t="shared" ref="V131:V133" si="93">G116</f>
        <v>2</v>
      </c>
      <c r="W131" s="103"/>
      <c r="X131" s="160"/>
      <c r="Y131" s="104"/>
      <c r="Z131" s="52" t="str">
        <f t="shared" si="91"/>
        <v/>
      </c>
      <c r="AA131" s="109" t="str">
        <f t="shared" si="91"/>
        <v/>
      </c>
      <c r="AB131" s="166"/>
      <c r="AC131" s="144" t="e">
        <f>VLOOKUP($M:$M,Data!$I:$J,2,FALSE)</f>
        <v>#N/A</v>
      </c>
      <c r="AD131" s="167"/>
    </row>
    <row r="132" spans="12:30">
      <c r="L132" s="9">
        <f>COUNTA(G117)+L131</f>
        <v>103</v>
      </c>
      <c r="M132" s="31">
        <f t="shared" si="92"/>
        <v>0</v>
      </c>
      <c r="N132" s="144" t="s">
        <v>7696</v>
      </c>
      <c r="O132" s="36">
        <v>32</v>
      </c>
      <c r="P132" s="36">
        <v>212</v>
      </c>
      <c r="Q132" s="103"/>
      <c r="R132" s="160"/>
      <c r="S132" s="160"/>
      <c r="T132" s="160"/>
      <c r="U132" s="104"/>
      <c r="V132" s="36">
        <f t="shared" si="93"/>
        <v>3</v>
      </c>
      <c r="W132" s="103"/>
      <c r="X132" s="160"/>
      <c r="Y132" s="104"/>
      <c r="Z132" s="52" t="str">
        <f t="shared" si="91"/>
        <v/>
      </c>
      <c r="AA132" s="109" t="str">
        <f t="shared" si="91"/>
        <v/>
      </c>
      <c r="AB132" s="166"/>
      <c r="AC132" s="144" t="e">
        <f>VLOOKUP($M:$M,Data!$I:$J,2,FALSE)</f>
        <v>#N/A</v>
      </c>
      <c r="AD132" s="167"/>
    </row>
    <row r="133" ht="15.25" spans="12:30">
      <c r="L133" s="14">
        <f>COUNTA(G118)+L132</f>
        <v>104</v>
      </c>
      <c r="M133" s="83">
        <f t="shared" si="92"/>
        <v>0</v>
      </c>
      <c r="N133" s="145" t="s">
        <v>7696</v>
      </c>
      <c r="O133" s="85">
        <v>32</v>
      </c>
      <c r="P133" s="85">
        <v>212</v>
      </c>
      <c r="Q133" s="105"/>
      <c r="R133" s="161"/>
      <c r="S133" s="161"/>
      <c r="T133" s="161"/>
      <c r="U133" s="106"/>
      <c r="V133" s="85">
        <f t="shared" si="93"/>
        <v>4</v>
      </c>
      <c r="W133" s="105"/>
      <c r="X133" s="161"/>
      <c r="Y133" s="106"/>
      <c r="Z133" s="107" t="str">
        <f t="shared" si="91"/>
        <v/>
      </c>
      <c r="AA133" s="111" t="str">
        <f t="shared" si="91"/>
        <v/>
      </c>
      <c r="AB133" s="168"/>
      <c r="AC133" s="145" t="e">
        <f>VLOOKUP($M:$M,Data!$I:$J,2,FALSE)</f>
        <v>#N/A</v>
      </c>
      <c r="AD133" s="169"/>
    </row>
    <row r="134" spans="12:30">
      <c r="L134" s="6">
        <f>COUNTA(G110)+L133</f>
        <v>105</v>
      </c>
      <c r="M134" s="79">
        <f>H110</f>
        <v>0</v>
      </c>
      <c r="N134" s="143" t="s">
        <v>7696</v>
      </c>
      <c r="O134" s="81">
        <v>32</v>
      </c>
      <c r="P134" s="81">
        <v>213</v>
      </c>
      <c r="Q134" s="100" t="str">
        <f>_xlfn.IFS(COUNTA(G110:G113)=1,"Single",COUNTA(G110:G113)=2,"Double",COUNTA(G110:G113)=3,"Triple",COUNTA(G110:G113)=4,"Quadre",COUNTA(G110:G113)=0,"Empty")</f>
        <v>Quadre</v>
      </c>
      <c r="R134" s="159"/>
      <c r="S134" s="159"/>
      <c r="T134" s="159"/>
      <c r="U134" s="101"/>
      <c r="V134" s="81">
        <f>G110</f>
        <v>1</v>
      </c>
      <c r="W134" s="100">
        <f>COUNT(G110:G113)</f>
        <v>4</v>
      </c>
      <c r="X134" s="159"/>
      <c r="Y134" s="101"/>
      <c r="Z134" s="102" t="str">
        <f t="shared" ref="Z134:AA137" si="94">IF(I110=0,"",I110)</f>
        <v/>
      </c>
      <c r="AA134" s="108" t="str">
        <f t="shared" si="94"/>
        <v/>
      </c>
      <c r="AB134" s="164"/>
      <c r="AC134" s="143" t="e">
        <f>VLOOKUP($M:$M,Data!$I:$J,2,FALSE)</f>
        <v>#N/A</v>
      </c>
      <c r="AD134" s="165"/>
    </row>
    <row r="135" spans="12:30">
      <c r="L135" s="9">
        <f>COUNTA(G111)+L134</f>
        <v>106</v>
      </c>
      <c r="M135" s="31">
        <f t="shared" ref="M135:M137" si="95">H111</f>
        <v>0</v>
      </c>
      <c r="N135" s="144" t="s">
        <v>7696</v>
      </c>
      <c r="O135" s="36">
        <v>32</v>
      </c>
      <c r="P135" s="36">
        <v>213</v>
      </c>
      <c r="Q135" s="103"/>
      <c r="R135" s="160"/>
      <c r="S135" s="160"/>
      <c r="T135" s="160"/>
      <c r="U135" s="104"/>
      <c r="V135" s="36">
        <f t="shared" ref="V135:V137" si="96">G111</f>
        <v>2</v>
      </c>
      <c r="W135" s="103"/>
      <c r="X135" s="160"/>
      <c r="Y135" s="104"/>
      <c r="Z135" s="52" t="str">
        <f t="shared" si="94"/>
        <v/>
      </c>
      <c r="AA135" s="109" t="str">
        <f t="shared" si="94"/>
        <v/>
      </c>
      <c r="AB135" s="166"/>
      <c r="AC135" s="144" t="e">
        <f>VLOOKUP($M:$M,Data!$I:$J,2,FALSE)</f>
        <v>#N/A</v>
      </c>
      <c r="AD135" s="167"/>
    </row>
    <row r="136" spans="12:30">
      <c r="L136" s="9">
        <f>COUNTA(G112)+L135</f>
        <v>107</v>
      </c>
      <c r="M136" s="31">
        <f t="shared" si="95"/>
        <v>0</v>
      </c>
      <c r="N136" s="144" t="s">
        <v>7696</v>
      </c>
      <c r="O136" s="36">
        <v>32</v>
      </c>
      <c r="P136" s="36">
        <v>213</v>
      </c>
      <c r="Q136" s="103"/>
      <c r="R136" s="160"/>
      <c r="S136" s="160"/>
      <c r="T136" s="160"/>
      <c r="U136" s="104"/>
      <c r="V136" s="36">
        <f t="shared" si="96"/>
        <v>3</v>
      </c>
      <c r="W136" s="103"/>
      <c r="X136" s="160"/>
      <c r="Y136" s="104"/>
      <c r="Z136" s="52" t="str">
        <f t="shared" si="94"/>
        <v/>
      </c>
      <c r="AA136" s="109" t="str">
        <f t="shared" si="94"/>
        <v/>
      </c>
      <c r="AB136" s="166"/>
      <c r="AC136" s="144" t="e">
        <f>VLOOKUP($M:$M,Data!$I:$J,2,FALSE)</f>
        <v>#N/A</v>
      </c>
      <c r="AD136" s="167"/>
    </row>
    <row r="137" ht="15.25" spans="12:30">
      <c r="L137" s="14">
        <f>COUNTA(G113)+L136</f>
        <v>108</v>
      </c>
      <c r="M137" s="83">
        <f t="shared" si="95"/>
        <v>0</v>
      </c>
      <c r="N137" s="145" t="s">
        <v>7696</v>
      </c>
      <c r="O137" s="85">
        <v>32</v>
      </c>
      <c r="P137" s="85">
        <v>213</v>
      </c>
      <c r="Q137" s="105"/>
      <c r="R137" s="161"/>
      <c r="S137" s="161"/>
      <c r="T137" s="161"/>
      <c r="U137" s="106"/>
      <c r="V137" s="85">
        <f t="shared" si="96"/>
        <v>4</v>
      </c>
      <c r="W137" s="105"/>
      <c r="X137" s="161"/>
      <c r="Y137" s="106"/>
      <c r="Z137" s="107" t="str">
        <f t="shared" si="94"/>
        <v/>
      </c>
      <c r="AA137" s="111" t="str">
        <f t="shared" si="94"/>
        <v/>
      </c>
      <c r="AB137" s="168"/>
      <c r="AC137" s="145" t="e">
        <f>VLOOKUP($M:$M,Data!$I:$J,2,FALSE)</f>
        <v>#N/A</v>
      </c>
      <c r="AD137" s="169"/>
    </row>
    <row r="138" spans="12:30">
      <c r="L138" s="6">
        <f>COUNTA(G105)+L137</f>
        <v>109</v>
      </c>
      <c r="M138" s="79">
        <f>H105</f>
        <v>0</v>
      </c>
      <c r="N138" s="143" t="s">
        <v>7696</v>
      </c>
      <c r="O138" s="81">
        <v>32</v>
      </c>
      <c r="P138" s="81">
        <v>214</v>
      </c>
      <c r="Q138" s="100" t="str">
        <f>_xlfn.IFS(COUNTA(G105:G108)=1,"Single",COUNTA(G105:G108)=2,"Double",COUNTA(G105:G108)=3,"Triple",COUNTA(G105:G108)=4,"Quadre",COUNTA(G105:G108)=0,"Empty")</f>
        <v>Quadre</v>
      </c>
      <c r="R138" s="159"/>
      <c r="S138" s="159"/>
      <c r="T138" s="159"/>
      <c r="U138" s="101"/>
      <c r="V138" s="81">
        <f>G105</f>
        <v>1</v>
      </c>
      <c r="W138" s="100">
        <f>COUNT(G105:G108)</f>
        <v>4</v>
      </c>
      <c r="X138" s="159"/>
      <c r="Y138" s="101"/>
      <c r="Z138" s="102" t="str">
        <f t="shared" ref="Z138:AA141" si="97">IF(I105=0,"",I105)</f>
        <v/>
      </c>
      <c r="AA138" s="108" t="str">
        <f t="shared" si="97"/>
        <v/>
      </c>
      <c r="AB138" s="164"/>
      <c r="AC138" s="143" t="e">
        <f>VLOOKUP($M:$M,Data!$I:$J,2,FALSE)</f>
        <v>#N/A</v>
      </c>
      <c r="AD138" s="165"/>
    </row>
    <row r="139" spans="12:30">
      <c r="L139" s="9">
        <f>COUNTA(G106)+L138</f>
        <v>110</v>
      </c>
      <c r="M139" s="31">
        <f t="shared" ref="M139:M141" si="98">H106</f>
        <v>0</v>
      </c>
      <c r="N139" s="144" t="s">
        <v>7696</v>
      </c>
      <c r="O139" s="36">
        <v>32</v>
      </c>
      <c r="P139" s="36">
        <v>214</v>
      </c>
      <c r="Q139" s="103"/>
      <c r="R139" s="160"/>
      <c r="S139" s="160"/>
      <c r="T139" s="160"/>
      <c r="U139" s="104"/>
      <c r="V139" s="36">
        <f t="shared" ref="V139:V141" si="99">G106</f>
        <v>2</v>
      </c>
      <c r="W139" s="103"/>
      <c r="X139" s="160"/>
      <c r="Y139" s="104"/>
      <c r="Z139" s="52" t="str">
        <f t="shared" si="97"/>
        <v/>
      </c>
      <c r="AA139" s="109" t="str">
        <f t="shared" si="97"/>
        <v/>
      </c>
      <c r="AB139" s="166"/>
      <c r="AC139" s="144" t="e">
        <f>VLOOKUP($M:$M,Data!$I:$J,2,FALSE)</f>
        <v>#N/A</v>
      </c>
      <c r="AD139" s="167"/>
    </row>
    <row r="140" spans="12:30">
      <c r="L140" s="9">
        <f>COUNTA(G107)+L139</f>
        <v>111</v>
      </c>
      <c r="M140" s="31">
        <f t="shared" si="98"/>
        <v>0</v>
      </c>
      <c r="N140" s="144" t="s">
        <v>7696</v>
      </c>
      <c r="O140" s="36">
        <v>32</v>
      </c>
      <c r="P140" s="36">
        <v>214</v>
      </c>
      <c r="Q140" s="103"/>
      <c r="R140" s="160"/>
      <c r="S140" s="160"/>
      <c r="T140" s="160"/>
      <c r="U140" s="104"/>
      <c r="V140" s="36">
        <f t="shared" si="99"/>
        <v>3</v>
      </c>
      <c r="W140" s="103"/>
      <c r="X140" s="160"/>
      <c r="Y140" s="104"/>
      <c r="Z140" s="52" t="str">
        <f t="shared" si="97"/>
        <v/>
      </c>
      <c r="AA140" s="109" t="str">
        <f t="shared" si="97"/>
        <v/>
      </c>
      <c r="AB140" s="166"/>
      <c r="AC140" s="144" t="e">
        <f>VLOOKUP($M:$M,Data!$I:$J,2,FALSE)</f>
        <v>#N/A</v>
      </c>
      <c r="AD140" s="167"/>
    </row>
    <row r="141" ht="15.25" spans="12:30">
      <c r="L141" s="14">
        <f>COUNTA(G108)+L140</f>
        <v>112</v>
      </c>
      <c r="M141" s="83">
        <f t="shared" si="98"/>
        <v>0</v>
      </c>
      <c r="N141" s="145" t="s">
        <v>7696</v>
      </c>
      <c r="O141" s="85">
        <v>32</v>
      </c>
      <c r="P141" s="85">
        <v>214</v>
      </c>
      <c r="Q141" s="105"/>
      <c r="R141" s="161"/>
      <c r="S141" s="161"/>
      <c r="T141" s="161"/>
      <c r="U141" s="106"/>
      <c r="V141" s="85">
        <f t="shared" si="99"/>
        <v>4</v>
      </c>
      <c r="W141" s="105"/>
      <c r="X141" s="161"/>
      <c r="Y141" s="106"/>
      <c r="Z141" s="107" t="str">
        <f t="shared" si="97"/>
        <v/>
      </c>
      <c r="AA141" s="111" t="str">
        <f t="shared" si="97"/>
        <v/>
      </c>
      <c r="AB141" s="168"/>
      <c r="AC141" s="145" t="e">
        <f>VLOOKUP($M:$M,Data!$I:$J,2,FALSE)</f>
        <v>#N/A</v>
      </c>
      <c r="AD141" s="169"/>
    </row>
    <row r="142" spans="12:30">
      <c r="L142" s="6">
        <f>COUNTA(G100)+L141</f>
        <v>113</v>
      </c>
      <c r="M142" s="79" t="str">
        <f>H100</f>
        <v>500640 Philip</v>
      </c>
      <c r="N142" s="143" t="s">
        <v>7696</v>
      </c>
      <c r="O142" s="81">
        <v>32</v>
      </c>
      <c r="P142" s="81">
        <v>215</v>
      </c>
      <c r="Q142" s="100" t="str">
        <f>_xlfn.IFS(COUNTA(G100:G103)=1,"Single",COUNTA(G100:G103)=2,"Double",COUNTA(G100:G103)=3,"Triple",COUNTA(G100:G103)=4,"Quadre",COUNTA(G100:G103)=0,"Empty")</f>
        <v>Quadre</v>
      </c>
      <c r="R142" s="159"/>
      <c r="S142" s="159"/>
      <c r="T142" s="159"/>
      <c r="U142" s="101"/>
      <c r="V142" s="81">
        <f>G100</f>
        <v>1</v>
      </c>
      <c r="W142" s="100">
        <f>COUNT(G100:G103)</f>
        <v>4</v>
      </c>
      <c r="X142" s="159"/>
      <c r="Y142" s="101"/>
      <c r="Z142" s="102" t="str">
        <f t="shared" ref="Z142:AA145" si="100">IF(I100=0,"",I100)</f>
        <v/>
      </c>
      <c r="AA142" s="108" t="str">
        <f t="shared" si="100"/>
        <v/>
      </c>
      <c r="AB142" s="164"/>
      <c r="AC142" s="143" t="str">
        <f>VLOOKUP($M:$M,Data!$I:$J,2,FALSE)</f>
        <v>Bag 1041</v>
      </c>
      <c r="AD142" s="165"/>
    </row>
    <row r="143" spans="12:30">
      <c r="L143" s="9">
        <f>COUNTA(G101)+L142</f>
        <v>114</v>
      </c>
      <c r="M143" s="31">
        <f t="shared" ref="M143:M145" si="101">H101</f>
        <v>0</v>
      </c>
      <c r="N143" s="144" t="s">
        <v>7696</v>
      </c>
      <c r="O143" s="36">
        <v>32</v>
      </c>
      <c r="P143" s="36">
        <v>215</v>
      </c>
      <c r="Q143" s="103"/>
      <c r="R143" s="160"/>
      <c r="S143" s="160"/>
      <c r="T143" s="160"/>
      <c r="U143" s="104"/>
      <c r="V143" s="36">
        <f t="shared" ref="V143:V145" si="102">G101</f>
        <v>2</v>
      </c>
      <c r="W143" s="103"/>
      <c r="X143" s="160"/>
      <c r="Y143" s="104"/>
      <c r="Z143" s="52" t="str">
        <f t="shared" si="100"/>
        <v/>
      </c>
      <c r="AA143" s="109" t="str">
        <f t="shared" si="100"/>
        <v/>
      </c>
      <c r="AB143" s="166"/>
      <c r="AC143" s="144" t="e">
        <f>VLOOKUP($M:$M,Data!$I:$J,2,FALSE)</f>
        <v>#N/A</v>
      </c>
      <c r="AD143" s="167"/>
    </row>
    <row r="144" spans="12:30">
      <c r="L144" s="9">
        <f>COUNTA(G102)+L143</f>
        <v>115</v>
      </c>
      <c r="M144" s="31">
        <f t="shared" si="101"/>
        <v>0</v>
      </c>
      <c r="N144" s="144" t="s">
        <v>7696</v>
      </c>
      <c r="O144" s="36">
        <v>32</v>
      </c>
      <c r="P144" s="36">
        <v>215</v>
      </c>
      <c r="Q144" s="103"/>
      <c r="R144" s="160"/>
      <c r="S144" s="160"/>
      <c r="T144" s="160"/>
      <c r="U144" s="104"/>
      <c r="V144" s="36">
        <f t="shared" si="102"/>
        <v>3</v>
      </c>
      <c r="W144" s="103"/>
      <c r="X144" s="160"/>
      <c r="Y144" s="104"/>
      <c r="Z144" s="52" t="str">
        <f t="shared" si="100"/>
        <v/>
      </c>
      <c r="AA144" s="109" t="str">
        <f t="shared" si="100"/>
        <v/>
      </c>
      <c r="AB144" s="166"/>
      <c r="AC144" s="144" t="e">
        <f>VLOOKUP($M:$M,Data!$I:$J,2,FALSE)</f>
        <v>#N/A</v>
      </c>
      <c r="AD144" s="167"/>
    </row>
    <row r="145" ht="15.25" spans="12:30">
      <c r="L145" s="14">
        <f>COUNTA(G103)+L144</f>
        <v>116</v>
      </c>
      <c r="M145" s="83">
        <f t="shared" si="101"/>
        <v>0</v>
      </c>
      <c r="N145" s="145" t="s">
        <v>7696</v>
      </c>
      <c r="O145" s="85">
        <v>32</v>
      </c>
      <c r="P145" s="85">
        <v>215</v>
      </c>
      <c r="Q145" s="105"/>
      <c r="R145" s="161"/>
      <c r="S145" s="161"/>
      <c r="T145" s="161"/>
      <c r="U145" s="106"/>
      <c r="V145" s="85">
        <f t="shared" si="102"/>
        <v>4</v>
      </c>
      <c r="W145" s="105"/>
      <c r="X145" s="161"/>
      <c r="Y145" s="106"/>
      <c r="Z145" s="107" t="str">
        <f t="shared" si="100"/>
        <v/>
      </c>
      <c r="AA145" s="111" t="str">
        <f t="shared" si="100"/>
        <v/>
      </c>
      <c r="AB145" s="168"/>
      <c r="AC145" s="145" t="e">
        <f>VLOOKUP($M:$M,Data!$I:$J,2,FALSE)</f>
        <v>#N/A</v>
      </c>
      <c r="AD145" s="169"/>
    </row>
    <row r="146" spans="12:30">
      <c r="L146" s="6">
        <f>COUNTA(G85)+L145</f>
        <v>117</v>
      </c>
      <c r="M146" s="79" t="str">
        <f>H85</f>
        <v>171631 Bjarne S. Munk</v>
      </c>
      <c r="N146" s="143" t="s">
        <v>7696</v>
      </c>
      <c r="O146" s="81">
        <v>32</v>
      </c>
      <c r="P146" s="81">
        <v>216</v>
      </c>
      <c r="Q146" s="100" t="str">
        <f>_xlfn.IFS(COUNTA(G85:G88)=1,"Single",COUNTA(G85:G88)=2,"Double",COUNTA(G85:G88)=3,"Triple",COUNTA(G85:G88)=4,"Quadre",COUNTA(G85:G88)=0,"Empty")</f>
        <v>Quadre</v>
      </c>
      <c r="R146" s="159"/>
      <c r="S146" s="159"/>
      <c r="T146" s="159"/>
      <c r="U146" s="101"/>
      <c r="V146" s="81">
        <f>G85</f>
        <v>1</v>
      </c>
      <c r="W146" s="100">
        <f>COUNT(G85:G88)</f>
        <v>4</v>
      </c>
      <c r="X146" s="159"/>
      <c r="Y146" s="101"/>
      <c r="Z146" s="102" t="str">
        <f t="shared" ref="Z146:AA149" si="103">IF(I85=0,"",I85)</f>
        <v/>
      </c>
      <c r="AA146" s="108" t="str">
        <f t="shared" si="103"/>
        <v/>
      </c>
      <c r="AB146" s="164"/>
      <c r="AC146" s="143" t="e">
        <f>VLOOKUP($M:$M,Data!$I:$J,2,FALSE)</f>
        <v>#N/A</v>
      </c>
      <c r="AD146" s="165"/>
    </row>
    <row r="147" spans="12:30">
      <c r="L147" s="9">
        <f>COUNTA(G86)+L146</f>
        <v>118</v>
      </c>
      <c r="M147" s="31">
        <f t="shared" ref="M147:M149" si="104">H86</f>
        <v>0</v>
      </c>
      <c r="N147" s="144" t="s">
        <v>7696</v>
      </c>
      <c r="O147" s="36">
        <v>32</v>
      </c>
      <c r="P147" s="36">
        <v>216</v>
      </c>
      <c r="Q147" s="103"/>
      <c r="R147" s="160"/>
      <c r="S147" s="160"/>
      <c r="T147" s="160"/>
      <c r="U147" s="104"/>
      <c r="V147" s="36">
        <f t="shared" ref="V147:V149" si="105">G86</f>
        <v>2</v>
      </c>
      <c r="W147" s="103"/>
      <c r="X147" s="160"/>
      <c r="Y147" s="104"/>
      <c r="Z147" s="52" t="str">
        <f t="shared" si="103"/>
        <v/>
      </c>
      <c r="AA147" s="109" t="str">
        <f t="shared" si="103"/>
        <v/>
      </c>
      <c r="AB147" s="166"/>
      <c r="AC147" s="144" t="e">
        <f>VLOOKUP($M:$M,Data!$I:$J,2,FALSE)</f>
        <v>#N/A</v>
      </c>
      <c r="AD147" s="167"/>
    </row>
    <row r="148" spans="12:30">
      <c r="L148" s="9">
        <f>COUNTA(G87)+L147</f>
        <v>119</v>
      </c>
      <c r="M148" s="31">
        <f t="shared" si="104"/>
        <v>0</v>
      </c>
      <c r="N148" s="144" t="s">
        <v>7696</v>
      </c>
      <c r="O148" s="36">
        <v>32</v>
      </c>
      <c r="P148" s="36">
        <v>216</v>
      </c>
      <c r="Q148" s="103"/>
      <c r="R148" s="160"/>
      <c r="S148" s="160"/>
      <c r="T148" s="160"/>
      <c r="U148" s="104"/>
      <c r="V148" s="36">
        <f t="shared" si="105"/>
        <v>3</v>
      </c>
      <c r="W148" s="103"/>
      <c r="X148" s="160"/>
      <c r="Y148" s="104"/>
      <c r="Z148" s="52" t="str">
        <f t="shared" si="103"/>
        <v/>
      </c>
      <c r="AA148" s="109" t="str">
        <f t="shared" si="103"/>
        <v/>
      </c>
      <c r="AB148" s="166"/>
      <c r="AC148" s="144" t="e">
        <f>VLOOKUP($M:$M,Data!$I:$J,2,FALSE)</f>
        <v>#N/A</v>
      </c>
      <c r="AD148" s="167"/>
    </row>
    <row r="149" ht="15.25" spans="12:30">
      <c r="L149" s="14">
        <f>COUNTA(G88)+L148</f>
        <v>120</v>
      </c>
      <c r="M149" s="83">
        <f t="shared" si="104"/>
        <v>0</v>
      </c>
      <c r="N149" s="145" t="s">
        <v>7696</v>
      </c>
      <c r="O149" s="85">
        <v>32</v>
      </c>
      <c r="P149" s="85">
        <v>216</v>
      </c>
      <c r="Q149" s="105"/>
      <c r="R149" s="161"/>
      <c r="S149" s="161"/>
      <c r="T149" s="161"/>
      <c r="U149" s="106"/>
      <c r="V149" s="85">
        <f t="shared" si="105"/>
        <v>4</v>
      </c>
      <c r="W149" s="105"/>
      <c r="X149" s="161"/>
      <c r="Y149" s="106"/>
      <c r="Z149" s="107" t="str">
        <f t="shared" si="103"/>
        <v/>
      </c>
      <c r="AA149" s="111" t="str">
        <f t="shared" si="103"/>
        <v/>
      </c>
      <c r="AB149" s="168"/>
      <c r="AC149" s="145" t="e">
        <f>VLOOKUP($M:$M,Data!$I:$J,2,FALSE)</f>
        <v>#N/A</v>
      </c>
      <c r="AD149" s="169"/>
    </row>
    <row r="150" spans="12:30">
      <c r="L150" s="6">
        <f>COUNTA(G80)+L149</f>
        <v>121</v>
      </c>
      <c r="M150" s="79" t="str">
        <f>H80</f>
        <v>304794 Christian Andersen</v>
      </c>
      <c r="N150" s="143" t="s">
        <v>7696</v>
      </c>
      <c r="O150" s="81">
        <v>32</v>
      </c>
      <c r="P150" s="81">
        <v>217</v>
      </c>
      <c r="Q150" s="100" t="str">
        <f>_xlfn.IFS(COUNTA(G80:G83)=1,"Single",COUNTA(G80:G83)=2,"Double",COUNTA(G80:G83)=3,"Triple",COUNTA(G80:G83)=4,"Quadre",COUNTA(G80:G83)=0,"Empty")</f>
        <v>Quadre</v>
      </c>
      <c r="R150" s="159"/>
      <c r="S150" s="159"/>
      <c r="T150" s="159"/>
      <c r="U150" s="101"/>
      <c r="V150" s="81">
        <f>G80</f>
        <v>1</v>
      </c>
      <c r="W150" s="100">
        <f>COUNT(G80:G83)</f>
        <v>4</v>
      </c>
      <c r="X150" s="159"/>
      <c r="Y150" s="101"/>
      <c r="Z150" s="102" t="str">
        <f t="shared" ref="Z150:AA153" si="106">IF(I80=0,"",I80)</f>
        <v/>
      </c>
      <c r="AA150" s="108" t="str">
        <f t="shared" si="106"/>
        <v/>
      </c>
      <c r="AB150" s="164"/>
      <c r="AC150" s="143" t="e">
        <f>VLOOKUP($M:$M,Data!$I:$J,2,FALSE)</f>
        <v>#N/A</v>
      </c>
      <c r="AD150" s="165"/>
    </row>
    <row r="151" spans="12:30">
      <c r="L151" s="9">
        <f>COUNTA(G81)+L150</f>
        <v>122</v>
      </c>
      <c r="M151" s="31">
        <f t="shared" ref="M151:M153" si="107">H81</f>
        <v>0</v>
      </c>
      <c r="N151" s="144" t="s">
        <v>7696</v>
      </c>
      <c r="O151" s="36">
        <v>32</v>
      </c>
      <c r="P151" s="36">
        <v>217</v>
      </c>
      <c r="Q151" s="103"/>
      <c r="R151" s="160"/>
      <c r="S151" s="160"/>
      <c r="T151" s="160"/>
      <c r="U151" s="104"/>
      <c r="V151" s="36">
        <f t="shared" ref="V151:V153" si="108">G81</f>
        <v>2</v>
      </c>
      <c r="W151" s="103"/>
      <c r="X151" s="160"/>
      <c r="Y151" s="104"/>
      <c r="Z151" s="52" t="str">
        <f t="shared" si="106"/>
        <v/>
      </c>
      <c r="AA151" s="109" t="str">
        <f t="shared" si="106"/>
        <v/>
      </c>
      <c r="AB151" s="166"/>
      <c r="AC151" s="144" t="e">
        <f>VLOOKUP($M:$M,Data!$I:$J,2,FALSE)</f>
        <v>#N/A</v>
      </c>
      <c r="AD151" s="167"/>
    </row>
    <row r="152" spans="12:30">
      <c r="L152" s="9">
        <f>COUNTA(G82)+L151</f>
        <v>123</v>
      </c>
      <c r="M152" s="31">
        <f t="shared" si="107"/>
        <v>0</v>
      </c>
      <c r="N152" s="144" t="s">
        <v>7696</v>
      </c>
      <c r="O152" s="36">
        <v>32</v>
      </c>
      <c r="P152" s="36">
        <v>217</v>
      </c>
      <c r="Q152" s="103"/>
      <c r="R152" s="160"/>
      <c r="S152" s="160"/>
      <c r="T152" s="160"/>
      <c r="U152" s="104"/>
      <c r="V152" s="36">
        <f t="shared" si="108"/>
        <v>3</v>
      </c>
      <c r="W152" s="103"/>
      <c r="X152" s="160"/>
      <c r="Y152" s="104"/>
      <c r="Z152" s="52" t="str">
        <f t="shared" si="106"/>
        <v/>
      </c>
      <c r="AA152" s="109" t="str">
        <f t="shared" si="106"/>
        <v/>
      </c>
      <c r="AB152" s="166"/>
      <c r="AC152" s="144" t="e">
        <f>VLOOKUP($M:$M,Data!$I:$J,2,FALSE)</f>
        <v>#N/A</v>
      </c>
      <c r="AD152" s="167"/>
    </row>
    <row r="153" ht="15.25" spans="12:30">
      <c r="L153" s="14">
        <f>COUNTA(G83)+L152</f>
        <v>124</v>
      </c>
      <c r="M153" s="83">
        <f t="shared" si="107"/>
        <v>0</v>
      </c>
      <c r="N153" s="145" t="s">
        <v>7696</v>
      </c>
      <c r="O153" s="85">
        <v>32</v>
      </c>
      <c r="P153" s="85">
        <v>217</v>
      </c>
      <c r="Q153" s="105"/>
      <c r="R153" s="161"/>
      <c r="S153" s="161"/>
      <c r="T153" s="161"/>
      <c r="U153" s="106"/>
      <c r="V153" s="85">
        <f t="shared" si="108"/>
        <v>4</v>
      </c>
      <c r="W153" s="105"/>
      <c r="X153" s="161"/>
      <c r="Y153" s="106"/>
      <c r="Z153" s="107" t="str">
        <f t="shared" si="106"/>
        <v/>
      </c>
      <c r="AA153" s="111" t="str">
        <f t="shared" si="106"/>
        <v/>
      </c>
      <c r="AB153" s="168"/>
      <c r="AC153" s="145" t="e">
        <f>VLOOKUP($M:$M,Data!$I:$J,2,FALSE)</f>
        <v>#N/A</v>
      </c>
      <c r="AD153" s="169"/>
    </row>
    <row r="154" spans="12:30">
      <c r="L154" s="6">
        <f>COUNTA(G75)+L153</f>
        <v>125</v>
      </c>
      <c r="M154" s="79" t="str">
        <f>H75</f>
        <v>225018 Anders Tagge</v>
      </c>
      <c r="N154" s="143" t="s">
        <v>7696</v>
      </c>
      <c r="O154" s="81">
        <v>32</v>
      </c>
      <c r="P154" s="81">
        <v>218</v>
      </c>
      <c r="Q154" s="100" t="str">
        <f>_xlfn.IFS(COUNTA(G75:G78)=1,"Single",COUNTA(G75:G78)=2,"Double",COUNTA(G75:G78)=3,"Triple",COUNTA(G75:G78)=4,"Quadre",COUNTA(G75:G78)=0,"Empty")</f>
        <v>Quadre</v>
      </c>
      <c r="R154" s="159"/>
      <c r="S154" s="159"/>
      <c r="T154" s="159"/>
      <c r="U154" s="101"/>
      <c r="V154" s="81">
        <f>G75</f>
        <v>1</v>
      </c>
      <c r="W154" s="100">
        <f>COUNT(G75:G78)</f>
        <v>4</v>
      </c>
      <c r="X154" s="159"/>
      <c r="Y154" s="101"/>
      <c r="Z154" s="102" t="str">
        <f t="shared" ref="Z154:AA157" si="109">IF(I75=0,"",I75)</f>
        <v/>
      </c>
      <c r="AA154" s="108" t="str">
        <f t="shared" si="109"/>
        <v/>
      </c>
      <c r="AB154" s="164"/>
      <c r="AC154" s="143" t="e">
        <f>VLOOKUP($M:$M,Data!$I:$J,2,FALSE)</f>
        <v>#N/A</v>
      </c>
      <c r="AD154" s="165"/>
    </row>
    <row r="155" spans="12:30">
      <c r="L155" s="9">
        <f>COUNTA(G76)+L154</f>
        <v>126</v>
      </c>
      <c r="M155" s="31">
        <f t="shared" ref="M155:M157" si="110">H76</f>
        <v>0</v>
      </c>
      <c r="N155" s="144" t="s">
        <v>7696</v>
      </c>
      <c r="O155" s="36">
        <v>32</v>
      </c>
      <c r="P155" s="36">
        <v>218</v>
      </c>
      <c r="Q155" s="103"/>
      <c r="R155" s="160"/>
      <c r="S155" s="160"/>
      <c r="T155" s="160"/>
      <c r="U155" s="104"/>
      <c r="V155" s="36">
        <f t="shared" ref="V155:V157" si="111">G76</f>
        <v>2</v>
      </c>
      <c r="W155" s="103"/>
      <c r="X155" s="160"/>
      <c r="Y155" s="104"/>
      <c r="Z155" s="52" t="str">
        <f t="shared" si="109"/>
        <v/>
      </c>
      <c r="AA155" s="109" t="str">
        <f t="shared" si="109"/>
        <v/>
      </c>
      <c r="AB155" s="166"/>
      <c r="AC155" s="144" t="e">
        <f>VLOOKUP($M:$M,Data!$I:$J,2,FALSE)</f>
        <v>#N/A</v>
      </c>
      <c r="AD155" s="167"/>
    </row>
    <row r="156" spans="12:30">
      <c r="L156" s="9">
        <f>COUNTA(G77)+L155</f>
        <v>127</v>
      </c>
      <c r="M156" s="31">
        <f t="shared" si="110"/>
        <v>0</v>
      </c>
      <c r="N156" s="144" t="s">
        <v>7696</v>
      </c>
      <c r="O156" s="36">
        <v>32</v>
      </c>
      <c r="P156" s="36">
        <v>218</v>
      </c>
      <c r="Q156" s="103"/>
      <c r="R156" s="160"/>
      <c r="S156" s="160"/>
      <c r="T156" s="160"/>
      <c r="U156" s="104"/>
      <c r="V156" s="36">
        <f t="shared" si="111"/>
        <v>3</v>
      </c>
      <c r="W156" s="103"/>
      <c r="X156" s="160"/>
      <c r="Y156" s="104"/>
      <c r="Z156" s="52" t="str">
        <f t="shared" si="109"/>
        <v/>
      </c>
      <c r="AA156" s="109" t="str">
        <f t="shared" si="109"/>
        <v/>
      </c>
      <c r="AB156" s="166"/>
      <c r="AC156" s="144" t="e">
        <f>VLOOKUP($M:$M,Data!$I:$J,2,FALSE)</f>
        <v>#N/A</v>
      </c>
      <c r="AD156" s="167"/>
    </row>
    <row r="157" ht="15.25" spans="12:30">
      <c r="L157" s="14">
        <f>COUNTA(G78)+L156</f>
        <v>128</v>
      </c>
      <c r="M157" s="83">
        <f t="shared" si="110"/>
        <v>0</v>
      </c>
      <c r="N157" s="145" t="s">
        <v>7696</v>
      </c>
      <c r="O157" s="85">
        <v>32</v>
      </c>
      <c r="P157" s="85">
        <v>218</v>
      </c>
      <c r="Q157" s="105"/>
      <c r="R157" s="161"/>
      <c r="S157" s="161"/>
      <c r="T157" s="161"/>
      <c r="U157" s="106"/>
      <c r="V157" s="85">
        <f t="shared" si="111"/>
        <v>4</v>
      </c>
      <c r="W157" s="105"/>
      <c r="X157" s="161"/>
      <c r="Y157" s="106"/>
      <c r="Z157" s="107" t="str">
        <f t="shared" si="109"/>
        <v/>
      </c>
      <c r="AA157" s="111" t="str">
        <f t="shared" si="109"/>
        <v/>
      </c>
      <c r="AB157" s="168"/>
      <c r="AC157" s="145" t="e">
        <f>VLOOKUP($M:$M,Data!$I:$J,2,FALSE)</f>
        <v>#N/A</v>
      </c>
      <c r="AD157" s="169"/>
    </row>
    <row r="158" spans="12:30">
      <c r="L158" s="6">
        <f>COUNTA(G70)+L157</f>
        <v>128</v>
      </c>
      <c r="M158" s="79">
        <f>H70</f>
        <v>0</v>
      </c>
      <c r="N158" s="143" t="s">
        <v>7696</v>
      </c>
      <c r="O158" s="81">
        <v>32</v>
      </c>
      <c r="P158" s="81">
        <v>219</v>
      </c>
      <c r="Q158" s="100" t="str">
        <f>_xlfn.IFS(COUNTA(G70:G73)=1,"Single",COUNTA(G70:G73)=2,"Double",COUNTA(G70:G73)=3,"Triple",COUNTA(G70:G73)=4,"Quadre",COUNTA(G70:G73)=0,"Empty")</f>
        <v>Single</v>
      </c>
      <c r="R158" s="159"/>
      <c r="S158" s="159"/>
      <c r="T158" s="159"/>
      <c r="U158" s="101"/>
      <c r="V158" s="81">
        <f>G70</f>
        <v>0</v>
      </c>
      <c r="W158" s="100">
        <f>COUNT(G70:G73)</f>
        <v>1</v>
      </c>
      <c r="X158" s="159"/>
      <c r="Y158" s="101"/>
      <c r="Z158" s="102" t="str">
        <f t="shared" ref="Z158:AA161" si="112">IF(I70=0,"",I70)</f>
        <v/>
      </c>
      <c r="AA158" s="108" t="str">
        <f t="shared" si="112"/>
        <v/>
      </c>
      <c r="AB158" s="164"/>
      <c r="AC158" s="143" t="e">
        <f>VLOOKUP($M:$M,Data!$I:$J,2,FALSE)</f>
        <v>#N/A</v>
      </c>
      <c r="AD158" s="165"/>
    </row>
    <row r="159" spans="12:30">
      <c r="L159" s="9">
        <f>COUNTA(G71)+L158</f>
        <v>128</v>
      </c>
      <c r="M159" s="31">
        <f t="shared" ref="M159:M161" si="113">H71</f>
        <v>0</v>
      </c>
      <c r="N159" s="144" t="s">
        <v>7696</v>
      </c>
      <c r="O159" s="36">
        <v>32</v>
      </c>
      <c r="P159" s="36">
        <v>219</v>
      </c>
      <c r="Q159" s="103"/>
      <c r="R159" s="160"/>
      <c r="S159" s="160"/>
      <c r="T159" s="160"/>
      <c r="U159" s="104"/>
      <c r="V159" s="36">
        <f t="shared" ref="V159:V161" si="114">G71</f>
        <v>0</v>
      </c>
      <c r="W159" s="103"/>
      <c r="X159" s="160"/>
      <c r="Y159" s="104"/>
      <c r="Z159" s="52" t="str">
        <f t="shared" si="112"/>
        <v/>
      </c>
      <c r="AA159" s="109" t="str">
        <f t="shared" si="112"/>
        <v/>
      </c>
      <c r="AB159" s="166"/>
      <c r="AC159" s="144" t="e">
        <f>VLOOKUP($M:$M,Data!$I:$J,2,FALSE)</f>
        <v>#N/A</v>
      </c>
      <c r="AD159" s="167"/>
    </row>
    <row r="160" spans="12:30">
      <c r="L160" s="9">
        <f>COUNTA(G72)+L159</f>
        <v>129</v>
      </c>
      <c r="M160" s="31">
        <f t="shared" si="113"/>
        <v>0</v>
      </c>
      <c r="N160" s="144" t="s">
        <v>7696</v>
      </c>
      <c r="O160" s="36">
        <v>32</v>
      </c>
      <c r="P160" s="36">
        <v>219</v>
      </c>
      <c r="Q160" s="103"/>
      <c r="R160" s="160"/>
      <c r="S160" s="160"/>
      <c r="T160" s="160"/>
      <c r="U160" s="104"/>
      <c r="V160" s="36">
        <f t="shared" si="114"/>
        <v>3</v>
      </c>
      <c r="W160" s="103"/>
      <c r="X160" s="160"/>
      <c r="Y160" s="104"/>
      <c r="Z160" s="52" t="str">
        <f t="shared" si="112"/>
        <v/>
      </c>
      <c r="AA160" s="109" t="str">
        <f t="shared" si="112"/>
        <v/>
      </c>
      <c r="AB160" s="166"/>
      <c r="AC160" s="144" t="e">
        <f>VLOOKUP($M:$M,Data!$I:$J,2,FALSE)</f>
        <v>#N/A</v>
      </c>
      <c r="AD160" s="167"/>
    </row>
    <row r="161" ht="15.25" spans="12:30">
      <c r="L161" s="14">
        <f>COUNTA(G73)+L160</f>
        <v>129</v>
      </c>
      <c r="M161" s="83" t="e">
        <f t="shared" si="113"/>
        <v>#N/A</v>
      </c>
      <c r="N161" s="145" t="s">
        <v>7696</v>
      </c>
      <c r="O161" s="85">
        <v>32</v>
      </c>
      <c r="P161" s="85">
        <v>219</v>
      </c>
      <c r="Q161" s="105"/>
      <c r="R161" s="161"/>
      <c r="S161" s="161"/>
      <c r="T161" s="161"/>
      <c r="U161" s="106"/>
      <c r="V161" s="85">
        <f t="shared" si="114"/>
        <v>0</v>
      </c>
      <c r="W161" s="105"/>
      <c r="X161" s="161"/>
      <c r="Y161" s="106"/>
      <c r="Z161" s="107" t="str">
        <f t="shared" si="112"/>
        <v/>
      </c>
      <c r="AA161" s="111" t="str">
        <f t="shared" si="112"/>
        <v/>
      </c>
      <c r="AB161" s="168"/>
      <c r="AC161" s="145" t="e">
        <f>VLOOKUP($M:$M,Data!$I:$J,2,FALSE)</f>
        <v>#N/A</v>
      </c>
      <c r="AD161" s="169"/>
    </row>
    <row r="162" spans="12:30">
      <c r="L162" s="6">
        <f>COUNTA(G65)+L161</f>
        <v>130</v>
      </c>
      <c r="M162" s="79">
        <f>H65</f>
        <v>0</v>
      </c>
      <c r="N162" s="143" t="s">
        <v>7696</v>
      </c>
      <c r="O162" s="81">
        <v>32</v>
      </c>
      <c r="P162" s="81">
        <v>220</v>
      </c>
      <c r="Q162" s="100" t="str">
        <f>_xlfn.IFS(COUNTA(G65:G68)=1,"Single",COUNTA(G65:G68)=2,"Double",COUNTA(G65:G68)=3,"Triple",COUNTA(G65:G68)=4,"Quadre",COUNTA(G65:G68)=0,"Empty")</f>
        <v>Single</v>
      </c>
      <c r="R162" s="159"/>
      <c r="S162" s="159"/>
      <c r="T162" s="159"/>
      <c r="U162" s="101"/>
      <c r="V162" s="81">
        <f>G65</f>
        <v>1</v>
      </c>
      <c r="W162" s="100">
        <f>COUNT(G65:G68)</f>
        <v>1</v>
      </c>
      <c r="X162" s="159"/>
      <c r="Y162" s="101"/>
      <c r="Z162" s="102" t="str">
        <f t="shared" ref="Z162:AA165" si="115">IF(I65=0,"",I65)</f>
        <v/>
      </c>
      <c r="AA162" s="108" t="str">
        <f t="shared" si="115"/>
        <v/>
      </c>
      <c r="AB162" s="164"/>
      <c r="AC162" s="143" t="e">
        <f>VLOOKUP($M:$M,Data!$I:$J,2,FALSE)</f>
        <v>#N/A</v>
      </c>
      <c r="AD162" s="165"/>
    </row>
    <row r="163" spans="12:30">
      <c r="L163" s="9">
        <f>COUNTA(G66)+L162</f>
        <v>130</v>
      </c>
      <c r="M163" s="31">
        <f t="shared" ref="M163:M165" si="116">H66</f>
        <v>0</v>
      </c>
      <c r="N163" s="144" t="s">
        <v>7696</v>
      </c>
      <c r="O163" s="36">
        <v>32</v>
      </c>
      <c r="P163" s="36">
        <v>220</v>
      </c>
      <c r="Q163" s="103"/>
      <c r="R163" s="160"/>
      <c r="S163" s="160"/>
      <c r="T163" s="160"/>
      <c r="U163" s="104"/>
      <c r="V163" s="36">
        <f t="shared" ref="V163:V165" si="117">G66</f>
        <v>0</v>
      </c>
      <c r="W163" s="103"/>
      <c r="X163" s="160"/>
      <c r="Y163" s="104"/>
      <c r="Z163" s="52" t="str">
        <f t="shared" si="115"/>
        <v/>
      </c>
      <c r="AA163" s="109" t="str">
        <f t="shared" si="115"/>
        <v/>
      </c>
      <c r="AB163" s="166"/>
      <c r="AC163" s="144" t="e">
        <f>VLOOKUP($M:$M,Data!$I:$J,2,FALSE)</f>
        <v>#N/A</v>
      </c>
      <c r="AD163" s="167"/>
    </row>
    <row r="164" spans="12:30">
      <c r="L164" s="9">
        <f>COUNTA(G67)+L163</f>
        <v>130</v>
      </c>
      <c r="M164" s="31">
        <f t="shared" si="116"/>
        <v>0</v>
      </c>
      <c r="N164" s="144" t="s">
        <v>7696</v>
      </c>
      <c r="O164" s="36">
        <v>32</v>
      </c>
      <c r="P164" s="36">
        <v>220</v>
      </c>
      <c r="Q164" s="103"/>
      <c r="R164" s="160"/>
      <c r="S164" s="160"/>
      <c r="T164" s="160"/>
      <c r="U164" s="104"/>
      <c r="V164" s="36">
        <f t="shared" si="117"/>
        <v>0</v>
      </c>
      <c r="W164" s="103"/>
      <c r="X164" s="160"/>
      <c r="Y164" s="104"/>
      <c r="Z164" s="52" t="str">
        <f t="shared" si="115"/>
        <v/>
      </c>
      <c r="AA164" s="109" t="str">
        <f t="shared" si="115"/>
        <v/>
      </c>
      <c r="AB164" s="166"/>
      <c r="AC164" s="144" t="e">
        <f>VLOOKUP($M:$M,Data!$I:$J,2,FALSE)</f>
        <v>#N/A</v>
      </c>
      <c r="AD164" s="167"/>
    </row>
    <row r="165" ht="15.25" spans="12:30">
      <c r="L165" s="14">
        <f>COUNTA(G68)+L164</f>
        <v>130</v>
      </c>
      <c r="M165" s="83" t="e">
        <f t="shared" si="116"/>
        <v>#N/A</v>
      </c>
      <c r="N165" s="145" t="s">
        <v>7696</v>
      </c>
      <c r="O165" s="85">
        <v>32</v>
      </c>
      <c r="P165" s="85">
        <v>220</v>
      </c>
      <c r="Q165" s="105"/>
      <c r="R165" s="161"/>
      <c r="S165" s="161"/>
      <c r="T165" s="161"/>
      <c r="U165" s="106"/>
      <c r="V165" s="85">
        <f t="shared" si="117"/>
        <v>0</v>
      </c>
      <c r="W165" s="105"/>
      <c r="X165" s="161"/>
      <c r="Y165" s="106"/>
      <c r="Z165" s="107" t="str">
        <f t="shared" si="115"/>
        <v/>
      </c>
      <c r="AA165" s="111" t="str">
        <f t="shared" si="115"/>
        <v/>
      </c>
      <c r="AB165" s="168"/>
      <c r="AC165" s="145" t="e">
        <f>VLOOKUP($M:$M,Data!$I:$J,2,FALSE)</f>
        <v>#N/A</v>
      </c>
      <c r="AD165" s="169"/>
    </row>
  </sheetData>
  <mergeCells count="132">
    <mergeCell ref="P2:U2"/>
    <mergeCell ref="V2:Y2"/>
    <mergeCell ref="Z2:AA2"/>
    <mergeCell ref="C4:I4"/>
    <mergeCell ref="W5:X5"/>
    <mergeCell ref="B6:C6"/>
    <mergeCell ref="G6:H6"/>
    <mergeCell ref="B11:C11"/>
    <mergeCell ref="G11:H11"/>
    <mergeCell ref="B16:C16"/>
    <mergeCell ref="G16:H16"/>
    <mergeCell ref="B21:C21"/>
    <mergeCell ref="G21:H21"/>
    <mergeCell ref="B26:C26"/>
    <mergeCell ref="G26:H26"/>
    <mergeCell ref="B31:C31"/>
    <mergeCell ref="B36:C36"/>
    <mergeCell ref="B41:C41"/>
    <mergeCell ref="G41:H41"/>
    <mergeCell ref="B46:C46"/>
    <mergeCell ref="G46:H46"/>
    <mergeCell ref="B51:C51"/>
    <mergeCell ref="G51:H51"/>
    <mergeCell ref="B56:C56"/>
    <mergeCell ref="G56:H56"/>
    <mergeCell ref="C62:I62"/>
    <mergeCell ref="B64:C64"/>
    <mergeCell ref="G64:H64"/>
    <mergeCell ref="B69:C69"/>
    <mergeCell ref="G69:H69"/>
    <mergeCell ref="B74:C74"/>
    <mergeCell ref="G74:H74"/>
    <mergeCell ref="B79:C79"/>
    <mergeCell ref="G79:H79"/>
    <mergeCell ref="B84:C84"/>
    <mergeCell ref="G84:H84"/>
    <mergeCell ref="B89:C89"/>
    <mergeCell ref="B94:C94"/>
    <mergeCell ref="B99:C99"/>
    <mergeCell ref="G99:H99"/>
    <mergeCell ref="B104:C104"/>
    <mergeCell ref="G104:H104"/>
    <mergeCell ref="B109:C109"/>
    <mergeCell ref="G109:H109"/>
    <mergeCell ref="B114:C114"/>
    <mergeCell ref="G114:H114"/>
    <mergeCell ref="L2:L3"/>
    <mergeCell ref="M2:M3"/>
    <mergeCell ref="N2:N3"/>
    <mergeCell ref="O2:O3"/>
    <mergeCell ref="G31:J40"/>
    <mergeCell ref="Q154:U157"/>
    <mergeCell ref="W154:Y157"/>
    <mergeCell ref="Q158:U161"/>
    <mergeCell ref="W158:Y161"/>
    <mergeCell ref="Q162:U165"/>
    <mergeCell ref="W162:Y165"/>
    <mergeCell ref="Q142:U145"/>
    <mergeCell ref="W142:Y145"/>
    <mergeCell ref="Q146:U149"/>
    <mergeCell ref="W146:Y149"/>
    <mergeCell ref="Q150:U153"/>
    <mergeCell ref="W150:Y153"/>
    <mergeCell ref="Q130:U133"/>
    <mergeCell ref="W130:Y133"/>
    <mergeCell ref="Q134:U137"/>
    <mergeCell ref="W134:Y137"/>
    <mergeCell ref="Q138:U141"/>
    <mergeCell ref="W138:Y141"/>
    <mergeCell ref="Q118:U121"/>
    <mergeCell ref="W118:Y121"/>
    <mergeCell ref="Q122:U125"/>
    <mergeCell ref="W122:Y125"/>
    <mergeCell ref="Q126:U129"/>
    <mergeCell ref="W126:Y129"/>
    <mergeCell ref="Q106:U109"/>
    <mergeCell ref="W106:Y109"/>
    <mergeCell ref="Q110:U113"/>
    <mergeCell ref="W110:Y113"/>
    <mergeCell ref="Q114:U117"/>
    <mergeCell ref="W114:Y117"/>
    <mergeCell ref="Q94:U97"/>
    <mergeCell ref="W94:Y97"/>
    <mergeCell ref="Q98:U101"/>
    <mergeCell ref="W98:Y101"/>
    <mergeCell ref="Q102:U105"/>
    <mergeCell ref="W102:Y105"/>
    <mergeCell ref="Q82:U85"/>
    <mergeCell ref="W82:Y85"/>
    <mergeCell ref="Q86:U89"/>
    <mergeCell ref="W86:Y89"/>
    <mergeCell ref="Q90:U93"/>
    <mergeCell ref="W90:Y93"/>
    <mergeCell ref="Q70:U73"/>
    <mergeCell ref="W70:Y73"/>
    <mergeCell ref="Q74:U77"/>
    <mergeCell ref="W74:Y77"/>
    <mergeCell ref="Q78:U81"/>
    <mergeCell ref="W78:Y81"/>
    <mergeCell ref="Q58:U61"/>
    <mergeCell ref="W58:Y61"/>
    <mergeCell ref="Q62:U65"/>
    <mergeCell ref="W62:Y65"/>
    <mergeCell ref="Q66:U69"/>
    <mergeCell ref="W66:Y69"/>
    <mergeCell ref="Q46:U49"/>
    <mergeCell ref="W46:Y49"/>
    <mergeCell ref="Q50:U53"/>
    <mergeCell ref="W50:Y53"/>
    <mergeCell ref="Q54:U57"/>
    <mergeCell ref="W54:Y57"/>
    <mergeCell ref="Q34:U37"/>
    <mergeCell ref="W34:Y37"/>
    <mergeCell ref="Q38:U41"/>
    <mergeCell ref="W38:Y41"/>
    <mergeCell ref="Q42:U45"/>
    <mergeCell ref="W42:Y45"/>
    <mergeCell ref="Q22:U25"/>
    <mergeCell ref="W22:Y25"/>
    <mergeCell ref="Q26:U29"/>
    <mergeCell ref="W26:Y29"/>
    <mergeCell ref="Q30:U33"/>
    <mergeCell ref="W30:Y33"/>
    <mergeCell ref="Q14:U17"/>
    <mergeCell ref="W14:Y17"/>
    <mergeCell ref="Q18:U21"/>
    <mergeCell ref="W18:Y21"/>
    <mergeCell ref="Q6:U9"/>
    <mergeCell ref="Q10:U13"/>
    <mergeCell ref="W6:Y9"/>
    <mergeCell ref="W10:Y13"/>
    <mergeCell ref="G89:J98"/>
  </mergeCells>
  <conditionalFormatting sqref="L6">
    <cfRule type="cellIs" dxfId="12" priority="18" operator="equal">
      <formula>0</formula>
    </cfRule>
  </conditionalFormatting>
  <conditionalFormatting sqref="B12:B15">
    <cfRule type="cellIs" dxfId="27" priority="567" operator="notEqual">
      <formula>0</formula>
    </cfRule>
    <cfRule type="expression" dxfId="28" priority="568">
      <formula>COUNTA(C12)&lt;&gt;0</formula>
    </cfRule>
  </conditionalFormatting>
  <conditionalFormatting sqref="B17:B20">
    <cfRule type="cellIs" dxfId="27" priority="515" operator="notEqual">
      <formula>0</formula>
    </cfRule>
    <cfRule type="expression" dxfId="28" priority="516">
      <formula>COUNTA(C17)&lt;&gt;0</formula>
    </cfRule>
  </conditionalFormatting>
  <conditionalFormatting sqref="B22:B25">
    <cfRule type="cellIs" dxfId="27" priority="476" operator="notEqual">
      <formula>0</formula>
    </cfRule>
    <cfRule type="expression" dxfId="28" priority="477">
      <formula>COUNTA(C22)&lt;&gt;0</formula>
    </cfRule>
  </conditionalFormatting>
  <conditionalFormatting sqref="B27:B30">
    <cfRule type="cellIs" dxfId="27" priority="463" operator="notEqual">
      <formula>0</formula>
    </cfRule>
    <cfRule type="expression" dxfId="28" priority="464">
      <formula>COUNTA(C27)&lt;&gt;0</formula>
    </cfRule>
  </conditionalFormatting>
  <conditionalFormatting sqref="B32:B35">
    <cfRule type="cellIs" dxfId="27" priority="450" operator="notEqual">
      <formula>0</formula>
    </cfRule>
    <cfRule type="expression" dxfId="28" priority="451">
      <formula>COUNTA(C32)&lt;&gt;0</formula>
    </cfRule>
  </conditionalFormatting>
  <conditionalFormatting sqref="B37:B40">
    <cfRule type="cellIs" dxfId="27" priority="437" operator="notEqual">
      <formula>0</formula>
    </cfRule>
    <cfRule type="expression" dxfId="28" priority="438">
      <formula>COUNTA(C37)&lt;&gt;0</formula>
    </cfRule>
  </conditionalFormatting>
  <conditionalFormatting sqref="B42:B45">
    <cfRule type="cellIs" dxfId="27" priority="424" operator="notEqual">
      <formula>0</formula>
    </cfRule>
    <cfRule type="expression" dxfId="28" priority="425">
      <formula>COUNTA(C42)&lt;&gt;0</formula>
    </cfRule>
  </conditionalFormatting>
  <conditionalFormatting sqref="B47:B50">
    <cfRule type="cellIs" dxfId="27" priority="398" operator="notEqual">
      <formula>0</formula>
    </cfRule>
    <cfRule type="expression" dxfId="28" priority="399">
      <formula>COUNTA(C47)&lt;&gt;0</formula>
    </cfRule>
  </conditionalFormatting>
  <conditionalFormatting sqref="B52:B55">
    <cfRule type="cellIs" dxfId="27" priority="385" operator="notEqual">
      <formula>0</formula>
    </cfRule>
    <cfRule type="expression" dxfId="28" priority="386">
      <formula>COUNTA(C52)&lt;&gt;0</formula>
    </cfRule>
  </conditionalFormatting>
  <conditionalFormatting sqref="B57:B60">
    <cfRule type="cellIs" dxfId="27" priority="372" operator="notEqual">
      <formula>0</formula>
    </cfRule>
    <cfRule type="expression" dxfId="28" priority="373">
      <formula>COUNTA(C57)&lt;&gt;0</formula>
    </cfRule>
  </conditionalFormatting>
  <conditionalFormatting sqref="B65:B68">
    <cfRule type="cellIs" dxfId="27" priority="320" operator="notEqual">
      <formula>0</formula>
    </cfRule>
    <cfRule type="expression" dxfId="28" priority="321">
      <formula>COUNTA(C65)&lt;&gt;0</formula>
    </cfRule>
  </conditionalFormatting>
  <conditionalFormatting sqref="B70:B73">
    <cfRule type="cellIs" dxfId="27" priority="294" operator="notEqual">
      <formula>0</formula>
    </cfRule>
    <cfRule type="expression" dxfId="28" priority="295">
      <formula>COUNTA(C70)&lt;&gt;0</formula>
    </cfRule>
  </conditionalFormatting>
  <conditionalFormatting sqref="B75:B78">
    <cfRule type="cellIs" dxfId="27" priority="268" operator="notEqual">
      <formula>0</formula>
    </cfRule>
    <cfRule type="expression" dxfId="28" priority="269">
      <formula>COUNTA(C75)&lt;&gt;0</formula>
    </cfRule>
  </conditionalFormatting>
  <conditionalFormatting sqref="B80:B83">
    <cfRule type="cellIs" dxfId="27" priority="242" operator="notEqual">
      <formula>0</formula>
    </cfRule>
    <cfRule type="expression" dxfId="28" priority="243">
      <formula>COUNTA(C80)&lt;&gt;0</formula>
    </cfRule>
  </conditionalFormatting>
  <conditionalFormatting sqref="B85:B88">
    <cfRule type="cellIs" dxfId="27" priority="203" operator="notEqual">
      <formula>0</formula>
    </cfRule>
    <cfRule type="expression" dxfId="28" priority="204">
      <formula>COUNTA(C85)&lt;&gt;0</formula>
    </cfRule>
  </conditionalFormatting>
  <conditionalFormatting sqref="B90:B93">
    <cfRule type="cellIs" dxfId="27" priority="190" operator="notEqual">
      <formula>0</formula>
    </cfRule>
    <cfRule type="expression" dxfId="28" priority="191">
      <formula>COUNTA(C90)&lt;&gt;0</formula>
    </cfRule>
  </conditionalFormatting>
  <conditionalFormatting sqref="B95:B98">
    <cfRule type="cellIs" dxfId="27" priority="177" operator="notEqual">
      <formula>0</formula>
    </cfRule>
    <cfRule type="expression" dxfId="28" priority="178">
      <formula>COUNTA(C95)&lt;&gt;0</formula>
    </cfRule>
  </conditionalFormatting>
  <conditionalFormatting sqref="B100:B103">
    <cfRule type="cellIs" dxfId="27" priority="164" operator="notEqual">
      <formula>0</formula>
    </cfRule>
    <cfRule type="expression" dxfId="28" priority="165">
      <formula>COUNTA(C100)&lt;&gt;0</formula>
    </cfRule>
  </conditionalFormatting>
  <conditionalFormatting sqref="B105:B108">
    <cfRule type="cellIs" dxfId="27" priority="138" operator="notEqual">
      <formula>0</formula>
    </cfRule>
    <cfRule type="expression" dxfId="28" priority="139">
      <formula>COUNTA(C105)&lt;&gt;0</formula>
    </cfRule>
  </conditionalFormatting>
  <conditionalFormatting sqref="B110:B113">
    <cfRule type="cellIs" dxfId="27" priority="112" operator="notEqual">
      <formula>0</formula>
    </cfRule>
    <cfRule type="expression" dxfId="28" priority="113">
      <formula>COUNTA(C110)&lt;&gt;0</formula>
    </cfRule>
  </conditionalFormatting>
  <conditionalFormatting sqref="B115:B118">
    <cfRule type="cellIs" dxfId="27" priority="86" operator="notEqual">
      <formula>0</formula>
    </cfRule>
    <cfRule type="expression" dxfId="28" priority="87">
      <formula>COUNTA(C115)&lt;&gt;0</formula>
    </cfRule>
  </conditionalFormatting>
  <conditionalFormatting sqref="C12:C15">
    <cfRule type="cellIs" dxfId="2" priority="569" operator="notEqual">
      <formula>0</formula>
    </cfRule>
  </conditionalFormatting>
  <conditionalFormatting sqref="C17:C20">
    <cfRule type="cellIs" dxfId="2" priority="517" operator="notEqual">
      <formula>0</formula>
    </cfRule>
  </conditionalFormatting>
  <conditionalFormatting sqref="C22:C25">
    <cfRule type="cellIs" dxfId="2" priority="478" operator="notEqual">
      <formula>0</formula>
    </cfRule>
  </conditionalFormatting>
  <conditionalFormatting sqref="C27:C30">
    <cfRule type="cellIs" dxfId="2" priority="465" operator="notEqual">
      <formula>0</formula>
    </cfRule>
  </conditionalFormatting>
  <conditionalFormatting sqref="C32:C35">
    <cfRule type="cellIs" dxfId="2" priority="452" operator="notEqual">
      <formula>0</formula>
    </cfRule>
  </conditionalFormatting>
  <conditionalFormatting sqref="C37:C40">
    <cfRule type="cellIs" dxfId="2" priority="439" operator="notEqual">
      <formula>0</formula>
    </cfRule>
  </conditionalFormatting>
  <conditionalFormatting sqref="C42:C45">
    <cfRule type="cellIs" dxfId="2" priority="426" operator="notEqual">
      <formula>0</formula>
    </cfRule>
  </conditionalFormatting>
  <conditionalFormatting sqref="C47:C50">
    <cfRule type="cellIs" dxfId="2" priority="400" operator="notEqual">
      <formula>0</formula>
    </cfRule>
  </conditionalFormatting>
  <conditionalFormatting sqref="C52:C55">
    <cfRule type="cellIs" dxfId="2" priority="387" operator="notEqual">
      <formula>0</formula>
    </cfRule>
  </conditionalFormatting>
  <conditionalFormatting sqref="C57:C60">
    <cfRule type="cellIs" dxfId="2" priority="374" operator="notEqual">
      <formula>0</formula>
    </cfRule>
  </conditionalFormatting>
  <conditionalFormatting sqref="C65:C68">
    <cfRule type="cellIs" dxfId="2" priority="322" operator="notEqual">
      <formula>0</formula>
    </cfRule>
  </conditionalFormatting>
  <conditionalFormatting sqref="C70:C73">
    <cfRule type="cellIs" dxfId="2" priority="296" operator="notEqual">
      <formula>0</formula>
    </cfRule>
  </conditionalFormatting>
  <conditionalFormatting sqref="C75:C78">
    <cfRule type="cellIs" dxfId="2" priority="270" operator="notEqual">
      <formula>0</formula>
    </cfRule>
  </conditionalFormatting>
  <conditionalFormatting sqref="C80:C83">
    <cfRule type="cellIs" dxfId="2" priority="244" operator="notEqual">
      <formula>0</formula>
    </cfRule>
  </conditionalFormatting>
  <conditionalFormatting sqref="C85:C88">
    <cfRule type="cellIs" dxfId="2" priority="205" operator="notEqual">
      <formula>0</formula>
    </cfRule>
  </conditionalFormatting>
  <conditionalFormatting sqref="C90:C93">
    <cfRule type="cellIs" dxfId="2" priority="192" operator="notEqual">
      <formula>0</formula>
    </cfRule>
  </conditionalFormatting>
  <conditionalFormatting sqref="C95:C98">
    <cfRule type="cellIs" dxfId="2" priority="179" operator="notEqual">
      <formula>0</formula>
    </cfRule>
  </conditionalFormatting>
  <conditionalFormatting sqref="C100:C103">
    <cfRule type="cellIs" dxfId="2" priority="166" operator="notEqual">
      <formula>0</formula>
    </cfRule>
  </conditionalFormatting>
  <conditionalFormatting sqref="C105:C108">
    <cfRule type="cellIs" dxfId="2" priority="140" operator="notEqual">
      <formula>0</formula>
    </cfRule>
  </conditionalFormatting>
  <conditionalFormatting sqref="C110:C113">
    <cfRule type="cellIs" dxfId="2" priority="114" operator="notEqual">
      <formula>0</formula>
    </cfRule>
  </conditionalFormatting>
  <conditionalFormatting sqref="C115:C118">
    <cfRule type="cellIs" dxfId="2" priority="88" operator="notEqual">
      <formula>0</formula>
    </cfRule>
  </conditionalFormatting>
  <conditionalFormatting sqref="D12:D15">
    <cfRule type="cellIs" dxfId="22" priority="557" operator="equal">
      <formula>""</formula>
    </cfRule>
    <cfRule type="cellIs" dxfId="22" priority="558" operator="greaterThan">
      <formula>TODAY()</formula>
    </cfRule>
    <cfRule type="expression" dxfId="14" priority="563">
      <formula>AND(D12&lt;TODAY(),E12="")</formula>
    </cfRule>
    <cfRule type="expression" dxfId="13" priority="564">
      <formula>E12&lt;TODAY()</formula>
    </cfRule>
    <cfRule type="expression" dxfId="14" priority="565">
      <formula>D12&lt;TODAY()</formula>
    </cfRule>
  </conditionalFormatting>
  <conditionalFormatting sqref="D17:D20">
    <cfRule type="cellIs" dxfId="22" priority="505" operator="equal">
      <formula>""</formula>
    </cfRule>
    <cfRule type="cellIs" dxfId="22" priority="506" operator="greaterThan">
      <formula>TODAY()</formula>
    </cfRule>
    <cfRule type="expression" dxfId="14" priority="511">
      <formula>AND(D17&lt;TODAY(),E17="")</formula>
    </cfRule>
    <cfRule type="expression" dxfId="13" priority="512">
      <formula>E17&lt;TODAY()</formula>
    </cfRule>
    <cfRule type="expression" dxfId="14" priority="513">
      <formula>D17&lt;TODAY()</formula>
    </cfRule>
  </conditionalFormatting>
  <conditionalFormatting sqref="D22:D25">
    <cfRule type="cellIs" dxfId="22" priority="466" operator="equal">
      <formula>""</formula>
    </cfRule>
    <cfRule type="cellIs" dxfId="22" priority="467" operator="greaterThan">
      <formula>TODAY()</formula>
    </cfRule>
    <cfRule type="expression" dxfId="14" priority="472">
      <formula>AND(D22&lt;TODAY(),E22="")</formula>
    </cfRule>
    <cfRule type="expression" dxfId="13" priority="473">
      <formula>E22&lt;TODAY()</formula>
    </cfRule>
    <cfRule type="expression" dxfId="14" priority="474">
      <formula>D22&lt;TODAY()</formula>
    </cfRule>
  </conditionalFormatting>
  <conditionalFormatting sqref="D27:D30">
    <cfRule type="cellIs" dxfId="22" priority="453" operator="equal">
      <formula>""</formula>
    </cfRule>
    <cfRule type="cellIs" dxfId="22" priority="454" operator="greaterThan">
      <formula>TODAY()</formula>
    </cfRule>
    <cfRule type="expression" dxfId="14" priority="459">
      <formula>AND(D27&lt;TODAY(),E27="")</formula>
    </cfRule>
    <cfRule type="expression" dxfId="13" priority="460">
      <formula>E27&lt;TODAY()</formula>
    </cfRule>
    <cfRule type="expression" dxfId="14" priority="461">
      <formula>D27&lt;TODAY()</formula>
    </cfRule>
  </conditionalFormatting>
  <conditionalFormatting sqref="D32:D35">
    <cfRule type="cellIs" dxfId="22" priority="440" operator="equal">
      <formula>""</formula>
    </cfRule>
    <cfRule type="cellIs" dxfId="22" priority="441" operator="greaterThan">
      <formula>TODAY()</formula>
    </cfRule>
    <cfRule type="expression" dxfId="14" priority="446">
      <formula>AND(D32&lt;TODAY(),E32="")</formula>
    </cfRule>
    <cfRule type="expression" dxfId="13" priority="447">
      <formula>E32&lt;TODAY()</formula>
    </cfRule>
    <cfRule type="expression" dxfId="14" priority="448">
      <formula>D32&lt;TODAY()</formula>
    </cfRule>
  </conditionalFormatting>
  <conditionalFormatting sqref="D37:D40">
    <cfRule type="cellIs" dxfId="22" priority="427" operator="equal">
      <formula>""</formula>
    </cfRule>
    <cfRule type="cellIs" dxfId="22" priority="428" operator="greaterThan">
      <formula>TODAY()</formula>
    </cfRule>
    <cfRule type="expression" dxfId="14" priority="433">
      <formula>AND(D37&lt;TODAY(),E37="")</formula>
    </cfRule>
    <cfRule type="expression" dxfId="13" priority="434">
      <formula>E37&lt;TODAY()</formula>
    </cfRule>
    <cfRule type="expression" dxfId="14" priority="435">
      <formula>D37&lt;TODAY()</formula>
    </cfRule>
  </conditionalFormatting>
  <conditionalFormatting sqref="D42:D45">
    <cfRule type="cellIs" dxfId="22" priority="414" operator="equal">
      <formula>""</formula>
    </cfRule>
    <cfRule type="cellIs" dxfId="22" priority="415" operator="greaterThan">
      <formula>TODAY()</formula>
    </cfRule>
    <cfRule type="expression" dxfId="14" priority="420">
      <formula>AND(D42&lt;TODAY(),E42="")</formula>
    </cfRule>
    <cfRule type="expression" dxfId="13" priority="421">
      <formula>E42&lt;TODAY()</formula>
    </cfRule>
    <cfRule type="expression" dxfId="14" priority="422">
      <formula>D42&lt;TODAY()</formula>
    </cfRule>
  </conditionalFormatting>
  <conditionalFormatting sqref="D47:D50">
    <cfRule type="cellIs" dxfId="22" priority="388" operator="equal">
      <formula>""</formula>
    </cfRule>
    <cfRule type="cellIs" dxfId="22" priority="389" operator="greaterThan">
      <formula>TODAY()</formula>
    </cfRule>
    <cfRule type="expression" dxfId="14" priority="394">
      <formula>AND(D47&lt;TODAY(),E47="")</formula>
    </cfRule>
    <cfRule type="expression" dxfId="13" priority="395">
      <formula>E47&lt;TODAY()</formula>
    </cfRule>
    <cfRule type="expression" dxfId="14" priority="396">
      <formula>D47&lt;TODAY()</formula>
    </cfRule>
  </conditionalFormatting>
  <conditionalFormatting sqref="D52:D55">
    <cfRule type="cellIs" dxfId="22" priority="375" operator="equal">
      <formula>""</formula>
    </cfRule>
    <cfRule type="cellIs" dxfId="22" priority="376" operator="greaterThan">
      <formula>TODAY()</formula>
    </cfRule>
    <cfRule type="expression" dxfId="14" priority="381">
      <formula>AND(D52&lt;TODAY(),E52="")</formula>
    </cfRule>
    <cfRule type="expression" dxfId="13" priority="382">
      <formula>E52&lt;TODAY()</formula>
    </cfRule>
    <cfRule type="expression" dxfId="14" priority="383">
      <formula>D52&lt;TODAY()</formula>
    </cfRule>
  </conditionalFormatting>
  <conditionalFormatting sqref="D57:D60">
    <cfRule type="cellIs" dxfId="22" priority="362" operator="equal">
      <formula>""</formula>
    </cfRule>
    <cfRule type="cellIs" dxfId="22" priority="363" operator="greaterThan">
      <formula>TODAY()</formula>
    </cfRule>
    <cfRule type="expression" dxfId="14" priority="368">
      <formula>AND(D57&lt;TODAY(),E57="")</formula>
    </cfRule>
    <cfRule type="expression" dxfId="13" priority="369">
      <formula>E57&lt;TODAY()</formula>
    </cfRule>
    <cfRule type="expression" dxfId="14" priority="370">
      <formula>D57&lt;TODAY()</formula>
    </cfRule>
  </conditionalFormatting>
  <conditionalFormatting sqref="D65:D68">
    <cfRule type="cellIs" dxfId="22" priority="310" operator="equal">
      <formula>""</formula>
    </cfRule>
    <cfRule type="cellIs" dxfId="22" priority="311" operator="greaterThan">
      <formula>TODAY()</formula>
    </cfRule>
    <cfRule type="expression" dxfId="14" priority="316">
      <formula>AND(D65&lt;TODAY(),E65="")</formula>
    </cfRule>
    <cfRule type="expression" dxfId="13" priority="317">
      <formula>E65&lt;TODAY()</formula>
    </cfRule>
    <cfRule type="expression" dxfId="14" priority="318">
      <formula>D65&lt;TODAY()</formula>
    </cfRule>
  </conditionalFormatting>
  <conditionalFormatting sqref="D70:D73">
    <cfRule type="cellIs" dxfId="22" priority="284" operator="equal">
      <formula>""</formula>
    </cfRule>
    <cfRule type="cellIs" dxfId="22" priority="285" operator="greaterThan">
      <formula>TODAY()</formula>
    </cfRule>
    <cfRule type="expression" dxfId="14" priority="290">
      <formula>AND(D70&lt;TODAY(),E70="")</formula>
    </cfRule>
    <cfRule type="expression" dxfId="13" priority="291">
      <formula>E70&lt;TODAY()</formula>
    </cfRule>
    <cfRule type="expression" dxfId="14" priority="292">
      <formula>D70&lt;TODAY()</formula>
    </cfRule>
  </conditionalFormatting>
  <conditionalFormatting sqref="D75:D78">
    <cfRule type="cellIs" dxfId="22" priority="258" operator="equal">
      <formula>""</formula>
    </cfRule>
    <cfRule type="cellIs" dxfId="22" priority="259" operator="greaterThan">
      <formula>TODAY()</formula>
    </cfRule>
    <cfRule type="expression" dxfId="14" priority="264">
      <formula>AND(D75&lt;TODAY(),E75="")</formula>
    </cfRule>
    <cfRule type="expression" dxfId="13" priority="265">
      <formula>E75&lt;TODAY()</formula>
    </cfRule>
    <cfRule type="expression" dxfId="14" priority="266">
      <formula>D75&lt;TODAY()</formula>
    </cfRule>
  </conditionalFormatting>
  <conditionalFormatting sqref="D80:D83">
    <cfRule type="cellIs" dxfId="22" priority="232" operator="equal">
      <formula>""</formula>
    </cfRule>
    <cfRule type="cellIs" dxfId="22" priority="233" operator="greaterThan">
      <formula>TODAY()</formula>
    </cfRule>
    <cfRule type="expression" dxfId="14" priority="238">
      <formula>AND(D80&lt;TODAY(),E80="")</formula>
    </cfRule>
    <cfRule type="expression" dxfId="13" priority="239">
      <formula>E80&lt;TODAY()</formula>
    </cfRule>
    <cfRule type="expression" dxfId="14" priority="240">
      <formula>D80&lt;TODAY()</formula>
    </cfRule>
  </conditionalFormatting>
  <conditionalFormatting sqref="D85:D88">
    <cfRule type="cellIs" dxfId="22" priority="193" operator="equal">
      <formula>""</formula>
    </cfRule>
    <cfRule type="cellIs" dxfId="22" priority="194" operator="greaterThan">
      <formula>TODAY()</formula>
    </cfRule>
    <cfRule type="expression" dxfId="14" priority="199">
      <formula>AND(D85&lt;TODAY(),E85="")</formula>
    </cfRule>
    <cfRule type="expression" dxfId="13" priority="200">
      <formula>E85&lt;TODAY()</formula>
    </cfRule>
    <cfRule type="expression" dxfId="14" priority="201">
      <formula>D85&lt;TODAY()</formula>
    </cfRule>
  </conditionalFormatting>
  <conditionalFormatting sqref="D90:D93">
    <cfRule type="cellIs" dxfId="22" priority="180" operator="equal">
      <formula>""</formula>
    </cfRule>
    <cfRule type="cellIs" dxfId="22" priority="181" operator="greaterThan">
      <formula>TODAY()</formula>
    </cfRule>
    <cfRule type="expression" dxfId="14" priority="186">
      <formula>AND(D90&lt;TODAY(),E90="")</formula>
    </cfRule>
    <cfRule type="expression" dxfId="13" priority="187">
      <formula>E90&lt;TODAY()</formula>
    </cfRule>
    <cfRule type="expression" dxfId="14" priority="188">
      <formula>D90&lt;TODAY()</formula>
    </cfRule>
  </conditionalFormatting>
  <conditionalFormatting sqref="D95:D98">
    <cfRule type="cellIs" dxfId="22" priority="167" operator="equal">
      <formula>""</formula>
    </cfRule>
    <cfRule type="cellIs" dxfId="22" priority="168" operator="greaterThan">
      <formula>TODAY()</formula>
    </cfRule>
    <cfRule type="expression" dxfId="14" priority="173">
      <formula>AND(D95&lt;TODAY(),E95="")</formula>
    </cfRule>
    <cfRule type="expression" dxfId="13" priority="174">
      <formula>E95&lt;TODAY()</formula>
    </cfRule>
    <cfRule type="expression" dxfId="14" priority="175">
      <formula>D95&lt;TODAY()</formula>
    </cfRule>
  </conditionalFormatting>
  <conditionalFormatting sqref="D100:D103">
    <cfRule type="cellIs" dxfId="22" priority="154" operator="equal">
      <formula>""</formula>
    </cfRule>
    <cfRule type="cellIs" dxfId="22" priority="155" operator="greaterThan">
      <formula>TODAY()</formula>
    </cfRule>
    <cfRule type="expression" dxfId="14" priority="160">
      <formula>AND(D100&lt;TODAY(),E100="")</formula>
    </cfRule>
    <cfRule type="expression" dxfId="13" priority="161">
      <formula>E100&lt;TODAY()</formula>
    </cfRule>
    <cfRule type="expression" dxfId="14" priority="162">
      <formula>D100&lt;TODAY()</formula>
    </cfRule>
  </conditionalFormatting>
  <conditionalFormatting sqref="D105:D108">
    <cfRule type="cellIs" dxfId="22" priority="128" operator="equal">
      <formula>""</formula>
    </cfRule>
    <cfRule type="cellIs" dxfId="22" priority="129" operator="greaterThan">
      <formula>TODAY()</formula>
    </cfRule>
    <cfRule type="expression" dxfId="14" priority="134">
      <formula>AND(D105&lt;TODAY(),E105="")</formula>
    </cfRule>
    <cfRule type="expression" dxfId="13" priority="135">
      <formula>E105&lt;TODAY()</formula>
    </cfRule>
    <cfRule type="expression" dxfId="14" priority="136">
      <formula>D105&lt;TODAY()</formula>
    </cfRule>
  </conditionalFormatting>
  <conditionalFormatting sqref="D110:D113">
    <cfRule type="cellIs" dxfId="22" priority="102" operator="equal">
      <formula>""</formula>
    </cfRule>
    <cfRule type="cellIs" dxfId="22" priority="103" operator="greaterThan">
      <formula>TODAY()</formula>
    </cfRule>
    <cfRule type="expression" dxfId="14" priority="108">
      <formula>AND(D110&lt;TODAY(),E110="")</formula>
    </cfRule>
    <cfRule type="expression" dxfId="13" priority="109">
      <formula>E110&lt;TODAY()</formula>
    </cfRule>
    <cfRule type="expression" dxfId="14" priority="110">
      <formula>D110&lt;TODAY()</formula>
    </cfRule>
  </conditionalFormatting>
  <conditionalFormatting sqref="D115:D118">
    <cfRule type="cellIs" dxfId="22" priority="76" operator="equal">
      <formula>""</formula>
    </cfRule>
    <cfRule type="cellIs" dxfId="22" priority="77" operator="greaterThan">
      <formula>TODAY()</formula>
    </cfRule>
    <cfRule type="expression" dxfId="14" priority="82">
      <formula>AND(D115&lt;TODAY(),E115="")</formula>
    </cfRule>
    <cfRule type="expression" dxfId="13" priority="83">
      <formula>E115&lt;TODAY()</formula>
    </cfRule>
    <cfRule type="expression" dxfId="14" priority="84">
      <formula>D115&lt;TODAY()</formula>
    </cfRule>
  </conditionalFormatting>
  <conditionalFormatting sqref="E12:E15">
    <cfRule type="cellIs" dxfId="22" priority="559" operator="equal">
      <formula>0</formula>
    </cfRule>
    <cfRule type="cellIs" dxfId="29" priority="560" operator="lessThan">
      <formula>D12</formula>
    </cfRule>
    <cfRule type="expression" dxfId="13" priority="561">
      <formula>E12&lt;TODAY()</formula>
    </cfRule>
    <cfRule type="expression" dxfId="14" priority="562">
      <formula>D12&lt;TODAY()</formula>
    </cfRule>
  </conditionalFormatting>
  <conditionalFormatting sqref="E17:E20">
    <cfRule type="cellIs" dxfId="22" priority="507" operator="equal">
      <formula>0</formula>
    </cfRule>
    <cfRule type="cellIs" dxfId="29" priority="508" operator="lessThan">
      <formula>D17</formula>
    </cfRule>
    <cfRule type="expression" dxfId="13" priority="509">
      <formula>E17&lt;TODAY()</formula>
    </cfRule>
    <cfRule type="expression" dxfId="14" priority="510">
      <formula>D17&lt;TODAY()</formula>
    </cfRule>
  </conditionalFormatting>
  <conditionalFormatting sqref="E22:E25">
    <cfRule type="cellIs" dxfId="22" priority="468" operator="equal">
      <formula>0</formula>
    </cfRule>
    <cfRule type="cellIs" dxfId="29" priority="469" operator="lessThan">
      <formula>D22</formula>
    </cfRule>
    <cfRule type="expression" dxfId="13" priority="470">
      <formula>E22&lt;TODAY()</formula>
    </cfRule>
    <cfRule type="expression" dxfId="14" priority="471">
      <formula>D22&lt;TODAY()</formula>
    </cfRule>
  </conditionalFormatting>
  <conditionalFormatting sqref="E27:E30">
    <cfRule type="cellIs" dxfId="22" priority="455" operator="equal">
      <formula>0</formula>
    </cfRule>
    <cfRule type="cellIs" dxfId="29" priority="456" operator="lessThan">
      <formula>D27</formula>
    </cfRule>
    <cfRule type="expression" dxfId="13" priority="457">
      <formula>E27&lt;TODAY()</formula>
    </cfRule>
    <cfRule type="expression" dxfId="14" priority="458">
      <formula>D27&lt;TODAY()</formula>
    </cfRule>
  </conditionalFormatting>
  <conditionalFormatting sqref="E32:E35">
    <cfRule type="cellIs" dxfId="22" priority="442" operator="equal">
      <formula>0</formula>
    </cfRule>
    <cfRule type="cellIs" dxfId="29" priority="443" operator="lessThan">
      <formula>D32</formula>
    </cfRule>
    <cfRule type="expression" dxfId="13" priority="444">
      <formula>E32&lt;TODAY()</formula>
    </cfRule>
    <cfRule type="expression" dxfId="14" priority="445">
      <formula>D32&lt;TODAY()</formula>
    </cfRule>
  </conditionalFormatting>
  <conditionalFormatting sqref="E37:E40">
    <cfRule type="cellIs" dxfId="22" priority="429" operator="equal">
      <formula>0</formula>
    </cfRule>
    <cfRule type="cellIs" dxfId="29" priority="430" operator="lessThan">
      <formula>D37</formula>
    </cfRule>
    <cfRule type="expression" dxfId="13" priority="431">
      <formula>E37&lt;TODAY()</formula>
    </cfRule>
    <cfRule type="expression" dxfId="14" priority="432">
      <formula>D37&lt;TODAY()</formula>
    </cfRule>
  </conditionalFormatting>
  <conditionalFormatting sqref="E42:E45">
    <cfRule type="cellIs" dxfId="22" priority="416" operator="equal">
      <formula>0</formula>
    </cfRule>
    <cfRule type="cellIs" dxfId="29" priority="417" operator="lessThan">
      <formula>D42</formula>
    </cfRule>
    <cfRule type="expression" dxfId="13" priority="418">
      <formula>E42&lt;TODAY()</formula>
    </cfRule>
    <cfRule type="expression" dxfId="14" priority="419">
      <formula>D42&lt;TODAY()</formula>
    </cfRule>
  </conditionalFormatting>
  <conditionalFormatting sqref="E47:E50">
    <cfRule type="cellIs" dxfId="22" priority="390" operator="equal">
      <formula>0</formula>
    </cfRule>
    <cfRule type="cellIs" dxfId="29" priority="391" operator="lessThan">
      <formula>D47</formula>
    </cfRule>
    <cfRule type="expression" dxfId="13" priority="392">
      <formula>E47&lt;TODAY()</formula>
    </cfRule>
    <cfRule type="expression" dxfId="14" priority="393">
      <formula>D47&lt;TODAY()</formula>
    </cfRule>
  </conditionalFormatting>
  <conditionalFormatting sqref="E52:E55">
    <cfRule type="cellIs" dxfId="22" priority="377" operator="equal">
      <formula>0</formula>
    </cfRule>
    <cfRule type="cellIs" dxfId="29" priority="378" operator="lessThan">
      <formula>D52</formula>
    </cfRule>
    <cfRule type="expression" dxfId="13" priority="379">
      <formula>E52&lt;TODAY()</formula>
    </cfRule>
    <cfRule type="expression" dxfId="14" priority="380">
      <formula>D52&lt;TODAY()</formula>
    </cfRule>
  </conditionalFormatting>
  <conditionalFormatting sqref="E57:E60">
    <cfRule type="cellIs" dxfId="22" priority="364" operator="equal">
      <formula>0</formula>
    </cfRule>
    <cfRule type="cellIs" dxfId="29" priority="365" operator="lessThan">
      <formula>D57</formula>
    </cfRule>
    <cfRule type="expression" dxfId="13" priority="366">
      <formula>E57&lt;TODAY()</formula>
    </cfRule>
    <cfRule type="expression" dxfId="14" priority="367">
      <formula>D57&lt;TODAY()</formula>
    </cfRule>
  </conditionalFormatting>
  <conditionalFormatting sqref="E65:E68">
    <cfRule type="cellIs" dxfId="22" priority="312" operator="equal">
      <formula>0</formula>
    </cfRule>
    <cfRule type="cellIs" dxfId="29" priority="313" operator="lessThan">
      <formula>D65</formula>
    </cfRule>
    <cfRule type="expression" dxfId="13" priority="314">
      <formula>E65&lt;TODAY()</formula>
    </cfRule>
    <cfRule type="expression" dxfId="14" priority="315">
      <formula>D65&lt;TODAY()</formula>
    </cfRule>
  </conditionalFormatting>
  <conditionalFormatting sqref="E70:E73">
    <cfRule type="cellIs" dxfId="22" priority="286" operator="equal">
      <formula>0</formula>
    </cfRule>
    <cfRule type="cellIs" dxfId="29" priority="287" operator="lessThan">
      <formula>D70</formula>
    </cfRule>
    <cfRule type="expression" dxfId="13" priority="288">
      <formula>E70&lt;TODAY()</formula>
    </cfRule>
    <cfRule type="expression" dxfId="14" priority="289">
      <formula>D70&lt;TODAY()</formula>
    </cfRule>
  </conditionalFormatting>
  <conditionalFormatting sqref="E75:E78">
    <cfRule type="cellIs" dxfId="22" priority="260" operator="equal">
      <formula>0</formula>
    </cfRule>
    <cfRule type="cellIs" dxfId="29" priority="261" operator="lessThan">
      <formula>D75</formula>
    </cfRule>
    <cfRule type="expression" dxfId="13" priority="262">
      <formula>E75&lt;TODAY()</formula>
    </cfRule>
    <cfRule type="expression" dxfId="14" priority="263">
      <formula>D75&lt;TODAY()</formula>
    </cfRule>
  </conditionalFormatting>
  <conditionalFormatting sqref="E80:E83">
    <cfRule type="cellIs" dxfId="22" priority="234" operator="equal">
      <formula>0</formula>
    </cfRule>
    <cfRule type="cellIs" dxfId="29" priority="235" operator="lessThan">
      <formula>D80</formula>
    </cfRule>
    <cfRule type="expression" dxfId="13" priority="236">
      <formula>E80&lt;TODAY()</formula>
    </cfRule>
    <cfRule type="expression" dxfId="14" priority="237">
      <formula>D80&lt;TODAY()</formula>
    </cfRule>
  </conditionalFormatting>
  <conditionalFormatting sqref="E85:E88">
    <cfRule type="cellIs" dxfId="22" priority="195" operator="equal">
      <formula>0</formula>
    </cfRule>
    <cfRule type="cellIs" dxfId="29" priority="196" operator="lessThan">
      <formula>D85</formula>
    </cfRule>
    <cfRule type="expression" dxfId="13" priority="197">
      <formula>E85&lt;TODAY()</formula>
    </cfRule>
    <cfRule type="expression" dxfId="14" priority="198">
      <formula>D85&lt;TODAY()</formula>
    </cfRule>
  </conditionalFormatting>
  <conditionalFormatting sqref="E90:E93">
    <cfRule type="cellIs" dxfId="22" priority="182" operator="equal">
      <formula>0</formula>
    </cfRule>
    <cfRule type="cellIs" dxfId="29" priority="183" operator="lessThan">
      <formula>D90</formula>
    </cfRule>
    <cfRule type="expression" dxfId="13" priority="184">
      <formula>E90&lt;TODAY()</formula>
    </cfRule>
    <cfRule type="expression" dxfId="14" priority="185">
      <formula>D90&lt;TODAY()</formula>
    </cfRule>
  </conditionalFormatting>
  <conditionalFormatting sqref="E95:E98">
    <cfRule type="cellIs" dxfId="22" priority="169" operator="equal">
      <formula>0</formula>
    </cfRule>
    <cfRule type="cellIs" dxfId="29" priority="170" operator="lessThan">
      <formula>D95</formula>
    </cfRule>
    <cfRule type="expression" dxfId="13" priority="171">
      <formula>E95&lt;TODAY()</formula>
    </cfRule>
    <cfRule type="expression" dxfId="14" priority="172">
      <formula>D95&lt;TODAY()</formula>
    </cfRule>
  </conditionalFormatting>
  <conditionalFormatting sqref="E100:E103">
    <cfRule type="cellIs" dxfId="22" priority="156" operator="equal">
      <formula>0</formula>
    </cfRule>
    <cfRule type="cellIs" dxfId="29" priority="157" operator="lessThan">
      <formula>D100</formula>
    </cfRule>
    <cfRule type="expression" dxfId="13" priority="158">
      <formula>E100&lt;TODAY()</formula>
    </cfRule>
    <cfRule type="expression" dxfId="14" priority="159">
      <formula>D100&lt;TODAY()</formula>
    </cfRule>
  </conditionalFormatting>
  <conditionalFormatting sqref="E105:E108">
    <cfRule type="cellIs" dxfId="22" priority="130" operator="equal">
      <formula>0</formula>
    </cfRule>
    <cfRule type="cellIs" dxfId="29" priority="131" operator="lessThan">
      <formula>D105</formula>
    </cfRule>
    <cfRule type="expression" dxfId="13" priority="132">
      <formula>E105&lt;TODAY()</formula>
    </cfRule>
    <cfRule type="expression" dxfId="14" priority="133">
      <formula>D105&lt;TODAY()</formula>
    </cfRule>
  </conditionalFormatting>
  <conditionalFormatting sqref="E110:E113">
    <cfRule type="cellIs" dxfId="22" priority="104" operator="equal">
      <formula>0</formula>
    </cfRule>
    <cfRule type="cellIs" dxfId="29" priority="105" operator="lessThan">
      <formula>D110</formula>
    </cfRule>
    <cfRule type="expression" dxfId="13" priority="106">
      <formula>E110&lt;TODAY()</formula>
    </cfRule>
    <cfRule type="expression" dxfId="14" priority="107">
      <formula>D110&lt;TODAY()</formula>
    </cfRule>
  </conditionalFormatting>
  <conditionalFormatting sqref="E115:E118">
    <cfRule type="cellIs" dxfId="22" priority="78" operator="equal">
      <formula>0</formula>
    </cfRule>
    <cfRule type="cellIs" dxfId="29" priority="79" operator="lessThan">
      <formula>D115</formula>
    </cfRule>
    <cfRule type="expression" dxfId="13" priority="80">
      <formula>E115&lt;TODAY()</formula>
    </cfRule>
    <cfRule type="expression" dxfId="14" priority="81">
      <formula>D115&lt;TODAY()</formula>
    </cfRule>
  </conditionalFormatting>
  <conditionalFormatting sqref="G12:G15">
    <cfRule type="cellIs" dxfId="27" priority="541" operator="notEqual">
      <formula>0</formula>
    </cfRule>
    <cfRule type="expression" dxfId="28" priority="542">
      <formula>COUNTA(H12)&lt;&gt;0</formula>
    </cfRule>
  </conditionalFormatting>
  <conditionalFormatting sqref="G17:G20">
    <cfRule type="cellIs" dxfId="27" priority="528" operator="notEqual">
      <formula>0</formula>
    </cfRule>
    <cfRule type="expression" dxfId="28" priority="529">
      <formula>COUNTA(H17)&lt;&gt;0</formula>
    </cfRule>
  </conditionalFormatting>
  <conditionalFormatting sqref="G22:G25">
    <cfRule type="cellIs" dxfId="27" priority="502" operator="notEqual">
      <formula>0</formula>
    </cfRule>
    <cfRule type="expression" dxfId="28" priority="503">
      <formula>COUNTA(H22)&lt;&gt;0</formula>
    </cfRule>
  </conditionalFormatting>
  <conditionalFormatting sqref="G27:G30">
    <cfRule type="cellIs" dxfId="27" priority="489" operator="notEqual">
      <formula>0</formula>
    </cfRule>
    <cfRule type="expression" dxfId="28" priority="490">
      <formula>COUNTA(H27)&lt;&gt;0</formula>
    </cfRule>
  </conditionalFormatting>
  <conditionalFormatting sqref="G42:G45">
    <cfRule type="cellIs" dxfId="27" priority="411" operator="notEqual">
      <formula>0</formula>
    </cfRule>
    <cfRule type="expression" dxfId="28" priority="412">
      <formula>COUNTA(H42)&lt;&gt;0</formula>
    </cfRule>
  </conditionalFormatting>
  <conditionalFormatting sqref="G47:G50">
    <cfRule type="cellIs" dxfId="27" priority="359" operator="notEqual">
      <formula>0</formula>
    </cfRule>
    <cfRule type="expression" dxfId="28" priority="360">
      <formula>COUNTA(H47)&lt;&gt;0</formula>
    </cfRule>
  </conditionalFormatting>
  <conditionalFormatting sqref="G52:G55">
    <cfRule type="cellIs" dxfId="27" priority="346" operator="notEqual">
      <formula>0</formula>
    </cfRule>
    <cfRule type="expression" dxfId="28" priority="347">
      <formula>COUNTA(H52)&lt;&gt;0</formula>
    </cfRule>
  </conditionalFormatting>
  <conditionalFormatting sqref="G57:G60">
    <cfRule type="cellIs" dxfId="27" priority="333" operator="notEqual">
      <formula>0</formula>
    </cfRule>
    <cfRule type="expression" dxfId="28" priority="334">
      <formula>COUNTA(H57)&lt;&gt;0</formula>
    </cfRule>
  </conditionalFormatting>
  <conditionalFormatting sqref="G65:G68">
    <cfRule type="cellIs" dxfId="27" priority="307" operator="notEqual">
      <formula>0</formula>
    </cfRule>
    <cfRule type="expression" dxfId="28" priority="308">
      <formula>COUNTA(H65)&lt;&gt;0</formula>
    </cfRule>
  </conditionalFormatting>
  <conditionalFormatting sqref="G70:G73">
    <cfRule type="cellIs" dxfId="27" priority="281" operator="notEqual">
      <formula>0</formula>
    </cfRule>
    <cfRule type="expression" dxfId="28" priority="282">
      <formula>COUNTA(H70)&lt;&gt;0</formula>
    </cfRule>
  </conditionalFormatting>
  <conditionalFormatting sqref="G75:G78">
    <cfRule type="cellIs" dxfId="27" priority="255" operator="notEqual">
      <formula>0</formula>
    </cfRule>
    <cfRule type="expression" dxfId="28" priority="256">
      <formula>COUNTA(H75)&lt;&gt;0</formula>
    </cfRule>
  </conditionalFormatting>
  <conditionalFormatting sqref="G80:G83">
    <cfRule type="cellIs" dxfId="27" priority="229" operator="notEqual">
      <formula>0</formula>
    </cfRule>
    <cfRule type="expression" dxfId="28" priority="230">
      <formula>COUNTA(H80)&lt;&gt;0</formula>
    </cfRule>
  </conditionalFormatting>
  <conditionalFormatting sqref="G85:G88">
    <cfRule type="cellIs" dxfId="27" priority="216" operator="notEqual">
      <formula>0</formula>
    </cfRule>
    <cfRule type="expression" dxfId="28" priority="217">
      <formula>COUNTA(H85)&lt;&gt;0</formula>
    </cfRule>
  </conditionalFormatting>
  <conditionalFormatting sqref="G100:G103">
    <cfRule type="cellIs" dxfId="27" priority="151" operator="notEqual">
      <formula>0</formula>
    </cfRule>
    <cfRule type="expression" dxfId="28" priority="152">
      <formula>COUNTA(H100)&lt;&gt;0</formula>
    </cfRule>
  </conditionalFormatting>
  <conditionalFormatting sqref="G105:G108">
    <cfRule type="cellIs" dxfId="27" priority="125" operator="notEqual">
      <formula>0</formula>
    </cfRule>
    <cfRule type="expression" dxfId="28" priority="126">
      <formula>COUNTA(H105)&lt;&gt;0</formula>
    </cfRule>
  </conditionalFormatting>
  <conditionalFormatting sqref="G110:G113">
    <cfRule type="cellIs" dxfId="27" priority="99" operator="notEqual">
      <formula>0</formula>
    </cfRule>
    <cfRule type="expression" dxfId="28" priority="100">
      <formula>COUNTA(H110)&lt;&gt;0</formula>
    </cfRule>
  </conditionalFormatting>
  <conditionalFormatting sqref="G115:G118">
    <cfRule type="cellIs" dxfId="27" priority="73" operator="notEqual">
      <formula>0</formula>
    </cfRule>
    <cfRule type="expression" dxfId="28" priority="74">
      <formula>COUNTA(H115)&lt;&gt;0</formula>
    </cfRule>
  </conditionalFormatting>
  <conditionalFormatting sqref="H12:H15">
    <cfRule type="cellIs" dxfId="2" priority="543" operator="notEqual">
      <formula>0</formula>
    </cfRule>
  </conditionalFormatting>
  <conditionalFormatting sqref="H17:H20">
    <cfRule type="cellIs" dxfId="2" priority="530" operator="notEqual">
      <formula>0</formula>
    </cfRule>
  </conditionalFormatting>
  <conditionalFormatting sqref="H22:H25">
    <cfRule type="cellIs" dxfId="2" priority="504" operator="notEqual">
      <formula>0</formula>
    </cfRule>
  </conditionalFormatting>
  <conditionalFormatting sqref="H27:H30">
    <cfRule type="cellIs" dxfId="2" priority="491" operator="notEqual">
      <formula>0</formula>
    </cfRule>
  </conditionalFormatting>
  <conditionalFormatting sqref="H42:H45">
    <cfRule type="cellIs" dxfId="2" priority="413" operator="notEqual">
      <formula>0</formula>
    </cfRule>
  </conditionalFormatting>
  <conditionalFormatting sqref="H47:H50">
    <cfRule type="cellIs" dxfId="2" priority="361" operator="notEqual">
      <formula>0</formula>
    </cfRule>
  </conditionalFormatting>
  <conditionalFormatting sqref="H52:H55">
    <cfRule type="cellIs" dxfId="2" priority="348" operator="notEqual">
      <formula>0</formula>
    </cfRule>
  </conditionalFormatting>
  <conditionalFormatting sqref="H57:H60">
    <cfRule type="cellIs" dxfId="2" priority="335" operator="notEqual">
      <formula>0</formula>
    </cfRule>
  </conditionalFormatting>
  <conditionalFormatting sqref="H65:H68">
    <cfRule type="cellIs" dxfId="2" priority="309" operator="notEqual">
      <formula>0</formula>
    </cfRule>
  </conditionalFormatting>
  <conditionalFormatting sqref="H70:H73">
    <cfRule type="cellIs" dxfId="2" priority="283" operator="notEqual">
      <formula>0</formula>
    </cfRule>
  </conditionalFormatting>
  <conditionalFormatting sqref="H75:H78">
    <cfRule type="cellIs" dxfId="2" priority="257" operator="notEqual">
      <formula>0</formula>
    </cfRule>
  </conditionalFormatting>
  <conditionalFormatting sqref="H80:H83">
    <cfRule type="cellIs" dxfId="2" priority="231" operator="notEqual">
      <formula>0</formula>
    </cfRule>
  </conditionalFormatting>
  <conditionalFormatting sqref="H85:H88">
    <cfRule type="cellIs" dxfId="2" priority="218" operator="notEqual">
      <formula>0</formula>
    </cfRule>
  </conditionalFormatting>
  <conditionalFormatting sqref="H100:H103">
    <cfRule type="cellIs" dxfId="2" priority="153" operator="notEqual">
      <formula>0</formula>
    </cfRule>
  </conditionalFormatting>
  <conditionalFormatting sqref="H105:H108">
    <cfRule type="cellIs" dxfId="2" priority="127" operator="notEqual">
      <formula>0</formula>
    </cfRule>
  </conditionalFormatting>
  <conditionalFormatting sqref="H110:H113">
    <cfRule type="cellIs" dxfId="2" priority="101" operator="notEqual">
      <formula>0</formula>
    </cfRule>
  </conditionalFormatting>
  <conditionalFormatting sqref="H115:H118">
    <cfRule type="cellIs" dxfId="2" priority="75" operator="notEqual">
      <formula>0</formula>
    </cfRule>
  </conditionalFormatting>
  <conditionalFormatting sqref="I12:I15">
    <cfRule type="cellIs" dxfId="22" priority="531" operator="equal">
      <formula>""</formula>
    </cfRule>
    <cfRule type="cellIs" dxfId="22" priority="532" operator="greaterThan">
      <formula>TODAY()</formula>
    </cfRule>
    <cfRule type="expression" dxfId="14" priority="537">
      <formula>AND(I12&lt;TODAY(),J12="")</formula>
    </cfRule>
    <cfRule type="expression" dxfId="13" priority="538">
      <formula>J12&lt;TODAY()</formula>
    </cfRule>
    <cfRule type="expression" dxfId="14" priority="539">
      <formula>I12&lt;TODAY()</formula>
    </cfRule>
  </conditionalFormatting>
  <conditionalFormatting sqref="I17:I20">
    <cfRule type="cellIs" dxfId="22" priority="518" operator="equal">
      <formula>""</formula>
    </cfRule>
    <cfRule type="cellIs" dxfId="22" priority="519" operator="greaterThan">
      <formula>TODAY()</formula>
    </cfRule>
    <cfRule type="expression" dxfId="14" priority="524">
      <formula>AND(I17&lt;TODAY(),J17="")</formula>
    </cfRule>
    <cfRule type="expression" dxfId="13" priority="525">
      <formula>J17&lt;TODAY()</formula>
    </cfRule>
    <cfRule type="expression" dxfId="14" priority="526">
      <formula>I17&lt;TODAY()</formula>
    </cfRule>
  </conditionalFormatting>
  <conditionalFormatting sqref="I22:I25">
    <cfRule type="cellIs" dxfId="22" priority="492" operator="equal">
      <formula>""</formula>
    </cfRule>
    <cfRule type="cellIs" dxfId="22" priority="493" operator="greaterThan">
      <formula>TODAY()</formula>
    </cfRule>
    <cfRule type="expression" dxfId="14" priority="498">
      <formula>AND(I22&lt;TODAY(),J22="")</formula>
    </cfRule>
    <cfRule type="expression" dxfId="13" priority="499">
      <formula>J22&lt;TODAY()</formula>
    </cfRule>
    <cfRule type="expression" dxfId="14" priority="500">
      <formula>I22&lt;TODAY()</formula>
    </cfRule>
  </conditionalFormatting>
  <conditionalFormatting sqref="I27:I30">
    <cfRule type="cellIs" dxfId="22" priority="479" operator="equal">
      <formula>""</formula>
    </cfRule>
    <cfRule type="cellIs" dxfId="22" priority="480" operator="greaterThan">
      <formula>TODAY()</formula>
    </cfRule>
    <cfRule type="expression" dxfId="14" priority="485">
      <formula>AND(I27&lt;TODAY(),J27="")</formula>
    </cfRule>
    <cfRule type="expression" dxfId="13" priority="486">
      <formula>J27&lt;TODAY()</formula>
    </cfRule>
    <cfRule type="expression" dxfId="14" priority="487">
      <formula>I27&lt;TODAY()</formula>
    </cfRule>
  </conditionalFormatting>
  <conditionalFormatting sqref="I42:I45">
    <cfRule type="cellIs" dxfId="22" priority="401" operator="equal">
      <formula>""</formula>
    </cfRule>
    <cfRule type="cellIs" dxfId="22" priority="402" operator="greaterThan">
      <formula>TODAY()</formula>
    </cfRule>
    <cfRule type="expression" dxfId="14" priority="407">
      <formula>AND(I42&lt;TODAY(),J42="")</formula>
    </cfRule>
    <cfRule type="expression" dxfId="13" priority="408">
      <formula>J42&lt;TODAY()</formula>
    </cfRule>
    <cfRule type="expression" dxfId="14" priority="409">
      <formula>I42&lt;TODAY()</formula>
    </cfRule>
  </conditionalFormatting>
  <conditionalFormatting sqref="I47:I50">
    <cfRule type="cellIs" dxfId="22" priority="349" operator="equal">
      <formula>""</formula>
    </cfRule>
    <cfRule type="cellIs" dxfId="22" priority="350" operator="greaterThan">
      <formula>TODAY()</formula>
    </cfRule>
    <cfRule type="expression" dxfId="14" priority="355">
      <formula>AND(I47&lt;TODAY(),J47="")</formula>
    </cfRule>
    <cfRule type="expression" dxfId="13" priority="356">
      <formula>J47&lt;TODAY()</formula>
    </cfRule>
    <cfRule type="expression" dxfId="14" priority="357">
      <formula>I47&lt;TODAY()</formula>
    </cfRule>
  </conditionalFormatting>
  <conditionalFormatting sqref="I52:I55">
    <cfRule type="cellIs" dxfId="22" priority="336" operator="equal">
      <formula>""</formula>
    </cfRule>
    <cfRule type="cellIs" dxfId="22" priority="337" operator="greaterThan">
      <formula>TODAY()</formula>
    </cfRule>
    <cfRule type="expression" dxfId="14" priority="342">
      <formula>AND(I52&lt;TODAY(),J52="")</formula>
    </cfRule>
    <cfRule type="expression" dxfId="13" priority="343">
      <formula>J52&lt;TODAY()</formula>
    </cfRule>
    <cfRule type="expression" dxfId="14" priority="344">
      <formula>I52&lt;TODAY()</formula>
    </cfRule>
  </conditionalFormatting>
  <conditionalFormatting sqref="I57:I60">
    <cfRule type="cellIs" dxfId="22" priority="323" operator="equal">
      <formula>""</formula>
    </cfRule>
    <cfRule type="cellIs" dxfId="22" priority="324" operator="greaterThan">
      <formula>TODAY()</formula>
    </cfRule>
    <cfRule type="expression" dxfId="14" priority="329">
      <formula>AND(I57&lt;TODAY(),J57="")</formula>
    </cfRule>
    <cfRule type="expression" dxfId="13" priority="330">
      <formula>J57&lt;TODAY()</formula>
    </cfRule>
    <cfRule type="expression" dxfId="14" priority="331">
      <formula>I57&lt;TODAY()</formula>
    </cfRule>
  </conditionalFormatting>
  <conditionalFormatting sqref="I65:I68">
    <cfRule type="cellIs" dxfId="22" priority="297" operator="equal">
      <formula>""</formula>
    </cfRule>
    <cfRule type="cellIs" dxfId="22" priority="298" operator="greaterThan">
      <formula>TODAY()</formula>
    </cfRule>
    <cfRule type="expression" dxfId="14" priority="303">
      <formula>AND(I65&lt;TODAY(),J65="")</formula>
    </cfRule>
    <cfRule type="expression" dxfId="13" priority="304">
      <formula>J65&lt;TODAY()</formula>
    </cfRule>
    <cfRule type="expression" dxfId="14" priority="305">
      <formula>I65&lt;TODAY()</formula>
    </cfRule>
  </conditionalFormatting>
  <conditionalFormatting sqref="I70:I73">
    <cfRule type="cellIs" dxfId="22" priority="271" operator="equal">
      <formula>""</formula>
    </cfRule>
    <cfRule type="cellIs" dxfId="22" priority="272" operator="greaterThan">
      <formula>TODAY()</formula>
    </cfRule>
    <cfRule type="expression" dxfId="14" priority="277">
      <formula>AND(I70&lt;TODAY(),J70="")</formula>
    </cfRule>
    <cfRule type="expression" dxfId="13" priority="278">
      <formula>J70&lt;TODAY()</formula>
    </cfRule>
    <cfRule type="expression" dxfId="14" priority="279">
      <formula>I70&lt;TODAY()</formula>
    </cfRule>
  </conditionalFormatting>
  <conditionalFormatting sqref="I75:I78">
    <cfRule type="cellIs" dxfId="22" priority="245" operator="equal">
      <formula>""</formula>
    </cfRule>
    <cfRule type="cellIs" dxfId="22" priority="246" operator="greaterThan">
      <formula>TODAY()</formula>
    </cfRule>
    <cfRule type="expression" dxfId="14" priority="251">
      <formula>AND(I75&lt;TODAY(),J75="")</formula>
    </cfRule>
    <cfRule type="expression" dxfId="13" priority="252">
      <formula>J75&lt;TODAY()</formula>
    </cfRule>
    <cfRule type="expression" dxfId="14" priority="253">
      <formula>I75&lt;TODAY()</formula>
    </cfRule>
  </conditionalFormatting>
  <conditionalFormatting sqref="I80:I83">
    <cfRule type="cellIs" dxfId="22" priority="219" operator="equal">
      <formula>""</formula>
    </cfRule>
    <cfRule type="cellIs" dxfId="22" priority="220" operator="greaterThan">
      <formula>TODAY()</formula>
    </cfRule>
    <cfRule type="expression" dxfId="14" priority="225">
      <formula>AND(I80&lt;TODAY(),J80="")</formula>
    </cfRule>
    <cfRule type="expression" dxfId="13" priority="226">
      <formula>J80&lt;TODAY()</formula>
    </cfRule>
    <cfRule type="expression" dxfId="14" priority="227">
      <formula>I80&lt;TODAY()</formula>
    </cfRule>
  </conditionalFormatting>
  <conditionalFormatting sqref="I85:I88">
    <cfRule type="cellIs" dxfId="22" priority="206" operator="equal">
      <formula>""</formula>
    </cfRule>
    <cfRule type="cellIs" dxfId="22" priority="207" operator="greaterThan">
      <formula>TODAY()</formula>
    </cfRule>
    <cfRule type="expression" dxfId="14" priority="212">
      <formula>AND(I85&lt;TODAY(),J85="")</formula>
    </cfRule>
    <cfRule type="expression" dxfId="13" priority="213">
      <formula>J85&lt;TODAY()</formula>
    </cfRule>
    <cfRule type="expression" dxfId="14" priority="214">
      <formula>I85&lt;TODAY()</formula>
    </cfRule>
  </conditionalFormatting>
  <conditionalFormatting sqref="I100:I103">
    <cfRule type="cellIs" dxfId="22" priority="141" operator="equal">
      <formula>""</formula>
    </cfRule>
    <cfRule type="cellIs" dxfId="22" priority="142" operator="greaterThan">
      <formula>TODAY()</formula>
    </cfRule>
    <cfRule type="expression" dxfId="14" priority="147">
      <formula>AND(I100&lt;TODAY(),J100="")</formula>
    </cfRule>
    <cfRule type="expression" dxfId="13" priority="148">
      <formula>J100&lt;TODAY()</formula>
    </cfRule>
    <cfRule type="expression" dxfId="14" priority="149">
      <formula>I100&lt;TODAY()</formula>
    </cfRule>
  </conditionalFormatting>
  <conditionalFormatting sqref="I105:I108">
    <cfRule type="cellIs" dxfId="22" priority="115" operator="equal">
      <formula>""</formula>
    </cfRule>
    <cfRule type="cellIs" dxfId="22" priority="116" operator="greaterThan">
      <formula>TODAY()</formula>
    </cfRule>
    <cfRule type="expression" dxfId="14" priority="121">
      <formula>AND(I105&lt;TODAY(),J105="")</formula>
    </cfRule>
    <cfRule type="expression" dxfId="13" priority="122">
      <formula>J105&lt;TODAY()</formula>
    </cfRule>
    <cfRule type="expression" dxfId="14" priority="123">
      <formula>I105&lt;TODAY()</formula>
    </cfRule>
  </conditionalFormatting>
  <conditionalFormatting sqref="I110:I113">
    <cfRule type="cellIs" dxfId="22" priority="89" operator="equal">
      <formula>""</formula>
    </cfRule>
    <cfRule type="cellIs" dxfId="22" priority="90" operator="greaterThan">
      <formula>TODAY()</formula>
    </cfRule>
    <cfRule type="expression" dxfId="14" priority="95">
      <formula>AND(I110&lt;TODAY(),J110="")</formula>
    </cfRule>
    <cfRule type="expression" dxfId="13" priority="96">
      <formula>J110&lt;TODAY()</formula>
    </cfRule>
    <cfRule type="expression" dxfId="14" priority="97">
      <formula>I110&lt;TODAY()</formula>
    </cfRule>
  </conditionalFormatting>
  <conditionalFormatting sqref="I115:I118">
    <cfRule type="cellIs" dxfId="22" priority="63" operator="equal">
      <formula>""</formula>
    </cfRule>
    <cfRule type="cellIs" dxfId="22" priority="64" operator="greaterThan">
      <formula>TODAY()</formula>
    </cfRule>
    <cfRule type="expression" dxfId="14" priority="69">
      <formula>AND(I115&lt;TODAY(),J115="")</formula>
    </cfRule>
    <cfRule type="expression" dxfId="13" priority="70">
      <formula>J115&lt;TODAY()</formula>
    </cfRule>
    <cfRule type="expression" dxfId="14" priority="71">
      <formula>I115&lt;TODAY()</formula>
    </cfRule>
  </conditionalFormatting>
  <conditionalFormatting sqref="J12:J15">
    <cfRule type="cellIs" dxfId="22" priority="533" operator="equal">
      <formula>0</formula>
    </cfRule>
    <cfRule type="cellIs" dxfId="29" priority="534" operator="lessThan">
      <formula>I12</formula>
    </cfRule>
    <cfRule type="expression" dxfId="13" priority="535">
      <formula>J12&lt;TODAY()</formula>
    </cfRule>
    <cfRule type="expression" dxfId="14" priority="536">
      <formula>I12&lt;TODAY()</formula>
    </cfRule>
  </conditionalFormatting>
  <conditionalFormatting sqref="J17:J20">
    <cfRule type="cellIs" dxfId="22" priority="520" operator="equal">
      <formula>0</formula>
    </cfRule>
    <cfRule type="cellIs" dxfId="29" priority="521" operator="lessThan">
      <formula>I17</formula>
    </cfRule>
    <cfRule type="expression" dxfId="13" priority="522">
      <formula>J17&lt;TODAY()</formula>
    </cfRule>
    <cfRule type="expression" dxfId="14" priority="523">
      <formula>I17&lt;TODAY()</formula>
    </cfRule>
  </conditionalFormatting>
  <conditionalFormatting sqref="J22:J25">
    <cfRule type="cellIs" dxfId="22" priority="494" operator="equal">
      <formula>0</formula>
    </cfRule>
    <cfRule type="cellIs" dxfId="29" priority="495" operator="lessThan">
      <formula>I22</formula>
    </cfRule>
    <cfRule type="expression" dxfId="13" priority="496">
      <formula>J22&lt;TODAY()</formula>
    </cfRule>
    <cfRule type="expression" dxfId="14" priority="497">
      <formula>I22&lt;TODAY()</formula>
    </cfRule>
  </conditionalFormatting>
  <conditionalFormatting sqref="J27:J30">
    <cfRule type="cellIs" dxfId="22" priority="481" operator="equal">
      <formula>0</formula>
    </cfRule>
    <cfRule type="cellIs" dxfId="29" priority="482" operator="lessThan">
      <formula>I27</formula>
    </cfRule>
    <cfRule type="expression" dxfId="13" priority="483">
      <formula>J27&lt;TODAY()</formula>
    </cfRule>
    <cfRule type="expression" dxfId="14" priority="484">
      <formula>I27&lt;TODAY()</formula>
    </cfRule>
  </conditionalFormatting>
  <conditionalFormatting sqref="J42:J45">
    <cfRule type="cellIs" dxfId="22" priority="403" operator="equal">
      <formula>0</formula>
    </cfRule>
    <cfRule type="cellIs" dxfId="29" priority="404" operator="lessThan">
      <formula>I42</formula>
    </cfRule>
    <cfRule type="expression" dxfId="13" priority="405">
      <formula>J42&lt;TODAY()</formula>
    </cfRule>
    <cfRule type="expression" dxfId="14" priority="406">
      <formula>I42&lt;TODAY()</formula>
    </cfRule>
  </conditionalFormatting>
  <conditionalFormatting sqref="J47:J50">
    <cfRule type="cellIs" dxfId="22" priority="351" operator="equal">
      <formula>0</formula>
    </cfRule>
    <cfRule type="cellIs" dxfId="29" priority="352" operator="lessThan">
      <formula>I47</formula>
    </cfRule>
    <cfRule type="expression" dxfId="13" priority="353">
      <formula>J47&lt;TODAY()</formula>
    </cfRule>
    <cfRule type="expression" dxfId="14" priority="354">
      <formula>I47&lt;TODAY()</formula>
    </cfRule>
  </conditionalFormatting>
  <conditionalFormatting sqref="J52:J55">
    <cfRule type="cellIs" dxfId="22" priority="338" operator="equal">
      <formula>0</formula>
    </cfRule>
    <cfRule type="cellIs" dxfId="29" priority="339" operator="lessThan">
      <formula>I52</formula>
    </cfRule>
    <cfRule type="expression" dxfId="13" priority="340">
      <formula>J52&lt;TODAY()</formula>
    </cfRule>
    <cfRule type="expression" dxfId="14" priority="341">
      <formula>I52&lt;TODAY()</formula>
    </cfRule>
  </conditionalFormatting>
  <conditionalFormatting sqref="J57:J60">
    <cfRule type="cellIs" dxfId="22" priority="325" operator="equal">
      <formula>0</formula>
    </cfRule>
    <cfRule type="cellIs" dxfId="29" priority="326" operator="lessThan">
      <formula>I57</formula>
    </cfRule>
    <cfRule type="expression" dxfId="13" priority="327">
      <formula>J57&lt;TODAY()</formula>
    </cfRule>
    <cfRule type="expression" dxfId="14" priority="328">
      <formula>I57&lt;TODAY()</formula>
    </cfRule>
  </conditionalFormatting>
  <conditionalFormatting sqref="J65:J68">
    <cfRule type="cellIs" dxfId="22" priority="299" operator="equal">
      <formula>0</formula>
    </cfRule>
    <cfRule type="cellIs" dxfId="29" priority="300" operator="lessThan">
      <formula>I65</formula>
    </cfRule>
    <cfRule type="expression" dxfId="13" priority="301">
      <formula>J65&lt;TODAY()</formula>
    </cfRule>
    <cfRule type="expression" dxfId="14" priority="302">
      <formula>I65&lt;TODAY()</formula>
    </cfRule>
  </conditionalFormatting>
  <conditionalFormatting sqref="J70:J73">
    <cfRule type="cellIs" dxfId="22" priority="273" operator="equal">
      <formula>0</formula>
    </cfRule>
    <cfRule type="cellIs" dxfId="29" priority="274" operator="lessThan">
      <formula>I70</formula>
    </cfRule>
    <cfRule type="expression" dxfId="13" priority="275">
      <formula>J70&lt;TODAY()</formula>
    </cfRule>
    <cfRule type="expression" dxfId="14" priority="276">
      <formula>I70&lt;TODAY()</formula>
    </cfRule>
  </conditionalFormatting>
  <conditionalFormatting sqref="J75:J78">
    <cfRule type="cellIs" dxfId="22" priority="247" operator="equal">
      <formula>0</formula>
    </cfRule>
    <cfRule type="cellIs" dxfId="29" priority="248" operator="lessThan">
      <formula>I75</formula>
    </cfRule>
    <cfRule type="expression" dxfId="13" priority="249">
      <formula>J75&lt;TODAY()</formula>
    </cfRule>
    <cfRule type="expression" dxfId="14" priority="250">
      <formula>I75&lt;TODAY()</formula>
    </cfRule>
  </conditionalFormatting>
  <conditionalFormatting sqref="J80:J83">
    <cfRule type="cellIs" dxfId="22" priority="221" operator="equal">
      <formula>0</formula>
    </cfRule>
    <cfRule type="cellIs" dxfId="29" priority="222" operator="lessThan">
      <formula>I80</formula>
    </cfRule>
    <cfRule type="expression" dxfId="13" priority="223">
      <formula>J80&lt;TODAY()</formula>
    </cfRule>
    <cfRule type="expression" dxfId="14" priority="224">
      <formula>I80&lt;TODAY()</formula>
    </cfRule>
  </conditionalFormatting>
  <conditionalFormatting sqref="J85:J88">
    <cfRule type="cellIs" dxfId="22" priority="208" operator="equal">
      <formula>0</formula>
    </cfRule>
    <cfRule type="cellIs" dxfId="29" priority="209" operator="lessThan">
      <formula>I85</formula>
    </cfRule>
    <cfRule type="expression" dxfId="13" priority="210">
      <formula>J85&lt;TODAY()</formula>
    </cfRule>
    <cfRule type="expression" dxfId="14" priority="211">
      <formula>I85&lt;TODAY()</formula>
    </cfRule>
  </conditionalFormatting>
  <conditionalFormatting sqref="J100:J103">
    <cfRule type="cellIs" dxfId="22" priority="143" operator="equal">
      <formula>0</formula>
    </cfRule>
    <cfRule type="cellIs" dxfId="29" priority="144" operator="lessThan">
      <formula>I100</formula>
    </cfRule>
    <cfRule type="expression" dxfId="13" priority="145">
      <formula>J100&lt;TODAY()</formula>
    </cfRule>
    <cfRule type="expression" dxfId="14" priority="146">
      <formula>I100&lt;TODAY()</formula>
    </cfRule>
  </conditionalFormatting>
  <conditionalFormatting sqref="J105:J108">
    <cfRule type="cellIs" dxfId="22" priority="117" operator="equal">
      <formula>0</formula>
    </cfRule>
    <cfRule type="cellIs" dxfId="29" priority="118" operator="lessThan">
      <formula>I105</formula>
    </cfRule>
    <cfRule type="expression" dxfId="13" priority="119">
      <formula>J105&lt;TODAY()</formula>
    </cfRule>
    <cfRule type="expression" dxfId="14" priority="120">
      <formula>I105&lt;TODAY()</formula>
    </cfRule>
  </conditionalFormatting>
  <conditionalFormatting sqref="J110:J113">
    <cfRule type="cellIs" dxfId="22" priority="91" operator="equal">
      <formula>0</formula>
    </cfRule>
    <cfRule type="cellIs" dxfId="29" priority="92" operator="lessThan">
      <formula>I110</formula>
    </cfRule>
    <cfRule type="expression" dxfId="13" priority="93">
      <formula>J110&lt;TODAY()</formula>
    </cfRule>
    <cfRule type="expression" dxfId="14" priority="94">
      <formula>I110&lt;TODAY()</formula>
    </cfRule>
  </conditionalFormatting>
  <conditionalFormatting sqref="J115:J118">
    <cfRule type="cellIs" dxfId="22" priority="65" operator="equal">
      <formula>0</formula>
    </cfRule>
    <cfRule type="cellIs" dxfId="29" priority="66" operator="lessThan">
      <formula>I115</formula>
    </cfRule>
    <cfRule type="expression" dxfId="13" priority="67">
      <formula>J115&lt;TODAY()</formula>
    </cfRule>
    <cfRule type="expression" dxfId="14" priority="68">
      <formula>I115&lt;TODAY()</formula>
    </cfRule>
  </conditionalFormatting>
  <conditionalFormatting sqref="L7:L165">
    <cfRule type="cellIs" dxfId="12" priority="19" operator="equal">
      <formula>L6</formula>
    </cfRule>
  </conditionalFormatting>
  <conditionalFormatting sqref="Z6:Z165">
    <cfRule type="expression" dxfId="13" priority="1580">
      <formula>AA6&lt;TODAY()</formula>
    </cfRule>
    <cfRule type="expression" dxfId="14" priority="1581">
      <formula>Z6&lt;TODAY()</formula>
    </cfRule>
  </conditionalFormatting>
  <conditionalFormatting sqref="AA6:AA165">
    <cfRule type="expression" dxfId="15" priority="1584">
      <formula>AND(AA6&lt;Z6,Z6&lt;&gt;"")</formula>
    </cfRule>
    <cfRule type="expression" dxfId="13" priority="1585">
      <formula>AA6&lt;TODAY()</formula>
    </cfRule>
    <cfRule type="expression" dxfId="14" priority="1586">
      <formula>AND(AA6&gt;TODAY(),Z6="")</formula>
    </cfRule>
    <cfRule type="expression" dxfId="14" priority="1587">
      <formula>Z6&lt;TODAY()</formula>
    </cfRule>
  </conditionalFormatting>
  <conditionalFormatting sqref="AD6:AD165">
    <cfRule type="cellIs" dxfId="30" priority="990" operator="notEqual">
      <formula>0</formula>
    </cfRule>
  </conditionalFormatting>
  <conditionalFormatting sqref="$A1:$XFD1048576">
    <cfRule type="containsText" dxfId="1" priority="1" operator="between" text="Free">
      <formula>NOT(ISERROR(SEARCH("Free",A1)))</formula>
    </cfRule>
  </conditionalFormatting>
  <conditionalFormatting sqref="M1 M4:M1048576 V6:V165">
    <cfRule type="cellIs" dxfId="12" priority="1113" operator="equal">
      <formula>0</formula>
    </cfRule>
  </conditionalFormatting>
  <conditionalFormatting sqref="Q6:U165">
    <cfRule type="cellIs" dxfId="18" priority="6" operator="equal">
      <formula>"Quadre"</formula>
    </cfRule>
    <cfRule type="cellIs" dxfId="19" priority="7" operator="equal">
      <formula>"Triple"</formula>
    </cfRule>
    <cfRule type="cellIs" dxfId="20" priority="8" operator="equal">
      <formula>"Double"</formula>
    </cfRule>
    <cfRule type="cellIs" dxfId="21" priority="9" operator="equal">
      <formula>"Single"</formula>
    </cfRule>
  </conditionalFormatting>
  <conditionalFormatting sqref="W6 W10 W14 W18 W22 W26 W30 W34 W38 W42 W46 W50 W54 W58 W62 W66 W70 W74 W78 W82 W86 W90 W94 W98 W102 W106 W110 W114 W118 W122 W126 W130 W134 W138 W142 W146 W150 W154 W158 W162">
    <cfRule type="cellIs" dxfId="18" priority="2" operator="equal">
      <formula>4</formula>
    </cfRule>
    <cfRule type="cellIs" dxfId="19" priority="3" operator="equal">
      <formula>3</formula>
    </cfRule>
    <cfRule type="cellIs" dxfId="20" priority="4" operator="equal">
      <formula>2</formula>
    </cfRule>
    <cfRule type="cellIs" dxfId="21" priority="5" operator="equal">
      <formula>1</formula>
    </cfRule>
  </conditionalFormatting>
  <conditionalFormatting sqref="Z6:AA165">
    <cfRule type="cellIs" dxfId="22" priority="973" operator="equal">
      <formula>""</formula>
    </cfRule>
  </conditionalFormatting>
  <conditionalFormatting sqref="B7:B10 G7:G10">
    <cfRule type="cellIs" dxfId="27" priority="1096" operator="notEqual">
      <formula>0</formula>
    </cfRule>
    <cfRule type="expression" dxfId="28" priority="1097">
      <formula>COUNTA(C7)&lt;&gt;0</formula>
    </cfRule>
  </conditionalFormatting>
  <conditionalFormatting sqref="D8:E10 I8:J10 C7:C10 H7:H10">
    <cfRule type="cellIs" dxfId="2" priority="1100" operator="notEqual">
      <formula>0</formula>
    </cfRule>
  </conditionalFormatting>
  <conditionalFormatting sqref="D7:D10 I7:I10">
    <cfRule type="cellIs" dxfId="22" priority="975" operator="equal">
      <formula>""</formula>
    </cfRule>
    <cfRule type="cellIs" dxfId="22" priority="976" operator="greaterThan">
      <formula>TODAY()</formula>
    </cfRule>
    <cfRule type="expression" dxfId="14" priority="986">
      <formula>AND(D7&lt;TODAY(),E7="")</formula>
    </cfRule>
    <cfRule type="expression" dxfId="13" priority="987">
      <formula>E7&lt;TODAY()</formula>
    </cfRule>
    <cfRule type="expression" dxfId="14" priority="988">
      <formula>D7&lt;TODAY()</formula>
    </cfRule>
  </conditionalFormatting>
  <conditionalFormatting sqref="E7:E10 J7:J10">
    <cfRule type="cellIs" dxfId="22" priority="982" operator="equal">
      <formula>0</formula>
    </cfRule>
    <cfRule type="cellIs" dxfId="29" priority="983" operator="lessThan">
      <formula>D7</formula>
    </cfRule>
    <cfRule type="expression" dxfId="13" priority="984">
      <formula>E7&lt;TODAY()</formula>
    </cfRule>
    <cfRule type="expression" dxfId="14" priority="985">
      <formula>D7&lt;TODAY()</formula>
    </cfRule>
  </conditionalFormatting>
  <conditionalFormatting sqref="D13:E15">
    <cfRule type="cellIs" dxfId="2" priority="566" operator="notEqual">
      <formula>0</formula>
    </cfRule>
  </conditionalFormatting>
  <conditionalFormatting sqref="I13:J15">
    <cfRule type="cellIs" dxfId="2" priority="540" operator="notEqual">
      <formula>0</formula>
    </cfRule>
  </conditionalFormatting>
  <conditionalFormatting sqref="D18:E20">
    <cfRule type="cellIs" dxfId="2" priority="514" operator="notEqual">
      <formula>0</formula>
    </cfRule>
  </conditionalFormatting>
  <conditionalFormatting sqref="I18:J20">
    <cfRule type="cellIs" dxfId="2" priority="527" operator="notEqual">
      <formula>0</formula>
    </cfRule>
  </conditionalFormatting>
  <conditionalFormatting sqref="D23:E25">
    <cfRule type="cellIs" dxfId="2" priority="475" operator="notEqual">
      <formula>0</formula>
    </cfRule>
  </conditionalFormatting>
  <conditionalFormatting sqref="I23:J25">
    <cfRule type="cellIs" dxfId="2" priority="501" operator="notEqual">
      <formula>0</formula>
    </cfRule>
  </conditionalFormatting>
  <conditionalFormatting sqref="D28:E30">
    <cfRule type="cellIs" dxfId="2" priority="462" operator="notEqual">
      <formula>0</formula>
    </cfRule>
  </conditionalFormatting>
  <conditionalFormatting sqref="I28:J30">
    <cfRule type="cellIs" dxfId="2" priority="488" operator="notEqual">
      <formula>0</formula>
    </cfRule>
  </conditionalFormatting>
  <conditionalFormatting sqref="D33:E35">
    <cfRule type="cellIs" dxfId="2" priority="449" operator="notEqual">
      <formula>0</formula>
    </cfRule>
  </conditionalFormatting>
  <conditionalFormatting sqref="D38:E40">
    <cfRule type="cellIs" dxfId="2" priority="436" operator="notEqual">
      <formula>0</formula>
    </cfRule>
  </conditionalFormatting>
  <conditionalFormatting sqref="D43:E45">
    <cfRule type="cellIs" dxfId="2" priority="423" operator="notEqual">
      <formula>0</formula>
    </cfRule>
  </conditionalFormatting>
  <conditionalFormatting sqref="I43:J45">
    <cfRule type="cellIs" dxfId="2" priority="410" operator="notEqual">
      <formula>0</formula>
    </cfRule>
  </conditionalFormatting>
  <conditionalFormatting sqref="D48:E50">
    <cfRule type="cellIs" dxfId="2" priority="397" operator="notEqual">
      <formula>0</formula>
    </cfRule>
  </conditionalFormatting>
  <conditionalFormatting sqref="I48:J50">
    <cfRule type="cellIs" dxfId="2" priority="358" operator="notEqual">
      <formula>0</formula>
    </cfRule>
  </conditionalFormatting>
  <conditionalFormatting sqref="D53:E55">
    <cfRule type="cellIs" dxfId="2" priority="384" operator="notEqual">
      <formula>0</formula>
    </cfRule>
  </conditionalFormatting>
  <conditionalFormatting sqref="I53:J55">
    <cfRule type="cellIs" dxfId="2" priority="345" operator="notEqual">
      <formula>0</formula>
    </cfRule>
  </conditionalFormatting>
  <conditionalFormatting sqref="D58:E60">
    <cfRule type="cellIs" dxfId="2" priority="371" operator="notEqual">
      <formula>0</formula>
    </cfRule>
  </conditionalFormatting>
  <conditionalFormatting sqref="I58:J60">
    <cfRule type="cellIs" dxfId="2" priority="332" operator="notEqual">
      <formula>0</formula>
    </cfRule>
  </conditionalFormatting>
  <conditionalFormatting sqref="D66:E68">
    <cfRule type="cellIs" dxfId="2" priority="319" operator="notEqual">
      <formula>0</formula>
    </cfRule>
  </conditionalFormatting>
  <conditionalFormatting sqref="I66:J68">
    <cfRule type="cellIs" dxfId="2" priority="306" operator="notEqual">
      <formula>0</formula>
    </cfRule>
  </conditionalFormatting>
  <conditionalFormatting sqref="D71:E73">
    <cfRule type="cellIs" dxfId="2" priority="293" operator="notEqual">
      <formula>0</formula>
    </cfRule>
  </conditionalFormatting>
  <conditionalFormatting sqref="I71:J73">
    <cfRule type="cellIs" dxfId="2" priority="280" operator="notEqual">
      <formula>0</formula>
    </cfRule>
  </conditionalFormatting>
  <conditionalFormatting sqref="D76:E78">
    <cfRule type="cellIs" dxfId="2" priority="267" operator="notEqual">
      <formula>0</formula>
    </cfRule>
  </conditionalFormatting>
  <conditionalFormatting sqref="I76:J78">
    <cfRule type="cellIs" dxfId="2" priority="254" operator="notEqual">
      <formula>0</formula>
    </cfRule>
  </conditionalFormatting>
  <conditionalFormatting sqref="D81:E83">
    <cfRule type="cellIs" dxfId="2" priority="241" operator="notEqual">
      <formula>0</formula>
    </cfRule>
  </conditionalFormatting>
  <conditionalFormatting sqref="I81:J83">
    <cfRule type="cellIs" dxfId="2" priority="228" operator="notEqual">
      <formula>0</formula>
    </cfRule>
  </conditionalFormatting>
  <conditionalFormatting sqref="D86:E88">
    <cfRule type="cellIs" dxfId="2" priority="202" operator="notEqual">
      <formula>0</formula>
    </cfRule>
  </conditionalFormatting>
  <conditionalFormatting sqref="I86:J88">
    <cfRule type="cellIs" dxfId="2" priority="215" operator="notEqual">
      <formula>0</formula>
    </cfRule>
  </conditionalFormatting>
  <conditionalFormatting sqref="D91:E93">
    <cfRule type="cellIs" dxfId="2" priority="189" operator="notEqual">
      <formula>0</formula>
    </cfRule>
  </conditionalFormatting>
  <conditionalFormatting sqref="D96:E98">
    <cfRule type="cellIs" dxfId="2" priority="176" operator="notEqual">
      <formula>0</formula>
    </cfRule>
  </conditionalFormatting>
  <conditionalFormatting sqref="D101:E103">
    <cfRule type="cellIs" dxfId="2" priority="163" operator="notEqual">
      <formula>0</formula>
    </cfRule>
  </conditionalFormatting>
  <conditionalFormatting sqref="I101:J103">
    <cfRule type="cellIs" dxfId="2" priority="150" operator="notEqual">
      <formula>0</formula>
    </cfRule>
  </conditionalFormatting>
  <conditionalFormatting sqref="D106:E108">
    <cfRule type="cellIs" dxfId="2" priority="137" operator="notEqual">
      <formula>0</formula>
    </cfRule>
  </conditionalFormatting>
  <conditionalFormatting sqref="I106:J108">
    <cfRule type="cellIs" dxfId="2" priority="124" operator="notEqual">
      <formula>0</formula>
    </cfRule>
  </conditionalFormatting>
  <conditionalFormatting sqref="D111:E113">
    <cfRule type="cellIs" dxfId="2" priority="111" operator="notEqual">
      <formula>0</formula>
    </cfRule>
  </conditionalFormatting>
  <conditionalFormatting sqref="I111:J113">
    <cfRule type="cellIs" dxfId="2" priority="98" operator="notEqual">
      <formula>0</formula>
    </cfRule>
  </conditionalFormatting>
  <conditionalFormatting sqref="D116:E118">
    <cfRule type="cellIs" dxfId="2" priority="85" operator="notEqual">
      <formula>0</formula>
    </cfRule>
  </conditionalFormatting>
  <conditionalFormatting sqref="I116:J118">
    <cfRule type="cellIs" dxfId="2" priority="72" operator="notEqual">
      <formula>0</formula>
    </cfRule>
  </conditionalFormatting>
  <pageMargins left="0.7" right="0.7" top="0.75" bottom="0.75" header="0.3" footer="0.3"/>
  <pageSetup paperSize="9" scale="25" fitToHeight="0" orientation="portrait"/>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zoomScale="70" zoomScaleNormal="70" workbookViewId="0">
      <pane ySplit="5" topLeftCell="A60" activePane="bottomLeft" state="frozen"/>
      <selection/>
      <selection pane="bottomLeft" activeCell="B51" sqref="B51:J96"/>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35.2818181818182"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7708</v>
      </c>
      <c r="D4" s="44"/>
      <c r="E4" s="44"/>
      <c r="F4" s="44"/>
      <c r="G4" s="44"/>
      <c r="H4" s="44"/>
      <c r="I4" s="44"/>
      <c r="J4" s="75"/>
      <c r="L4" s="73"/>
      <c r="M4" s="73">
        <f>Q4+R4*2+S4*3</f>
        <v>60</v>
      </c>
      <c r="N4" s="76"/>
      <c r="O4" s="73"/>
      <c r="P4" s="73">
        <f>SUM(Q4:S4)</f>
        <v>31</v>
      </c>
      <c r="Q4" s="96">
        <f>COUNTIFS(Q6:T125,"=Single")</f>
        <v>7</v>
      </c>
      <c r="R4" s="96">
        <f>COUNTIFS(Q6:T125,"=Double")</f>
        <v>19</v>
      </c>
      <c r="S4" s="96">
        <f>COUNTIFS(Q6:T125,"=Triple")</f>
        <v>5</v>
      </c>
      <c r="T4" s="96">
        <f>COUNTIFS(Q6:T125,"=Empty")</f>
        <v>9</v>
      </c>
      <c r="U4" s="73">
        <f>COUNTIFS(V6:W125,"=1")</f>
        <v>7</v>
      </c>
      <c r="V4" s="73">
        <f>COUNTIFS(V6:W125,"=2")</f>
        <v>19</v>
      </c>
      <c r="W4" s="73">
        <f>COUNTIFS(V6:W125,"=3")</f>
        <v>5</v>
      </c>
      <c r="X4" s="97"/>
      <c r="Y4" s="97"/>
      <c r="Z4" s="115">
        <f>COUNTA(Z6:Z130)</f>
        <v>54</v>
      </c>
      <c r="AA4" s="115">
        <f>COUNTA(AA6:AA130)-SUM(COUNTIF(AA6:AA130,{"#N/A"}))</f>
        <v>0</v>
      </c>
      <c r="AB4" s="116"/>
    </row>
    <row r="5" ht="15.25" spans="2:28">
      <c r="B5" s="45" t="s">
        <v>7427</v>
      </c>
      <c r="C5" s="45"/>
      <c r="D5" s="45"/>
      <c r="E5" s="45"/>
      <c r="G5" s="45" t="s">
        <v>7427</v>
      </c>
      <c r="H5" s="45"/>
      <c r="I5" s="45"/>
      <c r="J5" s="45"/>
      <c r="L5" s="77"/>
      <c r="M5" s="78"/>
      <c r="N5" s="77"/>
      <c r="O5" s="77"/>
      <c r="P5" s="77"/>
      <c r="Q5" s="96"/>
      <c r="R5" s="96"/>
      <c r="S5" s="96"/>
      <c r="T5" s="96"/>
      <c r="U5" s="98">
        <f>SUM(V6:W125)</f>
        <v>60</v>
      </c>
      <c r="V5" s="73" t="s">
        <v>7428</v>
      </c>
      <c r="W5" s="98">
        <f>U4+V4+W4</f>
        <v>31</v>
      </c>
      <c r="X5" s="99"/>
      <c r="Y5" s="99"/>
      <c r="Z5" s="117"/>
      <c r="AA5" s="118"/>
      <c r="AB5" s="119"/>
    </row>
    <row r="6" spans="2:28">
      <c r="B6" s="46">
        <v>101</v>
      </c>
      <c r="C6" s="47"/>
      <c r="D6" s="48" t="s">
        <v>6580</v>
      </c>
      <c r="E6" s="49" t="s">
        <v>6581</v>
      </c>
      <c r="G6" s="46">
        <v>120</v>
      </c>
      <c r="H6" s="47"/>
      <c r="I6" s="48" t="s">
        <v>6580</v>
      </c>
      <c r="J6" s="49" t="s">
        <v>6581</v>
      </c>
      <c r="L6" s="6">
        <f>COUNTA(B7)</f>
        <v>1</v>
      </c>
      <c r="M6" s="79" t="str">
        <f>C7</f>
        <v>55001 Kajsa-Elsa</v>
      </c>
      <c r="N6" s="80" t="s">
        <v>7430</v>
      </c>
      <c r="O6" s="81">
        <v>33</v>
      </c>
      <c r="P6" s="81">
        <v>101</v>
      </c>
      <c r="Q6" s="81" t="str">
        <f>_xlfn.IFS(COUNTA(B7:B9)=1,"Single",COUNTA(B7:B9)=2,"Double",COUNTA(B7:B9)=3,"Triple",COUNTA(B7:B9)=0,"Empty")</f>
        <v>Double</v>
      </c>
      <c r="R6" s="81"/>
      <c r="S6" s="81"/>
      <c r="T6" s="81"/>
      <c r="U6" s="81">
        <f>B7</f>
        <v>1</v>
      </c>
      <c r="V6" s="100">
        <f>COUNT(B7:B9)</f>
        <v>2</v>
      </c>
      <c r="W6" s="101"/>
      <c r="X6" s="102" t="str">
        <f>IF(D7=0,"",D7)</f>
        <v/>
      </c>
      <c r="Y6" s="108" t="str">
        <f t="shared" ref="X6:Y8" si="0">IF(E7=0,"",E7)</f>
        <v/>
      </c>
      <c r="Z6" s="120" t="s">
        <v>7709</v>
      </c>
      <c r="AA6" s="121" t="e">
        <f>VLOOKUP($M:$M,Data!$I:$J,2,FALSE)</f>
        <v>#N/A</v>
      </c>
      <c r="AB6" s="122"/>
    </row>
    <row r="7" spans="2:28">
      <c r="B7" s="50">
        <v>1</v>
      </c>
      <c r="C7" s="51" t="str">
        <f>VLOOKUP("33/101/1",Data!$A$2:$E$1425,3,FALSE)</f>
        <v>55001 Kajsa-Elsa</v>
      </c>
      <c r="D7" s="52"/>
      <c r="E7" s="53"/>
      <c r="G7" s="50">
        <v>1</v>
      </c>
      <c r="H7" s="51" t="str">
        <f>VLOOKUP("33/120/1",Data!$A$2:$E$1425,3,FALSE)</f>
        <v>55002 Viktor </v>
      </c>
      <c r="I7" s="52"/>
      <c r="J7" s="53"/>
      <c r="L7" s="9">
        <f>COUNTA(B8)+L6</f>
        <v>2</v>
      </c>
      <c r="M7" s="31">
        <f>C8</f>
        <v>0</v>
      </c>
      <c r="N7" s="82" t="s">
        <v>7430</v>
      </c>
      <c r="O7" s="36">
        <v>33</v>
      </c>
      <c r="P7" s="36">
        <v>101</v>
      </c>
      <c r="Q7" s="36"/>
      <c r="R7" s="36"/>
      <c r="S7" s="36"/>
      <c r="T7" s="36"/>
      <c r="U7" s="36">
        <f>B8</f>
        <v>2</v>
      </c>
      <c r="V7" s="103"/>
      <c r="W7" s="104"/>
      <c r="X7" s="52" t="str">
        <f t="shared" si="0"/>
        <v/>
      </c>
      <c r="Y7" s="109" t="str">
        <f t="shared" si="0"/>
        <v/>
      </c>
      <c r="Z7" s="317" t="s">
        <v>7710</v>
      </c>
      <c r="AA7" s="124" t="e">
        <f>VLOOKUP($M:$M,Data!$I:$J,2,FALSE)</f>
        <v>#N/A</v>
      </c>
      <c r="AB7" s="125"/>
    </row>
    <row r="8" ht="15.25" spans="2:28">
      <c r="B8" s="50">
        <v>2</v>
      </c>
      <c r="C8" s="51">
        <f>VLOOKUP("33/101/2",Data!$A$2:$E$1425,3,FALSE)</f>
        <v>0</v>
      </c>
      <c r="D8" s="54"/>
      <c r="E8" s="55"/>
      <c r="G8" s="50">
        <v>2</v>
      </c>
      <c r="H8" s="51">
        <f>VLOOKUP("33/120/2",Data!$A$2:$E$1425,3,FALSE)</f>
        <v>0</v>
      </c>
      <c r="I8" s="54"/>
      <c r="J8" s="55"/>
      <c r="L8" s="14">
        <f>COUNTA(B9)+L7</f>
        <v>2</v>
      </c>
      <c r="M8" s="83">
        <f>C9</f>
        <v>0</v>
      </c>
      <c r="N8" s="84" t="s">
        <v>7430</v>
      </c>
      <c r="O8" s="85">
        <v>33</v>
      </c>
      <c r="P8" s="85">
        <v>101</v>
      </c>
      <c r="Q8" s="85"/>
      <c r="R8" s="85"/>
      <c r="S8" s="85"/>
      <c r="T8" s="85"/>
      <c r="U8" s="85">
        <f>B9</f>
        <v>0</v>
      </c>
      <c r="V8" s="105"/>
      <c r="W8" s="106"/>
      <c r="X8" s="107" t="str">
        <f t="shared" si="0"/>
        <v/>
      </c>
      <c r="Y8" s="111" t="str">
        <f t="shared" si="0"/>
        <v/>
      </c>
      <c r="Z8" s="123"/>
      <c r="AA8" s="124" t="e">
        <f>VLOOKUP($M:$M,Data!$I:$J,2,FALSE)</f>
        <v>#N/A</v>
      </c>
      <c r="AB8" s="126"/>
    </row>
    <row r="9" ht="15.25" spans="2:28">
      <c r="B9" s="50"/>
      <c r="C9" s="51">
        <f>VLOOKUP("33/101/3",Data!$A$2:$E$1425,3,FALSE)</f>
        <v>0</v>
      </c>
      <c r="D9" s="56"/>
      <c r="E9" s="57"/>
      <c r="G9" s="58"/>
      <c r="H9" s="59">
        <f>VLOOKUP("33/120/3",Data!$A$2:$E$1425,3,FALSE)</f>
        <v>0</v>
      </c>
      <c r="I9" s="56"/>
      <c r="J9" s="57"/>
      <c r="L9" s="6">
        <f>COUNTA(B11)+L8</f>
        <v>3</v>
      </c>
      <c r="M9" s="79" t="str">
        <f>C11</f>
        <v>55625 Viktor </v>
      </c>
      <c r="N9" s="80" t="s">
        <v>7430</v>
      </c>
      <c r="O9" s="81">
        <v>33</v>
      </c>
      <c r="P9" s="81">
        <v>102</v>
      </c>
      <c r="Q9" s="62" t="str">
        <f>_xlfn.IFS(COUNTA(B11:B13)=1,"Single",COUNTA(B11:B13)=2,"Double",COUNTA(B11:B13)=3,"Triple",COUNTA(B11:B13)=0,"Empty")</f>
        <v>Double</v>
      </c>
      <c r="R9" s="62"/>
      <c r="S9" s="62"/>
      <c r="T9" s="62"/>
      <c r="U9" s="81">
        <f>B11</f>
        <v>1</v>
      </c>
      <c r="V9" s="100">
        <f>COUNT(B11:B13)</f>
        <v>2</v>
      </c>
      <c r="W9" s="101"/>
      <c r="X9" s="108" t="str">
        <f t="shared" ref="X9:Y11" si="1">IF(D11=0,"",D11)</f>
        <v/>
      </c>
      <c r="Y9" s="108" t="str">
        <f t="shared" si="1"/>
        <v/>
      </c>
      <c r="Z9" s="120" t="s">
        <v>7711</v>
      </c>
      <c r="AA9" s="121" t="e">
        <f>VLOOKUP($M:$M,Data!$I:$J,2,FALSE)</f>
        <v>#N/A</v>
      </c>
      <c r="AB9" s="122"/>
    </row>
    <row r="10" spans="2:28">
      <c r="B10" s="60">
        <v>102</v>
      </c>
      <c r="C10" s="61"/>
      <c r="D10" s="62" t="s">
        <v>6580</v>
      </c>
      <c r="E10" s="8" t="s">
        <v>6581</v>
      </c>
      <c r="G10" s="46">
        <v>119</v>
      </c>
      <c r="H10" s="47"/>
      <c r="I10" s="48" t="s">
        <v>6580</v>
      </c>
      <c r="J10" s="49" t="s">
        <v>6581</v>
      </c>
      <c r="L10" s="9">
        <f>COUNTA(B12)+L9</f>
        <v>4</v>
      </c>
      <c r="M10" s="31" t="str">
        <f>C12</f>
        <v>55501 Joel </v>
      </c>
      <c r="N10" s="82" t="s">
        <v>7430</v>
      </c>
      <c r="O10" s="36">
        <v>33</v>
      </c>
      <c r="P10" s="36">
        <v>102</v>
      </c>
      <c r="Q10" s="32"/>
      <c r="R10" s="32"/>
      <c r="S10" s="32"/>
      <c r="T10" s="32"/>
      <c r="U10" s="36">
        <f>B12</f>
        <v>2</v>
      </c>
      <c r="V10" s="103"/>
      <c r="W10" s="104"/>
      <c r="X10" s="109" t="str">
        <f t="shared" si="1"/>
        <v/>
      </c>
      <c r="Y10" s="109" t="str">
        <f t="shared" si="1"/>
        <v/>
      </c>
      <c r="Z10" s="123" t="s">
        <v>7712</v>
      </c>
      <c r="AA10" s="124" t="e">
        <f>VLOOKUP($M:$M,Data!$I:$J,2,FALSE)</f>
        <v>#N/A</v>
      </c>
      <c r="AB10" s="125"/>
    </row>
    <row r="11" ht="15.25" spans="2:28">
      <c r="B11" s="50">
        <v>1</v>
      </c>
      <c r="C11" s="51" t="str">
        <f>VLOOKUP("33/102/1",Data!$A$2:$E$1425,3,FALSE)</f>
        <v>55625 Viktor </v>
      </c>
      <c r="D11" s="52"/>
      <c r="E11" s="53"/>
      <c r="G11" s="50">
        <v>1</v>
      </c>
      <c r="H11" s="51" t="str">
        <f>VLOOKUP("33/119/1",Data!$A$2:$E$1425,3,FALSE)</f>
        <v>55505 Tommy </v>
      </c>
      <c r="I11" s="52"/>
      <c r="J11" s="53"/>
      <c r="L11" s="14">
        <f>COUNTA(B13)+L10</f>
        <v>4</v>
      </c>
      <c r="M11" s="83">
        <f>C13</f>
        <v>0</v>
      </c>
      <c r="N11" s="84" t="s">
        <v>7430</v>
      </c>
      <c r="O11" s="85">
        <v>33</v>
      </c>
      <c r="P11" s="85">
        <v>102</v>
      </c>
      <c r="Q11" s="110"/>
      <c r="R11" s="110"/>
      <c r="S11" s="110"/>
      <c r="T11" s="110"/>
      <c r="U11" s="85">
        <f>B13</f>
        <v>0</v>
      </c>
      <c r="V11" s="105"/>
      <c r="W11" s="106"/>
      <c r="X11" s="111" t="str">
        <f t="shared" si="1"/>
        <v/>
      </c>
      <c r="Y11" s="111" t="str">
        <f t="shared" si="1"/>
        <v/>
      </c>
      <c r="Z11" s="127"/>
      <c r="AA11" s="128" t="e">
        <f>VLOOKUP($M:$M,Data!$I:$J,2,FALSE)</f>
        <v>#N/A</v>
      </c>
      <c r="AB11" s="126"/>
    </row>
    <row r="12" spans="2:28">
      <c r="B12" s="50">
        <v>2</v>
      </c>
      <c r="C12" s="51" t="str">
        <f>VLOOKUP("33/102/2",Data!$A$2:$E$1425,3,FALSE)</f>
        <v>55501 Joel </v>
      </c>
      <c r="D12" s="54"/>
      <c r="E12" s="55"/>
      <c r="G12" s="50">
        <v>2</v>
      </c>
      <c r="H12" s="51" t="str">
        <f>VLOOKUP("33/119/2",Data!$A$2:$E$1425,3,FALSE)</f>
        <v>55301 Viggo </v>
      </c>
      <c r="I12" s="54"/>
      <c r="J12" s="55"/>
      <c r="L12" s="6">
        <f>COUNTA(B15)+L11</f>
        <v>5</v>
      </c>
      <c r="M12" s="79" t="str">
        <f>C15</f>
        <v>55315 Niki </v>
      </c>
      <c r="N12" s="80" t="s">
        <v>7430</v>
      </c>
      <c r="O12" s="81">
        <v>33</v>
      </c>
      <c r="P12" s="81">
        <v>103</v>
      </c>
      <c r="Q12" s="62" t="str">
        <f>_xlfn.IFS(COUNTA(B15:B17)=1,"Single",COUNTA(B15:B17)=2,"Double",COUNTA(B15:B17)=3,"Triple",COUNTA(B15:B17)=0,"Empty")</f>
        <v>Double</v>
      </c>
      <c r="R12" s="62"/>
      <c r="S12" s="62"/>
      <c r="T12" s="62"/>
      <c r="U12" s="81">
        <f>B15</f>
        <v>1</v>
      </c>
      <c r="V12" s="100">
        <f>COUNT(B15:B17)</f>
        <v>2</v>
      </c>
      <c r="W12" s="101"/>
      <c r="X12" s="108" t="str">
        <f t="shared" ref="X12:Y14" si="2">IF(D15=0,"",D15)</f>
        <v/>
      </c>
      <c r="Y12" s="108" t="str">
        <f t="shared" si="2"/>
        <v/>
      </c>
      <c r="Z12" s="120" t="s">
        <v>7713</v>
      </c>
      <c r="AA12" s="121" t="e">
        <f>VLOOKUP($M:$M,Data!$I:$J,2,FALSE)</f>
        <v>#N/A</v>
      </c>
      <c r="AB12" s="122"/>
    </row>
    <row r="13" ht="15.25" spans="2:28">
      <c r="B13" s="58"/>
      <c r="C13" s="59">
        <f>VLOOKUP("33/102/3",Data!$A$2:$E$1425,3,FALSE)</f>
        <v>0</v>
      </c>
      <c r="D13" s="56"/>
      <c r="E13" s="57"/>
      <c r="G13" s="58">
        <v>3</v>
      </c>
      <c r="H13" s="59">
        <f>VLOOKUP("33/119/3",Data!$A$2:$E$1425,3,FALSE)</f>
        <v>0</v>
      </c>
      <c r="I13" s="56"/>
      <c r="J13" s="57"/>
      <c r="L13" s="9">
        <f>COUNTA(B16)+L12</f>
        <v>6</v>
      </c>
      <c r="M13" s="31" t="str">
        <f>C16</f>
        <v>55415 Kajsa </v>
      </c>
      <c r="N13" s="82" t="s">
        <v>7430</v>
      </c>
      <c r="O13" s="36">
        <v>33</v>
      </c>
      <c r="P13" s="36">
        <v>103</v>
      </c>
      <c r="Q13" s="32"/>
      <c r="R13" s="32"/>
      <c r="S13" s="32"/>
      <c r="T13" s="32"/>
      <c r="U13" s="36">
        <f>B16</f>
        <v>2</v>
      </c>
      <c r="V13" s="103"/>
      <c r="W13" s="104"/>
      <c r="X13" s="109" t="str">
        <f t="shared" si="2"/>
        <v/>
      </c>
      <c r="Y13" s="109" t="str">
        <f t="shared" si="2"/>
        <v/>
      </c>
      <c r="Z13" s="123" t="s">
        <v>7714</v>
      </c>
      <c r="AA13" s="124" t="e">
        <f>VLOOKUP($M:$M,Data!$I:$J,2,FALSE)</f>
        <v>#N/A</v>
      </c>
      <c r="AB13" s="125"/>
    </row>
    <row r="14" ht="15.25" spans="2:28">
      <c r="B14" s="63">
        <v>103</v>
      </c>
      <c r="C14" s="64"/>
      <c r="D14" s="65" t="s">
        <v>6580</v>
      </c>
      <c r="E14" s="66" t="s">
        <v>6581</v>
      </c>
      <c r="G14" s="46">
        <v>118</v>
      </c>
      <c r="H14" s="47"/>
      <c r="I14" s="48" t="s">
        <v>6580</v>
      </c>
      <c r="J14" s="49" t="s">
        <v>6581</v>
      </c>
      <c r="L14" s="14">
        <f>COUNTA(B17)+L13</f>
        <v>6</v>
      </c>
      <c r="M14" s="83">
        <f>C17</f>
        <v>0</v>
      </c>
      <c r="N14" s="84" t="s">
        <v>7430</v>
      </c>
      <c r="O14" s="85">
        <v>33</v>
      </c>
      <c r="P14" s="85">
        <v>103</v>
      </c>
      <c r="Q14" s="110"/>
      <c r="R14" s="110"/>
      <c r="S14" s="110"/>
      <c r="T14" s="110"/>
      <c r="U14" s="85">
        <f>B17</f>
        <v>0</v>
      </c>
      <c r="V14" s="105"/>
      <c r="W14" s="106"/>
      <c r="X14" s="111" t="str">
        <f t="shared" si="2"/>
        <v/>
      </c>
      <c r="Y14" s="111" t="str">
        <f t="shared" si="2"/>
        <v/>
      </c>
      <c r="Z14" s="127"/>
      <c r="AA14" s="128" t="e">
        <f>VLOOKUP($M:$M,Data!$I:$J,2,FALSE)</f>
        <v>#N/A</v>
      </c>
      <c r="AB14" s="126"/>
    </row>
    <row r="15" spans="2:28">
      <c r="B15" s="50">
        <v>1</v>
      </c>
      <c r="C15" s="51" t="str">
        <f>VLOOKUP("33/103/1",Data!$A$2:$E$1425,3,FALSE)</f>
        <v>55315 Niki </v>
      </c>
      <c r="D15" s="52"/>
      <c r="E15" s="53"/>
      <c r="G15" s="50"/>
      <c r="H15" s="51" t="str">
        <f>VLOOKUP("33/118/1",Data!$A$2:$E$1425,3,FALSE)</f>
        <v>55602 Signe </v>
      </c>
      <c r="I15" s="52"/>
      <c r="J15" s="53"/>
      <c r="L15" s="6">
        <f>COUNTA(B19)+L14</f>
        <v>7</v>
      </c>
      <c r="M15" s="79" t="str">
        <f>C19</f>
        <v>Theo RIECKMANN</v>
      </c>
      <c r="N15" s="80" t="s">
        <v>7430</v>
      </c>
      <c r="O15" s="81">
        <v>33</v>
      </c>
      <c r="P15" s="81">
        <v>104</v>
      </c>
      <c r="Q15" s="62" t="str">
        <f>_xlfn.IFS(COUNTA(B19:B21)=1,"Single",COUNTA(B19:B21)=2,"Double",COUNTA(B19:B21)=3,"Triple",COUNTA(B19:B21)=0,"Empty")</f>
        <v>Double</v>
      </c>
      <c r="R15" s="62"/>
      <c r="S15" s="62"/>
      <c r="T15" s="62"/>
      <c r="U15" s="81">
        <f>B19</f>
        <v>1</v>
      </c>
      <c r="V15" s="100">
        <f>COUNT(B19:B21)</f>
        <v>2</v>
      </c>
      <c r="W15" s="101"/>
      <c r="X15" s="108" t="str">
        <f>IF(D19=0,"",D19)</f>
        <v/>
      </c>
      <c r="Y15" s="108" t="str">
        <f>IF(E19=0,"",E19)</f>
        <v/>
      </c>
      <c r="Z15" s="120" t="s">
        <v>7715</v>
      </c>
      <c r="AA15" s="121" t="e">
        <f>VLOOKUP($M:$M,Data!$I:$J,2,FALSE)</f>
        <v>#N/A</v>
      </c>
      <c r="AB15" s="122"/>
    </row>
    <row r="16" spans="2:28">
      <c r="B16" s="50">
        <v>2</v>
      </c>
      <c r="C16" s="51" t="str">
        <f>VLOOKUP("33/103/2",Data!$A$2:$E$1425,3,FALSE)</f>
        <v>55415 Kajsa </v>
      </c>
      <c r="D16" s="54"/>
      <c r="E16" s="55"/>
      <c r="G16" s="50">
        <v>2</v>
      </c>
      <c r="H16" s="51" t="str">
        <f>VLOOKUP("33/118/2",Data!$A$2:$E$1425,3,FALSE)</f>
        <v>55615 Tilde </v>
      </c>
      <c r="I16" s="54"/>
      <c r="J16" s="55"/>
      <c r="L16" s="9">
        <f>COUNTA(B20)+L15</f>
        <v>8</v>
      </c>
      <c r="M16" s="31" t="str">
        <f>C20</f>
        <v>Hugo LINDSTRÖM</v>
      </c>
      <c r="N16" s="82" t="s">
        <v>7430</v>
      </c>
      <c r="O16" s="36">
        <v>33</v>
      </c>
      <c r="P16" s="36">
        <v>104</v>
      </c>
      <c r="Q16" s="32"/>
      <c r="R16" s="32"/>
      <c r="S16" s="32"/>
      <c r="T16" s="32"/>
      <c r="U16" s="36">
        <f>B20</f>
        <v>2</v>
      </c>
      <c r="V16" s="103"/>
      <c r="W16" s="104"/>
      <c r="X16" s="109" t="str">
        <f t="shared" ref="X16:Y17" si="3">IF(D20=0,"",D20)</f>
        <v/>
      </c>
      <c r="Y16" s="109" t="str">
        <f t="shared" si="3"/>
        <v/>
      </c>
      <c r="Z16" s="123" t="s">
        <v>7716</v>
      </c>
      <c r="AA16" s="124" t="e">
        <f>VLOOKUP($M:$M,Data!$I:$J,2,FALSE)</f>
        <v>#N/A</v>
      </c>
      <c r="AB16" s="125"/>
    </row>
    <row r="17" ht="15.25" spans="2:28">
      <c r="B17" s="58"/>
      <c r="C17" s="59">
        <f>VLOOKUP("33/103/3",Data!$A$2:$E$1425,3,FALSE)</f>
        <v>0</v>
      </c>
      <c r="D17" s="56"/>
      <c r="E17" s="57"/>
      <c r="G17" s="58">
        <v>3</v>
      </c>
      <c r="H17" s="59">
        <f>VLOOKUP("33/118/3",Data!$A$2:$E$1425,3,FALSE)</f>
        <v>0</v>
      </c>
      <c r="I17" s="56"/>
      <c r="J17" s="57"/>
      <c r="L17" s="14">
        <f>COUNTA(B21)+L16</f>
        <v>8</v>
      </c>
      <c r="M17" s="83">
        <f>C21</f>
        <v>0</v>
      </c>
      <c r="N17" s="84" t="s">
        <v>7430</v>
      </c>
      <c r="O17" s="85">
        <v>33</v>
      </c>
      <c r="P17" s="85">
        <v>104</v>
      </c>
      <c r="Q17" s="110"/>
      <c r="R17" s="110"/>
      <c r="S17" s="110"/>
      <c r="T17" s="110"/>
      <c r="U17" s="85">
        <f>B21</f>
        <v>0</v>
      </c>
      <c r="V17" s="105"/>
      <c r="W17" s="106"/>
      <c r="X17" s="111" t="str">
        <f t="shared" si="3"/>
        <v/>
      </c>
      <c r="Y17" s="111" t="str">
        <f t="shared" si="3"/>
        <v/>
      </c>
      <c r="Z17" s="127"/>
      <c r="AA17" s="128" t="e">
        <f>VLOOKUP($M:$M,Data!$I:$J,2,FALSE)</f>
        <v>#N/A</v>
      </c>
      <c r="AB17" s="126"/>
    </row>
    <row r="18" spans="2:28">
      <c r="B18" s="46">
        <v>104</v>
      </c>
      <c r="C18" s="47"/>
      <c r="D18" s="48" t="s">
        <v>6580</v>
      </c>
      <c r="E18" s="49" t="s">
        <v>6581</v>
      </c>
      <c r="G18" s="46">
        <v>117</v>
      </c>
      <c r="H18" s="47"/>
      <c r="I18" s="48" t="s">
        <v>6580</v>
      </c>
      <c r="J18" s="49" t="s">
        <v>6581</v>
      </c>
      <c r="L18" s="6">
        <f>COUNTA(B23)+L17</f>
        <v>9</v>
      </c>
      <c r="M18" s="79" t="str">
        <f>C23</f>
        <v>55201 Albin </v>
      </c>
      <c r="N18" s="80" t="s">
        <v>7430</v>
      </c>
      <c r="O18" s="81">
        <v>33</v>
      </c>
      <c r="P18" s="81">
        <v>105</v>
      </c>
      <c r="Q18" s="62" t="str">
        <f>_xlfn.IFS(COUNTA(B23:B25)=1,"Single",COUNTA(B23:B25)=2,"Double",COUNTA(B23:B25)=3,"Triple",COUNTA(B23:B25)=0,"Empty")</f>
        <v>Triple</v>
      </c>
      <c r="R18" s="62"/>
      <c r="S18" s="62"/>
      <c r="T18" s="62"/>
      <c r="U18" s="81">
        <f>B23</f>
        <v>1</v>
      </c>
      <c r="V18" s="100">
        <f>COUNT(B23:B25)</f>
        <v>3</v>
      </c>
      <c r="W18" s="101"/>
      <c r="X18" s="108" t="str">
        <f>IF(D23=0,"",D23)</f>
        <v/>
      </c>
      <c r="Y18" s="108" t="str">
        <f>IF(E23=0,"",E23)</f>
        <v/>
      </c>
      <c r="Z18" s="120" t="s">
        <v>7717</v>
      </c>
      <c r="AA18" s="121" t="e">
        <f>VLOOKUP($M:$M,Data!$I:$J,2,FALSE)</f>
        <v>#N/A</v>
      </c>
      <c r="AB18" s="122"/>
    </row>
    <row r="19" spans="2:28">
      <c r="B19" s="50">
        <v>1</v>
      </c>
      <c r="C19" s="51" t="str">
        <f>VLOOKUP("33/104/1",Data!$A$2:$E$1425,3,FALSE)</f>
        <v>Theo RIECKMANN</v>
      </c>
      <c r="D19" s="52"/>
      <c r="E19" s="53"/>
      <c r="G19" s="50">
        <v>1</v>
      </c>
      <c r="H19" s="51" t="str">
        <f>VLOOKUP("33/117/1",Data!$A$2:$E$1425,3,FALSE)</f>
        <v> 55101 Hampus </v>
      </c>
      <c r="I19" s="52"/>
      <c r="J19" s="53"/>
      <c r="L19" s="9">
        <f>COUNTA(B24)+L18</f>
        <v>10</v>
      </c>
      <c r="M19" s="31" t="str">
        <f>C24</f>
        <v>55305 Leo </v>
      </c>
      <c r="N19" s="82" t="s">
        <v>7430</v>
      </c>
      <c r="O19" s="36">
        <v>33</v>
      </c>
      <c r="P19" s="36">
        <v>105</v>
      </c>
      <c r="Q19" s="32"/>
      <c r="R19" s="32"/>
      <c r="S19" s="32"/>
      <c r="T19" s="32"/>
      <c r="U19" s="36">
        <f>B24</f>
        <v>2</v>
      </c>
      <c r="V19" s="103"/>
      <c r="W19" s="104"/>
      <c r="X19" s="109" t="str">
        <f t="shared" ref="X19:Y20" si="4">IF(D24=0,"",D24)</f>
        <v/>
      </c>
      <c r="Y19" s="109" t="str">
        <f t="shared" si="4"/>
        <v/>
      </c>
      <c r="Z19" s="123" t="s">
        <v>7718</v>
      </c>
      <c r="AA19" s="124" t="e">
        <f>VLOOKUP($M:$M,Data!$I:$J,2,FALSE)</f>
        <v>#N/A</v>
      </c>
      <c r="AB19" s="125"/>
    </row>
    <row r="20" ht="15.25" spans="2:28">
      <c r="B20" s="50">
        <v>2</v>
      </c>
      <c r="C20" s="51" t="str">
        <f>VLOOKUP("33/104/2",Data!$A$2:$E$1425,3,FALSE)</f>
        <v>Hugo LINDSTRÖM</v>
      </c>
      <c r="D20" s="54"/>
      <c r="E20" s="55"/>
      <c r="G20" s="50">
        <v>2</v>
      </c>
      <c r="H20" s="51" t="str">
        <f>VLOOKUP("33/117/2",Data!$A$2:$E$1425,3,FALSE)</f>
        <v>55605 Oscar </v>
      </c>
      <c r="I20" s="54"/>
      <c r="J20" s="55"/>
      <c r="L20" s="14">
        <f>COUNTA(B25)+L19</f>
        <v>11</v>
      </c>
      <c r="M20" s="83">
        <f>C25</f>
        <v>0</v>
      </c>
      <c r="N20" s="84" t="s">
        <v>7430</v>
      </c>
      <c r="O20" s="85">
        <v>33</v>
      </c>
      <c r="P20" s="85">
        <v>105</v>
      </c>
      <c r="Q20" s="110"/>
      <c r="R20" s="110"/>
      <c r="S20" s="110"/>
      <c r="T20" s="110"/>
      <c r="U20" s="85">
        <f>B25</f>
        <v>3</v>
      </c>
      <c r="V20" s="105"/>
      <c r="W20" s="106"/>
      <c r="X20" s="111" t="str">
        <f t="shared" si="4"/>
        <v/>
      </c>
      <c r="Y20" s="111" t="str">
        <f t="shared" si="4"/>
        <v/>
      </c>
      <c r="Z20" s="319" t="s">
        <v>7719</v>
      </c>
      <c r="AA20" s="128" t="e">
        <f>VLOOKUP($M:$M,Data!$I:$J,2,FALSE)</f>
        <v>#N/A</v>
      </c>
      <c r="AB20" s="126"/>
    </row>
    <row r="21" ht="15.25" spans="2:28">
      <c r="B21" s="58"/>
      <c r="C21" s="59">
        <f>VLOOKUP("33/104/3",Data!$A$2:$E$1425,3,FALSE)</f>
        <v>0</v>
      </c>
      <c r="D21" s="56"/>
      <c r="E21" s="57"/>
      <c r="G21" s="58"/>
      <c r="H21" s="59">
        <f>VLOOKUP("33/117/3",Data!$A$2:$E$1425,3,FALSE)</f>
        <v>0</v>
      </c>
      <c r="I21" s="56"/>
      <c r="J21" s="57"/>
      <c r="L21" s="6">
        <f>COUNTA(B27)+L20</f>
        <v>12</v>
      </c>
      <c r="M21" s="79" t="str">
        <f>C27</f>
        <v>55405 Casper</v>
      </c>
      <c r="N21" s="80" t="s">
        <v>7430</v>
      </c>
      <c r="O21" s="81">
        <v>33</v>
      </c>
      <c r="P21" s="81">
        <v>106</v>
      </c>
      <c r="Q21" s="62" t="str">
        <f>_xlfn.IFS(COUNTA(B27:B29)=1,"Single",COUNTA(B27:B29)=2,"Double",COUNTA(B27:B29)=3,"Triple",COUNTA(B27:B29)=0,"Empty")</f>
        <v>Double</v>
      </c>
      <c r="R21" s="62"/>
      <c r="S21" s="62"/>
      <c r="T21" s="62"/>
      <c r="U21" s="81">
        <f>B27</f>
        <v>1</v>
      </c>
      <c r="V21" s="100">
        <f>COUNT(B27:B29)</f>
        <v>2</v>
      </c>
      <c r="W21" s="101"/>
      <c r="X21" s="108" t="str">
        <f>IF(D27=0,"",D27)</f>
        <v/>
      </c>
      <c r="Y21" s="108" t="str">
        <f>IF(E27=0,"",E27)</f>
        <v/>
      </c>
      <c r="Z21" s="120" t="s">
        <v>7720</v>
      </c>
      <c r="AA21" s="121" t="e">
        <f>VLOOKUP($M:$M,Data!$I:$J,2,FALSE)</f>
        <v>#N/A</v>
      </c>
      <c r="AB21" s="122"/>
    </row>
    <row r="22" spans="2:28">
      <c r="B22" s="46">
        <v>105</v>
      </c>
      <c r="C22" s="47"/>
      <c r="D22" s="48" t="s">
        <v>6580</v>
      </c>
      <c r="E22" s="49" t="s">
        <v>6581</v>
      </c>
      <c r="G22" s="46">
        <v>116</v>
      </c>
      <c r="H22" s="47"/>
      <c r="I22" s="48" t="s">
        <v>6580</v>
      </c>
      <c r="J22" s="49" t="s">
        <v>6581</v>
      </c>
      <c r="L22" s="9">
        <f>COUNTA(B28)+L21</f>
        <v>13</v>
      </c>
      <c r="M22" s="31" t="str">
        <f>C28</f>
        <v>55205 Jonathan </v>
      </c>
      <c r="N22" s="82" t="s">
        <v>7430</v>
      </c>
      <c r="O22" s="36">
        <v>33</v>
      </c>
      <c r="P22" s="36">
        <v>106</v>
      </c>
      <c r="Q22" s="32"/>
      <c r="R22" s="32"/>
      <c r="S22" s="32"/>
      <c r="T22" s="32"/>
      <c r="U22" s="36">
        <f>B28</f>
        <v>2</v>
      </c>
      <c r="V22" s="103"/>
      <c r="W22" s="104"/>
      <c r="X22" s="109" t="str">
        <f t="shared" ref="X22:Y23" si="5">IF(D28=0,"",D28)</f>
        <v/>
      </c>
      <c r="Y22" s="109" t="str">
        <f t="shared" si="5"/>
        <v/>
      </c>
      <c r="Z22" s="123" t="s">
        <v>7721</v>
      </c>
      <c r="AA22" s="124" t="e">
        <f>VLOOKUP($M:$M,Data!$I:$J,2,FALSE)</f>
        <v>#N/A</v>
      </c>
      <c r="AB22" s="125"/>
    </row>
    <row r="23" ht="15.25" spans="2:28">
      <c r="B23" s="50">
        <v>1</v>
      </c>
      <c r="C23" s="51" t="str">
        <f>VLOOKUP("33/105/1",Data!$A$2:$E$1425,3,FALSE)</f>
        <v>55201 Albin </v>
      </c>
      <c r="D23" s="52"/>
      <c r="E23" s="53"/>
      <c r="G23" s="50">
        <v>1</v>
      </c>
      <c r="H23" s="51" t="str">
        <f>VLOOKUP("33/116/1",Data!$A$2:$E$1425,3,FALSE)</f>
        <v>55675 Ture </v>
      </c>
      <c r="I23" s="52"/>
      <c r="J23" s="53"/>
      <c r="L23" s="14">
        <f>COUNTA(B29)+L22</f>
        <v>13</v>
      </c>
      <c r="M23" s="83">
        <f>C29</f>
        <v>0</v>
      </c>
      <c r="N23" s="84" t="s">
        <v>7430</v>
      </c>
      <c r="O23" s="85">
        <v>33</v>
      </c>
      <c r="P23" s="85">
        <v>106</v>
      </c>
      <c r="Q23" s="110"/>
      <c r="R23" s="110"/>
      <c r="S23" s="110"/>
      <c r="T23" s="110"/>
      <c r="U23" s="85">
        <f>B29</f>
        <v>0</v>
      </c>
      <c r="V23" s="105"/>
      <c r="W23" s="106"/>
      <c r="X23" s="111" t="str">
        <f t="shared" si="5"/>
        <v/>
      </c>
      <c r="Y23" s="111" t="str">
        <f t="shared" si="5"/>
        <v/>
      </c>
      <c r="Z23" s="127"/>
      <c r="AA23" s="128" t="e">
        <f>VLOOKUP($M:$M,Data!$I:$J,2,FALSE)</f>
        <v>#N/A</v>
      </c>
      <c r="AB23" s="126"/>
    </row>
    <row r="24" spans="2:28">
      <c r="B24" s="50">
        <v>2</v>
      </c>
      <c r="C24" s="51" t="str">
        <f>VLOOKUP("33/105/2",Data!$A$2:$E$1425,3,FALSE)</f>
        <v>55305 Leo </v>
      </c>
      <c r="D24" s="54"/>
      <c r="E24" s="55"/>
      <c r="G24" s="50">
        <v>2</v>
      </c>
      <c r="H24" s="51" t="str">
        <f>VLOOKUP("33/116/2",Data!$A$2:$E$1425,3,FALSE)</f>
        <v>55645 Gustav </v>
      </c>
      <c r="I24" s="54"/>
      <c r="J24" s="55"/>
      <c r="L24" s="6">
        <f>COUNTA(B31)+L23</f>
        <v>14</v>
      </c>
      <c r="M24" s="79" t="str">
        <f>C31</f>
        <v>55401 Benjamin </v>
      </c>
      <c r="N24" s="80" t="s">
        <v>7430</v>
      </c>
      <c r="O24" s="81">
        <v>33</v>
      </c>
      <c r="P24" s="81">
        <v>107</v>
      </c>
      <c r="Q24" s="62" t="str">
        <f>_xlfn.IFS(COUNTA(B31:B33)=1,"Single",COUNTA(B31:B33)=2,"Double",COUNTA(B31:B33)=3,"Triple",COUNTA(B31:B33)=0,"Empty")</f>
        <v>Double</v>
      </c>
      <c r="R24" s="62"/>
      <c r="S24" s="62"/>
      <c r="T24" s="62"/>
      <c r="U24" s="81">
        <f>B31</f>
        <v>1</v>
      </c>
      <c r="V24" s="100">
        <f>COUNT(B31:B33)</f>
        <v>2</v>
      </c>
      <c r="W24" s="101"/>
      <c r="X24" s="108" t="str">
        <f>IF(D31=0,"",D31)</f>
        <v/>
      </c>
      <c r="Y24" s="108" t="str">
        <f>IF(E31=0,"",E31)</f>
        <v/>
      </c>
      <c r="Z24" s="120" t="s">
        <v>7722</v>
      </c>
      <c r="AA24" s="121" t="e">
        <f>VLOOKUP($M:$M,Data!$I:$J,2,FALSE)</f>
        <v>#N/A</v>
      </c>
      <c r="AB24" s="122"/>
    </row>
    <row r="25" ht="15.25" spans="2:28">
      <c r="B25" s="58">
        <v>3</v>
      </c>
      <c r="C25" s="59">
        <f>VLOOKUP("33/105/3",Data!$A$2:$E$1425,3,FALSE)</f>
        <v>0</v>
      </c>
      <c r="D25" s="56"/>
      <c r="E25" s="57"/>
      <c r="G25" s="58">
        <v>3</v>
      </c>
      <c r="H25" s="59">
        <f>VLOOKUP("33/116/3",Data!$A$2:$E$1425,3,FALSE)</f>
        <v>0</v>
      </c>
      <c r="I25" s="56"/>
      <c r="J25" s="57"/>
      <c r="L25" s="9">
        <f>COUNTA(B32)+L24</f>
        <v>15</v>
      </c>
      <c r="M25" s="31" t="str">
        <f>C32</f>
        <v>55665 Hannes </v>
      </c>
      <c r="N25" s="82" t="s">
        <v>7430</v>
      </c>
      <c r="O25" s="36">
        <v>33</v>
      </c>
      <c r="P25" s="36">
        <v>107</v>
      </c>
      <c r="Q25" s="32"/>
      <c r="R25" s="32"/>
      <c r="S25" s="32"/>
      <c r="T25" s="32"/>
      <c r="U25" s="36">
        <f>B32</f>
        <v>2</v>
      </c>
      <c r="V25" s="103"/>
      <c r="W25" s="104"/>
      <c r="X25" s="109" t="str">
        <f t="shared" ref="X25:Y26" si="6">IF(D32=0,"",D32)</f>
        <v/>
      </c>
      <c r="Y25" s="109" t="str">
        <f t="shared" si="6"/>
        <v/>
      </c>
      <c r="Z25" s="123" t="s">
        <v>7723</v>
      </c>
      <c r="AA25" s="124" t="e">
        <f>VLOOKUP($M:$M,Data!$I:$J,2,FALSE)</f>
        <v>#N/A</v>
      </c>
      <c r="AB25" s="125"/>
    </row>
    <row r="26" ht="15.25" spans="2:28">
      <c r="B26" s="46">
        <v>106</v>
      </c>
      <c r="C26" s="47"/>
      <c r="D26" s="48" t="s">
        <v>6580</v>
      </c>
      <c r="E26" s="49" t="s">
        <v>6581</v>
      </c>
      <c r="G26" s="67" t="s">
        <v>7435</v>
      </c>
      <c r="H26" s="68"/>
      <c r="I26" s="68"/>
      <c r="J26" s="86"/>
      <c r="L26" s="14">
        <f>COUNTA(B33)+L25</f>
        <v>15</v>
      </c>
      <c r="M26" s="83">
        <f>C33</f>
        <v>0</v>
      </c>
      <c r="N26" s="84" t="s">
        <v>7430</v>
      </c>
      <c r="O26" s="85">
        <v>33</v>
      </c>
      <c r="P26" s="85">
        <v>107</v>
      </c>
      <c r="Q26" s="110"/>
      <c r="R26" s="110"/>
      <c r="S26" s="110"/>
      <c r="T26" s="110"/>
      <c r="U26" s="85">
        <f>B33</f>
        <v>0</v>
      </c>
      <c r="V26" s="105"/>
      <c r="W26" s="106"/>
      <c r="X26" s="111" t="str">
        <f t="shared" si="6"/>
        <v/>
      </c>
      <c r="Y26" s="111" t="str">
        <f t="shared" si="6"/>
        <v/>
      </c>
      <c r="Z26" s="127"/>
      <c r="AA26" s="128" t="e">
        <f>VLOOKUP($M:$M,Data!$I:$J,2,FALSE)</f>
        <v>#N/A</v>
      </c>
      <c r="AB26" s="126"/>
    </row>
    <row r="27" spans="2:28">
      <c r="B27" s="50">
        <v>1</v>
      </c>
      <c r="C27" s="51" t="str">
        <f>VLOOKUP("33/106/1",Data!$A$2:$E$1425,3,FALSE)</f>
        <v>55405 Casper</v>
      </c>
      <c r="D27" s="52"/>
      <c r="E27" s="53"/>
      <c r="G27" s="69"/>
      <c r="H27" s="70"/>
      <c r="I27" s="70"/>
      <c r="J27" s="87"/>
      <c r="L27" s="6">
        <f>COUNTA(B35)+L26</f>
        <v>16</v>
      </c>
      <c r="M27" s="79" t="str">
        <f>C35</f>
        <v>55202 Christopher</v>
      </c>
      <c r="N27" s="80" t="s">
        <v>7430</v>
      </c>
      <c r="O27" s="81">
        <v>33</v>
      </c>
      <c r="P27" s="81">
        <v>108</v>
      </c>
      <c r="Q27" s="62" t="str">
        <f>_xlfn.IFS(COUNTA(B35:B37)=1,"Single",COUNTA(B35:B37)=2,"Double",COUNTA(B35:B37)=3,"Triple",COUNTA(B35:B37)=0,"Empty")</f>
        <v>Double</v>
      </c>
      <c r="R27" s="62"/>
      <c r="S27" s="62"/>
      <c r="T27" s="62"/>
      <c r="U27" s="81">
        <f>B35</f>
        <v>1</v>
      </c>
      <c r="V27" s="100">
        <f>COUNT(B35:B37)</f>
        <v>2</v>
      </c>
      <c r="W27" s="101"/>
      <c r="X27" s="108" t="str">
        <f>IF(D35=0,"",D35)</f>
        <v/>
      </c>
      <c r="Y27" s="108" t="str">
        <f>IF(E35=0,"",E35)</f>
        <v/>
      </c>
      <c r="Z27" s="120" t="s">
        <v>7724</v>
      </c>
      <c r="AA27" s="121" t="e">
        <f>VLOOKUP($M:$M,Data!$I:$J,2,FALSE)</f>
        <v>#N/A</v>
      </c>
      <c r="AB27" s="122"/>
    </row>
    <row r="28" spans="2:28">
      <c r="B28" s="50">
        <v>2</v>
      </c>
      <c r="C28" s="51" t="str">
        <f>VLOOKUP("33/106/2",Data!$A$2:$E$1425,3,FALSE)</f>
        <v>55205 Jonathan </v>
      </c>
      <c r="D28" s="54"/>
      <c r="E28" s="55"/>
      <c r="G28" s="69"/>
      <c r="H28" s="70"/>
      <c r="I28" s="70"/>
      <c r="J28" s="87"/>
      <c r="L28" s="9">
        <f>COUNTA(B36)+L27</f>
        <v>17</v>
      </c>
      <c r="M28" s="31" t="str">
        <f>C36</f>
        <v>55655 Andreas </v>
      </c>
      <c r="N28" s="82" t="s">
        <v>7430</v>
      </c>
      <c r="O28" s="36">
        <v>33</v>
      </c>
      <c r="P28" s="36">
        <v>108</v>
      </c>
      <c r="Q28" s="32"/>
      <c r="R28" s="32"/>
      <c r="S28" s="32"/>
      <c r="T28" s="32"/>
      <c r="U28" s="36">
        <f>B36</f>
        <v>2</v>
      </c>
      <c r="V28" s="103"/>
      <c r="W28" s="104"/>
      <c r="X28" s="109" t="str">
        <f t="shared" ref="X28:Y29" si="7">IF(D36=0,"",D36)</f>
        <v/>
      </c>
      <c r="Y28" s="109" t="str">
        <f t="shared" si="7"/>
        <v/>
      </c>
      <c r="Z28" s="123" t="s">
        <v>7725</v>
      </c>
      <c r="AA28" s="124" t="e">
        <f>VLOOKUP($M:$M,Data!$I:$J,2,FALSE)</f>
        <v>#N/A</v>
      </c>
      <c r="AB28" s="125"/>
    </row>
    <row r="29" ht="15.25" spans="2:28">
      <c r="B29" s="58"/>
      <c r="C29" s="59">
        <f>VLOOKUP("33/106/3",Data!$A$2:$E$1425,3,FALSE)</f>
        <v>0</v>
      </c>
      <c r="D29" s="56"/>
      <c r="E29" s="57"/>
      <c r="G29" s="69"/>
      <c r="H29" s="70"/>
      <c r="I29" s="70"/>
      <c r="J29" s="87"/>
      <c r="L29" s="14">
        <f>COUNTA(B37)+L28</f>
        <v>17</v>
      </c>
      <c r="M29" s="83">
        <f>C37</f>
        <v>0</v>
      </c>
      <c r="N29" s="84" t="s">
        <v>7430</v>
      </c>
      <c r="O29" s="85">
        <v>33</v>
      </c>
      <c r="P29" s="85">
        <v>108</v>
      </c>
      <c r="Q29" s="110"/>
      <c r="R29" s="110"/>
      <c r="S29" s="110"/>
      <c r="T29" s="110"/>
      <c r="U29" s="85">
        <f>B37</f>
        <v>0</v>
      </c>
      <c r="V29" s="105"/>
      <c r="W29" s="106"/>
      <c r="X29" s="111" t="str">
        <f t="shared" si="7"/>
        <v/>
      </c>
      <c r="Y29" s="111" t="str">
        <f t="shared" si="7"/>
        <v/>
      </c>
      <c r="Z29" s="127"/>
      <c r="AA29" s="128" t="e">
        <f>VLOOKUP($M:$M,Data!$I:$J,2,FALSE)</f>
        <v>#N/A</v>
      </c>
      <c r="AB29" s="126"/>
    </row>
    <row r="30" spans="2:28">
      <c r="B30" s="46">
        <v>107</v>
      </c>
      <c r="C30" s="47"/>
      <c r="D30" s="48" t="s">
        <v>6580</v>
      </c>
      <c r="E30" s="49" t="s">
        <v>6581</v>
      </c>
      <c r="G30" s="69"/>
      <c r="H30" s="70"/>
      <c r="I30" s="70"/>
      <c r="J30" s="87"/>
      <c r="L30" s="6">
        <f>COUNTA(B39)+L29</f>
        <v>18</v>
      </c>
      <c r="M30" s="79" t="str">
        <f>C39</f>
        <v>55115 Leo </v>
      </c>
      <c r="N30" s="80" t="s">
        <v>7430</v>
      </c>
      <c r="O30" s="81">
        <v>33</v>
      </c>
      <c r="P30" s="81">
        <v>109</v>
      </c>
      <c r="Q30" s="62" t="str">
        <f>_xlfn.IFS(COUNTA(B39:B41)=1,"Single",COUNTA(B39:B41)=2,"Double",COUNTA(B39:B41)=3,"Triple",COUNTA(B39:B41)=0,"Empty")</f>
        <v>Single</v>
      </c>
      <c r="R30" s="62"/>
      <c r="S30" s="62"/>
      <c r="T30" s="62"/>
      <c r="U30" s="81">
        <f>B39</f>
        <v>1</v>
      </c>
      <c r="V30" s="100">
        <f>COUNT(B39:B41)</f>
        <v>1</v>
      </c>
      <c r="W30" s="101"/>
      <c r="X30" s="108" t="str">
        <f>IF(D39=0,"",D39)</f>
        <v/>
      </c>
      <c r="Y30" s="108" t="str">
        <f>IF(E39=0,"",E39)</f>
        <v/>
      </c>
      <c r="Z30" s="120"/>
      <c r="AA30" s="121" t="e">
        <f>VLOOKUP($M:$M,Data!$I:$J,2,FALSE)</f>
        <v>#N/A</v>
      </c>
      <c r="AB30" s="122"/>
    </row>
    <row r="31" spans="2:28">
      <c r="B31" s="50">
        <v>1</v>
      </c>
      <c r="C31" s="51" t="str">
        <f>VLOOKUP("33/107/1",Data!$A$2:$E$1425,3,FALSE)</f>
        <v>55401 Benjamin </v>
      </c>
      <c r="D31" s="52"/>
      <c r="E31" s="53"/>
      <c r="G31" s="69"/>
      <c r="H31" s="70"/>
      <c r="I31" s="70"/>
      <c r="J31" s="87"/>
      <c r="L31" s="9">
        <f>COUNTA(B40)+L30</f>
        <v>18</v>
      </c>
      <c r="M31" s="31" t="str">
        <f>C40</f>
        <v>55215 Elias </v>
      </c>
      <c r="N31" s="82" t="s">
        <v>7430</v>
      </c>
      <c r="O31" s="36">
        <v>33</v>
      </c>
      <c r="P31" s="36">
        <v>109</v>
      </c>
      <c r="Q31" s="32"/>
      <c r="R31" s="32"/>
      <c r="S31" s="32"/>
      <c r="T31" s="32"/>
      <c r="U31" s="36">
        <f>B40</f>
        <v>0</v>
      </c>
      <c r="V31" s="103"/>
      <c r="W31" s="104"/>
      <c r="X31" s="109" t="str">
        <f t="shared" ref="X31:Y32" si="8">IF(D40=0,"",D40)</f>
        <v/>
      </c>
      <c r="Y31" s="109" t="str">
        <f t="shared" si="8"/>
        <v/>
      </c>
      <c r="Z31" s="123"/>
      <c r="AA31" s="124" t="e">
        <f>VLOOKUP($M:$M,Data!$I:$J,2,FALSE)</f>
        <v>#N/A</v>
      </c>
      <c r="AB31" s="125"/>
    </row>
    <row r="32" ht="15.25" spans="2:28">
      <c r="B32" s="50">
        <v>2</v>
      </c>
      <c r="C32" s="51" t="str">
        <f>VLOOKUP("33/107/2",Data!$A$2:$E$1425,3,FALSE)</f>
        <v>55665 Hannes </v>
      </c>
      <c r="D32" s="54"/>
      <c r="E32" s="55"/>
      <c r="G32" s="69"/>
      <c r="H32" s="70"/>
      <c r="I32" s="70"/>
      <c r="J32" s="87"/>
      <c r="L32" s="14">
        <f>COUNTA(B41)+L31</f>
        <v>18</v>
      </c>
      <c r="M32" s="83">
        <f>C41</f>
        <v>0</v>
      </c>
      <c r="N32" s="84" t="s">
        <v>7430</v>
      </c>
      <c r="O32" s="85">
        <v>33</v>
      </c>
      <c r="P32" s="85">
        <v>109</v>
      </c>
      <c r="Q32" s="110"/>
      <c r="R32" s="110"/>
      <c r="S32" s="110"/>
      <c r="T32" s="110"/>
      <c r="U32" s="85">
        <f>B41</f>
        <v>0</v>
      </c>
      <c r="V32" s="105"/>
      <c r="W32" s="106"/>
      <c r="X32" s="111" t="str">
        <f t="shared" si="8"/>
        <v/>
      </c>
      <c r="Y32" s="111" t="str">
        <f t="shared" si="8"/>
        <v/>
      </c>
      <c r="Z32" s="127"/>
      <c r="AA32" s="128" t="e">
        <f>VLOOKUP($M:$M,Data!$I:$J,2,FALSE)</f>
        <v>#N/A</v>
      </c>
      <c r="AB32" s="126"/>
    </row>
    <row r="33" ht="15.25" spans="2:28">
      <c r="B33" s="58"/>
      <c r="C33" s="59">
        <f>VLOOKUP("33/107/3",Data!$A$2:$E$1425,3,FALSE)</f>
        <v>0</v>
      </c>
      <c r="D33" s="56"/>
      <c r="E33" s="57"/>
      <c r="G33" s="71"/>
      <c r="H33" s="72"/>
      <c r="I33" s="72"/>
      <c r="J33" s="88"/>
      <c r="L33" s="6">
        <f>COUNTA(B43)+L32</f>
        <v>19</v>
      </c>
      <c r="M33" s="79" t="str">
        <f>C43</f>
        <v>55125 Elias </v>
      </c>
      <c r="N33" s="80" t="s">
        <v>7430</v>
      </c>
      <c r="O33" s="81">
        <v>33</v>
      </c>
      <c r="P33" s="81">
        <v>110</v>
      </c>
      <c r="Q33" s="62" t="str">
        <f>_xlfn.IFS(COUNTA(B43:B45)=1,"Single",COUNTA(B43:B45)=2,"Double",COUNTA(B43:B45)=3,"Triple",COUNTA(B43:B45)=0,"Empty")</f>
        <v>Single</v>
      </c>
      <c r="R33" s="62"/>
      <c r="S33" s="62"/>
      <c r="T33" s="62"/>
      <c r="U33" s="81">
        <f>B43</f>
        <v>1</v>
      </c>
      <c r="V33" s="100">
        <f>COUNT(B43:B45)</f>
        <v>1</v>
      </c>
      <c r="W33" s="101"/>
      <c r="X33" s="108" t="str">
        <f>IF(D43=0,"",D43)</f>
        <v/>
      </c>
      <c r="Y33" s="108" t="str">
        <f>IF(E43=0,"",E43)</f>
        <v/>
      </c>
      <c r="Z33" s="120"/>
      <c r="AA33" s="121" t="e">
        <f>VLOOKUP($M:$M,Data!$I:$J,2,FALSE)</f>
        <v>#N/A</v>
      </c>
      <c r="AB33" s="122"/>
    </row>
    <row r="34" spans="2:28">
      <c r="B34" s="46">
        <v>108</v>
      </c>
      <c r="C34" s="47"/>
      <c r="D34" s="48" t="s">
        <v>6580</v>
      </c>
      <c r="E34" s="49" t="s">
        <v>6581</v>
      </c>
      <c r="G34" s="46">
        <v>115</v>
      </c>
      <c r="H34" s="47"/>
      <c r="I34" s="48" t="s">
        <v>6580</v>
      </c>
      <c r="J34" s="49" t="s">
        <v>6581</v>
      </c>
      <c r="L34" s="9">
        <f>COUNTA(B44)+L33</f>
        <v>19</v>
      </c>
      <c r="M34" s="31" t="str">
        <f>C44</f>
        <v>55325 Lukas </v>
      </c>
      <c r="N34" s="82" t="s">
        <v>7430</v>
      </c>
      <c r="O34" s="36">
        <v>33</v>
      </c>
      <c r="P34" s="36">
        <v>110</v>
      </c>
      <c r="Q34" s="32"/>
      <c r="R34" s="32"/>
      <c r="S34" s="32"/>
      <c r="T34" s="32"/>
      <c r="U34" s="36">
        <f>B44</f>
        <v>0</v>
      </c>
      <c r="V34" s="103"/>
      <c r="W34" s="104"/>
      <c r="X34" s="109" t="str">
        <f t="shared" ref="X34:Y35" si="9">IF(D44=0,"",D44)</f>
        <v/>
      </c>
      <c r="Y34" s="109" t="str">
        <f t="shared" si="9"/>
        <v/>
      </c>
      <c r="Z34" s="123"/>
      <c r="AA34" s="124" t="e">
        <f>VLOOKUP($M:$M,Data!$I:$J,2,FALSE)</f>
        <v>#N/A</v>
      </c>
      <c r="AB34" s="125"/>
    </row>
    <row r="35" ht="15.25" spans="2:28">
      <c r="B35" s="50">
        <v>1</v>
      </c>
      <c r="C35" s="51" t="str">
        <f>VLOOKUP("33/108/1",Data!$A$2:$E$1425,3,FALSE)</f>
        <v>55202 Christopher</v>
      </c>
      <c r="D35" s="52"/>
      <c r="E35" s="53"/>
      <c r="G35" s="50"/>
      <c r="H35" s="51" t="str">
        <f>VLOOKUP("33/115/1",Data!$A$2:$E$1425,3,FALSE)</f>
        <v>55335 Carl </v>
      </c>
      <c r="I35" s="52"/>
      <c r="J35" s="53"/>
      <c r="L35" s="14">
        <f>COUNTA(B45)+L34</f>
        <v>19</v>
      </c>
      <c r="M35" s="83">
        <f>C45</f>
        <v>0</v>
      </c>
      <c r="N35" s="84" t="s">
        <v>7430</v>
      </c>
      <c r="O35" s="85">
        <v>33</v>
      </c>
      <c r="P35" s="85">
        <v>110</v>
      </c>
      <c r="Q35" s="110"/>
      <c r="R35" s="110"/>
      <c r="S35" s="110"/>
      <c r="T35" s="110"/>
      <c r="U35" s="85">
        <f>B45</f>
        <v>0</v>
      </c>
      <c r="V35" s="105"/>
      <c r="W35" s="106"/>
      <c r="X35" s="111" t="str">
        <f t="shared" si="9"/>
        <v/>
      </c>
      <c r="Y35" s="111" t="str">
        <f t="shared" si="9"/>
        <v/>
      </c>
      <c r="Z35" s="127"/>
      <c r="AA35" s="128" t="e">
        <f>VLOOKUP($M:$M,Data!$I:$J,2,FALSE)</f>
        <v>#N/A</v>
      </c>
      <c r="AB35" s="126"/>
    </row>
    <row r="36" spans="2:28">
      <c r="B36" s="50">
        <v>2</v>
      </c>
      <c r="C36" s="51" t="str">
        <f>VLOOKUP("33/108/2",Data!$A$2:$E$1425,3,FALSE)</f>
        <v>55655 Andreas </v>
      </c>
      <c r="D36" s="54"/>
      <c r="E36" s="55"/>
      <c r="G36" s="50">
        <v>2</v>
      </c>
      <c r="H36" s="51" t="str">
        <f>VLOOKUP("33/115/2",Data!$A$2:$E$1425,3,FALSE)</f>
        <v>55302 Alexander </v>
      </c>
      <c r="I36" s="54"/>
      <c r="J36" s="55"/>
      <c r="L36" s="6">
        <f>COUNTA(B47)+L35</f>
        <v>20</v>
      </c>
      <c r="M36" s="79">
        <f>C47</f>
        <v>0</v>
      </c>
      <c r="N36" s="80" t="s">
        <v>7430</v>
      </c>
      <c r="O36" s="81">
        <v>33</v>
      </c>
      <c r="P36" s="81">
        <v>111</v>
      </c>
      <c r="Q36" s="62" t="str">
        <f>_xlfn.IFS(COUNTA(B47:B49)=1,"Single",COUNTA(B47:B49)=2,"Double",COUNTA(B47:B49)=3,"Triple",COUNTA(B47:B49)=0,"Empty")</f>
        <v>Single</v>
      </c>
      <c r="R36" s="62"/>
      <c r="S36" s="62"/>
      <c r="T36" s="62"/>
      <c r="U36" s="81">
        <f>B47</f>
        <v>1</v>
      </c>
      <c r="V36" s="100">
        <f>COUNT(B47:B49)</f>
        <v>1</v>
      </c>
      <c r="W36" s="101"/>
      <c r="X36" s="108" t="str">
        <f>IF(D47=0,"",D47)</f>
        <v/>
      </c>
      <c r="Y36" s="108" t="str">
        <f>IF(E47=0,"",E47)</f>
        <v/>
      </c>
      <c r="Z36" s="120"/>
      <c r="AA36" s="121" t="e">
        <f>VLOOKUP($M:$M,Data!$I:$J,2,FALSE)</f>
        <v>#N/A</v>
      </c>
      <c r="AB36" s="122"/>
    </row>
    <row r="37" ht="15.25" spans="2:28">
      <c r="B37" s="58"/>
      <c r="C37" s="59">
        <f>VLOOKUP("33/108/3",Data!$A$2:$E$1425,3,FALSE)</f>
        <v>0</v>
      </c>
      <c r="D37" s="56"/>
      <c r="E37" s="57"/>
      <c r="G37" s="58">
        <v>3</v>
      </c>
      <c r="H37" s="59">
        <f>VLOOKUP("33/115/3",Data!$A$2:$E$1425,3,FALSE)</f>
        <v>0</v>
      </c>
      <c r="I37" s="56"/>
      <c r="J37" s="57"/>
      <c r="L37" s="9">
        <f>COUNTA(B48)+L36</f>
        <v>20</v>
      </c>
      <c r="M37" s="31">
        <f>C48</f>
        <v>0</v>
      </c>
      <c r="N37" s="82" t="s">
        <v>7430</v>
      </c>
      <c r="O37" s="36">
        <v>33</v>
      </c>
      <c r="P37" s="36">
        <v>111</v>
      </c>
      <c r="Q37" s="32"/>
      <c r="R37" s="32"/>
      <c r="S37" s="32"/>
      <c r="T37" s="32"/>
      <c r="U37" s="36">
        <f>B48</f>
        <v>0</v>
      </c>
      <c r="V37" s="103"/>
      <c r="W37" s="104"/>
      <c r="X37" s="109" t="str">
        <f t="shared" ref="X37:Y38" si="10">IF(D48=0,"",D48)</f>
        <v/>
      </c>
      <c r="Y37" s="109" t="str">
        <f t="shared" si="10"/>
        <v/>
      </c>
      <c r="Z37" s="123"/>
      <c r="AA37" s="124" t="e">
        <f>VLOOKUP($M:$M,Data!$I:$J,2,FALSE)</f>
        <v>#N/A</v>
      </c>
      <c r="AB37" s="125"/>
    </row>
    <row r="38" ht="15.25" spans="2:28">
      <c r="B38" s="46">
        <v>109</v>
      </c>
      <c r="C38" s="47"/>
      <c r="D38" s="48" t="s">
        <v>6580</v>
      </c>
      <c r="E38" s="49" t="s">
        <v>6581</v>
      </c>
      <c r="G38" s="46">
        <v>114</v>
      </c>
      <c r="H38" s="47"/>
      <c r="I38" s="48" t="s">
        <v>6580</v>
      </c>
      <c r="J38" s="49" t="s">
        <v>6581</v>
      </c>
      <c r="L38" s="14">
        <f>COUNTA(B49)+L37</f>
        <v>20</v>
      </c>
      <c r="M38" s="83">
        <f>C49</f>
        <v>0</v>
      </c>
      <c r="N38" s="84" t="s">
        <v>7430</v>
      </c>
      <c r="O38" s="85">
        <v>33</v>
      </c>
      <c r="P38" s="85">
        <v>111</v>
      </c>
      <c r="Q38" s="110"/>
      <c r="R38" s="110"/>
      <c r="S38" s="110"/>
      <c r="T38" s="110"/>
      <c r="U38" s="85">
        <f>B49</f>
        <v>0</v>
      </c>
      <c r="V38" s="105"/>
      <c r="W38" s="106"/>
      <c r="X38" s="111" t="str">
        <f t="shared" si="10"/>
        <v/>
      </c>
      <c r="Y38" s="111" t="str">
        <f t="shared" si="10"/>
        <v/>
      </c>
      <c r="Z38" s="127"/>
      <c r="AA38" s="128" t="e">
        <f>VLOOKUP($M:$M,Data!$I:$J,2,FALSE)</f>
        <v>#N/A</v>
      </c>
      <c r="AB38" s="126"/>
    </row>
    <row r="39" spans="2:28">
      <c r="B39" s="50">
        <v>1</v>
      </c>
      <c r="C39" s="51" t="str">
        <f>VLOOKUP("33/109/1",Data!$A$2:$E$1425,3,FALSE)</f>
        <v>55115 Leo </v>
      </c>
      <c r="D39" s="52"/>
      <c r="E39" s="53"/>
      <c r="G39" s="50">
        <v>1</v>
      </c>
      <c r="H39" s="51" t="str">
        <f>VLOOKUP("33/114/1",Data!$A$2:$E$1425,3,FALSE)</f>
        <v>55601 Eric </v>
      </c>
      <c r="I39" s="52"/>
      <c r="J39" s="53"/>
      <c r="L39" s="6">
        <f>COUNTA(G47)+L38</f>
        <v>21</v>
      </c>
      <c r="M39" s="79" t="str">
        <f>H47</f>
        <v>54207 Sixten</v>
      </c>
      <c r="N39" s="80" t="s">
        <v>7430</v>
      </c>
      <c r="O39" s="81">
        <v>33</v>
      </c>
      <c r="P39" s="81">
        <v>112</v>
      </c>
      <c r="Q39" s="62" t="str">
        <f>_xlfn.IFS(COUNTA(G47:G49)=1,"Single",COUNTA(G47:G49)=2,"Double",COUNTA(G47:G49)=3,"Triple",COUNTA(G47:G49)=0,"Empty")</f>
        <v>Single</v>
      </c>
      <c r="R39" s="62"/>
      <c r="S39" s="62"/>
      <c r="T39" s="62"/>
      <c r="U39" s="81">
        <f>G47</f>
        <v>1</v>
      </c>
      <c r="V39" s="100">
        <f>COUNT(G47:G49)</f>
        <v>1</v>
      </c>
      <c r="W39" s="101"/>
      <c r="X39" s="108" t="str">
        <f>IF(I47=0,"",I47)</f>
        <v/>
      </c>
      <c r="Y39" s="108" t="str">
        <f>IF(J47=0,"",J47)</f>
        <v/>
      </c>
      <c r="Z39" s="120"/>
      <c r="AA39" s="121" t="e">
        <f>VLOOKUP($M:$M,Data!$I:$J,2,FALSE)</f>
        <v>#N/A</v>
      </c>
      <c r="AB39" s="122"/>
    </row>
    <row r="40" spans="2:28">
      <c r="B40" s="50"/>
      <c r="C40" s="51" t="str">
        <f>VLOOKUP("33/109/2",Data!$A$2:$E$1425,3,FALSE)</f>
        <v>55215 Elias </v>
      </c>
      <c r="D40" s="54"/>
      <c r="E40" s="55"/>
      <c r="G40" s="50">
        <v>2</v>
      </c>
      <c r="H40" s="51" t="str">
        <f>VLOOKUP("33/114/2",Data!$A$2:$E$1425,3,FALSE)</f>
        <v>55105 Noel </v>
      </c>
      <c r="I40" s="54"/>
      <c r="J40" s="55"/>
      <c r="L40" s="9">
        <f>COUNTA(G48)+L39</f>
        <v>21</v>
      </c>
      <c r="M40" s="31">
        <f>H48</f>
        <v>0</v>
      </c>
      <c r="N40" s="82" t="s">
        <v>7430</v>
      </c>
      <c r="O40" s="36">
        <v>33</v>
      </c>
      <c r="P40" s="36">
        <v>112</v>
      </c>
      <c r="Q40" s="32"/>
      <c r="R40" s="32"/>
      <c r="S40" s="32"/>
      <c r="T40" s="32"/>
      <c r="U40" s="36">
        <f>G48</f>
        <v>0</v>
      </c>
      <c r="V40" s="103"/>
      <c r="W40" s="104"/>
      <c r="X40" s="109" t="str">
        <f t="shared" ref="X40:Y41" si="11">IF(I48=0,"",I48)</f>
        <v/>
      </c>
      <c r="Y40" s="109" t="str">
        <f t="shared" si="11"/>
        <v/>
      </c>
      <c r="Z40" s="123"/>
      <c r="AA40" s="124" t="e">
        <f>VLOOKUP($M:$M,Data!$I:$J,2,FALSE)</f>
        <v>#N/A</v>
      </c>
      <c r="AB40" s="125"/>
    </row>
    <row r="41" ht="15.25" spans="2:28">
      <c r="B41" s="58"/>
      <c r="C41" s="59">
        <f>VLOOKUP("33/109/3",Data!$A$2:$E$1425,3,FALSE)</f>
        <v>0</v>
      </c>
      <c r="D41" s="56"/>
      <c r="E41" s="57"/>
      <c r="G41" s="58"/>
      <c r="H41" s="59">
        <f>VLOOKUP("33/114/3",Data!$A$2:$E$1425,3,FALSE)</f>
        <v>0</v>
      </c>
      <c r="I41" s="56"/>
      <c r="J41" s="57"/>
      <c r="L41" s="14">
        <f>COUNTA(G49)+L40</f>
        <v>21</v>
      </c>
      <c r="M41" s="83">
        <f>H49</f>
        <v>0</v>
      </c>
      <c r="N41" s="84" t="s">
        <v>7430</v>
      </c>
      <c r="O41" s="85">
        <v>33</v>
      </c>
      <c r="P41" s="85">
        <v>112</v>
      </c>
      <c r="Q41" s="110"/>
      <c r="R41" s="110"/>
      <c r="S41" s="110"/>
      <c r="T41" s="110"/>
      <c r="U41" s="85">
        <f>G49</f>
        <v>0</v>
      </c>
      <c r="V41" s="105"/>
      <c r="W41" s="106"/>
      <c r="X41" s="111" t="str">
        <f t="shared" si="11"/>
        <v/>
      </c>
      <c r="Y41" s="111" t="str">
        <f t="shared" si="11"/>
        <v/>
      </c>
      <c r="Z41" s="127"/>
      <c r="AA41" s="128" t="e">
        <f>VLOOKUP($M:$M,Data!$I:$J,2,FALSE)</f>
        <v>#N/A</v>
      </c>
      <c r="AB41" s="126"/>
    </row>
    <row r="42" spans="2:28">
      <c r="B42" s="46">
        <v>110</v>
      </c>
      <c r="C42" s="47"/>
      <c r="D42" s="48" t="s">
        <v>6580</v>
      </c>
      <c r="E42" s="49" t="s">
        <v>6581</v>
      </c>
      <c r="G42" s="46">
        <v>113</v>
      </c>
      <c r="H42" s="47"/>
      <c r="I42" s="48" t="s">
        <v>6580</v>
      </c>
      <c r="J42" s="49" t="s">
        <v>6581</v>
      </c>
      <c r="L42" s="6">
        <f>COUNTA(G43)+L41</f>
        <v>22</v>
      </c>
      <c r="M42" s="79" t="str">
        <f>H43</f>
        <v>54111 Jimmy (ssk på plats v4-10)</v>
      </c>
      <c r="N42" s="80" t="s">
        <v>7430</v>
      </c>
      <c r="O42" s="81">
        <v>33</v>
      </c>
      <c r="P42" s="81">
        <v>113</v>
      </c>
      <c r="Q42" s="62" t="str">
        <f>_xlfn.IFS(COUNTA(G43:G45)=1,"Single",COUNTA(G43:G45)=2,"Double",COUNTA(G43:G45)=3,"Triple",COUNTA(G43:G45)=0,"Empty")</f>
        <v>Single</v>
      </c>
      <c r="R42" s="62"/>
      <c r="S42" s="62"/>
      <c r="T42" s="62"/>
      <c r="U42" s="81">
        <f>G43</f>
        <v>1</v>
      </c>
      <c r="V42" s="100">
        <f>COUNT(G43:G45)</f>
        <v>1</v>
      </c>
      <c r="W42" s="101"/>
      <c r="X42" s="108" t="str">
        <f>IF(I43=0,"",I43)</f>
        <v/>
      </c>
      <c r="Y42" s="108" t="str">
        <f>IF(J43=0,"",J43)</f>
        <v/>
      </c>
      <c r="Z42" s="120"/>
      <c r="AA42" s="121" t="e">
        <f>VLOOKUP($M:$M,Data!$I:$J,2,FALSE)</f>
        <v>#N/A</v>
      </c>
      <c r="AB42" s="122"/>
    </row>
    <row r="43" spans="2:28">
      <c r="B43" s="50">
        <v>1</v>
      </c>
      <c r="C43" s="51" t="str">
        <f>VLOOKUP("33/110/1",Data!$A$2:$E$1425,3,FALSE)</f>
        <v>55125 Elias </v>
      </c>
      <c r="D43" s="52"/>
      <c r="E43" s="53"/>
      <c r="G43" s="50">
        <v>1</v>
      </c>
      <c r="H43" s="51" t="str">
        <f>VLOOKUP("33/113/1",Data!$A$2:$E$1425,3,FALSE)</f>
        <v>54111 Jimmy (ssk på plats v4-10)</v>
      </c>
      <c r="I43" s="52"/>
      <c r="J43" s="53"/>
      <c r="L43" s="9">
        <f>COUNTA(G44)+L42</f>
        <v>22</v>
      </c>
      <c r="M43" s="31">
        <f>H44</f>
        <v>0</v>
      </c>
      <c r="N43" s="82" t="s">
        <v>7430</v>
      </c>
      <c r="O43" s="36">
        <v>33</v>
      </c>
      <c r="P43" s="36">
        <v>113</v>
      </c>
      <c r="Q43" s="32"/>
      <c r="R43" s="32"/>
      <c r="S43" s="32"/>
      <c r="T43" s="32"/>
      <c r="U43" s="36">
        <f>G44</f>
        <v>0</v>
      </c>
      <c r="V43" s="103"/>
      <c r="W43" s="104"/>
      <c r="X43" s="109" t="str">
        <f t="shared" ref="X43:Y44" si="12">IF(I44=0,"",I44)</f>
        <v/>
      </c>
      <c r="Y43" s="109" t="str">
        <f t="shared" si="12"/>
        <v/>
      </c>
      <c r="Z43" s="123"/>
      <c r="AA43" s="124" t="e">
        <f>VLOOKUP($M:$M,Data!$I:$J,2,FALSE)</f>
        <v>#N/A</v>
      </c>
      <c r="AB43" s="125"/>
    </row>
    <row r="44" ht="15.25" spans="2:28">
      <c r="B44" s="50"/>
      <c r="C44" s="51" t="str">
        <f>VLOOKUP("33/110/2",Data!$A$2:$E$1425,3,FALSE)</f>
        <v>55325 Lukas </v>
      </c>
      <c r="D44" s="54"/>
      <c r="E44" s="55"/>
      <c r="G44" s="50"/>
      <c r="H44" s="51">
        <f>VLOOKUP("33/113/2",Data!$A$2:$E$1425,3,FALSE)</f>
        <v>0</v>
      </c>
      <c r="I44" s="54"/>
      <c r="J44" s="55"/>
      <c r="L44" s="14">
        <f>COUNTA(G45)+L43</f>
        <v>22</v>
      </c>
      <c r="M44" s="83">
        <f>H45</f>
        <v>0</v>
      </c>
      <c r="N44" s="84" t="s">
        <v>7430</v>
      </c>
      <c r="O44" s="85">
        <v>33</v>
      </c>
      <c r="P44" s="85">
        <v>113</v>
      </c>
      <c r="Q44" s="110"/>
      <c r="R44" s="110"/>
      <c r="S44" s="110"/>
      <c r="T44" s="110"/>
      <c r="U44" s="85">
        <f>G45</f>
        <v>0</v>
      </c>
      <c r="V44" s="105"/>
      <c r="W44" s="106"/>
      <c r="X44" s="111" t="str">
        <f t="shared" si="12"/>
        <v/>
      </c>
      <c r="Y44" s="111" t="str">
        <f t="shared" si="12"/>
        <v/>
      </c>
      <c r="Z44" s="127"/>
      <c r="AA44" s="128" t="e">
        <f>VLOOKUP($M:$M,Data!$I:$J,2,FALSE)</f>
        <v>#N/A</v>
      </c>
      <c r="AB44" s="126"/>
    </row>
    <row r="45" ht="15.25" spans="2:28">
      <c r="B45" s="58"/>
      <c r="C45" s="59">
        <f>VLOOKUP("33/110/3",Data!$A$2:$E$1425,3,FALSE)</f>
        <v>0</v>
      </c>
      <c r="D45" s="56"/>
      <c r="E45" s="57"/>
      <c r="G45" s="58"/>
      <c r="H45" s="59">
        <f>VLOOKUP("33/113/3",Data!$A$2:$E$1425,3,FALSE)</f>
        <v>0</v>
      </c>
      <c r="I45" s="56"/>
      <c r="J45" s="57"/>
      <c r="L45" s="6">
        <f>COUNTA(G39)+L44</f>
        <v>23</v>
      </c>
      <c r="M45" s="79" t="str">
        <f>H39</f>
        <v>55601 Eric </v>
      </c>
      <c r="N45" s="80" t="s">
        <v>7430</v>
      </c>
      <c r="O45" s="81">
        <v>33</v>
      </c>
      <c r="P45" s="81">
        <v>114</v>
      </c>
      <c r="Q45" s="62" t="str">
        <f>_xlfn.IFS(COUNTA(G39:G41)=1,"Single",COUNTA(G39:G41)=2,"Double",COUNTA(G39:G41)=3,"Triple",COUNTA(G39:G41)=0,"Empty")</f>
        <v>Double</v>
      </c>
      <c r="R45" s="62"/>
      <c r="S45" s="62"/>
      <c r="T45" s="62"/>
      <c r="U45" s="81">
        <f>G39</f>
        <v>1</v>
      </c>
      <c r="V45" s="100">
        <f>COUNT(G39:G41)</f>
        <v>2</v>
      </c>
      <c r="W45" s="101"/>
      <c r="X45" s="108" t="str">
        <f>IF(I39=0,"",I39)</f>
        <v/>
      </c>
      <c r="Y45" s="108" t="str">
        <f>IF(J39=0,"",J39)</f>
        <v/>
      </c>
      <c r="Z45" s="120" t="s">
        <v>7726</v>
      </c>
      <c r="AA45" s="121" t="e">
        <f>VLOOKUP($M:$M,Data!$I:$J,2,FALSE)</f>
        <v>#N/A</v>
      </c>
      <c r="AB45" s="122"/>
    </row>
    <row r="46" spans="2:28">
      <c r="B46" s="46">
        <v>111</v>
      </c>
      <c r="C46" s="47"/>
      <c r="D46" s="48" t="s">
        <v>6580</v>
      </c>
      <c r="E46" s="49" t="s">
        <v>6581</v>
      </c>
      <c r="G46" s="46">
        <v>112</v>
      </c>
      <c r="H46" s="47"/>
      <c r="I46" s="48" t="s">
        <v>6580</v>
      </c>
      <c r="J46" s="49" t="s">
        <v>6581</v>
      </c>
      <c r="L46" s="9">
        <f>COUNTA(G40)+L45</f>
        <v>24</v>
      </c>
      <c r="M46" s="31" t="str">
        <f>H40</f>
        <v>55105 Noel </v>
      </c>
      <c r="N46" s="82" t="s">
        <v>7430</v>
      </c>
      <c r="O46" s="36">
        <v>33</v>
      </c>
      <c r="P46" s="36">
        <v>114</v>
      </c>
      <c r="Q46" s="32"/>
      <c r="R46" s="32"/>
      <c r="S46" s="32"/>
      <c r="T46" s="32"/>
      <c r="U46" s="36">
        <f>G40</f>
        <v>2</v>
      </c>
      <c r="V46" s="103"/>
      <c r="W46" s="104"/>
      <c r="X46" s="109" t="str">
        <f t="shared" ref="X46:Y47" si="13">IF(I40=0,"",I40)</f>
        <v/>
      </c>
      <c r="Y46" s="109" t="str">
        <f t="shared" si="13"/>
        <v/>
      </c>
      <c r="Z46" s="123" t="s">
        <v>7727</v>
      </c>
      <c r="AA46" s="124" t="e">
        <f>VLOOKUP($M:$M,Data!$I:$J,2,FALSE)</f>
        <v>#N/A</v>
      </c>
      <c r="AB46" s="125"/>
    </row>
    <row r="47" ht="15.25" spans="2:28">
      <c r="B47" s="50">
        <v>1</v>
      </c>
      <c r="C47" s="51">
        <f>VLOOKUP("33/111/1",Data!$A$2:$E$1425,3,FALSE)</f>
        <v>0</v>
      </c>
      <c r="D47" s="52"/>
      <c r="E47" s="53"/>
      <c r="G47" s="50">
        <v>1</v>
      </c>
      <c r="H47" s="51" t="str">
        <f>VLOOKUP("33/112/1",Data!$A$2:$E$1425,3,FALSE)</f>
        <v>54207 Sixten</v>
      </c>
      <c r="I47" s="52"/>
      <c r="J47" s="53"/>
      <c r="L47" s="14">
        <f>COUNTA(G41)+L46</f>
        <v>24</v>
      </c>
      <c r="M47" s="83">
        <f>H41</f>
        <v>0</v>
      </c>
      <c r="N47" s="84" t="s">
        <v>7430</v>
      </c>
      <c r="O47" s="85">
        <v>33</v>
      </c>
      <c r="P47" s="85">
        <v>114</v>
      </c>
      <c r="Q47" s="110"/>
      <c r="R47" s="110"/>
      <c r="S47" s="110"/>
      <c r="T47" s="110"/>
      <c r="U47" s="85">
        <f>G41</f>
        <v>0</v>
      </c>
      <c r="V47" s="105"/>
      <c r="W47" s="106"/>
      <c r="X47" s="111" t="str">
        <f t="shared" si="13"/>
        <v/>
      </c>
      <c r="Y47" s="111" t="str">
        <f t="shared" si="13"/>
        <v/>
      </c>
      <c r="Z47" s="127"/>
      <c r="AA47" s="128" t="e">
        <f>VLOOKUP($M:$M,Data!$I:$J,2,FALSE)</f>
        <v>#N/A</v>
      </c>
      <c r="AB47" s="126"/>
    </row>
    <row r="48" spans="2:28">
      <c r="B48" s="50"/>
      <c r="C48" s="51">
        <f>VLOOKUP("33/111/2",Data!$A$2:$E$1425,3,FALSE)</f>
        <v>0</v>
      </c>
      <c r="D48" s="54"/>
      <c r="E48" s="55"/>
      <c r="G48" s="50"/>
      <c r="H48" s="51">
        <f>VLOOKUP("33/112/2",Data!$A$2:$E$1425,3,FALSE)</f>
        <v>0</v>
      </c>
      <c r="I48" s="54"/>
      <c r="J48" s="55"/>
      <c r="L48" s="6">
        <f>COUNTA(G35)+L47</f>
        <v>24</v>
      </c>
      <c r="M48" s="79" t="str">
        <f>H35</f>
        <v>55335 Carl </v>
      </c>
      <c r="N48" s="80" t="s">
        <v>7430</v>
      </c>
      <c r="O48" s="81">
        <v>33</v>
      </c>
      <c r="P48" s="81">
        <v>115</v>
      </c>
      <c r="Q48" s="62" t="str">
        <f>_xlfn.IFS(COUNTA(G35:G37)=1,"Single",COUNTA(G35:G37)=2,"Double",COUNTA(G35:G37)=3,"Triple",COUNTA(G35:G37)=0,"Empty")</f>
        <v>Double</v>
      </c>
      <c r="R48" s="62"/>
      <c r="S48" s="62"/>
      <c r="T48" s="62"/>
      <c r="U48" s="81">
        <f>G35</f>
        <v>0</v>
      </c>
      <c r="V48" s="100">
        <f>COUNT(G35:G37)</f>
        <v>2</v>
      </c>
      <c r="W48" s="101"/>
      <c r="X48" s="108" t="str">
        <f>IF(I35=0,"",I35)</f>
        <v/>
      </c>
      <c r="Y48" s="108" t="str">
        <f>IF(J35=0,"",J35)</f>
        <v/>
      </c>
      <c r="Z48" s="120"/>
      <c r="AA48" s="121" t="e">
        <f>VLOOKUP($M:$M,Data!$I:$J,2,FALSE)</f>
        <v>#N/A</v>
      </c>
      <c r="AB48" s="122" t="s">
        <v>7728</v>
      </c>
    </row>
    <row r="49" ht="15.25" spans="2:28">
      <c r="B49" s="58"/>
      <c r="C49" s="59">
        <f>VLOOKUP("33/111/3",Data!$A$2:$E$1425,3,FALSE)</f>
        <v>0</v>
      </c>
      <c r="D49" s="56"/>
      <c r="E49" s="57"/>
      <c r="G49" s="58"/>
      <c r="H49" s="59">
        <f>VLOOKUP("33/112/3",Data!$A$2:$E$1425,3,FALSE)</f>
        <v>0</v>
      </c>
      <c r="I49" s="56"/>
      <c r="J49" s="57"/>
      <c r="L49" s="9">
        <f>COUNTA(G36)+L48</f>
        <v>25</v>
      </c>
      <c r="M49" s="31" t="str">
        <f>H36</f>
        <v>55302 Alexander </v>
      </c>
      <c r="N49" s="82" t="s">
        <v>7430</v>
      </c>
      <c r="O49" s="36">
        <v>33</v>
      </c>
      <c r="P49" s="36">
        <v>115</v>
      </c>
      <c r="Q49" s="32"/>
      <c r="R49" s="32"/>
      <c r="S49" s="32"/>
      <c r="T49" s="32"/>
      <c r="U49" s="36">
        <f>G36</f>
        <v>2</v>
      </c>
      <c r="V49" s="103"/>
      <c r="W49" s="104"/>
      <c r="X49" s="109" t="str">
        <f t="shared" ref="X49:Y50" si="14">IF(I36=0,"",I36)</f>
        <v/>
      </c>
      <c r="Y49" s="109" t="str">
        <f t="shared" si="14"/>
        <v/>
      </c>
      <c r="Z49" s="123" t="s">
        <v>7729</v>
      </c>
      <c r="AA49" s="124" t="e">
        <f>VLOOKUP($M:$M,Data!$I:$J,2,FALSE)</f>
        <v>#N/A</v>
      </c>
      <c r="AB49" s="125"/>
    </row>
    <row r="50" ht="15.25" spans="12:28">
      <c r="L50" s="14">
        <f>COUNTA(G37)+L49</f>
        <v>26</v>
      </c>
      <c r="M50" s="83">
        <f>H37</f>
        <v>0</v>
      </c>
      <c r="N50" s="84" t="s">
        <v>7430</v>
      </c>
      <c r="O50" s="85">
        <v>33</v>
      </c>
      <c r="P50" s="85">
        <v>115</v>
      </c>
      <c r="Q50" s="110"/>
      <c r="R50" s="110"/>
      <c r="S50" s="110"/>
      <c r="T50" s="110"/>
      <c r="U50" s="85">
        <f>G37</f>
        <v>3</v>
      </c>
      <c r="V50" s="105"/>
      <c r="W50" s="106"/>
      <c r="X50" s="111" t="str">
        <f t="shared" si="14"/>
        <v/>
      </c>
      <c r="Y50" s="111" t="str">
        <f t="shared" si="14"/>
        <v/>
      </c>
      <c r="Z50" s="127"/>
      <c r="AA50" s="128" t="e">
        <f>VLOOKUP($M:$M,Data!$I:$J,2,FALSE)</f>
        <v>#N/A</v>
      </c>
      <c r="AB50" s="126"/>
    </row>
    <row r="51" spans="3:28">
      <c r="C51" s="1" t="s">
        <v>7730</v>
      </c>
      <c r="D51" s="1"/>
      <c r="E51" s="1"/>
      <c r="F51" s="1"/>
      <c r="G51" s="1"/>
      <c r="H51" s="1"/>
      <c r="I51" s="1"/>
      <c r="J51" s="89"/>
      <c r="L51" s="6">
        <f>COUNTA(G23)+L50</f>
        <v>27</v>
      </c>
      <c r="M51" s="79" t="str">
        <f>H23</f>
        <v>55675 Ture </v>
      </c>
      <c r="N51" s="80" t="s">
        <v>7430</v>
      </c>
      <c r="O51" s="81">
        <v>33</v>
      </c>
      <c r="P51" s="81">
        <v>116</v>
      </c>
      <c r="Q51" s="62" t="str">
        <f>_xlfn.IFS(COUNTA(G23:G25)=1,"Single",COUNTA(G23:G25)=2,"Double",COUNTA(G23:G25)=3,"Triple",COUNTA(G23:G25)=0,"Empty")</f>
        <v>Triple</v>
      </c>
      <c r="R51" s="62"/>
      <c r="S51" s="62"/>
      <c r="T51" s="62"/>
      <c r="U51" s="81">
        <f>G23</f>
        <v>1</v>
      </c>
      <c r="V51" s="100">
        <f>COUNT(G23:G25)</f>
        <v>3</v>
      </c>
      <c r="W51" s="101"/>
      <c r="X51" s="108" t="str">
        <f>IF(I23=0,"",I23)</f>
        <v/>
      </c>
      <c r="Y51" s="108" t="str">
        <f>IF(J23=0,"",J23)</f>
        <v/>
      </c>
      <c r="Z51" s="120" t="s">
        <v>7731</v>
      </c>
      <c r="AA51" s="121" t="e">
        <f>VLOOKUP($M:$M,Data!$I:$J,2,FALSE)</f>
        <v>#N/A</v>
      </c>
      <c r="AB51" s="122"/>
    </row>
    <row r="52" ht="15.25" spans="2:28">
      <c r="B52" s="45" t="s">
        <v>7427</v>
      </c>
      <c r="C52" s="45"/>
      <c r="D52" s="45"/>
      <c r="E52" s="45"/>
      <c r="G52" s="45" t="s">
        <v>7427</v>
      </c>
      <c r="H52" s="45"/>
      <c r="I52" s="45"/>
      <c r="J52" s="45"/>
      <c r="L52" s="9">
        <f>COUNTA(G24)+L51</f>
        <v>28</v>
      </c>
      <c r="M52" s="31" t="str">
        <f>H24</f>
        <v>55645 Gustav </v>
      </c>
      <c r="N52" s="82" t="s">
        <v>7430</v>
      </c>
      <c r="O52" s="36">
        <v>33</v>
      </c>
      <c r="P52" s="36">
        <v>116</v>
      </c>
      <c r="Q52" s="32"/>
      <c r="R52" s="32"/>
      <c r="S52" s="32"/>
      <c r="T52" s="32"/>
      <c r="U52" s="36">
        <f>G24</f>
        <v>2</v>
      </c>
      <c r="V52" s="103"/>
      <c r="W52" s="104"/>
      <c r="X52" s="109" t="str">
        <f t="shared" ref="X52:Y53" si="15">IF(I24=0,"",I24)</f>
        <v/>
      </c>
      <c r="Y52" s="109" t="str">
        <f t="shared" si="15"/>
        <v/>
      </c>
      <c r="Z52" s="123" t="s">
        <v>7732</v>
      </c>
      <c r="AA52" s="124" t="e">
        <f>VLOOKUP($M:$M,Data!$I:$J,2,FALSE)</f>
        <v>#N/A</v>
      </c>
      <c r="AB52" s="125" t="s">
        <v>7733</v>
      </c>
    </row>
    <row r="53" ht="15.25" spans="2:28">
      <c r="B53" s="46">
        <v>201</v>
      </c>
      <c r="C53" s="47"/>
      <c r="D53" s="48" t="s">
        <v>6580</v>
      </c>
      <c r="E53" s="49" t="s">
        <v>6581</v>
      </c>
      <c r="G53" s="46">
        <v>220</v>
      </c>
      <c r="H53" s="47"/>
      <c r="I53" s="48" t="s">
        <v>6580</v>
      </c>
      <c r="J53" s="49" t="s">
        <v>6581</v>
      </c>
      <c r="L53" s="14">
        <f>COUNTA(G25)+L52</f>
        <v>29</v>
      </c>
      <c r="M53" s="83">
        <f>H25</f>
        <v>0</v>
      </c>
      <c r="N53" s="82" t="s">
        <v>7430</v>
      </c>
      <c r="O53" s="85">
        <v>33</v>
      </c>
      <c r="P53" s="85">
        <v>116</v>
      </c>
      <c r="Q53" s="110"/>
      <c r="R53" s="110"/>
      <c r="S53" s="110"/>
      <c r="T53" s="110"/>
      <c r="U53" s="85">
        <f>G25</f>
        <v>3</v>
      </c>
      <c r="V53" s="105"/>
      <c r="W53" s="106"/>
      <c r="X53" s="111" t="str">
        <f t="shared" si="15"/>
        <v/>
      </c>
      <c r="Y53" s="111" t="str">
        <f t="shared" si="15"/>
        <v/>
      </c>
      <c r="Z53" s="127"/>
      <c r="AA53" s="128" t="e">
        <f>VLOOKUP($M:$M,Data!$I:$J,2,FALSE)</f>
        <v>#N/A</v>
      </c>
      <c r="AB53" s="126"/>
    </row>
    <row r="54" spans="2:28">
      <c r="B54" s="50">
        <v>1</v>
      </c>
      <c r="C54" s="51" t="str">
        <f>VLOOKUP("33/201/1",Data!$A$2:$E$1425,3,FALSE)</f>
        <v>50001 Marcus</v>
      </c>
      <c r="D54" s="52"/>
      <c r="E54" s="53"/>
      <c r="G54" s="50">
        <v>1</v>
      </c>
      <c r="H54" s="51" t="str">
        <f>VLOOKUP("33/220/1",Data!$A$2:$E$1425,3,FALSE)</f>
        <v>50002 Sebastian </v>
      </c>
      <c r="I54" s="52"/>
      <c r="J54" s="53"/>
      <c r="L54" s="6">
        <f>COUNTA(G19)+L53</f>
        <v>30</v>
      </c>
      <c r="M54" s="79" t="str">
        <f>H19</f>
        <v> 55101 Hampus </v>
      </c>
      <c r="N54" s="80" t="s">
        <v>7430</v>
      </c>
      <c r="O54" s="81">
        <v>33</v>
      </c>
      <c r="P54" s="81">
        <v>117</v>
      </c>
      <c r="Q54" s="62" t="str">
        <f>_xlfn.IFS(COUNTA(G19:G21)=1,"Single",COUNTA(G19:G21)=2,"Double",COUNTA(G19:G21)=3,"Triple",COUNTA(G19:G21)=0,"Empty")</f>
        <v>Double</v>
      </c>
      <c r="R54" s="62"/>
      <c r="S54" s="62"/>
      <c r="T54" s="62"/>
      <c r="U54" s="81">
        <f>G19</f>
        <v>1</v>
      </c>
      <c r="V54" s="100">
        <f>COUNT(G19:G21)</f>
        <v>2</v>
      </c>
      <c r="W54" s="101"/>
      <c r="X54" s="108" t="str">
        <f>IF(I19=0,"",I19)</f>
        <v/>
      </c>
      <c r="Y54" s="108" t="str">
        <f>IF(J19=0,"",J19)</f>
        <v/>
      </c>
      <c r="Z54" s="120" t="s">
        <v>7734</v>
      </c>
      <c r="AA54" s="121" t="e">
        <f>VLOOKUP($M:$M,Data!$I:$J,2,FALSE)</f>
        <v>#N/A</v>
      </c>
      <c r="AB54" s="122"/>
    </row>
    <row r="55" spans="2:28">
      <c r="B55" s="50">
        <v>2</v>
      </c>
      <c r="C55" s="51">
        <f>VLOOKUP("33/201/2",Data!$A$2:$E$1425,3,FALSE)</f>
        <v>0</v>
      </c>
      <c r="D55" s="54"/>
      <c r="E55" s="55"/>
      <c r="G55" s="50">
        <v>2</v>
      </c>
      <c r="H55" s="51">
        <f>VLOOKUP("33/220/2",Data!$A$2:$E$1425,3,FALSE)</f>
        <v>0</v>
      </c>
      <c r="I55" s="54"/>
      <c r="J55" s="55"/>
      <c r="L55" s="9">
        <f>COUNTA(G20)+L54</f>
        <v>31</v>
      </c>
      <c r="M55" s="31" t="str">
        <f>H20</f>
        <v>55605 Oscar </v>
      </c>
      <c r="N55" s="82" t="s">
        <v>7430</v>
      </c>
      <c r="O55" s="36">
        <v>33</v>
      </c>
      <c r="P55" s="36">
        <v>117</v>
      </c>
      <c r="Q55" s="32"/>
      <c r="R55" s="32"/>
      <c r="S55" s="32"/>
      <c r="T55" s="32"/>
      <c r="U55" s="36">
        <f>G20</f>
        <v>2</v>
      </c>
      <c r="V55" s="103"/>
      <c r="W55" s="104"/>
      <c r="X55" s="109" t="str">
        <f t="shared" ref="X55:Y56" si="16">IF(I20=0,"",I20)</f>
        <v/>
      </c>
      <c r="Y55" s="109" t="str">
        <f t="shared" si="16"/>
        <v/>
      </c>
      <c r="Z55" s="123" t="s">
        <v>7735</v>
      </c>
      <c r="AA55" s="124" t="e">
        <f>VLOOKUP($M:$M,Data!$I:$J,2,FALSE)</f>
        <v>#N/A</v>
      </c>
      <c r="AB55" s="125"/>
    </row>
    <row r="56" ht="15.25" spans="2:28">
      <c r="B56" s="58"/>
      <c r="C56" s="59">
        <f>VLOOKUP("33/201/3",Data!$A$2:$E$1425,3,FALSE)</f>
        <v>0</v>
      </c>
      <c r="D56" s="56"/>
      <c r="E56" s="57"/>
      <c r="G56" s="58"/>
      <c r="H56" s="59">
        <f>VLOOKUP("33/220/3",Data!$A$2:$E$1425,3,FALSE)</f>
        <v>0</v>
      </c>
      <c r="I56" s="56"/>
      <c r="J56" s="57"/>
      <c r="L56" s="14">
        <f>COUNTA(G21)+L55</f>
        <v>31</v>
      </c>
      <c r="M56" s="83">
        <f>H21</f>
        <v>0</v>
      </c>
      <c r="N56" s="84" t="s">
        <v>7430</v>
      </c>
      <c r="O56" s="85">
        <v>33</v>
      </c>
      <c r="P56" s="85">
        <v>117</v>
      </c>
      <c r="Q56" s="110"/>
      <c r="R56" s="110"/>
      <c r="S56" s="110"/>
      <c r="T56" s="110"/>
      <c r="U56" s="85">
        <f>G21</f>
        <v>0</v>
      </c>
      <c r="V56" s="105"/>
      <c r="W56" s="106"/>
      <c r="X56" s="111" t="str">
        <f t="shared" si="16"/>
        <v/>
      </c>
      <c r="Y56" s="111" t="str">
        <f t="shared" si="16"/>
        <v/>
      </c>
      <c r="Z56" s="127" t="s">
        <v>7736</v>
      </c>
      <c r="AA56" s="128" t="e">
        <f>VLOOKUP($M:$M,Data!$I:$J,2,FALSE)</f>
        <v>#N/A</v>
      </c>
      <c r="AB56" s="126"/>
    </row>
    <row r="57" spans="2:28">
      <c r="B57" s="46">
        <v>202</v>
      </c>
      <c r="C57" s="47"/>
      <c r="D57" s="48" t="s">
        <v>6580</v>
      </c>
      <c r="E57" s="49" t="s">
        <v>6581</v>
      </c>
      <c r="G57" s="46">
        <v>219</v>
      </c>
      <c r="H57" s="47"/>
      <c r="I57" s="48" t="s">
        <v>6580</v>
      </c>
      <c r="J57" s="49" t="s">
        <v>6581</v>
      </c>
      <c r="L57" s="6">
        <f>COUNTA(G15)+L56</f>
        <v>31</v>
      </c>
      <c r="M57" s="79" t="str">
        <f>H15</f>
        <v>55602 Signe </v>
      </c>
      <c r="N57" s="80" t="s">
        <v>7430</v>
      </c>
      <c r="O57" s="81">
        <v>33</v>
      </c>
      <c r="P57" s="81">
        <v>118</v>
      </c>
      <c r="Q57" s="62" t="str">
        <f>_xlfn.IFS(COUNTA(G15:G17)=1,"Single",COUNTA(G15:G17)=2,"Double",COUNTA(G15:G17)=3,"Triple",COUNTA(G15:G17)=0,"Empty")</f>
        <v>Double</v>
      </c>
      <c r="R57" s="62"/>
      <c r="S57" s="62"/>
      <c r="T57" s="62"/>
      <c r="U57" s="81">
        <f>G15</f>
        <v>0</v>
      </c>
      <c r="V57" s="100">
        <f>COUNT(G15:G17)</f>
        <v>2</v>
      </c>
      <c r="W57" s="101"/>
      <c r="X57" s="108" t="str">
        <f>IF(I15=0,"",I15)</f>
        <v/>
      </c>
      <c r="Y57" s="108" t="str">
        <f>IF(J15=0,"",J15)</f>
        <v/>
      </c>
      <c r="Z57" s="120" t="s">
        <v>7737</v>
      </c>
      <c r="AA57" s="121" t="e">
        <f>VLOOKUP($M:$M,Data!$I:$J,2,FALSE)</f>
        <v>#N/A</v>
      </c>
      <c r="AB57" s="122"/>
    </row>
    <row r="58" spans="2:28">
      <c r="B58" s="50">
        <v>1</v>
      </c>
      <c r="C58" s="51" t="str">
        <f>VLOOKUP("33/202/1",Data!$A$2:$E$1425,3,FALSE)</f>
        <v>500041 Marcus </v>
      </c>
      <c r="D58" s="52"/>
      <c r="E58" s="53"/>
      <c r="G58" s="50">
        <v>1</v>
      </c>
      <c r="H58" s="51" t="str">
        <f>VLOOKUP("33/219/1",Data!$A$2:$E$1425,3,FALSE)</f>
        <v>500048 Samuel </v>
      </c>
      <c r="I58" s="52"/>
      <c r="J58" s="53"/>
      <c r="L58" s="9">
        <f>COUNTA(G16)+L57</f>
        <v>32</v>
      </c>
      <c r="M58" s="31" t="str">
        <f>H16</f>
        <v>55615 Tilde </v>
      </c>
      <c r="N58" s="82" t="s">
        <v>7430</v>
      </c>
      <c r="O58" s="36">
        <v>33</v>
      </c>
      <c r="P58" s="36">
        <v>118</v>
      </c>
      <c r="Q58" s="32"/>
      <c r="R58" s="32"/>
      <c r="S58" s="32"/>
      <c r="T58" s="32"/>
      <c r="U58" s="36">
        <f>G16</f>
        <v>2</v>
      </c>
      <c r="V58" s="103"/>
      <c r="W58" s="104"/>
      <c r="X58" s="109" t="str">
        <f t="shared" ref="X58:Y59" si="17">IF(I16=0,"",I16)</f>
        <v/>
      </c>
      <c r="Y58" s="109" t="str">
        <f t="shared" si="17"/>
        <v/>
      </c>
      <c r="Z58" s="123" t="s">
        <v>7738</v>
      </c>
      <c r="AA58" s="124" t="e">
        <f>VLOOKUP($M:$M,Data!$I:$J,2,FALSE)</f>
        <v>#N/A</v>
      </c>
      <c r="AB58" s="125"/>
    </row>
    <row r="59" ht="15.25" spans="2:28">
      <c r="B59" s="50">
        <v>2</v>
      </c>
      <c r="C59" s="51">
        <f>VLOOKUP("33/202/2",Data!$A$2:$E$1425,3,FALSE)</f>
        <v>0</v>
      </c>
      <c r="D59" s="54"/>
      <c r="E59" s="55"/>
      <c r="G59" s="50">
        <v>2</v>
      </c>
      <c r="H59" s="51">
        <f>VLOOKUP("33/219/2",Data!$A$2:$E$1425,3,FALSE)</f>
        <v>0</v>
      </c>
      <c r="I59" s="54"/>
      <c r="J59" s="55"/>
      <c r="L59" s="14">
        <f>COUNTA(G17)+L58</f>
        <v>33</v>
      </c>
      <c r="M59" s="83">
        <f>H17</f>
        <v>0</v>
      </c>
      <c r="N59" s="84" t="s">
        <v>7430</v>
      </c>
      <c r="O59" s="85">
        <v>33</v>
      </c>
      <c r="P59" s="85">
        <v>118</v>
      </c>
      <c r="Q59" s="110"/>
      <c r="R59" s="110"/>
      <c r="S59" s="110"/>
      <c r="T59" s="110"/>
      <c r="U59" s="85">
        <f>G17</f>
        <v>3</v>
      </c>
      <c r="V59" s="105"/>
      <c r="W59" s="106"/>
      <c r="X59" s="111" t="str">
        <f t="shared" si="17"/>
        <v/>
      </c>
      <c r="Y59" s="111" t="str">
        <f t="shared" si="17"/>
        <v/>
      </c>
      <c r="Z59" s="127" t="s">
        <v>7739</v>
      </c>
      <c r="AA59" s="128" t="e">
        <f>VLOOKUP($M:$M,Data!$I:$J,2,FALSE)</f>
        <v>#N/A</v>
      </c>
      <c r="AB59" s="126"/>
    </row>
    <row r="60" ht="15.25" spans="2:28">
      <c r="B60" s="58"/>
      <c r="C60" s="59">
        <f>VLOOKUP("33/202/3",Data!$A$2:$E$1425,3,FALSE)</f>
        <v>0</v>
      </c>
      <c r="D60" s="56"/>
      <c r="E60" s="57"/>
      <c r="G60" s="58"/>
      <c r="H60" s="59">
        <f>VLOOKUP("33/219/3",Data!$A$2:$E$1425,3,FALSE)</f>
        <v>0</v>
      </c>
      <c r="I60" s="56"/>
      <c r="J60" s="57"/>
      <c r="L60" s="6">
        <f>COUNTA(G11)+L59</f>
        <v>34</v>
      </c>
      <c r="M60" s="79" t="str">
        <f>H11</f>
        <v>55505 Tommy </v>
      </c>
      <c r="N60" s="80" t="s">
        <v>7430</v>
      </c>
      <c r="O60" s="81">
        <v>33</v>
      </c>
      <c r="P60" s="81">
        <v>119</v>
      </c>
      <c r="Q60" s="62" t="str">
        <f>_xlfn.IFS(COUNTA(G11:G13)=1,"Single",COUNTA(G11:G13)=2,"Double",COUNTA(G11:G13)=3,"Triple",COUNTA(G11:G13)=0,"Empty")</f>
        <v>Triple</v>
      </c>
      <c r="R60" s="62"/>
      <c r="S60" s="62"/>
      <c r="T60" s="62"/>
      <c r="U60" s="81">
        <f>G11</f>
        <v>1</v>
      </c>
      <c r="V60" s="100">
        <f>COUNT(G11:G13)</f>
        <v>3</v>
      </c>
      <c r="W60" s="101"/>
      <c r="X60" s="108" t="str">
        <f>IF(I11=0,"",I11)</f>
        <v/>
      </c>
      <c r="Y60" s="108" t="str">
        <f>IF(J11=0,"",J11)</f>
        <v/>
      </c>
      <c r="Z60" s="120" t="s">
        <v>7740</v>
      </c>
      <c r="AA60" s="121" t="e">
        <f>VLOOKUP($M:$M,Data!$I:$J,2,FALSE)</f>
        <v>#N/A</v>
      </c>
      <c r="AB60" s="122"/>
    </row>
    <row r="61" spans="2:28">
      <c r="B61" s="46">
        <v>203</v>
      </c>
      <c r="C61" s="47"/>
      <c r="D61" s="48" t="s">
        <v>6580</v>
      </c>
      <c r="E61" s="49" t="s">
        <v>6581</v>
      </c>
      <c r="G61" s="46">
        <v>218</v>
      </c>
      <c r="H61" s="47"/>
      <c r="I61" s="48" t="s">
        <v>6580</v>
      </c>
      <c r="J61" s="49" t="s">
        <v>6581</v>
      </c>
      <c r="L61" s="9">
        <f>COUNTA(G12)+L60</f>
        <v>35</v>
      </c>
      <c r="M61" s="31" t="str">
        <f>H12</f>
        <v>55301 Viggo </v>
      </c>
      <c r="N61" s="82" t="s">
        <v>7430</v>
      </c>
      <c r="O61" s="36">
        <v>33</v>
      </c>
      <c r="P61" s="36">
        <v>119</v>
      </c>
      <c r="Q61" s="32"/>
      <c r="R61" s="32"/>
      <c r="S61" s="32"/>
      <c r="T61" s="32"/>
      <c r="U61" s="36">
        <f>G12</f>
        <v>2</v>
      </c>
      <c r="V61" s="103"/>
      <c r="W61" s="104"/>
      <c r="X61" s="109" t="str">
        <f t="shared" ref="X61:Y62" si="18">IF(I12=0,"",I12)</f>
        <v/>
      </c>
      <c r="Y61" s="109" t="str">
        <f t="shared" si="18"/>
        <v/>
      </c>
      <c r="Z61" s="123" t="s">
        <v>7741</v>
      </c>
      <c r="AA61" s="124" t="e">
        <f>VLOOKUP($M:$M,Data!$I:$J,2,FALSE)</f>
        <v>#N/A</v>
      </c>
      <c r="AB61" s="125"/>
    </row>
    <row r="62" ht="15.25" spans="2:28">
      <c r="B62" s="50">
        <v>1</v>
      </c>
      <c r="C62" s="51" t="str">
        <f>VLOOKUP("33/203/1",Data!$A$2:$E$1425,3,FALSE)</f>
        <v>50003 Sebastian </v>
      </c>
      <c r="D62" s="52"/>
      <c r="E62" s="53"/>
      <c r="G62" s="50">
        <v>1</v>
      </c>
      <c r="H62" s="51" t="str">
        <f>VLOOKUP("33/218/1",Data!$A$2:$E$1425,3,FALSE)</f>
        <v>54001 Matilda </v>
      </c>
      <c r="I62" s="52"/>
      <c r="J62" s="53"/>
      <c r="L62" s="14">
        <f>COUNTA(G13)+L61</f>
        <v>36</v>
      </c>
      <c r="M62" s="83">
        <f>H13</f>
        <v>0</v>
      </c>
      <c r="N62" s="84" t="s">
        <v>7430</v>
      </c>
      <c r="O62" s="85">
        <v>33</v>
      </c>
      <c r="P62" s="85">
        <v>119</v>
      </c>
      <c r="Q62" s="110"/>
      <c r="R62" s="110"/>
      <c r="S62" s="110"/>
      <c r="T62" s="110"/>
      <c r="U62" s="85">
        <f>G13</f>
        <v>3</v>
      </c>
      <c r="V62" s="105"/>
      <c r="W62" s="106"/>
      <c r="X62" s="111" t="str">
        <f t="shared" si="18"/>
        <v/>
      </c>
      <c r="Y62" s="111" t="str">
        <f t="shared" si="18"/>
        <v/>
      </c>
      <c r="Z62" s="127" t="s">
        <v>7742</v>
      </c>
      <c r="AA62" s="128" t="e">
        <f>VLOOKUP($M:$M,Data!$I:$J,2,FALSE)</f>
        <v>#N/A</v>
      </c>
      <c r="AB62" s="126"/>
    </row>
    <row r="63" spans="2:28">
      <c r="B63" s="50">
        <v>2</v>
      </c>
      <c r="C63" s="51">
        <f>VLOOKUP("33/203/2",Data!$A$2:$E$1425,3,FALSE)</f>
        <v>0</v>
      </c>
      <c r="D63" s="54"/>
      <c r="E63" s="55"/>
      <c r="G63" s="50">
        <v>2</v>
      </c>
      <c r="H63" s="51">
        <f>VLOOKUP("33/218/2",Data!$A$2:$E$1425,3,FALSE)</f>
        <v>0</v>
      </c>
      <c r="I63" s="54"/>
      <c r="J63" s="55"/>
      <c r="L63" s="6">
        <f>COUNTA(G7)+L62</f>
        <v>37</v>
      </c>
      <c r="M63" s="79" t="str">
        <f>H7</f>
        <v>55002 Viktor </v>
      </c>
      <c r="N63" s="80" t="s">
        <v>7430</v>
      </c>
      <c r="O63" s="81">
        <v>33</v>
      </c>
      <c r="P63" s="81">
        <v>120</v>
      </c>
      <c r="Q63" s="62" t="str">
        <f>_xlfn.IFS(COUNTA(G7:G9)=1,"Single",COUNTA(G7:G9)=2,"Double",COUNTA(G7:G9)=3,"Triple",COUNTA(G7:G9)=0,"Empty")</f>
        <v>Double</v>
      </c>
      <c r="R63" s="62"/>
      <c r="S63" s="62"/>
      <c r="T63" s="62"/>
      <c r="U63" s="81">
        <f>G7</f>
        <v>1</v>
      </c>
      <c r="V63" s="100">
        <f>COUNT(G7:G9)</f>
        <v>2</v>
      </c>
      <c r="W63" s="101"/>
      <c r="X63" s="108" t="str">
        <f>IF(I7=0,"",I7)</f>
        <v/>
      </c>
      <c r="Y63" s="108" t="str">
        <f>IF(J7=0,"",J7)</f>
        <v/>
      </c>
      <c r="Z63" s="120" t="s">
        <v>7743</v>
      </c>
      <c r="AA63" s="121" t="e">
        <f>VLOOKUP($M:$M,Data!$I:$J,2,FALSE)</f>
        <v>#N/A</v>
      </c>
      <c r="AB63" s="122"/>
    </row>
    <row r="64" ht="15.25" spans="2:28">
      <c r="B64" s="58"/>
      <c r="C64" s="59">
        <f>VLOOKUP("33/203/3",Data!$A$2:$E$1425,3,FALSE)</f>
        <v>0</v>
      </c>
      <c r="D64" s="56"/>
      <c r="E64" s="57"/>
      <c r="G64" s="58"/>
      <c r="H64" s="59">
        <f>VLOOKUP("33/218/3",Data!$A$2:$E$1425,3,FALSE)</f>
        <v>0</v>
      </c>
      <c r="I64" s="56"/>
      <c r="J64" s="57"/>
      <c r="L64" s="9">
        <f>COUNTA(G8)+L63</f>
        <v>38</v>
      </c>
      <c r="M64" s="31">
        <f>H8</f>
        <v>0</v>
      </c>
      <c r="N64" s="82" t="s">
        <v>7430</v>
      </c>
      <c r="O64" s="36">
        <v>33</v>
      </c>
      <c r="P64" s="36">
        <v>120</v>
      </c>
      <c r="Q64" s="32"/>
      <c r="R64" s="32"/>
      <c r="S64" s="32"/>
      <c r="T64" s="32"/>
      <c r="U64" s="36">
        <f>G8</f>
        <v>2</v>
      </c>
      <c r="V64" s="103"/>
      <c r="W64" s="104"/>
      <c r="X64" s="109" t="str">
        <f t="shared" ref="X64:Y65" si="19">IF(I8=0,"",I8)</f>
        <v/>
      </c>
      <c r="Y64" s="109" t="str">
        <f t="shared" si="19"/>
        <v/>
      </c>
      <c r="Z64" s="123" t="s">
        <v>7744</v>
      </c>
      <c r="AA64" s="124" t="e">
        <f>VLOOKUP($M:$M,Data!$I:$J,2,FALSE)</f>
        <v>#N/A</v>
      </c>
      <c r="AB64" s="125"/>
    </row>
    <row r="65" ht="15.25" spans="2:28">
      <c r="B65" s="46">
        <v>204</v>
      </c>
      <c r="C65" s="47"/>
      <c r="D65" s="48" t="s">
        <v>6580</v>
      </c>
      <c r="E65" s="49" t="s">
        <v>6581</v>
      </c>
      <c r="G65" s="46">
        <v>217</v>
      </c>
      <c r="H65" s="47"/>
      <c r="I65" s="48" t="s">
        <v>6580</v>
      </c>
      <c r="J65" s="49" t="s">
        <v>6581</v>
      </c>
      <c r="L65" s="14">
        <f>COUNTA(G9)+L64</f>
        <v>38</v>
      </c>
      <c r="M65" s="83">
        <f>H9</f>
        <v>0</v>
      </c>
      <c r="N65" s="84" t="s">
        <v>7430</v>
      </c>
      <c r="O65" s="85">
        <v>33</v>
      </c>
      <c r="P65" s="85">
        <v>120</v>
      </c>
      <c r="Q65" s="110"/>
      <c r="R65" s="110"/>
      <c r="S65" s="110"/>
      <c r="T65" s="110"/>
      <c r="U65" s="85">
        <f>G9</f>
        <v>0</v>
      </c>
      <c r="V65" s="105"/>
      <c r="W65" s="106"/>
      <c r="X65" s="111" t="str">
        <f t="shared" si="19"/>
        <v/>
      </c>
      <c r="Y65" s="111" t="str">
        <f t="shared" si="19"/>
        <v/>
      </c>
      <c r="Z65" s="127"/>
      <c r="AA65" s="128" t="e">
        <f>VLOOKUP($M:$M,Data!$I:$J,2,FALSE)</f>
        <v>#N/A</v>
      </c>
      <c r="AB65" s="126"/>
    </row>
    <row r="66" spans="2:28">
      <c r="B66" s="50">
        <v>1</v>
      </c>
      <c r="C66" s="51" t="str">
        <f>VLOOKUP("33/204/1",Data!$A$2:$E$1425,3,FALSE)</f>
        <v> 54002 Josefin</v>
      </c>
      <c r="D66" s="52"/>
      <c r="E66" s="53"/>
      <c r="G66" s="50">
        <v>1</v>
      </c>
      <c r="H66" s="51" t="str">
        <f>VLOOKUP("33/217/1",Data!$A$2:$E$1425,3,FALSE)</f>
        <v>54126 Jonna</v>
      </c>
      <c r="I66" s="52"/>
      <c r="J66" s="53"/>
      <c r="L66" s="6">
        <f>COUNTA(B54)+L65</f>
        <v>39</v>
      </c>
      <c r="M66" s="79" t="str">
        <f>C54</f>
        <v>50001 Marcus</v>
      </c>
      <c r="N66" s="80" t="s">
        <v>7430</v>
      </c>
      <c r="O66" s="81">
        <v>33</v>
      </c>
      <c r="P66" s="81">
        <v>201</v>
      </c>
      <c r="Q66" s="62" t="str">
        <f>_xlfn.IFS(COUNTA(B54:B56)=1,"Single",COUNTA(B54:B56)=2,"Double",COUNTA(B54:B56)=3,"Triple",COUNTA(B54:B56)=0,"Empty")</f>
        <v>Double</v>
      </c>
      <c r="R66" s="62"/>
      <c r="S66" s="62"/>
      <c r="T66" s="62"/>
      <c r="U66" s="81">
        <f>B54</f>
        <v>1</v>
      </c>
      <c r="V66" s="100">
        <f>COUNT(B54:B56)</f>
        <v>2</v>
      </c>
      <c r="W66" s="101"/>
      <c r="X66" s="108" t="str">
        <f>IF(D54=0,"",D54)</f>
        <v/>
      </c>
      <c r="Y66" s="108" t="str">
        <f>IF(E54=0,"",E54)</f>
        <v/>
      </c>
      <c r="Z66" s="120" t="s">
        <v>7254</v>
      </c>
      <c r="AA66" s="121" t="e">
        <f>VLOOKUP($M:$M,Data!$I:$J,2,FALSE)</f>
        <v>#N/A</v>
      </c>
      <c r="AB66" s="122"/>
    </row>
    <row r="67" spans="2:28">
      <c r="B67" s="50">
        <v>2</v>
      </c>
      <c r="C67" s="51">
        <f>VLOOKUP("33/204/2",Data!$A$2:$E$1425,3,FALSE)</f>
        <v>0</v>
      </c>
      <c r="D67" s="54"/>
      <c r="E67" s="55"/>
      <c r="G67" s="50">
        <v>2</v>
      </c>
      <c r="H67" s="51" t="str">
        <f>VLOOKUP("33/217/2",Data!$A$2:$E$1425,3,FALSE)</f>
        <v>54316 Jennifer</v>
      </c>
      <c r="I67" s="54"/>
      <c r="J67" s="55"/>
      <c r="L67" s="9">
        <f>COUNTA(B55)+L66</f>
        <v>40</v>
      </c>
      <c r="M67" s="31">
        <f>C55</f>
        <v>0</v>
      </c>
      <c r="N67" s="82" t="s">
        <v>7430</v>
      </c>
      <c r="O67" s="36">
        <v>33</v>
      </c>
      <c r="P67" s="36">
        <v>201</v>
      </c>
      <c r="Q67" s="32"/>
      <c r="R67" s="32"/>
      <c r="S67" s="32"/>
      <c r="T67" s="32"/>
      <c r="U67" s="36">
        <f>B55</f>
        <v>2</v>
      </c>
      <c r="V67" s="103"/>
      <c r="W67" s="104"/>
      <c r="X67" s="109" t="str">
        <f t="shared" ref="X67:Y68" si="20">IF(D55=0,"",D55)</f>
        <v/>
      </c>
      <c r="Y67" s="109" t="str">
        <f t="shared" si="20"/>
        <v/>
      </c>
      <c r="Z67" s="123" t="s">
        <v>7745</v>
      </c>
      <c r="AA67" s="124" t="e">
        <f>VLOOKUP($M:$M,Data!$I:$J,2,FALSE)</f>
        <v>#N/A</v>
      </c>
      <c r="AB67" s="125"/>
    </row>
    <row r="68" ht="15.25" spans="2:28">
      <c r="B68" s="58">
        <v>3</v>
      </c>
      <c r="C68" s="59">
        <f>VLOOKUP("33/204/3",Data!$A$2:$E$1425,3,FALSE)</f>
        <v>0</v>
      </c>
      <c r="D68" s="56"/>
      <c r="E68" s="57"/>
      <c r="G68" s="58">
        <v>3</v>
      </c>
      <c r="H68" s="59">
        <f>VLOOKUP("33/217/3",Data!$A$2:$E$1425,3,FALSE)</f>
        <v>0</v>
      </c>
      <c r="I68" s="56"/>
      <c r="J68" s="57"/>
      <c r="L68" s="14">
        <f>COUNTA(B56)+L67</f>
        <v>40</v>
      </c>
      <c r="M68" s="83">
        <f>C56</f>
        <v>0</v>
      </c>
      <c r="N68" s="84" t="s">
        <v>7430</v>
      </c>
      <c r="O68" s="85">
        <v>33</v>
      </c>
      <c r="P68" s="85">
        <v>201</v>
      </c>
      <c r="Q68" s="110"/>
      <c r="R68" s="110"/>
      <c r="S68" s="110"/>
      <c r="T68" s="110"/>
      <c r="U68" s="85">
        <f>B56</f>
        <v>0</v>
      </c>
      <c r="V68" s="105"/>
      <c r="W68" s="106"/>
      <c r="X68" s="111" t="str">
        <f t="shared" si="20"/>
        <v/>
      </c>
      <c r="Y68" s="111" t="str">
        <f t="shared" si="20"/>
        <v/>
      </c>
      <c r="Z68" s="127"/>
      <c r="AA68" s="128" t="e">
        <f>VLOOKUP($M:$M,Data!$I:$J,2,FALSE)</f>
        <v>#N/A</v>
      </c>
      <c r="AB68" s="126"/>
    </row>
    <row r="69" spans="2:28">
      <c r="B69" s="46">
        <v>205</v>
      </c>
      <c r="C69" s="47"/>
      <c r="D69" s="48" t="s">
        <v>6580</v>
      </c>
      <c r="E69" s="49" t="s">
        <v>6581</v>
      </c>
      <c r="G69" s="46">
        <v>216</v>
      </c>
      <c r="H69" s="47"/>
      <c r="I69" s="48" t="s">
        <v>6580</v>
      </c>
      <c r="J69" s="49" t="s">
        <v>6581</v>
      </c>
      <c r="L69" s="6">
        <f>COUNTA(B58)+L68</f>
        <v>41</v>
      </c>
      <c r="M69" s="79" t="str">
        <f>C58</f>
        <v>500041 Marcus </v>
      </c>
      <c r="N69" s="80" t="s">
        <v>7430</v>
      </c>
      <c r="O69" s="81">
        <v>33</v>
      </c>
      <c r="P69" s="81">
        <v>202</v>
      </c>
      <c r="Q69" s="62" t="str">
        <f>_xlfn.IFS(COUNTA(B58:B60)=1,"Single",COUNTA(B58:B60)=2,"Double",COUNTA(B58:B60)=3,"Triple",COUNTA(B58:B60)=0,"Empty")</f>
        <v>Double</v>
      </c>
      <c r="R69" s="62"/>
      <c r="S69" s="62"/>
      <c r="T69" s="62"/>
      <c r="U69" s="81">
        <f>B58</f>
        <v>1</v>
      </c>
      <c r="V69" s="100">
        <f>COUNT(B58:B60)</f>
        <v>2</v>
      </c>
      <c r="W69" s="101"/>
      <c r="X69" s="108" t="str">
        <f>IF(D58=0,"",D58)</f>
        <v/>
      </c>
      <c r="Y69" s="108" t="str">
        <f>IF(E58=0,"",E58)</f>
        <v/>
      </c>
      <c r="Z69" s="120" t="s">
        <v>7746</v>
      </c>
      <c r="AA69" s="121" t="e">
        <f>VLOOKUP($M:$M,Data!$I:$J,2,FALSE)</f>
        <v>#N/A</v>
      </c>
      <c r="AB69" s="122"/>
    </row>
    <row r="70" spans="2:28">
      <c r="B70" s="50">
        <v>1</v>
      </c>
      <c r="C70" s="51" t="str">
        <f>VLOOKUP("33/205/1",Data!$A$2:$E$1425,3,FALSE)</f>
        <v>54106 William</v>
      </c>
      <c r="D70" s="52"/>
      <c r="E70" s="53"/>
      <c r="G70" s="50">
        <v>1</v>
      </c>
      <c r="H70" s="51" t="str">
        <f>VLOOKUP("33/216/1",Data!$A$2:$E$1425,3,FALSE)</f>
        <v>54116 Alexander</v>
      </c>
      <c r="I70" s="52"/>
      <c r="J70" s="53"/>
      <c r="L70" s="9">
        <f>COUNTA(B59)+L69</f>
        <v>42</v>
      </c>
      <c r="M70" s="31">
        <f>C59</f>
        <v>0</v>
      </c>
      <c r="N70" s="82" t="s">
        <v>7430</v>
      </c>
      <c r="O70" s="36">
        <v>33</v>
      </c>
      <c r="P70" s="36">
        <v>202</v>
      </c>
      <c r="Q70" s="32"/>
      <c r="R70" s="32"/>
      <c r="S70" s="32"/>
      <c r="T70" s="32"/>
      <c r="U70" s="36">
        <f>B59</f>
        <v>2</v>
      </c>
      <c r="V70" s="103"/>
      <c r="W70" s="104"/>
      <c r="X70" s="109" t="str">
        <f t="shared" ref="X70:Y71" si="21">IF(D59=0,"",D59)</f>
        <v/>
      </c>
      <c r="Y70" s="109" t="str">
        <f t="shared" si="21"/>
        <v/>
      </c>
      <c r="Z70" s="123" t="s">
        <v>7747</v>
      </c>
      <c r="AA70" s="124" t="e">
        <f>VLOOKUP($M:$M,Data!$I:$J,2,FALSE)</f>
        <v>#N/A</v>
      </c>
      <c r="AB70" s="125"/>
    </row>
    <row r="71" ht="15.25" spans="2:28">
      <c r="B71" s="50">
        <v>2</v>
      </c>
      <c r="C71" s="51" t="str">
        <f>VLOOKUP("33/205/2",Data!$A$2:$E$1425,3,FALSE)</f>
        <v>54136 Hannes</v>
      </c>
      <c r="D71" s="54"/>
      <c r="E71" s="55"/>
      <c r="G71" s="50"/>
      <c r="H71" s="51" t="str">
        <f>VLOOKUP("33/216/2",Data!$A$2:$E$1425,3,FALSE)</f>
        <v>54146 Kevin</v>
      </c>
      <c r="I71" s="54"/>
      <c r="J71" s="55"/>
      <c r="L71" s="14">
        <f>COUNTA(B60)+L70</f>
        <v>42</v>
      </c>
      <c r="M71" s="83">
        <f>C60</f>
        <v>0</v>
      </c>
      <c r="N71" s="84" t="s">
        <v>7430</v>
      </c>
      <c r="O71" s="85">
        <v>33</v>
      </c>
      <c r="P71" s="85">
        <v>202</v>
      </c>
      <c r="Q71" s="110"/>
      <c r="R71" s="110"/>
      <c r="S71" s="110"/>
      <c r="T71" s="110"/>
      <c r="U71" s="85">
        <f>B60</f>
        <v>0</v>
      </c>
      <c r="V71" s="105"/>
      <c r="W71" s="106"/>
      <c r="X71" s="111" t="str">
        <f t="shared" si="21"/>
        <v/>
      </c>
      <c r="Y71" s="111" t="str">
        <f t="shared" si="21"/>
        <v/>
      </c>
      <c r="Z71" s="127"/>
      <c r="AA71" s="128" t="e">
        <f>VLOOKUP($M:$M,Data!$I:$J,2,FALSE)</f>
        <v>#N/A</v>
      </c>
      <c r="AB71" s="126"/>
    </row>
    <row r="72" ht="15.25" spans="2:28">
      <c r="B72" s="58"/>
      <c r="C72" s="59">
        <f>VLOOKUP("33/205/3",Data!$A$2:$E$1425,3,FALSE)</f>
        <v>0</v>
      </c>
      <c r="D72" s="56"/>
      <c r="E72" s="57"/>
      <c r="G72" s="58"/>
      <c r="H72" s="59">
        <f>VLOOKUP("33/216/3",Data!$A$2:$E$1425,3,FALSE)</f>
        <v>0</v>
      </c>
      <c r="I72" s="56"/>
      <c r="J72" s="57"/>
      <c r="L72" s="6">
        <f>COUNTA(B62)+L71</f>
        <v>43</v>
      </c>
      <c r="M72" s="79" t="str">
        <f>C62</f>
        <v>50003 Sebastian </v>
      </c>
      <c r="N72" s="80" t="s">
        <v>7430</v>
      </c>
      <c r="O72" s="81">
        <v>33</v>
      </c>
      <c r="P72" s="81">
        <v>203</v>
      </c>
      <c r="Q72" s="62" t="str">
        <f>_xlfn.IFS(COUNTA(B62:B64)=1,"Single",COUNTA(B62:B64)=2,"Double",COUNTA(B62:B64)=3,"Triple",COUNTA(B62:B64)=0,"Empty")</f>
        <v>Double</v>
      </c>
      <c r="R72" s="62"/>
      <c r="S72" s="62"/>
      <c r="T72" s="62"/>
      <c r="U72" s="81">
        <f>B62</f>
        <v>1</v>
      </c>
      <c r="V72" s="100">
        <f>COUNT(B62:B64)</f>
        <v>2</v>
      </c>
      <c r="W72" s="101"/>
      <c r="X72" s="108" t="str">
        <f>IF(D62=0,"",D62)</f>
        <v/>
      </c>
      <c r="Y72" s="108" t="str">
        <f>IF(E62=0,"",E62)</f>
        <v/>
      </c>
      <c r="Z72" s="120" t="s">
        <v>7410</v>
      </c>
      <c r="AA72" s="121" t="e">
        <f>VLOOKUP($M:$M,Data!$I:$J,2,FALSE)</f>
        <v>#N/A</v>
      </c>
      <c r="AB72" s="122"/>
    </row>
    <row r="73" spans="2:28">
      <c r="B73" s="46">
        <v>206</v>
      </c>
      <c r="C73" s="47"/>
      <c r="D73" s="48" t="s">
        <v>6580</v>
      </c>
      <c r="E73" s="49" t="s">
        <v>6581</v>
      </c>
      <c r="G73" s="67" t="s">
        <v>7435</v>
      </c>
      <c r="H73" s="68"/>
      <c r="I73" s="68"/>
      <c r="J73" s="86"/>
      <c r="L73" s="9">
        <f>COUNTA(B63)+L72</f>
        <v>44</v>
      </c>
      <c r="M73" s="31">
        <f>C63</f>
        <v>0</v>
      </c>
      <c r="N73" s="82" t="s">
        <v>7430</v>
      </c>
      <c r="O73" s="36">
        <v>33</v>
      </c>
      <c r="P73" s="36">
        <v>203</v>
      </c>
      <c r="Q73" s="32"/>
      <c r="R73" s="32"/>
      <c r="S73" s="32"/>
      <c r="T73" s="32"/>
      <c r="U73" s="36">
        <f>B63</f>
        <v>2</v>
      </c>
      <c r="V73" s="103"/>
      <c r="W73" s="104"/>
      <c r="X73" s="109" t="str">
        <f t="shared" ref="X73:Y74" si="22">IF(D63=0,"",D63)</f>
        <v/>
      </c>
      <c r="Y73" s="109" t="str">
        <f t="shared" si="22"/>
        <v/>
      </c>
      <c r="Z73" s="123" t="s">
        <v>7748</v>
      </c>
      <c r="AA73" s="124" t="e">
        <f>VLOOKUP($M:$M,Data!$I:$J,2,FALSE)</f>
        <v>#N/A</v>
      </c>
      <c r="AB73" s="125"/>
    </row>
    <row r="74" ht="15.25" spans="2:28">
      <c r="B74" s="50"/>
      <c r="C74" s="51" t="str">
        <f>VLOOKUP("33/206/1",Data!$A$2:$E$1425,3,FALSE)</f>
        <v>54401 Michael</v>
      </c>
      <c r="D74" s="52"/>
      <c r="E74" s="53"/>
      <c r="G74" s="69"/>
      <c r="H74" s="70"/>
      <c r="I74" s="70"/>
      <c r="J74" s="87"/>
      <c r="L74" s="14">
        <f>COUNTA(B64)+L73</f>
        <v>44</v>
      </c>
      <c r="M74" s="83">
        <f>C64</f>
        <v>0</v>
      </c>
      <c r="N74" s="84" t="s">
        <v>7430</v>
      </c>
      <c r="O74" s="85">
        <v>33</v>
      </c>
      <c r="P74" s="85">
        <v>203</v>
      </c>
      <c r="Q74" s="110"/>
      <c r="R74" s="110"/>
      <c r="S74" s="110"/>
      <c r="T74" s="110"/>
      <c r="U74" s="85">
        <f>B64</f>
        <v>0</v>
      </c>
      <c r="V74" s="105"/>
      <c r="W74" s="106"/>
      <c r="X74" s="111" t="str">
        <f t="shared" si="22"/>
        <v/>
      </c>
      <c r="Y74" s="111" t="str">
        <f t="shared" si="22"/>
        <v/>
      </c>
      <c r="Z74" s="127"/>
      <c r="AA74" s="128" t="e">
        <f>VLOOKUP($M:$M,Data!$I:$J,2,FALSE)</f>
        <v>#N/A</v>
      </c>
      <c r="AB74" s="126"/>
    </row>
    <row r="75" spans="2:28">
      <c r="B75" s="50"/>
      <c r="C75" s="51" t="str">
        <f>VLOOKUP("33/206/2",Data!$A$2:$E$1425,3,FALSE)</f>
        <v>54406 Elliot</v>
      </c>
      <c r="D75" s="54"/>
      <c r="E75" s="55"/>
      <c r="G75" s="69"/>
      <c r="H75" s="70"/>
      <c r="I75" s="70"/>
      <c r="J75" s="87"/>
      <c r="L75" s="6">
        <f>COUNTA(B66)+L74</f>
        <v>45</v>
      </c>
      <c r="M75" s="79" t="str">
        <f>C66</f>
        <v> 54002 Josefin</v>
      </c>
      <c r="N75" s="80" t="s">
        <v>7430</v>
      </c>
      <c r="O75" s="81">
        <v>33</v>
      </c>
      <c r="P75" s="81">
        <v>204</v>
      </c>
      <c r="Q75" s="62" t="str">
        <f>_xlfn.IFS(COUNTA(B66:B68)=1,"Single",COUNTA(B66:B68)=2,"Double",COUNTA(B66:B68)=3,"Triple",COUNTA(B66:B68)=0,"Empty")</f>
        <v>Triple</v>
      </c>
      <c r="R75" s="62"/>
      <c r="S75" s="62"/>
      <c r="T75" s="62"/>
      <c r="U75" s="81">
        <f>B66</f>
        <v>1</v>
      </c>
      <c r="V75" s="100">
        <f>COUNT(B66:B68)</f>
        <v>3</v>
      </c>
      <c r="W75" s="101"/>
      <c r="X75" s="108" t="str">
        <f>IF(D66=0,"",D66)</f>
        <v/>
      </c>
      <c r="Y75" s="108" t="str">
        <f>IF(E66=0,"",E66)</f>
        <v/>
      </c>
      <c r="Z75" s="120" t="s">
        <v>7749</v>
      </c>
      <c r="AA75" s="121" t="e">
        <f>VLOOKUP($M:$M,Data!$I:$J,2,FALSE)</f>
        <v>#N/A</v>
      </c>
      <c r="AB75" s="122"/>
    </row>
    <row r="76" ht="15.25" spans="2:28">
      <c r="B76" s="58"/>
      <c r="C76" s="59">
        <f>VLOOKUP("33/206/3",Data!$A$2:$E$1425,3,FALSE)</f>
        <v>0</v>
      </c>
      <c r="D76" s="56"/>
      <c r="E76" s="57"/>
      <c r="G76" s="69"/>
      <c r="H76" s="70"/>
      <c r="I76" s="70"/>
      <c r="J76" s="87"/>
      <c r="L76" s="9">
        <f>COUNTA(B67)+L75</f>
        <v>46</v>
      </c>
      <c r="M76" s="31">
        <f>C67</f>
        <v>0</v>
      </c>
      <c r="N76" s="82" t="s">
        <v>7430</v>
      </c>
      <c r="O76" s="36">
        <v>33</v>
      </c>
      <c r="P76" s="36">
        <v>204</v>
      </c>
      <c r="Q76" s="32"/>
      <c r="R76" s="32"/>
      <c r="S76" s="32"/>
      <c r="T76" s="32"/>
      <c r="U76" s="36">
        <f>B67</f>
        <v>2</v>
      </c>
      <c r="V76" s="103"/>
      <c r="W76" s="104"/>
      <c r="X76" s="109" t="str">
        <f t="shared" ref="X76:Y77" si="23">IF(D67=0,"",D67)</f>
        <v/>
      </c>
      <c r="Y76" s="109" t="str">
        <f t="shared" si="23"/>
        <v/>
      </c>
      <c r="Z76" s="123" t="s">
        <v>7750</v>
      </c>
      <c r="AA76" s="124" t="e">
        <f>VLOOKUP($M:$M,Data!$I:$J,2,FALSE)</f>
        <v>#N/A</v>
      </c>
      <c r="AB76" s="125"/>
    </row>
    <row r="77" ht="15.25" spans="2:28">
      <c r="B77" s="46">
        <v>207</v>
      </c>
      <c r="C77" s="47"/>
      <c r="D77" s="48" t="s">
        <v>6580</v>
      </c>
      <c r="E77" s="49" t="s">
        <v>6581</v>
      </c>
      <c r="G77" s="69"/>
      <c r="H77" s="70"/>
      <c r="I77" s="70"/>
      <c r="J77" s="87"/>
      <c r="L77" s="14">
        <f>COUNTA(B68)+L76</f>
        <v>47</v>
      </c>
      <c r="M77" s="83">
        <f>C68</f>
        <v>0</v>
      </c>
      <c r="N77" s="84" t="s">
        <v>7430</v>
      </c>
      <c r="O77" s="85">
        <v>33</v>
      </c>
      <c r="P77" s="85">
        <v>204</v>
      </c>
      <c r="Q77" s="110"/>
      <c r="R77" s="110"/>
      <c r="S77" s="110"/>
      <c r="T77" s="110"/>
      <c r="U77" s="85">
        <f>B68</f>
        <v>3</v>
      </c>
      <c r="V77" s="105"/>
      <c r="W77" s="106"/>
      <c r="X77" s="111" t="str">
        <f t="shared" si="23"/>
        <v/>
      </c>
      <c r="Y77" s="111" t="str">
        <f t="shared" si="23"/>
        <v/>
      </c>
      <c r="Z77" s="127" t="s">
        <v>7751</v>
      </c>
      <c r="AA77" s="128" t="e">
        <f>VLOOKUP($M:$M,Data!$I:$J,2,FALSE)</f>
        <v>#N/A</v>
      </c>
      <c r="AB77" s="126"/>
    </row>
    <row r="78" spans="2:28">
      <c r="B78" s="50"/>
      <c r="C78" s="51" t="str">
        <f>VLOOKUP("33/207/1",Data!$A$2:$E$1425,3,FALSE)</f>
        <v>54206 Jonathan</v>
      </c>
      <c r="D78" s="52"/>
      <c r="E78" s="53"/>
      <c r="G78" s="69"/>
      <c r="H78" s="70"/>
      <c r="I78" s="70"/>
      <c r="J78" s="87"/>
      <c r="L78" s="6">
        <f>COUNTA(B70)+L77</f>
        <v>48</v>
      </c>
      <c r="M78" s="79" t="str">
        <f>C70</f>
        <v>54106 William</v>
      </c>
      <c r="N78" s="80" t="s">
        <v>7430</v>
      </c>
      <c r="O78" s="81">
        <v>33</v>
      </c>
      <c r="P78" s="81">
        <v>205</v>
      </c>
      <c r="Q78" s="62" t="str">
        <f>_xlfn.IFS(COUNTA(B70:B72)=1,"Single",COUNTA(B70:B72)=2,"Double",COUNTA(B70:B72)=3,"Triple",COUNTA(B70:B72)=0,"Empty")</f>
        <v>Double</v>
      </c>
      <c r="R78" s="62"/>
      <c r="S78" s="62"/>
      <c r="T78" s="62"/>
      <c r="U78" s="81">
        <f>B70</f>
        <v>1</v>
      </c>
      <c r="V78" s="100">
        <f>COUNT(B70:B72)</f>
        <v>2</v>
      </c>
      <c r="W78" s="101"/>
      <c r="X78" s="108" t="str">
        <f>IF(D70=0,"",D70)</f>
        <v/>
      </c>
      <c r="Y78" s="108" t="str">
        <f>IF(E70=0,"",E70)</f>
        <v/>
      </c>
      <c r="Z78" s="120" t="s">
        <v>7752</v>
      </c>
      <c r="AA78" s="121" t="e">
        <f>VLOOKUP($M:$M,Data!$I:$J,2,FALSE)</f>
        <v>#N/A</v>
      </c>
      <c r="AB78" s="122"/>
    </row>
    <row r="79" spans="2:28">
      <c r="B79" s="50"/>
      <c r="C79" s="51">
        <f>VLOOKUP("33/207/2",Data!$A$2:$E$1425,3,FALSE)</f>
        <v>0</v>
      </c>
      <c r="D79" s="54"/>
      <c r="E79" s="55"/>
      <c r="G79" s="69"/>
      <c r="H79" s="70"/>
      <c r="I79" s="70"/>
      <c r="J79" s="87"/>
      <c r="L79" s="9">
        <f>COUNTA(B71)+L78</f>
        <v>49</v>
      </c>
      <c r="M79" s="31" t="str">
        <f>C71</f>
        <v>54136 Hannes</v>
      </c>
      <c r="N79" s="82" t="s">
        <v>7430</v>
      </c>
      <c r="O79" s="36">
        <v>33</v>
      </c>
      <c r="P79" s="36">
        <v>205</v>
      </c>
      <c r="Q79" s="32"/>
      <c r="R79" s="32"/>
      <c r="S79" s="32"/>
      <c r="T79" s="32"/>
      <c r="U79" s="36">
        <f>B71</f>
        <v>2</v>
      </c>
      <c r="V79" s="103"/>
      <c r="W79" s="104"/>
      <c r="X79" s="109" t="str">
        <f t="shared" ref="X79:Y80" si="24">IF(D71=0,"",D71)</f>
        <v/>
      </c>
      <c r="Y79" s="109" t="str">
        <f t="shared" si="24"/>
        <v/>
      </c>
      <c r="Z79" s="123" t="s">
        <v>7753</v>
      </c>
      <c r="AA79" s="124" t="e">
        <f>VLOOKUP($M:$M,Data!$I:$J,2,FALSE)</f>
        <v>#N/A</v>
      </c>
      <c r="AB79" s="125"/>
    </row>
    <row r="80" ht="15.25" spans="2:28">
      <c r="B80" s="58"/>
      <c r="C80" s="59" t="str">
        <f>VLOOKUP("33/207/3",Data!$A$2:$E$1425,3,FALSE)</f>
        <v>54205 Johannes</v>
      </c>
      <c r="D80" s="56"/>
      <c r="E80" s="57"/>
      <c r="G80" s="71"/>
      <c r="H80" s="72"/>
      <c r="I80" s="72"/>
      <c r="J80" s="88"/>
      <c r="L80" s="14">
        <f>COUNTA(B72)+L79</f>
        <v>49</v>
      </c>
      <c r="M80" s="83">
        <f>C72</f>
        <v>0</v>
      </c>
      <c r="N80" s="84" t="s">
        <v>7430</v>
      </c>
      <c r="O80" s="85">
        <v>33</v>
      </c>
      <c r="P80" s="85">
        <v>205</v>
      </c>
      <c r="Q80" s="110"/>
      <c r="R80" s="110"/>
      <c r="S80" s="110"/>
      <c r="T80" s="110"/>
      <c r="U80" s="85">
        <f>B72</f>
        <v>0</v>
      </c>
      <c r="V80" s="105"/>
      <c r="W80" s="106"/>
      <c r="X80" s="111" t="str">
        <f t="shared" si="24"/>
        <v/>
      </c>
      <c r="Y80" s="111" t="str">
        <f t="shared" si="24"/>
        <v/>
      </c>
      <c r="Z80" s="127" t="s">
        <v>7754</v>
      </c>
      <c r="AA80" s="128" t="e">
        <f>VLOOKUP($M:$M,Data!$I:$J,2,FALSE)</f>
        <v>#N/A</v>
      </c>
      <c r="AB80" s="126"/>
    </row>
    <row r="81" spans="2:28">
      <c r="B81" s="46">
        <v>208</v>
      </c>
      <c r="C81" s="47"/>
      <c r="D81" s="48" t="s">
        <v>6580</v>
      </c>
      <c r="E81" s="49" t="s">
        <v>6581</v>
      </c>
      <c r="G81" s="46">
        <v>215</v>
      </c>
      <c r="H81" s="47"/>
      <c r="I81" s="48" t="s">
        <v>6580</v>
      </c>
      <c r="J81" s="49" t="s">
        <v>6581</v>
      </c>
      <c r="L81" s="6">
        <f>COUNTA(B74)+L80</f>
        <v>49</v>
      </c>
      <c r="M81" s="79" t="str">
        <f>C74</f>
        <v>54401 Michael</v>
      </c>
      <c r="N81" s="80" t="s">
        <v>7430</v>
      </c>
      <c r="O81" s="81">
        <v>33</v>
      </c>
      <c r="P81" s="81">
        <v>206</v>
      </c>
      <c r="Q81" s="62" t="str">
        <f>_xlfn.IFS(COUNTA(B74:B76)=1,"Single",COUNTA(B74:B76)=2,"Double",COUNTA(B74:B76)=3,"Triple",COUNTA(B74:B76)=0,"Empty")</f>
        <v>Empty</v>
      </c>
      <c r="R81" s="62"/>
      <c r="S81" s="62"/>
      <c r="T81" s="62"/>
      <c r="U81" s="81">
        <f>B74</f>
        <v>0</v>
      </c>
      <c r="V81" s="100">
        <f>COUNT(B74:B76)</f>
        <v>0</v>
      </c>
      <c r="W81" s="101"/>
      <c r="X81" s="108" t="str">
        <f>IF(D74=0,"",D74)</f>
        <v/>
      </c>
      <c r="Y81" s="108" t="str">
        <f>IF(E74=0,"",E74)</f>
        <v/>
      </c>
      <c r="Z81" s="120"/>
      <c r="AA81" s="121" t="e">
        <f>VLOOKUP($M:$M,Data!$I:$J,2,FALSE)</f>
        <v>#N/A</v>
      </c>
      <c r="AB81" s="122"/>
    </row>
    <row r="82" spans="2:28">
      <c r="B82" s="50"/>
      <c r="C82" s="51" t="str">
        <f>VLOOKUP("33/208/1",Data!$A$2:$E$1425,3,FALSE)</f>
        <v>54407 Peter</v>
      </c>
      <c r="D82" s="52"/>
      <c r="E82" s="53"/>
      <c r="G82" s="50"/>
      <c r="H82" s="51" t="str">
        <f>VLOOKUP("33/215/1",Data!$A$2:$E$1425,3,FALSE)</f>
        <v>54305 Axel</v>
      </c>
      <c r="I82" s="52"/>
      <c r="J82" s="53"/>
      <c r="L82" s="9">
        <f>COUNTA(B75)+L81</f>
        <v>49</v>
      </c>
      <c r="M82" s="31" t="str">
        <f>C75</f>
        <v>54406 Elliot</v>
      </c>
      <c r="N82" s="82" t="s">
        <v>7430</v>
      </c>
      <c r="O82" s="36">
        <v>33</v>
      </c>
      <c r="P82" s="36">
        <v>206</v>
      </c>
      <c r="Q82" s="32"/>
      <c r="R82" s="32"/>
      <c r="S82" s="32"/>
      <c r="T82" s="32"/>
      <c r="U82" s="36">
        <f>B75</f>
        <v>0</v>
      </c>
      <c r="V82" s="103"/>
      <c r="W82" s="104"/>
      <c r="X82" s="109" t="str">
        <f t="shared" ref="X82:Y83" si="25">IF(D75=0,"",D75)</f>
        <v/>
      </c>
      <c r="Y82" s="109" t="str">
        <f t="shared" si="25"/>
        <v/>
      </c>
      <c r="Z82" s="123"/>
      <c r="AA82" s="124" t="e">
        <f>VLOOKUP($M:$M,Data!$I:$J,2,FALSE)</f>
        <v>#N/A</v>
      </c>
      <c r="AB82" s="125"/>
    </row>
    <row r="83" ht="15.25" spans="2:28">
      <c r="B83" s="50"/>
      <c r="C83" s="51" t="str">
        <f>VLOOKUP("33/208/2",Data!$A$2:$E$1425,3,FALSE)</f>
        <v>54408 Johana</v>
      </c>
      <c r="D83" s="54"/>
      <c r="E83" s="55"/>
      <c r="G83" s="50"/>
      <c r="H83" s="51" t="str">
        <f>VLOOKUP("33/215/2",Data!$A$2:$E$1425,3,FALSE)</f>
        <v>54306 Zackarias</v>
      </c>
      <c r="I83" s="54"/>
      <c r="J83" s="55"/>
      <c r="L83" s="14">
        <f>COUNTA(B76)+L82</f>
        <v>49</v>
      </c>
      <c r="M83" s="83">
        <f>C76</f>
        <v>0</v>
      </c>
      <c r="N83" s="84" t="s">
        <v>7430</v>
      </c>
      <c r="O83" s="85">
        <v>33</v>
      </c>
      <c r="P83" s="85">
        <v>206</v>
      </c>
      <c r="Q83" s="110"/>
      <c r="R83" s="110"/>
      <c r="S83" s="110"/>
      <c r="T83" s="110"/>
      <c r="U83" s="85">
        <f>B76</f>
        <v>0</v>
      </c>
      <c r="V83" s="105"/>
      <c r="W83" s="106"/>
      <c r="X83" s="111" t="str">
        <f t="shared" si="25"/>
        <v/>
      </c>
      <c r="Y83" s="111" t="str">
        <f t="shared" si="25"/>
        <v/>
      </c>
      <c r="Z83" s="127"/>
      <c r="AA83" s="128" t="e">
        <f>VLOOKUP($M:$M,Data!$I:$J,2,FALSE)</f>
        <v>#N/A</v>
      </c>
      <c r="AB83" s="126"/>
    </row>
    <row r="84" ht="15.25" spans="2:28">
      <c r="B84" s="58"/>
      <c r="C84" s="59">
        <f>VLOOKUP("33/208/3",Data!$A$2:$E$1425,3,FALSE)</f>
        <v>0</v>
      </c>
      <c r="D84" s="56"/>
      <c r="E84" s="57"/>
      <c r="G84" s="58"/>
      <c r="H84" s="59">
        <f>VLOOKUP("33/215/3",Data!$A$2:$E$1425,3,FALSE)</f>
        <v>0</v>
      </c>
      <c r="I84" s="56"/>
      <c r="J84" s="57"/>
      <c r="L84" s="6">
        <f>COUNTA(B78)+L83</f>
        <v>49</v>
      </c>
      <c r="M84" s="79" t="str">
        <f>C78</f>
        <v>54206 Jonathan</v>
      </c>
      <c r="N84" s="80" t="s">
        <v>7430</v>
      </c>
      <c r="O84" s="81">
        <v>33</v>
      </c>
      <c r="P84" s="81">
        <v>207</v>
      </c>
      <c r="Q84" s="62" t="str">
        <f>_xlfn.IFS(COUNTA(B78:B80)=1,"Single",COUNTA(B78:B80)=2,"Double",COUNTA(B78:B80)=3,"Triple",COUNTA(B78:B80)=0,"Empty")</f>
        <v>Empty</v>
      </c>
      <c r="R84" s="62"/>
      <c r="S84" s="62"/>
      <c r="T84" s="62"/>
      <c r="U84" s="81">
        <f>B78</f>
        <v>0</v>
      </c>
      <c r="V84" s="100">
        <f>COUNT(B78:B80)</f>
        <v>0</v>
      </c>
      <c r="W84" s="101"/>
      <c r="X84" s="108" t="str">
        <f>IF(D78=0,"",D78)</f>
        <v/>
      </c>
      <c r="Y84" s="108" t="str">
        <f>IF(E78=0,"",E78)</f>
        <v/>
      </c>
      <c r="Z84" s="120"/>
      <c r="AA84" s="121" t="e">
        <f>VLOOKUP($M:$M,Data!$I:$J,2,FALSE)</f>
        <v>#N/A</v>
      </c>
      <c r="AB84" s="122"/>
    </row>
    <row r="85" spans="2:28">
      <c r="B85" s="46">
        <v>209</v>
      </c>
      <c r="C85" s="47"/>
      <c r="D85" s="48" t="s">
        <v>6580</v>
      </c>
      <c r="E85" s="49" t="s">
        <v>6581</v>
      </c>
      <c r="G85" s="46">
        <v>214</v>
      </c>
      <c r="H85" s="47"/>
      <c r="I85" s="48" t="s">
        <v>6580</v>
      </c>
      <c r="J85" s="49" t="s">
        <v>6581</v>
      </c>
      <c r="L85" s="9">
        <f>COUNTA(B79)+L84</f>
        <v>49</v>
      </c>
      <c r="M85" s="31">
        <f>C79</f>
        <v>0</v>
      </c>
      <c r="N85" s="82" t="s">
        <v>7430</v>
      </c>
      <c r="O85" s="36">
        <v>33</v>
      </c>
      <c r="P85" s="36">
        <v>207</v>
      </c>
      <c r="Q85" s="32"/>
      <c r="R85" s="32"/>
      <c r="S85" s="32"/>
      <c r="T85" s="32"/>
      <c r="U85" s="36">
        <f>B79</f>
        <v>0</v>
      </c>
      <c r="V85" s="103"/>
      <c r="W85" s="104"/>
      <c r="X85" s="109" t="str">
        <f t="shared" ref="X85:Y86" si="26">IF(D79=0,"",D79)</f>
        <v/>
      </c>
      <c r="Y85" s="109" t="str">
        <f t="shared" si="26"/>
        <v/>
      </c>
      <c r="Z85" s="123"/>
      <c r="AA85" s="124" t="e">
        <f>VLOOKUP($M:$M,Data!$I:$J,2,FALSE)</f>
        <v>#N/A</v>
      </c>
      <c r="AB85" s="125"/>
    </row>
    <row r="86" ht="15.25" spans="2:28">
      <c r="B86" s="50"/>
      <c r="C86" s="51" t="str">
        <f>VLOOKUP("33/209/1",Data!$A$2:$E$1425,3,FALSE)</f>
        <v>54108 Johan</v>
      </c>
      <c r="D86" s="52"/>
      <c r="E86" s="53"/>
      <c r="G86" s="50"/>
      <c r="H86" s="51" t="str">
        <f>VLOOKUP("33/214/1",Data!$A$2:$E$1425,3,FALSE)</f>
        <v>54110 Emma</v>
      </c>
      <c r="I86" s="52"/>
      <c r="J86" s="53"/>
      <c r="L86" s="14">
        <f>COUNTA(B80)+L85</f>
        <v>49</v>
      </c>
      <c r="M86" s="83" t="str">
        <f>C80</f>
        <v>54205 Johannes</v>
      </c>
      <c r="N86" s="84" t="s">
        <v>7430</v>
      </c>
      <c r="O86" s="85">
        <v>33</v>
      </c>
      <c r="P86" s="85">
        <v>207</v>
      </c>
      <c r="Q86" s="110"/>
      <c r="R86" s="110"/>
      <c r="S86" s="110"/>
      <c r="T86" s="110"/>
      <c r="U86" s="85">
        <f>B80</f>
        <v>0</v>
      </c>
      <c r="V86" s="105"/>
      <c r="W86" s="106"/>
      <c r="X86" s="111" t="str">
        <f t="shared" si="26"/>
        <v/>
      </c>
      <c r="Y86" s="111" t="str">
        <f t="shared" si="26"/>
        <v/>
      </c>
      <c r="Z86" s="127"/>
      <c r="AA86" s="128" t="e">
        <f>VLOOKUP($M:$M,Data!$I:$J,2,FALSE)</f>
        <v>#N/A</v>
      </c>
      <c r="AB86" s="126"/>
    </row>
    <row r="87" spans="2:28">
      <c r="B87" s="50"/>
      <c r="C87" s="51">
        <f>VLOOKUP("33/209/2",Data!$A$2:$E$1425,3,FALSE)</f>
        <v>0</v>
      </c>
      <c r="D87" s="54"/>
      <c r="E87" s="55"/>
      <c r="G87" s="50"/>
      <c r="H87" s="51">
        <f>VLOOKUP("33/214/2",Data!$A$2:$E$1425,3,FALSE)</f>
        <v>0</v>
      </c>
      <c r="I87" s="54"/>
      <c r="J87" s="55"/>
      <c r="L87" s="6">
        <f>COUNTA(B82)+L86</f>
        <v>49</v>
      </c>
      <c r="M87" s="79" t="str">
        <f>C82</f>
        <v>54407 Peter</v>
      </c>
      <c r="N87" s="80" t="s">
        <v>7430</v>
      </c>
      <c r="O87" s="81">
        <v>33</v>
      </c>
      <c r="P87" s="81">
        <v>208</v>
      </c>
      <c r="Q87" s="62" t="str">
        <f>_xlfn.IFS(COUNTA(B82:B84)=1,"Single",COUNTA(B82:B84)=2,"Double",COUNTA(B82:B84)=3,"Triple",COUNTA(B82:B84)=0,"Empty")</f>
        <v>Empty</v>
      </c>
      <c r="R87" s="62"/>
      <c r="S87" s="62"/>
      <c r="T87" s="62"/>
      <c r="U87" s="81">
        <f>B82</f>
        <v>0</v>
      </c>
      <c r="V87" s="100">
        <f>COUNT(B82:B84)</f>
        <v>0</v>
      </c>
      <c r="W87" s="101"/>
      <c r="X87" s="108" t="str">
        <f>IF(D82=0,"",D82)</f>
        <v/>
      </c>
      <c r="Y87" s="108" t="str">
        <f>IF(E82=0,"",E82)</f>
        <v/>
      </c>
      <c r="Z87" s="120"/>
      <c r="AA87" s="121" t="e">
        <f>VLOOKUP($M:$M,Data!$I:$J,2,FALSE)</f>
        <v>#N/A</v>
      </c>
      <c r="AB87" s="122"/>
    </row>
    <row r="88" ht="15.25" spans="2:28">
      <c r="B88" s="58"/>
      <c r="C88" s="59">
        <f>VLOOKUP("33/209/3",Data!$A$2:$E$1425,3,FALSE)</f>
        <v>0</v>
      </c>
      <c r="D88" s="56"/>
      <c r="E88" s="57"/>
      <c r="G88" s="58"/>
      <c r="H88" s="59">
        <f>VLOOKUP("33/214/3",Data!$A$2:$E$1425,3,FALSE)</f>
        <v>0</v>
      </c>
      <c r="I88" s="56"/>
      <c r="J88" s="57"/>
      <c r="L88" s="9">
        <f>COUNTA(B83)+L87</f>
        <v>49</v>
      </c>
      <c r="M88" s="31" t="str">
        <f>C83</f>
        <v>54408 Johana</v>
      </c>
      <c r="N88" s="82" t="s">
        <v>7430</v>
      </c>
      <c r="O88" s="36">
        <v>33</v>
      </c>
      <c r="P88" s="36">
        <v>208</v>
      </c>
      <c r="Q88" s="32"/>
      <c r="R88" s="32"/>
      <c r="S88" s="32"/>
      <c r="T88" s="32"/>
      <c r="U88" s="36">
        <f>B83</f>
        <v>0</v>
      </c>
      <c r="V88" s="103"/>
      <c r="W88" s="104"/>
      <c r="X88" s="109" t="str">
        <f t="shared" ref="X88:Y89" si="27">IF(D83=0,"",D83)</f>
        <v/>
      </c>
      <c r="Y88" s="109" t="str">
        <f t="shared" si="27"/>
        <v/>
      </c>
      <c r="Z88" s="123"/>
      <c r="AA88" s="124" t="e">
        <f>VLOOKUP($M:$M,Data!$I:$J,2,FALSE)</f>
        <v>#N/A</v>
      </c>
      <c r="AB88" s="125"/>
    </row>
    <row r="89" ht="15.25" spans="2:28">
      <c r="B89" s="46">
        <v>210</v>
      </c>
      <c r="C89" s="47"/>
      <c r="D89" s="48" t="s">
        <v>6580</v>
      </c>
      <c r="E89" s="49" t="s">
        <v>6581</v>
      </c>
      <c r="G89" s="46">
        <v>213</v>
      </c>
      <c r="H89" s="47"/>
      <c r="I89" s="48" t="s">
        <v>6580</v>
      </c>
      <c r="J89" s="49" t="s">
        <v>6581</v>
      </c>
      <c r="L89" s="14">
        <f>COUNTA(B84)+L88</f>
        <v>49</v>
      </c>
      <c r="M89" s="83">
        <f>C84</f>
        <v>0</v>
      </c>
      <c r="N89" s="84" t="s">
        <v>7430</v>
      </c>
      <c r="O89" s="85">
        <v>33</v>
      </c>
      <c r="P89" s="85">
        <v>208</v>
      </c>
      <c r="Q89" s="110"/>
      <c r="R89" s="110"/>
      <c r="S89" s="110"/>
      <c r="T89" s="110"/>
      <c r="U89" s="85">
        <f>B84</f>
        <v>0</v>
      </c>
      <c r="V89" s="105"/>
      <c r="W89" s="106"/>
      <c r="X89" s="111" t="str">
        <f t="shared" si="27"/>
        <v/>
      </c>
      <c r="Y89" s="111" t="str">
        <f t="shared" si="27"/>
        <v/>
      </c>
      <c r="Z89" s="127"/>
      <c r="AA89" s="128" t="e">
        <f>VLOOKUP($M:$M,Data!$I:$J,2,FALSE)</f>
        <v>#N/A</v>
      </c>
      <c r="AB89" s="126"/>
    </row>
    <row r="90" spans="2:28">
      <c r="B90" s="50"/>
      <c r="C90" s="51" t="str">
        <f>VLOOKUP("33/210/1",Data!$A$2:$E$1425,3,FALSE)</f>
        <v>54109 Staffan</v>
      </c>
      <c r="D90" s="52"/>
      <c r="E90" s="53"/>
      <c r="G90" s="50"/>
      <c r="H90" s="51" t="str">
        <f>VLOOKUP("33/213/1",Data!$A$2:$E$1425,3,FALSE)</f>
        <v>Frost</v>
      </c>
      <c r="I90" s="52"/>
      <c r="J90" s="53"/>
      <c r="L90" s="6">
        <f>COUNTA(B86)+L89</f>
        <v>49</v>
      </c>
      <c r="M90" s="79" t="str">
        <f>C86</f>
        <v>54108 Johan</v>
      </c>
      <c r="N90" s="80" t="s">
        <v>7430</v>
      </c>
      <c r="O90" s="81">
        <v>33</v>
      </c>
      <c r="P90" s="81">
        <v>209</v>
      </c>
      <c r="Q90" s="62" t="str">
        <f>_xlfn.IFS(COUNTA(B86:B88)=1,"Single",COUNTA(B86:B88)=2,"Double",COUNTA(B86:B88)=3,"Triple",COUNTA(B86:B88)=0,"Empty")</f>
        <v>Empty</v>
      </c>
      <c r="R90" s="62"/>
      <c r="S90" s="62"/>
      <c r="T90" s="62"/>
      <c r="U90" s="81">
        <f>B86</f>
        <v>0</v>
      </c>
      <c r="V90" s="100">
        <f>COUNT(B86:B88)</f>
        <v>0</v>
      </c>
      <c r="W90" s="101"/>
      <c r="X90" s="108" t="str">
        <f>IF(D86=0,"",D86)</f>
        <v/>
      </c>
      <c r="Y90" s="108" t="str">
        <f>IF(E86=0,"",E86)</f>
        <v/>
      </c>
      <c r="Z90" s="120"/>
      <c r="AA90" s="121" t="e">
        <f>VLOOKUP($M:$M,Data!$I:$J,2,FALSE)</f>
        <v>#N/A</v>
      </c>
      <c r="AB90" s="122"/>
    </row>
    <row r="91" spans="2:28">
      <c r="B91" s="50"/>
      <c r="C91" s="51">
        <f>VLOOKUP("33/210/2",Data!$A$2:$E$1425,3,FALSE)</f>
        <v>0</v>
      </c>
      <c r="D91" s="54"/>
      <c r="E91" s="55"/>
      <c r="G91" s="50"/>
      <c r="H91" s="51">
        <f>VLOOKUP("33/213/2",Data!$A$2:$E$1425,3,FALSE)</f>
        <v>0</v>
      </c>
      <c r="I91" s="54"/>
      <c r="J91" s="55"/>
      <c r="L91" s="9">
        <f>COUNTA(B87)+L90</f>
        <v>49</v>
      </c>
      <c r="M91" s="31">
        <f>C87</f>
        <v>0</v>
      </c>
      <c r="N91" s="82" t="s">
        <v>7430</v>
      </c>
      <c r="O91" s="36">
        <v>33</v>
      </c>
      <c r="P91" s="36">
        <v>209</v>
      </c>
      <c r="Q91" s="32"/>
      <c r="R91" s="32"/>
      <c r="S91" s="32"/>
      <c r="T91" s="32"/>
      <c r="U91" s="36">
        <f>B87</f>
        <v>0</v>
      </c>
      <c r="V91" s="103"/>
      <c r="W91" s="104"/>
      <c r="X91" s="109" t="str">
        <f t="shared" ref="X91:Y92" si="28">IF(D87=0,"",D87)</f>
        <v/>
      </c>
      <c r="Y91" s="109" t="str">
        <f t="shared" si="28"/>
        <v/>
      </c>
      <c r="Z91" s="123"/>
      <c r="AA91" s="124" t="e">
        <f>VLOOKUP($M:$M,Data!$I:$J,2,FALSE)</f>
        <v>#N/A</v>
      </c>
      <c r="AB91" s="125"/>
    </row>
    <row r="92" ht="15.25" spans="2:28">
      <c r="B92" s="58"/>
      <c r="C92" s="59">
        <f>VLOOKUP("33/210/3",Data!$A$2:$E$1425,3,FALSE)</f>
        <v>0</v>
      </c>
      <c r="D92" s="56"/>
      <c r="E92" s="57"/>
      <c r="G92" s="58"/>
      <c r="H92" s="59">
        <f>VLOOKUP("33/213/3",Data!$A$2:$E$1425,3,FALSE)</f>
        <v>0</v>
      </c>
      <c r="I92" s="56"/>
      <c r="J92" s="57"/>
      <c r="L92" s="14">
        <f>COUNTA(B88)+L91</f>
        <v>49</v>
      </c>
      <c r="M92" s="83">
        <f>C88</f>
        <v>0</v>
      </c>
      <c r="N92" s="84" t="s">
        <v>7430</v>
      </c>
      <c r="O92" s="85">
        <v>33</v>
      </c>
      <c r="P92" s="85">
        <v>209</v>
      </c>
      <c r="Q92" s="110"/>
      <c r="R92" s="110"/>
      <c r="S92" s="110"/>
      <c r="T92" s="110"/>
      <c r="U92" s="85">
        <f>B88</f>
        <v>0</v>
      </c>
      <c r="V92" s="105"/>
      <c r="W92" s="106"/>
      <c r="X92" s="111" t="str">
        <f t="shared" si="28"/>
        <v/>
      </c>
      <c r="Y92" s="111" t="str">
        <f t="shared" si="28"/>
        <v/>
      </c>
      <c r="Z92" s="127"/>
      <c r="AA92" s="128" t="e">
        <f>VLOOKUP($M:$M,Data!$I:$J,2,FALSE)</f>
        <v>#N/A</v>
      </c>
      <c r="AB92" s="126"/>
    </row>
    <row r="93" spans="2:28">
      <c r="B93" s="46">
        <v>211</v>
      </c>
      <c r="C93" s="47"/>
      <c r="D93" s="48" t="s">
        <v>6580</v>
      </c>
      <c r="E93" s="49" t="s">
        <v>6581</v>
      </c>
      <c r="G93" s="46">
        <v>212</v>
      </c>
      <c r="H93" s="47"/>
      <c r="I93" s="48" t="s">
        <v>6580</v>
      </c>
      <c r="J93" s="49" t="s">
        <v>6581</v>
      </c>
      <c r="L93" s="6">
        <f>COUNTA(B90)+L92</f>
        <v>49</v>
      </c>
      <c r="M93" s="79" t="str">
        <f>C90</f>
        <v>54109 Staffan</v>
      </c>
      <c r="N93" s="80" t="s">
        <v>7430</v>
      </c>
      <c r="O93" s="81">
        <v>33</v>
      </c>
      <c r="P93" s="81">
        <v>210</v>
      </c>
      <c r="Q93" s="62" t="str">
        <f>_xlfn.IFS(COUNTA(B90:B92)=1,"Single",COUNTA(B90:B92)=2,"Double",COUNTA(B90:B92)=3,"Triple",COUNTA(B90:B92)=0,"Empty")</f>
        <v>Empty</v>
      </c>
      <c r="R93" s="62"/>
      <c r="S93" s="62"/>
      <c r="T93" s="62"/>
      <c r="U93" s="81">
        <f>B90</f>
        <v>0</v>
      </c>
      <c r="V93" s="100">
        <f>COUNT(B90:B92)</f>
        <v>0</v>
      </c>
      <c r="W93" s="101"/>
      <c r="X93" s="108" t="str">
        <f>IF(D90=0,"",D90)</f>
        <v/>
      </c>
      <c r="Y93" s="108" t="str">
        <f>IF(E90=0,"",E90)</f>
        <v/>
      </c>
      <c r="Z93" s="120"/>
      <c r="AA93" s="121" t="e">
        <f>VLOOKUP($M:$M,Data!$I:$J,2,FALSE)</f>
        <v>#N/A</v>
      </c>
      <c r="AB93" s="122"/>
    </row>
    <row r="94" spans="2:28">
      <c r="B94" s="50">
        <v>1</v>
      </c>
      <c r="C94" s="51" t="str">
        <f>VLOOKUP("33/211/1",Data!$A$2:$E$1425,3,FALSE)</f>
        <v>54201 Emelie</v>
      </c>
      <c r="D94" s="52" t="s">
        <v>7755</v>
      </c>
      <c r="E94" s="53" t="s">
        <v>7756</v>
      </c>
      <c r="G94" s="50"/>
      <c r="H94" s="51" t="str">
        <f>VLOOKUP("33/212/1",Data!$A$2:$E$1425,3,FALSE)</f>
        <v>54301 Arvid</v>
      </c>
      <c r="I94" s="52"/>
      <c r="J94" s="53"/>
      <c r="L94" s="9">
        <f>COUNTA(B91)+L93</f>
        <v>49</v>
      </c>
      <c r="M94" s="31">
        <f>C91</f>
        <v>0</v>
      </c>
      <c r="N94" s="82" t="s">
        <v>7430</v>
      </c>
      <c r="O94" s="36">
        <v>33</v>
      </c>
      <c r="P94" s="36">
        <v>210</v>
      </c>
      <c r="Q94" s="32"/>
      <c r="R94" s="32"/>
      <c r="S94" s="32"/>
      <c r="T94" s="32"/>
      <c r="U94" s="36">
        <f>B91</f>
        <v>0</v>
      </c>
      <c r="V94" s="103"/>
      <c r="W94" s="104"/>
      <c r="X94" s="109" t="str">
        <f t="shared" ref="X94:Y95" si="29">IF(D91=0,"",D91)</f>
        <v/>
      </c>
      <c r="Y94" s="109" t="str">
        <f t="shared" si="29"/>
        <v/>
      </c>
      <c r="Z94" s="123"/>
      <c r="AA94" s="124" t="e">
        <f>VLOOKUP($M:$M,Data!$I:$J,2,FALSE)</f>
        <v>#N/A</v>
      </c>
      <c r="AB94" s="125"/>
    </row>
    <row r="95" ht="15.25" spans="2:28">
      <c r="B95" s="50"/>
      <c r="C95" s="51">
        <f>VLOOKUP("33/211/2",Data!$A$2:$E$1425,3,FALSE)</f>
        <v>0</v>
      </c>
      <c r="D95" s="54"/>
      <c r="E95" s="55"/>
      <c r="G95" s="50"/>
      <c r="H95" s="51">
        <f>VLOOKUP("33/212/2",Data!$A$2:$E$1425,3,FALSE)</f>
        <v>0</v>
      </c>
      <c r="I95" s="54"/>
      <c r="J95" s="55"/>
      <c r="L95" s="14">
        <f>COUNTA(B92)+L94</f>
        <v>49</v>
      </c>
      <c r="M95" s="83">
        <f>C92</f>
        <v>0</v>
      </c>
      <c r="N95" s="84" t="s">
        <v>7430</v>
      </c>
      <c r="O95" s="85">
        <v>33</v>
      </c>
      <c r="P95" s="85">
        <v>210</v>
      </c>
      <c r="Q95" s="110"/>
      <c r="R95" s="110"/>
      <c r="S95" s="110"/>
      <c r="T95" s="110"/>
      <c r="U95" s="85">
        <f>B92</f>
        <v>0</v>
      </c>
      <c r="V95" s="105"/>
      <c r="W95" s="106"/>
      <c r="X95" s="111" t="str">
        <f t="shared" si="29"/>
        <v/>
      </c>
      <c r="Y95" s="111" t="str">
        <f t="shared" si="29"/>
        <v/>
      </c>
      <c r="Z95" s="127"/>
      <c r="AA95" s="128" t="e">
        <f>VLOOKUP($M:$M,Data!$I:$J,2,FALSE)</f>
        <v>#N/A</v>
      </c>
      <c r="AB95" s="126"/>
    </row>
    <row r="96" ht="15.25" spans="2:28">
      <c r="B96" s="58"/>
      <c r="C96" s="59">
        <f>VLOOKUP("33/211/3",Data!$A$2:$E$1425,3,FALSE)</f>
        <v>0</v>
      </c>
      <c r="D96" s="56"/>
      <c r="E96" s="57"/>
      <c r="G96" s="58"/>
      <c r="H96" s="59">
        <f>VLOOKUP("33/212/3",Data!$A$2:$E$1425,3,FALSE)</f>
        <v>0</v>
      </c>
      <c r="I96" s="56"/>
      <c r="J96" s="57"/>
      <c r="L96" s="6">
        <f>COUNTA(B94)+L95</f>
        <v>50</v>
      </c>
      <c r="M96" s="79" t="str">
        <f>C94</f>
        <v>54201 Emelie</v>
      </c>
      <c r="N96" s="80" t="s">
        <v>7430</v>
      </c>
      <c r="O96" s="81">
        <v>33</v>
      </c>
      <c r="P96" s="81">
        <v>211</v>
      </c>
      <c r="Q96" s="62" t="str">
        <f>_xlfn.IFS(COUNTA(B94:B96)=1,"Single",COUNTA(B94:B96)=2,"Double",COUNTA(B94:B96)=3,"Triple",COUNTA(B94:B96)=0,"Empty")</f>
        <v>Single</v>
      </c>
      <c r="R96" s="62"/>
      <c r="S96" s="62"/>
      <c r="T96" s="62"/>
      <c r="U96" s="81">
        <f>B94</f>
        <v>1</v>
      </c>
      <c r="V96" s="100">
        <f>COUNT(B94:B96)</f>
        <v>1</v>
      </c>
      <c r="W96" s="101"/>
      <c r="X96" s="108" t="str">
        <f>IF(D94=0,"",D94)</f>
        <v>17/11/24</v>
      </c>
      <c r="Y96" s="108" t="str">
        <f>IF(E94=0,"",E94)</f>
        <v>21/11/24</v>
      </c>
      <c r="Z96" s="120"/>
      <c r="AA96" s="121" t="e">
        <f>VLOOKUP($M:$M,Data!$I:$J,2,FALSE)</f>
        <v>#N/A</v>
      </c>
      <c r="AB96" s="122"/>
    </row>
    <row r="97" spans="12:28">
      <c r="L97" s="9">
        <f>COUNTA(B95)+L96</f>
        <v>50</v>
      </c>
      <c r="M97" s="31">
        <f>C95</f>
        <v>0</v>
      </c>
      <c r="N97" s="82" t="s">
        <v>7430</v>
      </c>
      <c r="O97" s="36">
        <v>33</v>
      </c>
      <c r="P97" s="36">
        <v>211</v>
      </c>
      <c r="Q97" s="32"/>
      <c r="R97" s="32"/>
      <c r="S97" s="32"/>
      <c r="T97" s="32"/>
      <c r="U97" s="36">
        <f>B95</f>
        <v>0</v>
      </c>
      <c r="V97" s="103"/>
      <c r="W97" s="104"/>
      <c r="X97" s="109" t="str">
        <f t="shared" ref="X97:Y98" si="30">IF(D95=0,"",D95)</f>
        <v/>
      </c>
      <c r="Y97" s="109" t="str">
        <f t="shared" si="30"/>
        <v/>
      </c>
      <c r="Z97" s="123"/>
      <c r="AA97" s="124" t="e">
        <f>VLOOKUP($M:$M,Data!$I:$J,2,FALSE)</f>
        <v>#N/A</v>
      </c>
      <c r="AB97" s="125"/>
    </row>
    <row r="98" ht="15.25" spans="12:28">
      <c r="L98" s="14">
        <f>COUNTA(B96)+L97</f>
        <v>50</v>
      </c>
      <c r="M98" s="83">
        <f>C96</f>
        <v>0</v>
      </c>
      <c r="N98" s="84" t="s">
        <v>7430</v>
      </c>
      <c r="O98" s="85">
        <v>33</v>
      </c>
      <c r="P98" s="85">
        <v>211</v>
      </c>
      <c r="Q98" s="110"/>
      <c r="R98" s="110"/>
      <c r="S98" s="110"/>
      <c r="T98" s="110"/>
      <c r="U98" s="85">
        <f>B96</f>
        <v>0</v>
      </c>
      <c r="V98" s="105"/>
      <c r="W98" s="106"/>
      <c r="X98" s="111" t="str">
        <f t="shared" si="30"/>
        <v/>
      </c>
      <c r="Y98" s="111" t="str">
        <f t="shared" si="30"/>
        <v/>
      </c>
      <c r="Z98" s="127"/>
      <c r="AA98" s="128" t="e">
        <f>VLOOKUP($M:$M,Data!$I:$J,2,FALSE)</f>
        <v>#N/A</v>
      </c>
      <c r="AB98" s="126"/>
    </row>
    <row r="99" spans="12:28">
      <c r="L99" s="6">
        <f>COUNTA(G94)+L98</f>
        <v>50</v>
      </c>
      <c r="M99" s="79" t="str">
        <f>H94</f>
        <v>54301 Arvid</v>
      </c>
      <c r="N99" s="80" t="s">
        <v>7430</v>
      </c>
      <c r="O99" s="81">
        <v>33</v>
      </c>
      <c r="P99" s="81">
        <v>212</v>
      </c>
      <c r="Q99" s="62" t="str">
        <f>_xlfn.IFS(COUNTA(G94:G96)=1,"Single",COUNTA(G94:G96)=2,"Double",COUNTA(G94:G96)=3,"Triple",COUNTA(G94:G96)=0,"Empty")</f>
        <v>Empty</v>
      </c>
      <c r="R99" s="62"/>
      <c r="S99" s="62"/>
      <c r="T99" s="62"/>
      <c r="U99" s="81">
        <f>G94</f>
        <v>0</v>
      </c>
      <c r="V99" s="100">
        <f>COUNT(G94:G96)</f>
        <v>0</v>
      </c>
      <c r="W99" s="101"/>
      <c r="X99" s="108" t="str">
        <f>IF(I94=0,"",I94)</f>
        <v/>
      </c>
      <c r="Y99" s="108" t="str">
        <f>IF(J94=0,"",J94)</f>
        <v/>
      </c>
      <c r="Z99" s="120"/>
      <c r="AA99" s="121" t="e">
        <f>VLOOKUP($M:$M,Data!$I:$J,2,FALSE)</f>
        <v>#N/A</v>
      </c>
      <c r="AB99" s="122"/>
    </row>
    <row r="100" spans="12:28">
      <c r="L100" s="9">
        <f>COUNTA(G95)+L99</f>
        <v>50</v>
      </c>
      <c r="M100" s="31">
        <f>H95</f>
        <v>0</v>
      </c>
      <c r="N100" s="82" t="s">
        <v>7430</v>
      </c>
      <c r="O100" s="36">
        <v>33</v>
      </c>
      <c r="P100" s="36">
        <v>212</v>
      </c>
      <c r="Q100" s="32"/>
      <c r="R100" s="32"/>
      <c r="S100" s="32"/>
      <c r="T100" s="32"/>
      <c r="U100" s="36">
        <f>G95</f>
        <v>0</v>
      </c>
      <c r="V100" s="103"/>
      <c r="W100" s="104"/>
      <c r="X100" s="109" t="str">
        <f t="shared" ref="X100:Y101" si="31">IF(I95=0,"",I95)</f>
        <v/>
      </c>
      <c r="Y100" s="109" t="str">
        <f t="shared" si="31"/>
        <v/>
      </c>
      <c r="Z100" s="123"/>
      <c r="AA100" s="124" t="e">
        <f>VLOOKUP($M:$M,Data!$I:$J,2,FALSE)</f>
        <v>#N/A</v>
      </c>
      <c r="AB100" s="125"/>
    </row>
    <row r="101" ht="15.25" spans="12:28">
      <c r="L101" s="14">
        <f>COUNTA(G96)+L100</f>
        <v>50</v>
      </c>
      <c r="M101" s="83">
        <f>H96</f>
        <v>0</v>
      </c>
      <c r="N101" s="84" t="s">
        <v>7430</v>
      </c>
      <c r="O101" s="85">
        <v>33</v>
      </c>
      <c r="P101" s="85">
        <v>212</v>
      </c>
      <c r="Q101" s="110"/>
      <c r="R101" s="110"/>
      <c r="S101" s="110"/>
      <c r="T101" s="110"/>
      <c r="U101" s="85">
        <f>G96</f>
        <v>0</v>
      </c>
      <c r="V101" s="105"/>
      <c r="W101" s="106"/>
      <c r="X101" s="111" t="str">
        <f t="shared" si="31"/>
        <v/>
      </c>
      <c r="Y101" s="111" t="str">
        <f t="shared" si="31"/>
        <v/>
      </c>
      <c r="Z101" s="127"/>
      <c r="AA101" s="128" t="e">
        <f>VLOOKUP($M:$M,Data!$I:$J,2,FALSE)</f>
        <v>#N/A</v>
      </c>
      <c r="AB101" s="126"/>
    </row>
    <row r="102" spans="12:28">
      <c r="L102" s="6">
        <f>COUNTA(G90)+L101</f>
        <v>50</v>
      </c>
      <c r="M102" s="79" t="str">
        <f>H90</f>
        <v>Frost</v>
      </c>
      <c r="N102" s="80" t="s">
        <v>7430</v>
      </c>
      <c r="O102" s="81">
        <v>33</v>
      </c>
      <c r="P102" s="81">
        <v>213</v>
      </c>
      <c r="Q102" s="62" t="str">
        <f>_xlfn.IFS(COUNTA(G90:G92)=1,"Single",COUNTA(G90:G92)=2,"Double",COUNTA(G90:G92)=3,"Triple",COUNTA(G90:G92)=0,"Empty")</f>
        <v>Empty</v>
      </c>
      <c r="R102" s="62"/>
      <c r="S102" s="62"/>
      <c r="T102" s="62"/>
      <c r="U102" s="81">
        <f>G90</f>
        <v>0</v>
      </c>
      <c r="V102" s="100">
        <f>COUNT(G90:G92)</f>
        <v>0</v>
      </c>
      <c r="W102" s="101"/>
      <c r="X102" s="108" t="str">
        <f>IF(I90=0,"",I90)</f>
        <v/>
      </c>
      <c r="Y102" s="108" t="str">
        <f>IF(J90=0,"",J90)</f>
        <v/>
      </c>
      <c r="Z102" s="120"/>
      <c r="AA102" s="121" t="e">
        <f>VLOOKUP($M:$M,Data!$I:$J,2,FALSE)</f>
        <v>#N/A</v>
      </c>
      <c r="AB102" s="122"/>
    </row>
    <row r="103" spans="12:28">
      <c r="L103" s="9">
        <f>COUNTA(G91)+L102</f>
        <v>50</v>
      </c>
      <c r="M103" s="31">
        <f>H91</f>
        <v>0</v>
      </c>
      <c r="N103" s="82" t="s">
        <v>7430</v>
      </c>
      <c r="O103" s="36">
        <v>33</v>
      </c>
      <c r="P103" s="36">
        <v>213</v>
      </c>
      <c r="Q103" s="32"/>
      <c r="R103" s="32"/>
      <c r="S103" s="32"/>
      <c r="T103" s="32"/>
      <c r="U103" s="36">
        <f>G91</f>
        <v>0</v>
      </c>
      <c r="V103" s="103"/>
      <c r="W103" s="104"/>
      <c r="X103" s="109" t="str">
        <f t="shared" ref="X103:Y104" si="32">IF(I91=0,"",I91)</f>
        <v/>
      </c>
      <c r="Y103" s="109" t="str">
        <f t="shared" si="32"/>
        <v/>
      </c>
      <c r="Z103" s="123"/>
      <c r="AA103" s="124" t="e">
        <f>VLOOKUP($M:$M,Data!$I:$J,2,FALSE)</f>
        <v>#N/A</v>
      </c>
      <c r="AB103" s="125"/>
    </row>
    <row r="104" ht="15.25" spans="12:28">
      <c r="L104" s="14">
        <f>COUNTA(G92)+L103</f>
        <v>50</v>
      </c>
      <c r="M104" s="83">
        <f>H92</f>
        <v>0</v>
      </c>
      <c r="N104" s="84" t="s">
        <v>7430</v>
      </c>
      <c r="O104" s="85">
        <v>33</v>
      </c>
      <c r="P104" s="85">
        <v>213</v>
      </c>
      <c r="Q104" s="110"/>
      <c r="R104" s="110"/>
      <c r="S104" s="110"/>
      <c r="T104" s="110"/>
      <c r="U104" s="85">
        <f>G92</f>
        <v>0</v>
      </c>
      <c r="V104" s="105"/>
      <c r="W104" s="106"/>
      <c r="X104" s="111" t="str">
        <f t="shared" si="32"/>
        <v/>
      </c>
      <c r="Y104" s="111" t="str">
        <f t="shared" si="32"/>
        <v/>
      </c>
      <c r="Z104" s="127"/>
      <c r="AA104" s="128" t="e">
        <f>VLOOKUP($M:$M,Data!$I:$J,2,FALSE)</f>
        <v>#N/A</v>
      </c>
      <c r="AB104" s="126"/>
    </row>
    <row r="105" spans="12:28">
      <c r="L105" s="6">
        <f>COUNTA(G86)+L104</f>
        <v>50</v>
      </c>
      <c r="M105" s="79" t="str">
        <f>H86</f>
        <v>54110 Emma</v>
      </c>
      <c r="N105" s="80" t="s">
        <v>7430</v>
      </c>
      <c r="O105" s="81">
        <v>33</v>
      </c>
      <c r="P105" s="81">
        <v>214</v>
      </c>
      <c r="Q105" s="62" t="str">
        <f>_xlfn.IFS(COUNTA(G86:G88)=1,"Single",COUNTA(G86:G88)=2,"Double",COUNTA(G86:G88)=3,"Triple",COUNTA(G86:G88)=0,"Empty")</f>
        <v>Empty</v>
      </c>
      <c r="R105" s="62"/>
      <c r="S105" s="62"/>
      <c r="T105" s="62"/>
      <c r="U105" s="81">
        <f>G86</f>
        <v>0</v>
      </c>
      <c r="V105" s="100">
        <f>COUNT(G86:G88)</f>
        <v>0</v>
      </c>
      <c r="W105" s="101"/>
      <c r="X105" s="108" t="str">
        <f>IF(I86=0,"",I86)</f>
        <v/>
      </c>
      <c r="Y105" s="108" t="str">
        <f>IF(J86=0,"",J86)</f>
        <v/>
      </c>
      <c r="Z105" s="120"/>
      <c r="AA105" s="121" t="e">
        <f>VLOOKUP($M:$M,Data!$I:$J,2,FALSE)</f>
        <v>#N/A</v>
      </c>
      <c r="AB105" s="122"/>
    </row>
    <row r="106" spans="12:28">
      <c r="L106" s="9">
        <f>COUNTA(G87)+L105</f>
        <v>50</v>
      </c>
      <c r="M106" s="31">
        <f>H87</f>
        <v>0</v>
      </c>
      <c r="N106" s="82" t="s">
        <v>7430</v>
      </c>
      <c r="O106" s="36">
        <v>33</v>
      </c>
      <c r="P106" s="36">
        <v>214</v>
      </c>
      <c r="Q106" s="32"/>
      <c r="R106" s="32"/>
      <c r="S106" s="32"/>
      <c r="T106" s="32"/>
      <c r="U106" s="36">
        <f>G87</f>
        <v>0</v>
      </c>
      <c r="V106" s="103"/>
      <c r="W106" s="104"/>
      <c r="X106" s="109" t="str">
        <f t="shared" ref="X106:Y107" si="33">IF(I87=0,"",I87)</f>
        <v/>
      </c>
      <c r="Y106" s="109" t="str">
        <f t="shared" si="33"/>
        <v/>
      </c>
      <c r="Z106" s="123"/>
      <c r="AA106" s="124" t="e">
        <f>VLOOKUP($M:$M,Data!$I:$J,2,FALSE)</f>
        <v>#N/A</v>
      </c>
      <c r="AB106" s="125"/>
    </row>
    <row r="107" ht="15.25" spans="12:28">
      <c r="L107" s="14">
        <f>COUNTA(G88)+L106</f>
        <v>50</v>
      </c>
      <c r="M107" s="83">
        <f>H88</f>
        <v>0</v>
      </c>
      <c r="N107" s="84" t="s">
        <v>7430</v>
      </c>
      <c r="O107" s="85">
        <v>33</v>
      </c>
      <c r="P107" s="85">
        <v>214</v>
      </c>
      <c r="Q107" s="110"/>
      <c r="R107" s="110"/>
      <c r="S107" s="110"/>
      <c r="T107" s="110"/>
      <c r="U107" s="85">
        <f>G88</f>
        <v>0</v>
      </c>
      <c r="V107" s="105"/>
      <c r="W107" s="106"/>
      <c r="X107" s="111" t="str">
        <f t="shared" si="33"/>
        <v/>
      </c>
      <c r="Y107" s="111" t="str">
        <f t="shared" si="33"/>
        <v/>
      </c>
      <c r="Z107" s="127"/>
      <c r="AA107" s="128" t="e">
        <f>VLOOKUP($M:$M,Data!$I:$J,2,FALSE)</f>
        <v>#N/A</v>
      </c>
      <c r="AB107" s="126"/>
    </row>
    <row r="108" spans="12:28">
      <c r="L108" s="6">
        <f>COUNTA(G82)+L107</f>
        <v>50</v>
      </c>
      <c r="M108" s="79" t="str">
        <f>H82</f>
        <v>54305 Axel</v>
      </c>
      <c r="N108" s="80" t="s">
        <v>7430</v>
      </c>
      <c r="O108" s="81">
        <v>33</v>
      </c>
      <c r="P108" s="81">
        <v>215</v>
      </c>
      <c r="Q108" s="62" t="str">
        <f>_xlfn.IFS(COUNTA(G82:G84)=1,"Single",COUNTA(G82:G84)=2,"Double",COUNTA(G82:G84)=3,"Triple",COUNTA(G82:G84)=0,"Empty")</f>
        <v>Empty</v>
      </c>
      <c r="R108" s="62"/>
      <c r="S108" s="62"/>
      <c r="T108" s="62"/>
      <c r="U108" s="81">
        <f>G82</f>
        <v>0</v>
      </c>
      <c r="V108" s="100">
        <f>COUNT(G82:G84)</f>
        <v>0</v>
      </c>
      <c r="W108" s="101"/>
      <c r="X108" s="108" t="str">
        <f>IF(I82=0,"",I82)</f>
        <v/>
      </c>
      <c r="Y108" s="108" t="str">
        <f>IF(J82=0,"",J82)</f>
        <v/>
      </c>
      <c r="Z108" s="120"/>
      <c r="AA108" s="121" t="e">
        <f>VLOOKUP($M:$M,Data!$I:$J,2,FALSE)</f>
        <v>#N/A</v>
      </c>
      <c r="AB108" s="122"/>
    </row>
    <row r="109" spans="12:28">
      <c r="L109" s="9">
        <f>COUNTA(G83)+L108</f>
        <v>50</v>
      </c>
      <c r="M109" s="31" t="str">
        <f>H83</f>
        <v>54306 Zackarias</v>
      </c>
      <c r="N109" s="82" t="s">
        <v>7430</v>
      </c>
      <c r="O109" s="36">
        <v>33</v>
      </c>
      <c r="P109" s="36">
        <v>215</v>
      </c>
      <c r="Q109" s="32"/>
      <c r="R109" s="32"/>
      <c r="S109" s="32"/>
      <c r="T109" s="32"/>
      <c r="U109" s="36">
        <f>G83</f>
        <v>0</v>
      </c>
      <c r="V109" s="103"/>
      <c r="W109" s="104"/>
      <c r="X109" s="109" t="str">
        <f t="shared" ref="X109:Y110" si="34">IF(I83=0,"",I83)</f>
        <v/>
      </c>
      <c r="Y109" s="109" t="str">
        <f t="shared" si="34"/>
        <v/>
      </c>
      <c r="Z109" s="123"/>
      <c r="AA109" s="124" t="e">
        <f>VLOOKUP($M:$M,Data!$I:$J,2,FALSE)</f>
        <v>#N/A</v>
      </c>
      <c r="AB109" s="125"/>
    </row>
    <row r="110" ht="15.25" spans="12:28">
      <c r="L110" s="14">
        <f>COUNTA(G84)+L109</f>
        <v>50</v>
      </c>
      <c r="M110" s="83">
        <f>H84</f>
        <v>0</v>
      </c>
      <c r="N110" s="84" t="s">
        <v>7430</v>
      </c>
      <c r="O110" s="85">
        <v>33</v>
      </c>
      <c r="P110" s="85">
        <v>215</v>
      </c>
      <c r="Q110" s="110"/>
      <c r="R110" s="110"/>
      <c r="S110" s="110"/>
      <c r="T110" s="110"/>
      <c r="U110" s="85">
        <f>G84</f>
        <v>0</v>
      </c>
      <c r="V110" s="105"/>
      <c r="W110" s="106"/>
      <c r="X110" s="111" t="str">
        <f t="shared" si="34"/>
        <v/>
      </c>
      <c r="Y110" s="111" t="str">
        <f t="shared" si="34"/>
        <v/>
      </c>
      <c r="Z110" s="127"/>
      <c r="AA110" s="128" t="e">
        <f>VLOOKUP($M:$M,Data!$I:$J,2,FALSE)</f>
        <v>#N/A</v>
      </c>
      <c r="AB110" s="126"/>
    </row>
    <row r="111" spans="12:28">
      <c r="L111" s="6">
        <f>COUNTA(G70)+L110</f>
        <v>51</v>
      </c>
      <c r="M111" s="79" t="str">
        <f>H70</f>
        <v>54116 Alexander</v>
      </c>
      <c r="N111" s="80" t="s">
        <v>7430</v>
      </c>
      <c r="O111" s="81">
        <v>33</v>
      </c>
      <c r="P111" s="81">
        <v>216</v>
      </c>
      <c r="Q111" s="62" t="str">
        <f>_xlfn.IFS(COUNTA(G70:G72)=1,"Single",COUNTA(G70:G72)=2,"Double",COUNTA(G70:G72)=3,"Triple",COUNTA(G70:G72)=0,"Empty")</f>
        <v>Single</v>
      </c>
      <c r="R111" s="62"/>
      <c r="S111" s="62"/>
      <c r="T111" s="62"/>
      <c r="U111" s="81">
        <f>G70</f>
        <v>1</v>
      </c>
      <c r="V111" s="100">
        <f>COUNT(G70:G72)</f>
        <v>1</v>
      </c>
      <c r="W111" s="101"/>
      <c r="X111" s="108" t="str">
        <f>IF(I70=0,"",I70)</f>
        <v/>
      </c>
      <c r="Y111" s="108" t="str">
        <f>IF(J70=0,"",J70)</f>
        <v/>
      </c>
      <c r="Z111" s="120"/>
      <c r="AA111" s="121" t="e">
        <f>VLOOKUP($M:$M,Data!$I:$J,2,FALSE)</f>
        <v>#N/A</v>
      </c>
      <c r="AB111" s="122" t="s">
        <v>6593</v>
      </c>
    </row>
    <row r="112" spans="12:28">
      <c r="L112" s="9">
        <f>COUNTA(G71)+L111</f>
        <v>51</v>
      </c>
      <c r="M112" s="31" t="str">
        <f>H71</f>
        <v>54146 Kevin</v>
      </c>
      <c r="N112" s="82" t="s">
        <v>7430</v>
      </c>
      <c r="O112" s="36">
        <v>33</v>
      </c>
      <c r="P112" s="36">
        <v>216</v>
      </c>
      <c r="Q112" s="32"/>
      <c r="R112" s="32"/>
      <c r="S112" s="32"/>
      <c r="T112" s="32"/>
      <c r="U112" s="36">
        <f>G71</f>
        <v>0</v>
      </c>
      <c r="V112" s="103"/>
      <c r="W112" s="104"/>
      <c r="X112" s="109" t="str">
        <f t="shared" ref="X112:Y113" si="35">IF(I71=0,"",I71)</f>
        <v/>
      </c>
      <c r="Y112" s="109" t="str">
        <f t="shared" si="35"/>
        <v/>
      </c>
      <c r="Z112" s="123"/>
      <c r="AA112" s="124" t="e">
        <f>VLOOKUP($M:$M,Data!$I:$J,2,FALSE)</f>
        <v>#N/A</v>
      </c>
      <c r="AB112" s="125"/>
    </row>
    <row r="113" ht="15.25" spans="12:28">
      <c r="L113" s="14">
        <f>COUNTA(G72)+L112</f>
        <v>51</v>
      </c>
      <c r="M113" s="83">
        <f>H72</f>
        <v>0</v>
      </c>
      <c r="N113" s="84" t="s">
        <v>7430</v>
      </c>
      <c r="O113" s="85">
        <v>33</v>
      </c>
      <c r="P113" s="85">
        <v>216</v>
      </c>
      <c r="Q113" s="110"/>
      <c r="R113" s="110"/>
      <c r="S113" s="110"/>
      <c r="T113" s="110"/>
      <c r="U113" s="85">
        <f>G72</f>
        <v>0</v>
      </c>
      <c r="V113" s="105"/>
      <c r="W113" s="106"/>
      <c r="X113" s="111" t="str">
        <f t="shared" si="35"/>
        <v/>
      </c>
      <c r="Y113" s="111" t="str">
        <f t="shared" si="35"/>
        <v/>
      </c>
      <c r="Z113" s="127"/>
      <c r="AA113" s="128" t="e">
        <f>VLOOKUP($M:$M,Data!$I:$J,2,FALSE)</f>
        <v>#N/A</v>
      </c>
      <c r="AB113" s="126"/>
    </row>
    <row r="114" spans="12:28">
      <c r="L114" s="6">
        <f>COUNTA(G66)+L113</f>
        <v>52</v>
      </c>
      <c r="M114" s="79" t="str">
        <f>H66</f>
        <v>54126 Jonna</v>
      </c>
      <c r="N114" s="80" t="s">
        <v>7430</v>
      </c>
      <c r="O114" s="81">
        <v>33</v>
      </c>
      <c r="P114" s="81">
        <v>217</v>
      </c>
      <c r="Q114" s="62" t="str">
        <f>_xlfn.IFS(COUNTA(G66:G68)=1,"Single",COUNTA(G66:G68)=2,"Double",COUNTA(G66:G68)=3,"Triple",COUNTA(G66:G68)=0,"Empty")</f>
        <v>Triple</v>
      </c>
      <c r="R114" s="62"/>
      <c r="S114" s="62"/>
      <c r="T114" s="62"/>
      <c r="U114" s="81">
        <f>G66</f>
        <v>1</v>
      </c>
      <c r="V114" s="100">
        <f>COUNT(G66:G68)</f>
        <v>3</v>
      </c>
      <c r="W114" s="101"/>
      <c r="X114" s="108" t="str">
        <f>IF(I66=0,"",I66)</f>
        <v/>
      </c>
      <c r="Y114" s="108" t="str">
        <f>IF(J66=0,"",J66)</f>
        <v/>
      </c>
      <c r="Z114" s="120" t="s">
        <v>7757</v>
      </c>
      <c r="AA114" s="121" t="e">
        <f>VLOOKUP($M:$M,Data!$I:$J,2,FALSE)</f>
        <v>#N/A</v>
      </c>
      <c r="AB114" s="122"/>
    </row>
    <row r="115" spans="12:28">
      <c r="L115" s="9">
        <f>COUNTA(G67)+L114</f>
        <v>53</v>
      </c>
      <c r="M115" s="31" t="str">
        <f>H67</f>
        <v>54316 Jennifer</v>
      </c>
      <c r="N115" s="82" t="s">
        <v>7430</v>
      </c>
      <c r="O115" s="36">
        <v>33</v>
      </c>
      <c r="P115" s="36">
        <v>217</v>
      </c>
      <c r="Q115" s="32"/>
      <c r="R115" s="32"/>
      <c r="S115" s="32"/>
      <c r="T115" s="32"/>
      <c r="U115" s="36">
        <f>G67</f>
        <v>2</v>
      </c>
      <c r="V115" s="103"/>
      <c r="W115" s="104"/>
      <c r="X115" s="109" t="str">
        <f t="shared" ref="X115:Y116" si="36">IF(I67=0,"",I67)</f>
        <v/>
      </c>
      <c r="Y115" s="109" t="str">
        <f t="shared" si="36"/>
        <v/>
      </c>
      <c r="Z115" s="123" t="s">
        <v>7758</v>
      </c>
      <c r="AA115" s="124" t="e">
        <f>VLOOKUP($M:$M,Data!$I:$J,2,FALSE)</f>
        <v>#N/A</v>
      </c>
      <c r="AB115" s="125"/>
    </row>
    <row r="116" ht="15.25" spans="12:28">
      <c r="L116" s="14">
        <f>COUNTA(G68)+L115</f>
        <v>54</v>
      </c>
      <c r="M116" s="83">
        <f>H68</f>
        <v>0</v>
      </c>
      <c r="N116" s="84" t="s">
        <v>7430</v>
      </c>
      <c r="O116" s="85">
        <v>33</v>
      </c>
      <c r="P116" s="85">
        <v>217</v>
      </c>
      <c r="Q116" s="110"/>
      <c r="R116" s="110"/>
      <c r="S116" s="110"/>
      <c r="T116" s="110"/>
      <c r="U116" s="85">
        <f>G68</f>
        <v>3</v>
      </c>
      <c r="V116" s="105"/>
      <c r="W116" s="106"/>
      <c r="X116" s="111" t="str">
        <f t="shared" si="36"/>
        <v/>
      </c>
      <c r="Y116" s="111" t="str">
        <f t="shared" si="36"/>
        <v/>
      </c>
      <c r="Z116" s="127" t="s">
        <v>7759</v>
      </c>
      <c r="AA116" s="128" t="e">
        <f>VLOOKUP($M:$M,Data!$I:$J,2,FALSE)</f>
        <v>#N/A</v>
      </c>
      <c r="AB116" s="126"/>
    </row>
    <row r="117" spans="12:28">
      <c r="L117" s="6">
        <f>COUNTA(G62)+L116</f>
        <v>55</v>
      </c>
      <c r="M117" s="79" t="str">
        <f>H62</f>
        <v>54001 Matilda </v>
      </c>
      <c r="N117" s="80" t="s">
        <v>7430</v>
      </c>
      <c r="O117" s="81">
        <v>33</v>
      </c>
      <c r="P117" s="81">
        <v>218</v>
      </c>
      <c r="Q117" s="62" t="str">
        <f>_xlfn.IFS(COUNTA(G62:G64)=1,"Single",COUNTA(G62:G64)=2,"Double",COUNTA(G62:G64)=3,"Triple",COUNTA(G62:G64)=0,"Empty")</f>
        <v>Double</v>
      </c>
      <c r="R117" s="62"/>
      <c r="S117" s="62"/>
      <c r="T117" s="62"/>
      <c r="U117" s="81">
        <f>G62</f>
        <v>1</v>
      </c>
      <c r="V117" s="100">
        <f>COUNT(G62:G64)</f>
        <v>2</v>
      </c>
      <c r="W117" s="101"/>
      <c r="X117" s="108" t="str">
        <f>IF(I62=0,"",I62)</f>
        <v/>
      </c>
      <c r="Y117" s="108" t="str">
        <f>IF(J62=0,"",J62)</f>
        <v/>
      </c>
      <c r="Z117" s="120" t="s">
        <v>7760</v>
      </c>
      <c r="AA117" s="121" t="e">
        <f>VLOOKUP($M:$M,Data!$I:$J,2,FALSE)</f>
        <v>#N/A</v>
      </c>
      <c r="AB117" s="122"/>
    </row>
    <row r="118" spans="12:28">
      <c r="L118" s="9">
        <f>COUNTA(G63)+L117</f>
        <v>56</v>
      </c>
      <c r="M118" s="31">
        <f>H63</f>
        <v>0</v>
      </c>
      <c r="N118" s="82" t="s">
        <v>7430</v>
      </c>
      <c r="O118" s="36">
        <v>33</v>
      </c>
      <c r="P118" s="36">
        <v>218</v>
      </c>
      <c r="Q118" s="32"/>
      <c r="R118" s="32"/>
      <c r="S118" s="32"/>
      <c r="T118" s="32"/>
      <c r="U118" s="36">
        <f>G63</f>
        <v>2</v>
      </c>
      <c r="V118" s="103"/>
      <c r="W118" s="104"/>
      <c r="X118" s="109" t="str">
        <f t="shared" ref="X118:Y119" si="37">IF(I63=0,"",I63)</f>
        <v/>
      </c>
      <c r="Y118" s="109" t="str">
        <f t="shared" si="37"/>
        <v/>
      </c>
      <c r="Z118" s="123" t="s">
        <v>7761</v>
      </c>
      <c r="AA118" s="124" t="e">
        <f>VLOOKUP($M:$M,Data!$I:$J,2,FALSE)</f>
        <v>#N/A</v>
      </c>
      <c r="AB118" s="125"/>
    </row>
    <row r="119" ht="15.25" spans="12:28">
      <c r="L119" s="14">
        <f>COUNTA(G64)+L118</f>
        <v>56</v>
      </c>
      <c r="M119" s="83">
        <f>H64</f>
        <v>0</v>
      </c>
      <c r="N119" s="84" t="s">
        <v>7430</v>
      </c>
      <c r="O119" s="85">
        <v>33</v>
      </c>
      <c r="P119" s="85">
        <v>218</v>
      </c>
      <c r="Q119" s="110"/>
      <c r="R119" s="110"/>
      <c r="S119" s="110"/>
      <c r="T119" s="110"/>
      <c r="U119" s="85">
        <f>G64</f>
        <v>0</v>
      </c>
      <c r="V119" s="105"/>
      <c r="W119" s="106"/>
      <c r="X119" s="111" t="str">
        <f t="shared" si="37"/>
        <v/>
      </c>
      <c r="Y119" s="111" t="str">
        <f t="shared" si="37"/>
        <v/>
      </c>
      <c r="Z119" s="127"/>
      <c r="AA119" s="128" t="e">
        <f>VLOOKUP($M:$M,Data!$I:$J,2,FALSE)</f>
        <v>#N/A</v>
      </c>
      <c r="AB119" s="126"/>
    </row>
    <row r="120" spans="12:28">
      <c r="L120" s="6">
        <f>COUNTA(G58)+L119</f>
        <v>57</v>
      </c>
      <c r="M120" s="79" t="str">
        <f>H58</f>
        <v>500048 Samuel </v>
      </c>
      <c r="N120" s="80" t="s">
        <v>7430</v>
      </c>
      <c r="O120" s="81">
        <v>33</v>
      </c>
      <c r="P120" s="81">
        <v>219</v>
      </c>
      <c r="Q120" s="62" t="str">
        <f>_xlfn.IFS(COUNTA(G58:G60)=1,"Single",COUNTA(G58:G60)=2,"Double",COUNTA(G58:G60)=3,"Triple",COUNTA(G58:G60)=0,"Empty")</f>
        <v>Double</v>
      </c>
      <c r="R120" s="62"/>
      <c r="S120" s="62"/>
      <c r="T120" s="62"/>
      <c r="U120" s="81">
        <f>G58</f>
        <v>1</v>
      </c>
      <c r="V120" s="100">
        <f>COUNT(G58:G60)</f>
        <v>2</v>
      </c>
      <c r="W120" s="101"/>
      <c r="X120" s="108" t="str">
        <f>IF(I58=0,"",I58)</f>
        <v/>
      </c>
      <c r="Y120" s="108" t="str">
        <f>IF(J58=0,"",J58)</f>
        <v/>
      </c>
      <c r="Z120" s="120" t="s">
        <v>7762</v>
      </c>
      <c r="AA120" s="121" t="e">
        <f>VLOOKUP($M:$M,Data!$I:$J,2,FALSE)</f>
        <v>#N/A</v>
      </c>
      <c r="AB120" s="122"/>
    </row>
    <row r="121" spans="12:28">
      <c r="L121" s="9">
        <f>COUNTA(G59)+L120</f>
        <v>58</v>
      </c>
      <c r="M121" s="31">
        <f>H59</f>
        <v>0</v>
      </c>
      <c r="N121" s="82" t="s">
        <v>7430</v>
      </c>
      <c r="O121" s="36">
        <v>33</v>
      </c>
      <c r="P121" s="36">
        <v>219</v>
      </c>
      <c r="Q121" s="32"/>
      <c r="R121" s="32"/>
      <c r="S121" s="32"/>
      <c r="T121" s="32"/>
      <c r="U121" s="36">
        <f>G59</f>
        <v>2</v>
      </c>
      <c r="V121" s="103"/>
      <c r="W121" s="104"/>
      <c r="X121" s="109" t="str">
        <f t="shared" ref="X121:Y122" si="38">IF(I59=0,"",I59)</f>
        <v/>
      </c>
      <c r="Y121" s="109" t="str">
        <f t="shared" si="38"/>
        <v/>
      </c>
      <c r="Z121" s="123" t="s">
        <v>6635</v>
      </c>
      <c r="AA121" s="124" t="e">
        <f>VLOOKUP($M:$M,Data!$I:$J,2,FALSE)</f>
        <v>#N/A</v>
      </c>
      <c r="AB121" s="125"/>
    </row>
    <row r="122" ht="15.25" spans="12:28">
      <c r="L122" s="14">
        <f>COUNTA(G60)+L121</f>
        <v>58</v>
      </c>
      <c r="M122" s="83">
        <f>H60</f>
        <v>0</v>
      </c>
      <c r="N122" s="84" t="s">
        <v>7430</v>
      </c>
      <c r="O122" s="85">
        <v>33</v>
      </c>
      <c r="P122" s="85">
        <v>219</v>
      </c>
      <c r="Q122" s="110"/>
      <c r="R122" s="110"/>
      <c r="S122" s="110"/>
      <c r="T122" s="110"/>
      <c r="U122" s="85">
        <f>G60</f>
        <v>0</v>
      </c>
      <c r="V122" s="105"/>
      <c r="W122" s="106"/>
      <c r="X122" s="111" t="str">
        <f t="shared" si="38"/>
        <v/>
      </c>
      <c r="Y122" s="111" t="str">
        <f t="shared" si="38"/>
        <v/>
      </c>
      <c r="Z122" s="127"/>
      <c r="AA122" s="128" t="e">
        <f>VLOOKUP($M:$M,Data!$I:$J,2,FALSE)</f>
        <v>#N/A</v>
      </c>
      <c r="AB122" s="126"/>
    </row>
    <row r="123" spans="12:28">
      <c r="L123" s="6">
        <f>COUNTA(G54)+L122</f>
        <v>59</v>
      </c>
      <c r="M123" s="79" t="str">
        <f>H54</f>
        <v>50002 Sebastian </v>
      </c>
      <c r="N123" s="80" t="s">
        <v>7430</v>
      </c>
      <c r="O123" s="81">
        <v>33</v>
      </c>
      <c r="P123" s="81">
        <v>220</v>
      </c>
      <c r="Q123" s="62" t="str">
        <f>_xlfn.IFS(COUNTA(G54:G56)=1,"Single",COUNTA(G54:G56)=2,"Double",COUNTA(G54:G56)=3,"Triple",COUNTA(G54:G56)=0,"Empty")</f>
        <v>Double</v>
      </c>
      <c r="R123" s="62"/>
      <c r="S123" s="62"/>
      <c r="T123" s="62"/>
      <c r="U123" s="81">
        <f>G54</f>
        <v>1</v>
      </c>
      <c r="V123" s="100">
        <f>COUNT(G54:G56)</f>
        <v>2</v>
      </c>
      <c r="W123" s="101"/>
      <c r="X123" s="108" t="str">
        <f>IF(I54=0,"",I54)</f>
        <v/>
      </c>
      <c r="Y123" s="108" t="str">
        <f>IF(J54=0,"",J54)</f>
        <v/>
      </c>
      <c r="Z123" s="120" t="s">
        <v>7763</v>
      </c>
      <c r="AA123" s="121" t="e">
        <f>VLOOKUP($M:$M,Data!$I:$J,2,FALSE)</f>
        <v>#N/A</v>
      </c>
      <c r="AB123" s="122"/>
    </row>
    <row r="124" spans="12:28">
      <c r="L124" s="9">
        <f>COUNTA(G55)+L123</f>
        <v>60</v>
      </c>
      <c r="M124" s="31">
        <f t="shared" ref="M124:M125" si="39">H55</f>
        <v>0</v>
      </c>
      <c r="N124" s="82" t="s">
        <v>7430</v>
      </c>
      <c r="O124" s="36">
        <v>33</v>
      </c>
      <c r="P124" s="36">
        <v>220</v>
      </c>
      <c r="Q124" s="32"/>
      <c r="R124" s="32"/>
      <c r="S124" s="32"/>
      <c r="T124" s="32"/>
      <c r="U124" s="36">
        <f t="shared" ref="U124:U125" si="40">G55</f>
        <v>2</v>
      </c>
      <c r="V124" s="103"/>
      <c r="W124" s="104"/>
      <c r="X124" s="109" t="str">
        <f t="shared" ref="X124:Y125" si="41">IF(I55=0,"",I55)</f>
        <v/>
      </c>
      <c r="Y124" s="109" t="str">
        <f t="shared" si="41"/>
        <v/>
      </c>
      <c r="Z124" s="123" t="s">
        <v>7764</v>
      </c>
      <c r="AA124" s="124" t="e">
        <f>VLOOKUP($M:$M,Data!$I:$J,2,FALSE)</f>
        <v>#N/A</v>
      </c>
      <c r="AB124" s="125"/>
    </row>
    <row r="125" ht="15.25" spans="12:28">
      <c r="L125" s="14">
        <f>COUNTA(G56)+L124</f>
        <v>60</v>
      </c>
      <c r="M125" s="83">
        <f t="shared" si="39"/>
        <v>0</v>
      </c>
      <c r="N125" s="84" t="s">
        <v>7430</v>
      </c>
      <c r="O125" s="85">
        <v>33</v>
      </c>
      <c r="P125" s="85">
        <v>220</v>
      </c>
      <c r="Q125" s="110"/>
      <c r="R125" s="110"/>
      <c r="S125" s="110"/>
      <c r="T125" s="110"/>
      <c r="U125" s="85">
        <f t="shared" si="40"/>
        <v>0</v>
      </c>
      <c r="V125" s="105"/>
      <c r="W125" s="106"/>
      <c r="X125" s="111" t="str">
        <f t="shared" si="41"/>
        <v/>
      </c>
      <c r="Y125" s="111" t="str">
        <f t="shared" si="41"/>
        <v/>
      </c>
      <c r="Z125" s="127"/>
      <c r="AA125" s="128" t="e">
        <f>VLOOKUP($M:$M,Data!$I:$J,2,FALSE)</f>
        <v>#N/A</v>
      </c>
      <c r="AB125" s="126"/>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117:T119"/>
    <mergeCell ref="V117:W119"/>
    <mergeCell ref="Q120:T122"/>
    <mergeCell ref="V120:W122"/>
    <mergeCell ref="Q123:T125"/>
    <mergeCell ref="V123:W125"/>
    <mergeCell ref="Q108:T110"/>
    <mergeCell ref="V108:W110"/>
    <mergeCell ref="Q111:T113"/>
    <mergeCell ref="V111:W113"/>
    <mergeCell ref="Q114:T116"/>
    <mergeCell ref="V114:W116"/>
    <mergeCell ref="Q99:T101"/>
    <mergeCell ref="V99:W101"/>
    <mergeCell ref="Q102:T104"/>
    <mergeCell ref="V102:W104"/>
    <mergeCell ref="Q105:T107"/>
    <mergeCell ref="V105:W107"/>
    <mergeCell ref="Q93:T95"/>
    <mergeCell ref="V93:W95"/>
    <mergeCell ref="Q96:T98"/>
    <mergeCell ref="V96:W98"/>
    <mergeCell ref="Q87:T89"/>
    <mergeCell ref="V87:W89"/>
    <mergeCell ref="Q90:T92"/>
    <mergeCell ref="V90:W92"/>
    <mergeCell ref="Q81:T83"/>
    <mergeCell ref="V81:W83"/>
    <mergeCell ref="Q84:T86"/>
    <mergeCell ref="V84:W86"/>
    <mergeCell ref="Q72:T74"/>
    <mergeCell ref="V72:W74"/>
    <mergeCell ref="G73:J80"/>
    <mergeCell ref="Q75:T77"/>
    <mergeCell ref="V75:W77"/>
    <mergeCell ref="Q78:T80"/>
    <mergeCell ref="V78:W80"/>
    <mergeCell ref="Q66:T68"/>
    <mergeCell ref="V66:W68"/>
    <mergeCell ref="Q69:T71"/>
    <mergeCell ref="V69:W71"/>
    <mergeCell ref="Q60:T62"/>
    <mergeCell ref="V60:W62"/>
    <mergeCell ref="Q63:T65"/>
    <mergeCell ref="V63:W65"/>
    <mergeCell ref="Q54:T56"/>
    <mergeCell ref="V54:W56"/>
    <mergeCell ref="Q57:T59"/>
    <mergeCell ref="V57:W59"/>
    <mergeCell ref="Q48:T50"/>
    <mergeCell ref="V48:W50"/>
    <mergeCell ref="Q51:T53"/>
    <mergeCell ref="V51:W53"/>
    <mergeCell ref="Q42:T44"/>
    <mergeCell ref="V42:W44"/>
    <mergeCell ref="Q45:T47"/>
    <mergeCell ref="V45:W47"/>
    <mergeCell ref="Q36:T38"/>
    <mergeCell ref="V36:W38"/>
    <mergeCell ref="Q39:T41"/>
    <mergeCell ref="V39:W41"/>
    <mergeCell ref="Q30:T32"/>
    <mergeCell ref="V30:W32"/>
    <mergeCell ref="Q33:T35"/>
    <mergeCell ref="V33:W35"/>
    <mergeCell ref="Q21:T23"/>
    <mergeCell ref="V21:W23"/>
    <mergeCell ref="Q24:T26"/>
    <mergeCell ref="V24:W26"/>
    <mergeCell ref="G26:J33"/>
    <mergeCell ref="Q27:T29"/>
    <mergeCell ref="V27:W29"/>
    <mergeCell ref="Q15:T17"/>
    <mergeCell ref="V15:W17"/>
    <mergeCell ref="Q18:T20"/>
    <mergeCell ref="V18:W20"/>
    <mergeCell ref="Q9:T11"/>
    <mergeCell ref="V9:W11"/>
    <mergeCell ref="Q12:T14"/>
    <mergeCell ref="V12:W14"/>
    <mergeCell ref="Q6:T8"/>
    <mergeCell ref="V6:W8"/>
  </mergeCells>
  <conditionalFormatting sqref="L6">
    <cfRule type="cellIs" dxfId="12" priority="532" operator="equal">
      <formula>0</formula>
    </cfRule>
  </conditionalFormatting>
  <conditionalFormatting sqref="B7:B9">
    <cfRule type="cellIs" dxfId="27" priority="515" operator="notEqual">
      <formula>0</formula>
    </cfRule>
    <cfRule type="expression" dxfId="28" priority="516">
      <formula>COUNTA(C7)&lt;&gt;0</formula>
    </cfRule>
  </conditionalFormatting>
  <conditionalFormatting sqref="B11:B13">
    <cfRule type="cellIs" dxfId="27" priority="513" operator="notEqual">
      <formula>0</formula>
    </cfRule>
    <cfRule type="expression" dxfId="28" priority="514">
      <formula>COUNTA(C11)&lt;&gt;0</formula>
    </cfRule>
  </conditionalFormatting>
  <conditionalFormatting sqref="B15:B17">
    <cfRule type="cellIs" dxfId="27" priority="507" operator="notEqual">
      <formula>0</formula>
    </cfRule>
    <cfRule type="expression" dxfId="28" priority="508">
      <formula>COUNTA(C15)&lt;&gt;0</formula>
    </cfRule>
  </conditionalFormatting>
  <conditionalFormatting sqref="B19:B21">
    <cfRule type="cellIs" dxfId="27" priority="505" operator="notEqual">
      <formula>0</formula>
    </cfRule>
    <cfRule type="expression" dxfId="28" priority="506">
      <formula>COUNTA(C19)&lt;&gt;0</formula>
    </cfRule>
  </conditionalFormatting>
  <conditionalFormatting sqref="B23:B25">
    <cfRule type="cellIs" dxfId="27" priority="499" operator="notEqual">
      <formula>0</formula>
    </cfRule>
    <cfRule type="expression" dxfId="28" priority="500">
      <formula>COUNTA(C23)&lt;&gt;0</formula>
    </cfRule>
  </conditionalFormatting>
  <conditionalFormatting sqref="B27:B29">
    <cfRule type="cellIs" dxfId="27" priority="497" operator="notEqual">
      <formula>0</formula>
    </cfRule>
    <cfRule type="expression" dxfId="28" priority="498">
      <formula>COUNTA(C27)&lt;&gt;0</formula>
    </cfRule>
  </conditionalFormatting>
  <conditionalFormatting sqref="B31:B33">
    <cfRule type="cellIs" dxfId="27" priority="495" operator="notEqual">
      <formula>0</formula>
    </cfRule>
    <cfRule type="expression" dxfId="28" priority="496">
      <formula>COUNTA(C31)&lt;&gt;0</formula>
    </cfRule>
  </conditionalFormatting>
  <conditionalFormatting sqref="B35:B37">
    <cfRule type="cellIs" dxfId="27" priority="493" operator="notEqual">
      <formula>0</formula>
    </cfRule>
    <cfRule type="expression" dxfId="28" priority="494">
      <formula>COUNTA(C35)&lt;&gt;0</formula>
    </cfRule>
  </conditionalFormatting>
  <conditionalFormatting sqref="B39:B41">
    <cfRule type="cellIs" dxfId="27" priority="487" operator="notEqual">
      <formula>0</formula>
    </cfRule>
    <cfRule type="expression" dxfId="28" priority="488">
      <formula>COUNTA(C39)&lt;&gt;0</formula>
    </cfRule>
  </conditionalFormatting>
  <conditionalFormatting sqref="B43:B45">
    <cfRule type="cellIs" dxfId="27" priority="485" operator="notEqual">
      <formula>0</formula>
    </cfRule>
    <cfRule type="expression" dxfId="28" priority="486">
      <formula>COUNTA(C43)&lt;&gt;0</formula>
    </cfRule>
  </conditionalFormatting>
  <conditionalFormatting sqref="B47:B49">
    <cfRule type="cellIs" dxfId="27" priority="479" operator="notEqual">
      <formula>0</formula>
    </cfRule>
    <cfRule type="expression" dxfId="28" priority="480">
      <formula>COUNTA(C47)&lt;&gt;0</formula>
    </cfRule>
  </conditionalFormatting>
  <conditionalFormatting sqref="B54:B56">
    <cfRule type="cellIs" dxfId="27" priority="455" operator="notEqual">
      <formula>0</formula>
    </cfRule>
    <cfRule type="expression" dxfId="28" priority="456">
      <formula>COUNTA(C54)&lt;&gt;0</formula>
    </cfRule>
  </conditionalFormatting>
  <conditionalFormatting sqref="B58:B60">
    <cfRule type="cellIs" dxfId="27" priority="453" operator="notEqual">
      <formula>0</formula>
    </cfRule>
    <cfRule type="expression" dxfId="28" priority="454">
      <formula>COUNTA(C58)&lt;&gt;0</formula>
    </cfRule>
  </conditionalFormatting>
  <conditionalFormatting sqref="B62:B64">
    <cfRule type="cellIs" dxfId="27" priority="447" operator="notEqual">
      <formula>0</formula>
    </cfRule>
    <cfRule type="expression" dxfId="28" priority="448">
      <formula>COUNTA(C62)&lt;&gt;0</formula>
    </cfRule>
  </conditionalFormatting>
  <conditionalFormatting sqref="B66:B68">
    <cfRule type="cellIs" dxfId="27" priority="445" operator="notEqual">
      <formula>0</formula>
    </cfRule>
    <cfRule type="expression" dxfId="28" priority="446">
      <formula>COUNTA(C66)&lt;&gt;0</formula>
    </cfRule>
  </conditionalFormatting>
  <conditionalFormatting sqref="B70:B72">
    <cfRule type="cellIs" dxfId="27" priority="439" operator="notEqual">
      <formula>0</formula>
    </cfRule>
    <cfRule type="expression" dxfId="28" priority="440">
      <formula>COUNTA(C70)&lt;&gt;0</formula>
    </cfRule>
  </conditionalFormatting>
  <conditionalFormatting sqref="B74:B76">
    <cfRule type="cellIs" dxfId="27" priority="437" operator="notEqual">
      <formula>0</formula>
    </cfRule>
    <cfRule type="expression" dxfId="28" priority="438">
      <formula>COUNTA(C74)&lt;&gt;0</formula>
    </cfRule>
  </conditionalFormatting>
  <conditionalFormatting sqref="B78:B80">
    <cfRule type="cellIs" dxfId="27" priority="435" operator="notEqual">
      <formula>0</formula>
    </cfRule>
    <cfRule type="expression" dxfId="28" priority="436">
      <formula>COUNTA(C78)&lt;&gt;0</formula>
    </cfRule>
  </conditionalFormatting>
  <conditionalFormatting sqref="B82:B84">
    <cfRule type="cellIs" dxfId="27" priority="433" operator="notEqual">
      <formula>0</formula>
    </cfRule>
    <cfRule type="expression" dxfId="28" priority="434">
      <formula>COUNTA(C82)&lt;&gt;0</formula>
    </cfRule>
  </conditionalFormatting>
  <conditionalFormatting sqref="B86:B88">
    <cfRule type="cellIs" dxfId="27" priority="427" operator="notEqual">
      <formula>0</formula>
    </cfRule>
    <cfRule type="expression" dxfId="28" priority="428">
      <formula>COUNTA(C86)&lt;&gt;0</formula>
    </cfRule>
  </conditionalFormatting>
  <conditionalFormatting sqref="B90:B92">
    <cfRule type="cellIs" dxfId="27" priority="425" operator="notEqual">
      <formula>0</formula>
    </cfRule>
    <cfRule type="expression" dxfId="28" priority="426">
      <formula>COUNTA(C90)&lt;&gt;0</formula>
    </cfRule>
  </conditionalFormatting>
  <conditionalFormatting sqref="B94:B96">
    <cfRule type="cellIs" dxfId="27" priority="419" operator="notEqual">
      <formula>0</formula>
    </cfRule>
    <cfRule type="expression" dxfId="28" priority="420">
      <formula>COUNTA(C94)&lt;&gt;0</formula>
    </cfRule>
  </conditionalFormatting>
  <conditionalFormatting sqref="C7:C9">
    <cfRule type="cellIs" dxfId="2" priority="519" operator="notEqual">
      <formula>0</formula>
    </cfRule>
  </conditionalFormatting>
  <conditionalFormatting sqref="C11:C13">
    <cfRule type="cellIs" dxfId="2" priority="520" operator="notEqual">
      <formula>0</formula>
    </cfRule>
  </conditionalFormatting>
  <conditionalFormatting sqref="C15:C17">
    <cfRule type="cellIs" dxfId="2" priority="521" operator="notEqual">
      <formula>0</formula>
    </cfRule>
  </conditionalFormatting>
  <conditionalFormatting sqref="C19:C21">
    <cfRule type="cellIs" dxfId="2" priority="522" operator="notEqual">
      <formula>0</formula>
    </cfRule>
  </conditionalFormatting>
  <conditionalFormatting sqref="C23:C25">
    <cfRule type="cellIs" dxfId="2" priority="523" operator="notEqual">
      <formula>0</formula>
    </cfRule>
  </conditionalFormatting>
  <conditionalFormatting sqref="C27:C29">
    <cfRule type="cellIs" dxfId="2" priority="524" operator="notEqual">
      <formula>0</formula>
    </cfRule>
  </conditionalFormatting>
  <conditionalFormatting sqref="C31:C33">
    <cfRule type="cellIs" dxfId="2" priority="525" operator="notEqual">
      <formula>0</formula>
    </cfRule>
  </conditionalFormatting>
  <conditionalFormatting sqref="C35:C37">
    <cfRule type="cellIs" dxfId="2" priority="526" operator="notEqual">
      <formula>0</formula>
    </cfRule>
  </conditionalFormatting>
  <conditionalFormatting sqref="C39:C41">
    <cfRule type="cellIs" dxfId="2" priority="527" operator="notEqual">
      <formula>0</formula>
    </cfRule>
  </conditionalFormatting>
  <conditionalFormatting sqref="C43:C45">
    <cfRule type="cellIs" dxfId="2" priority="528" operator="notEqual">
      <formula>0</formula>
    </cfRule>
  </conditionalFormatting>
  <conditionalFormatting sqref="C47:C49">
    <cfRule type="cellIs" dxfId="2" priority="529" operator="notEqual">
      <formula>0</formula>
    </cfRule>
  </conditionalFormatting>
  <conditionalFormatting sqref="C54:C56">
    <cfRule type="cellIs" dxfId="2" priority="459" operator="notEqual">
      <formula>0</formula>
    </cfRule>
  </conditionalFormatting>
  <conditionalFormatting sqref="C58:C60">
    <cfRule type="cellIs" dxfId="2" priority="460" operator="notEqual">
      <formula>0</formula>
    </cfRule>
  </conditionalFormatting>
  <conditionalFormatting sqref="C62:C64">
    <cfRule type="cellIs" dxfId="2" priority="461" operator="notEqual">
      <formula>0</formula>
    </cfRule>
  </conditionalFormatting>
  <conditionalFormatting sqref="C66:C68">
    <cfRule type="cellIs" dxfId="2" priority="462" operator="notEqual">
      <formula>0</formula>
    </cfRule>
  </conditionalFormatting>
  <conditionalFormatting sqref="C70:C72">
    <cfRule type="cellIs" dxfId="2" priority="463" operator="notEqual">
      <formula>0</formula>
    </cfRule>
  </conditionalFormatting>
  <conditionalFormatting sqref="C74:C76">
    <cfRule type="cellIs" dxfId="2" priority="464" operator="notEqual">
      <formula>0</formula>
    </cfRule>
  </conditionalFormatting>
  <conditionalFormatting sqref="C78:C80">
    <cfRule type="cellIs" dxfId="2" priority="465" operator="notEqual">
      <formula>0</formula>
    </cfRule>
  </conditionalFormatting>
  <conditionalFormatting sqref="C82:C84">
    <cfRule type="cellIs" dxfId="2" priority="466" operator="notEqual">
      <formula>0</formula>
    </cfRule>
  </conditionalFormatting>
  <conditionalFormatting sqref="C86:C88">
    <cfRule type="cellIs" dxfId="2" priority="467" operator="notEqual">
      <formula>0</formula>
    </cfRule>
  </conditionalFormatting>
  <conditionalFormatting sqref="C90:C92">
    <cfRule type="cellIs" dxfId="2" priority="468" operator="notEqual">
      <formula>0</formula>
    </cfRule>
  </conditionalFormatting>
  <conditionalFormatting sqref="C94:C96">
    <cfRule type="cellIs" dxfId="2" priority="469" operator="notEqual">
      <formula>0</formula>
    </cfRule>
  </conditionalFormatting>
  <conditionalFormatting sqref="D7:D9">
    <cfRule type="cellIs" dxfId="22" priority="394" operator="equal">
      <formula>""</formula>
    </cfRule>
    <cfRule type="cellIs" dxfId="22" priority="395" operator="greaterThan">
      <formula>TODAY()</formula>
    </cfRule>
    <cfRule type="expression" dxfId="14" priority="405">
      <formula>AND(D7&lt;TODAY(),E7="")</formula>
    </cfRule>
    <cfRule type="expression" dxfId="13" priority="406">
      <formula>E7&lt;TODAY()</formula>
    </cfRule>
    <cfRule type="expression" dxfId="14" priority="407">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401" operator="equal">
      <formula>0</formula>
    </cfRule>
    <cfRule type="cellIs" dxfId="29" priority="402" operator="lessThan">
      <formula>D7</formula>
    </cfRule>
    <cfRule type="expression" dxfId="13" priority="403">
      <formula>E7&lt;TODAY()</formula>
    </cfRule>
    <cfRule type="expression" dxfId="14" priority="404">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517" operator="notEqual">
      <formula>0</formula>
    </cfRule>
    <cfRule type="expression" dxfId="28" priority="518">
      <formula>COUNTA(H7)&lt;&gt;0</formula>
    </cfRule>
  </conditionalFormatting>
  <conditionalFormatting sqref="G11:G13">
    <cfRule type="cellIs" dxfId="27" priority="511" operator="notEqual">
      <formula>0</formula>
    </cfRule>
    <cfRule type="expression" dxfId="28" priority="512">
      <formula>COUNTA(H11)&lt;&gt;0</formula>
    </cfRule>
  </conditionalFormatting>
  <conditionalFormatting sqref="G15:G17">
    <cfRule type="cellIs" dxfId="27" priority="509" operator="notEqual">
      <formula>0</formula>
    </cfRule>
    <cfRule type="expression" dxfId="28" priority="510">
      <formula>COUNTA(H15)&lt;&gt;0</formula>
    </cfRule>
  </conditionalFormatting>
  <conditionalFormatting sqref="G19:G21">
    <cfRule type="cellIs" dxfId="27" priority="503" operator="notEqual">
      <formula>0</formula>
    </cfRule>
    <cfRule type="expression" dxfId="28" priority="504">
      <formula>COUNTA(H19)&lt;&gt;0</formula>
    </cfRule>
  </conditionalFormatting>
  <conditionalFormatting sqref="G23:G25">
    <cfRule type="cellIs" dxfId="27" priority="501" operator="notEqual">
      <formula>0</formula>
    </cfRule>
    <cfRule type="expression" dxfId="28" priority="502">
      <formula>COUNTA(H23)&lt;&gt;0</formula>
    </cfRule>
  </conditionalFormatting>
  <conditionalFormatting sqref="G35:G37">
    <cfRule type="cellIs" dxfId="27" priority="491" operator="notEqual">
      <formula>0</formula>
    </cfRule>
    <cfRule type="expression" dxfId="28" priority="492">
      <formula>COUNTA(H35)&lt;&gt;0</formula>
    </cfRule>
  </conditionalFormatting>
  <conditionalFormatting sqref="G39:G41">
    <cfRule type="cellIs" dxfId="27" priority="489" operator="notEqual">
      <formula>0</formula>
    </cfRule>
    <cfRule type="expression" dxfId="28" priority="490">
      <formula>COUNTA(H39)&lt;&gt;0</formula>
    </cfRule>
  </conditionalFormatting>
  <conditionalFormatting sqref="G43:G45">
    <cfRule type="cellIs" dxfId="27" priority="483" operator="notEqual">
      <formula>0</formula>
    </cfRule>
    <cfRule type="expression" dxfId="28" priority="484">
      <formula>COUNTA(H43)&lt;&gt;0</formula>
    </cfRule>
  </conditionalFormatting>
  <conditionalFormatting sqref="G47:G49">
    <cfRule type="cellIs" dxfId="27" priority="481" operator="notEqual">
      <formula>0</formula>
    </cfRule>
    <cfRule type="expression" dxfId="28" priority="482">
      <formula>COUNTA(H47)&lt;&gt;0</formula>
    </cfRule>
  </conditionalFormatting>
  <conditionalFormatting sqref="G54:G56">
    <cfRule type="cellIs" dxfId="27" priority="457" operator="notEqual">
      <formula>0</formula>
    </cfRule>
    <cfRule type="expression" dxfId="28" priority="458">
      <formula>COUNTA(H54)&lt;&gt;0</formula>
    </cfRule>
  </conditionalFormatting>
  <conditionalFormatting sqref="G58:G60">
    <cfRule type="cellIs" dxfId="27" priority="451" operator="notEqual">
      <formula>0</formula>
    </cfRule>
    <cfRule type="expression" dxfId="28" priority="452">
      <formula>COUNTA(H58)&lt;&gt;0</formula>
    </cfRule>
  </conditionalFormatting>
  <conditionalFormatting sqref="G62:G64">
    <cfRule type="cellIs" dxfId="27" priority="449" operator="notEqual">
      <formula>0</formula>
    </cfRule>
    <cfRule type="expression" dxfId="28" priority="450">
      <formula>COUNTA(H62)&lt;&gt;0</formula>
    </cfRule>
  </conditionalFormatting>
  <conditionalFormatting sqref="G66:G68">
    <cfRule type="cellIs" dxfId="27" priority="443" operator="notEqual">
      <formula>0</formula>
    </cfRule>
    <cfRule type="expression" dxfId="28" priority="444">
      <formula>COUNTA(H66)&lt;&gt;0</formula>
    </cfRule>
  </conditionalFormatting>
  <conditionalFormatting sqref="G70:G72">
    <cfRule type="cellIs" dxfId="27" priority="441" operator="notEqual">
      <formula>0</formula>
    </cfRule>
    <cfRule type="expression" dxfId="28" priority="442">
      <formula>COUNTA(H70)&lt;&gt;0</formula>
    </cfRule>
  </conditionalFormatting>
  <conditionalFormatting sqref="G82:G84">
    <cfRule type="cellIs" dxfId="27" priority="431" operator="notEqual">
      <formula>0</formula>
    </cfRule>
    <cfRule type="expression" dxfId="28" priority="432">
      <formula>COUNTA(H82)&lt;&gt;0</formula>
    </cfRule>
  </conditionalFormatting>
  <conditionalFormatting sqref="G86:G88">
    <cfRule type="cellIs" dxfId="27" priority="429" operator="notEqual">
      <formula>0</formula>
    </cfRule>
    <cfRule type="expression" dxfId="28" priority="430">
      <formula>COUNTA(H86)&lt;&gt;0</formula>
    </cfRule>
  </conditionalFormatting>
  <conditionalFormatting sqref="G90:G92">
    <cfRule type="cellIs" dxfId="27" priority="423" operator="notEqual">
      <formula>0</formula>
    </cfRule>
    <cfRule type="expression" dxfId="28" priority="424">
      <formula>COUNTA(H90)&lt;&gt;0</formula>
    </cfRule>
  </conditionalFormatting>
  <conditionalFormatting sqref="G94:G96">
    <cfRule type="cellIs" dxfId="27" priority="421" operator="notEqual">
      <formula>0</formula>
    </cfRule>
    <cfRule type="expression" dxfId="28" priority="422">
      <formula>COUNTA(H94)&lt;&gt;0</formula>
    </cfRule>
  </conditionalFormatting>
  <conditionalFormatting sqref="H7:H9">
    <cfRule type="cellIs" dxfId="2" priority="470" operator="notEqual">
      <formula>0</formula>
    </cfRule>
  </conditionalFormatting>
  <conditionalFormatting sqref="H11:H13">
    <cfRule type="cellIs" dxfId="2" priority="471" operator="notEqual">
      <formula>0</formula>
    </cfRule>
  </conditionalFormatting>
  <conditionalFormatting sqref="H15:H17">
    <cfRule type="cellIs" dxfId="2" priority="472" operator="notEqual">
      <formula>0</formula>
    </cfRule>
  </conditionalFormatting>
  <conditionalFormatting sqref="H19:H21">
    <cfRule type="cellIs" dxfId="2" priority="473" operator="notEqual">
      <formula>0</formula>
    </cfRule>
  </conditionalFormatting>
  <conditionalFormatting sqref="H23:H25">
    <cfRule type="cellIs" dxfId="2" priority="474" operator="notEqual">
      <formula>0</formula>
    </cfRule>
  </conditionalFormatting>
  <conditionalFormatting sqref="H35:H37">
    <cfRule type="cellIs" dxfId="2" priority="475" operator="notEqual">
      <formula>0</formula>
    </cfRule>
  </conditionalFormatting>
  <conditionalFormatting sqref="H39:H41">
    <cfRule type="cellIs" dxfId="2" priority="476" operator="notEqual">
      <formula>0</formula>
    </cfRule>
  </conditionalFormatting>
  <conditionalFormatting sqref="H43:H45">
    <cfRule type="cellIs" dxfId="2" priority="477" operator="notEqual">
      <formula>0</formula>
    </cfRule>
  </conditionalFormatting>
  <conditionalFormatting sqref="H47:H49">
    <cfRule type="cellIs" dxfId="2" priority="478" operator="notEqual">
      <formula>0</formula>
    </cfRule>
  </conditionalFormatting>
  <conditionalFormatting sqref="H54:H56">
    <cfRule type="cellIs" dxfId="2" priority="410" operator="notEqual">
      <formula>0</formula>
    </cfRule>
  </conditionalFormatting>
  <conditionalFormatting sqref="H58:H60">
    <cfRule type="cellIs" dxfId="2" priority="411" operator="notEqual">
      <formula>0</formula>
    </cfRule>
  </conditionalFormatting>
  <conditionalFormatting sqref="H62:H64">
    <cfRule type="cellIs" dxfId="2" priority="412" operator="notEqual">
      <formula>0</formula>
    </cfRule>
  </conditionalFormatting>
  <conditionalFormatting sqref="H66:H68">
    <cfRule type="cellIs" dxfId="2" priority="413" operator="notEqual">
      <formula>0</formula>
    </cfRule>
  </conditionalFormatting>
  <conditionalFormatting sqref="H70:H72">
    <cfRule type="cellIs" dxfId="2" priority="414" operator="notEqual">
      <formula>0</formula>
    </cfRule>
  </conditionalFormatting>
  <conditionalFormatting sqref="H82:H84">
    <cfRule type="cellIs" dxfId="2" priority="415" operator="notEqual">
      <formula>0</formula>
    </cfRule>
  </conditionalFormatting>
  <conditionalFormatting sqref="H86:H88">
    <cfRule type="cellIs" dxfId="2" priority="416" operator="notEqual">
      <formula>0</formula>
    </cfRule>
  </conditionalFormatting>
  <conditionalFormatting sqref="H90:H92">
    <cfRule type="cellIs" dxfId="2" priority="417" operator="notEqual">
      <formula>0</formula>
    </cfRule>
  </conditionalFormatting>
  <conditionalFormatting sqref="H94:H96">
    <cfRule type="cellIs" dxfId="2" priority="418"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533" operator="equal">
      <formula>L6</formula>
    </cfRule>
  </conditionalFormatting>
  <conditionalFormatting sqref="M$1:M$1048576">
    <cfRule type="cellIs" dxfId="12" priority="530" operator="equal">
      <formula>0</formula>
    </cfRule>
  </conditionalFormatting>
  <conditionalFormatting sqref="U6:U125">
    <cfRule type="cellIs" dxfId="12" priority="531" operator="equal">
      <formula>0</formula>
    </cfRule>
  </conditionalFormatting>
  <conditionalFormatting sqref="X6:X125">
    <cfRule type="expression" dxfId="13" priority="399">
      <formula>Y6&lt;TODAY()</formula>
    </cfRule>
    <cfRule type="expression" dxfId="14" priority="400">
      <formula>X6&lt;TODAY()</formula>
    </cfRule>
  </conditionalFormatting>
  <conditionalFormatting sqref="Y6:Y125">
    <cfRule type="expression" dxfId="15" priority="393">
      <formula>AND(Y6&lt;X6,X6&lt;&gt;"")</formula>
    </cfRule>
    <cfRule type="expression" dxfId="13" priority="396">
      <formula>Y6&lt;TODAY()</formula>
    </cfRule>
    <cfRule type="expression" dxfId="14" priority="397">
      <formula>AND(Y6&gt;TODAY(),X6="")</formula>
    </cfRule>
    <cfRule type="expression" dxfId="14" priority="398">
      <formula>X6&lt;TODAY()</formula>
    </cfRule>
  </conditionalFormatting>
  <conditionalFormatting sqref="AB6:AB125">
    <cfRule type="cellIs" dxfId="30" priority="409"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392" operator="equal">
      <formula>""</formula>
    </cfRule>
  </conditionalFormatting>
  <conditionalFormatting sqref="D8:E9">
    <cfRule type="cellIs" dxfId="2" priority="408"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topLeftCell="B1" workbookViewId="0">
      <pane ySplit="5" topLeftCell="A74" activePane="bottomLeft" state="frozen"/>
      <selection/>
      <selection pane="bottomLeft" activeCell="B51" sqref="B51:J96"/>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35.2818181818182"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7765</v>
      </c>
      <c r="D4" s="44"/>
      <c r="E4" s="44"/>
      <c r="F4" s="44"/>
      <c r="G4" s="44"/>
      <c r="H4" s="44"/>
      <c r="I4" s="44"/>
      <c r="J4" s="75"/>
      <c r="L4" s="73"/>
      <c r="M4" s="73">
        <f>Q4+R4*2+S4*3</f>
        <v>92</v>
      </c>
      <c r="N4" s="76"/>
      <c r="O4" s="73"/>
      <c r="P4" s="73">
        <f>SUM(Q4:S4)</f>
        <v>39</v>
      </c>
      <c r="Q4" s="96">
        <f>COUNTIFS(Q6:T125,"=Single")</f>
        <v>3</v>
      </c>
      <c r="R4" s="96">
        <f>COUNTIFS(Q6:T125,"=Double")</f>
        <v>19</v>
      </c>
      <c r="S4" s="96">
        <f>COUNTIFS(Q6:T125,"=Triple")</f>
        <v>17</v>
      </c>
      <c r="T4" s="96">
        <f>COUNTIFS(Q6:T125,"=Empty")</f>
        <v>1</v>
      </c>
      <c r="U4" s="73">
        <f>COUNTIFS(V6:W125,"=1")</f>
        <v>3</v>
      </c>
      <c r="V4" s="73">
        <f>COUNTIFS(V6:W125,"=2")</f>
        <v>19</v>
      </c>
      <c r="W4" s="73">
        <f>COUNTIFS(V6:W125,"=3")</f>
        <v>17</v>
      </c>
      <c r="X4" s="97"/>
      <c r="Y4" s="97"/>
      <c r="Z4" s="115">
        <f>COUNTA(Z6:Z130)</f>
        <v>95</v>
      </c>
      <c r="AA4" s="115">
        <f>COUNTA(AA6:AA130)-SUM(COUNTIF(AA6:AA130,{"#N/A"}))</f>
        <v>0</v>
      </c>
      <c r="AB4" s="116"/>
    </row>
    <row r="5" ht="15.25" spans="2:28">
      <c r="B5" s="45" t="s">
        <v>7427</v>
      </c>
      <c r="C5" s="45"/>
      <c r="D5" s="45"/>
      <c r="E5" s="45"/>
      <c r="G5" s="45" t="s">
        <v>7427</v>
      </c>
      <c r="H5" s="45"/>
      <c r="I5" s="45"/>
      <c r="J5" s="45"/>
      <c r="L5" s="77"/>
      <c r="M5" s="78"/>
      <c r="N5" s="77"/>
      <c r="O5" s="77"/>
      <c r="P5" s="77"/>
      <c r="Q5" s="96"/>
      <c r="R5" s="96"/>
      <c r="S5" s="96"/>
      <c r="T5" s="96"/>
      <c r="U5" s="98">
        <f>SUM(V6:W125)</f>
        <v>92</v>
      </c>
      <c r="V5" s="73" t="s">
        <v>7428</v>
      </c>
      <c r="W5" s="98">
        <f>U4+V4+W4</f>
        <v>39</v>
      </c>
      <c r="X5" s="99"/>
      <c r="Y5" s="99"/>
      <c r="Z5" s="117"/>
      <c r="AA5" s="118"/>
      <c r="AB5" s="119"/>
    </row>
    <row r="6" spans="2:28">
      <c r="B6" s="46">
        <v>101</v>
      </c>
      <c r="C6" s="47"/>
      <c r="D6" s="48" t="s">
        <v>6580</v>
      </c>
      <c r="E6" s="49" t="s">
        <v>6581</v>
      </c>
      <c r="G6" s="46">
        <v>120</v>
      </c>
      <c r="H6" s="47"/>
      <c r="I6" s="48" t="s">
        <v>6580</v>
      </c>
      <c r="J6" s="49" t="s">
        <v>6581</v>
      </c>
      <c r="L6" s="6">
        <f>COUNTA(B7)</f>
        <v>1</v>
      </c>
      <c r="M6" s="79" t="str">
        <f>C7</f>
        <v>23109 Fredrik</v>
      </c>
      <c r="N6" s="80" t="s">
        <v>7430</v>
      </c>
      <c r="O6" s="81">
        <v>34</v>
      </c>
      <c r="P6" s="81">
        <v>101</v>
      </c>
      <c r="Q6" s="81" t="str">
        <f>_xlfn.IFS(COUNTA(B7:B9)=1,"Single",COUNTA(B7:B9)=2,"Double",COUNTA(B7:B9)=3,"Triple",COUNTA(B7:B9)=0,"Empty")</f>
        <v>Triple</v>
      </c>
      <c r="R6" s="81"/>
      <c r="S6" s="81"/>
      <c r="T6" s="81"/>
      <c r="U6" s="81">
        <f>B7</f>
        <v>1</v>
      </c>
      <c r="V6" s="100">
        <f>COUNT(B7:B9)</f>
        <v>3</v>
      </c>
      <c r="W6" s="101"/>
      <c r="X6" s="102" t="str">
        <f>IF(D7=0,"",D7)</f>
        <v/>
      </c>
      <c r="Y6" s="108" t="str">
        <f t="shared" ref="X6:Y8" si="0">IF(E7=0,"",E7)</f>
        <v/>
      </c>
      <c r="Z6" s="120" t="s">
        <v>7414</v>
      </c>
      <c r="AA6" s="121" t="e">
        <f>VLOOKUP($M:$M,Data!$I:$J,2,FALSE)</f>
        <v>#N/A</v>
      </c>
      <c r="AB6" s="122"/>
    </row>
    <row r="7" spans="2:28">
      <c r="B7" s="50">
        <v>1</v>
      </c>
      <c r="C7" s="51" t="str">
        <f>VLOOKUP("34/101/1",Data!$A$2:$E$1425,3,FALSE)</f>
        <v>23109 Fredrik</v>
      </c>
      <c r="D7" s="52"/>
      <c r="E7" s="53"/>
      <c r="G7" s="50">
        <v>1</v>
      </c>
      <c r="H7" s="51" t="str">
        <f>VLOOKUP("34/120/1",Data!$A$2:$E$1425,3,FALSE)</f>
        <v>24001 Andreas</v>
      </c>
      <c r="I7" s="52"/>
      <c r="J7" s="53"/>
      <c r="L7" s="9">
        <f>COUNTA(B8)+L6</f>
        <v>2</v>
      </c>
      <c r="M7" s="31" t="str">
        <f>C8</f>
        <v>23106 Lucas </v>
      </c>
      <c r="N7" s="82" t="s">
        <v>7430</v>
      </c>
      <c r="O7" s="36">
        <v>34</v>
      </c>
      <c r="P7" s="36">
        <v>101</v>
      </c>
      <c r="Q7" s="36"/>
      <c r="R7" s="36"/>
      <c r="S7" s="36"/>
      <c r="T7" s="36"/>
      <c r="U7" s="36">
        <f>B8</f>
        <v>2</v>
      </c>
      <c r="V7" s="103"/>
      <c r="W7" s="104"/>
      <c r="X7" s="52" t="str">
        <f t="shared" si="0"/>
        <v/>
      </c>
      <c r="Y7" s="109" t="str">
        <f t="shared" si="0"/>
        <v/>
      </c>
      <c r="Z7" s="317" t="s">
        <v>7766</v>
      </c>
      <c r="AA7" s="124" t="e">
        <f>VLOOKUP($M:$M,Data!$I:$J,2,FALSE)</f>
        <v>#N/A</v>
      </c>
      <c r="AB7" s="125"/>
    </row>
    <row r="8" ht="15.25" spans="2:28">
      <c r="B8" s="50">
        <v>2</v>
      </c>
      <c r="C8" s="51" t="str">
        <f>VLOOKUP("34/101/2",Data!$A$2:$E$1425,3,FALSE)</f>
        <v>23106 Lucas </v>
      </c>
      <c r="D8" s="54"/>
      <c r="E8" s="55"/>
      <c r="G8" s="50">
        <v>2</v>
      </c>
      <c r="H8" s="51">
        <f>VLOOKUP("34/120/2",Data!$A$2:$E$1425,3,FALSE)</f>
        <v>0</v>
      </c>
      <c r="I8" s="54"/>
      <c r="J8" s="55"/>
      <c r="L8" s="14">
        <f>COUNTA(B9)+L7</f>
        <v>3</v>
      </c>
      <c r="M8" s="83">
        <f>C9</f>
        <v>0</v>
      </c>
      <c r="N8" s="84" t="s">
        <v>7430</v>
      </c>
      <c r="O8" s="85">
        <v>34</v>
      </c>
      <c r="P8" s="85">
        <v>101</v>
      </c>
      <c r="Q8" s="85"/>
      <c r="R8" s="85"/>
      <c r="S8" s="85"/>
      <c r="T8" s="85"/>
      <c r="U8" s="85">
        <f>B9</f>
        <v>3</v>
      </c>
      <c r="V8" s="105"/>
      <c r="W8" s="106"/>
      <c r="X8" s="107" t="str">
        <f t="shared" si="0"/>
        <v/>
      </c>
      <c r="Y8" s="111" t="str">
        <f t="shared" si="0"/>
        <v/>
      </c>
      <c r="Z8" s="123" t="s">
        <v>7767</v>
      </c>
      <c r="AA8" s="124" t="e">
        <f>VLOOKUP($M:$M,Data!$I:$J,2,FALSE)</f>
        <v>#N/A</v>
      </c>
      <c r="AB8" s="126"/>
    </row>
    <row r="9" ht="15.25" spans="2:28">
      <c r="B9" s="50">
        <v>3</v>
      </c>
      <c r="C9" s="51">
        <f>VLOOKUP("34/101/3",Data!$A$2:$E$1425,3,FALSE)</f>
        <v>0</v>
      </c>
      <c r="D9" s="56"/>
      <c r="E9" s="57"/>
      <c r="G9" s="58"/>
      <c r="H9" s="59">
        <f>VLOOKUP("34/120/3",Data!$A$2:$E$1425,3,FALSE)</f>
        <v>0</v>
      </c>
      <c r="I9" s="56"/>
      <c r="J9" s="57"/>
      <c r="L9" s="6">
        <f>COUNTA(B11)+L8</f>
        <v>4</v>
      </c>
      <c r="M9" s="79" t="str">
        <f>C11</f>
        <v>23201 Rasmus</v>
      </c>
      <c r="N9" s="80" t="s">
        <v>7430</v>
      </c>
      <c r="O9" s="81">
        <v>34</v>
      </c>
      <c r="P9" s="81">
        <v>102</v>
      </c>
      <c r="Q9" s="62" t="str">
        <f>_xlfn.IFS(COUNTA(B11:B13)=1,"Single",COUNTA(B11:B13)=2,"Double",COUNTA(B11:B13)=3,"Triple",COUNTA(B11:B13)=0,"Empty")</f>
        <v>Triple</v>
      </c>
      <c r="R9" s="62"/>
      <c r="S9" s="62"/>
      <c r="T9" s="62"/>
      <c r="U9" s="81">
        <f>B11</f>
        <v>1</v>
      </c>
      <c r="V9" s="100">
        <f>COUNT(B11:B13)</f>
        <v>3</v>
      </c>
      <c r="W9" s="101"/>
      <c r="X9" s="108" t="str">
        <f t="shared" ref="X9:Y11" si="1">IF(D11=0,"",D11)</f>
        <v/>
      </c>
      <c r="Y9" s="108" t="str">
        <f t="shared" si="1"/>
        <v/>
      </c>
      <c r="Z9" s="120" t="s">
        <v>7768</v>
      </c>
      <c r="AA9" s="121" t="e">
        <f>VLOOKUP($M:$M,Data!$I:$J,2,FALSE)</f>
        <v>#N/A</v>
      </c>
      <c r="AB9" s="122"/>
    </row>
    <row r="10" spans="2:28">
      <c r="B10" s="60">
        <v>102</v>
      </c>
      <c r="C10" s="61"/>
      <c r="D10" s="62" t="s">
        <v>6580</v>
      </c>
      <c r="E10" s="8" t="s">
        <v>6581</v>
      </c>
      <c r="G10" s="46">
        <v>119</v>
      </c>
      <c r="H10" s="47"/>
      <c r="I10" s="48" t="s">
        <v>6580</v>
      </c>
      <c r="J10" s="49" t="s">
        <v>6581</v>
      </c>
      <c r="L10" s="9">
        <f>COUNTA(B12)+L9</f>
        <v>5</v>
      </c>
      <c r="M10" s="31" t="str">
        <f>C12</f>
        <v>23202 Ruben</v>
      </c>
      <c r="N10" s="82" t="s">
        <v>7430</v>
      </c>
      <c r="O10" s="36">
        <v>34</v>
      </c>
      <c r="P10" s="36">
        <v>102</v>
      </c>
      <c r="Q10" s="32"/>
      <c r="R10" s="32"/>
      <c r="S10" s="32"/>
      <c r="T10" s="32"/>
      <c r="U10" s="36">
        <f>B12</f>
        <v>2</v>
      </c>
      <c r="V10" s="103"/>
      <c r="W10" s="104"/>
      <c r="X10" s="109" t="str">
        <f t="shared" si="1"/>
        <v/>
      </c>
      <c r="Y10" s="109" t="str">
        <f t="shared" si="1"/>
        <v/>
      </c>
      <c r="Z10" s="123" t="s">
        <v>7769</v>
      </c>
      <c r="AA10" s="124" t="e">
        <f>VLOOKUP($M:$M,Data!$I:$J,2,FALSE)</f>
        <v>#N/A</v>
      </c>
      <c r="AB10" s="125"/>
    </row>
    <row r="11" ht="15.25" spans="2:28">
      <c r="B11" s="50">
        <v>1</v>
      </c>
      <c r="C11" s="51" t="str">
        <f>VLOOKUP("34/102/1",Data!$A$2:$E$1425,3,FALSE)</f>
        <v>23201 Rasmus</v>
      </c>
      <c r="D11" s="52"/>
      <c r="E11" s="53"/>
      <c r="G11" s="50">
        <v>1</v>
      </c>
      <c r="H11" s="51" t="str">
        <f>VLOOKUP("34/119/1",Data!$A$2:$E$1425,3,FALSE)</f>
        <v>24002 Felix </v>
      </c>
      <c r="I11" s="52"/>
      <c r="J11" s="53"/>
      <c r="L11" s="14">
        <f>COUNTA(B13)+L10</f>
        <v>6</v>
      </c>
      <c r="M11" s="83">
        <f>C13</f>
        <v>0</v>
      </c>
      <c r="N11" s="84" t="s">
        <v>7430</v>
      </c>
      <c r="O11" s="85">
        <v>34</v>
      </c>
      <c r="P11" s="85">
        <v>102</v>
      </c>
      <c r="Q11" s="110"/>
      <c r="R11" s="110"/>
      <c r="S11" s="110"/>
      <c r="T11" s="110"/>
      <c r="U11" s="85">
        <f>B13</f>
        <v>3</v>
      </c>
      <c r="V11" s="105"/>
      <c r="W11" s="106"/>
      <c r="X11" s="111" t="str">
        <f t="shared" si="1"/>
        <v/>
      </c>
      <c r="Y11" s="111" t="str">
        <f t="shared" si="1"/>
        <v/>
      </c>
      <c r="Z11" s="127" t="s">
        <v>7770</v>
      </c>
      <c r="AA11" s="128" t="e">
        <f>VLOOKUP($M:$M,Data!$I:$J,2,FALSE)</f>
        <v>#N/A</v>
      </c>
      <c r="AB11" s="126"/>
    </row>
    <row r="12" spans="2:28">
      <c r="B12" s="50">
        <v>2</v>
      </c>
      <c r="C12" s="51" t="str">
        <f>VLOOKUP("34/102/2",Data!$A$2:$E$1425,3,FALSE)</f>
        <v>23202 Ruben</v>
      </c>
      <c r="D12" s="54"/>
      <c r="E12" s="55"/>
      <c r="G12" s="50">
        <v>2</v>
      </c>
      <c r="H12" s="51">
        <f>VLOOKUP("34/119/2",Data!$A$2:$E$1425,3,FALSE)</f>
        <v>0</v>
      </c>
      <c r="I12" s="54"/>
      <c r="J12" s="55"/>
      <c r="L12" s="6">
        <f>COUNTA(B15)+L11</f>
        <v>7</v>
      </c>
      <c r="M12" s="79" t="str">
        <f>C15</f>
        <v>23205 Oskar</v>
      </c>
      <c r="N12" s="80" t="s">
        <v>7430</v>
      </c>
      <c r="O12" s="81">
        <v>34</v>
      </c>
      <c r="P12" s="81">
        <v>103</v>
      </c>
      <c r="Q12" s="62" t="str">
        <f>_xlfn.IFS(COUNTA(B15:B17)=1,"Single",COUNTA(B15:B17)=2,"Double",COUNTA(B15:B17)=3,"Triple",COUNTA(B15:B17)=0,"Empty")</f>
        <v>Triple</v>
      </c>
      <c r="R12" s="62"/>
      <c r="S12" s="62"/>
      <c r="T12" s="62"/>
      <c r="U12" s="81">
        <f>B15</f>
        <v>1</v>
      </c>
      <c r="V12" s="100">
        <f>COUNT(B15:B17)</f>
        <v>3</v>
      </c>
      <c r="W12" s="101"/>
      <c r="X12" s="108" t="str">
        <f t="shared" ref="X12:Y14" si="2">IF(D15=0,"",D15)</f>
        <v/>
      </c>
      <c r="Y12" s="108" t="str">
        <f t="shared" si="2"/>
        <v/>
      </c>
      <c r="Z12" s="120" t="s">
        <v>7771</v>
      </c>
      <c r="AA12" s="121" t="e">
        <f>VLOOKUP($M:$M,Data!$I:$J,2,FALSE)</f>
        <v>#N/A</v>
      </c>
      <c r="AB12" s="122"/>
    </row>
    <row r="13" ht="15.25" spans="2:28">
      <c r="B13" s="58">
        <v>3</v>
      </c>
      <c r="C13" s="59">
        <f>VLOOKUP("34/102/3",Data!$A$2:$E$1425,3,FALSE)</f>
        <v>0</v>
      </c>
      <c r="D13" s="56"/>
      <c r="E13" s="57"/>
      <c r="G13" s="58">
        <v>3</v>
      </c>
      <c r="H13" s="59">
        <f>VLOOKUP("34/119/3",Data!$A$2:$E$1425,3,FALSE)</f>
        <v>0</v>
      </c>
      <c r="I13" s="56"/>
      <c r="J13" s="57"/>
      <c r="L13" s="9">
        <f>COUNTA(B16)+L12</f>
        <v>8</v>
      </c>
      <c r="M13" s="31" t="str">
        <f>C16</f>
        <v>23204 Emil </v>
      </c>
      <c r="N13" s="82" t="s">
        <v>7430</v>
      </c>
      <c r="O13" s="36">
        <v>34</v>
      </c>
      <c r="P13" s="36">
        <v>103</v>
      </c>
      <c r="Q13" s="32"/>
      <c r="R13" s="32"/>
      <c r="S13" s="32"/>
      <c r="T13" s="32"/>
      <c r="U13" s="36">
        <f>B16</f>
        <v>2</v>
      </c>
      <c r="V13" s="103"/>
      <c r="W13" s="104"/>
      <c r="X13" s="109" t="str">
        <f t="shared" si="2"/>
        <v/>
      </c>
      <c r="Y13" s="109" t="str">
        <f t="shared" si="2"/>
        <v/>
      </c>
      <c r="Z13" s="123" t="s">
        <v>7772</v>
      </c>
      <c r="AA13" s="124" t="e">
        <f>VLOOKUP($M:$M,Data!$I:$J,2,FALSE)</f>
        <v>#N/A</v>
      </c>
      <c r="AB13" s="125"/>
    </row>
    <row r="14" ht="15.25" spans="2:28">
      <c r="B14" s="63">
        <v>103</v>
      </c>
      <c r="C14" s="64"/>
      <c r="D14" s="65" t="s">
        <v>6580</v>
      </c>
      <c r="E14" s="66" t="s">
        <v>6581</v>
      </c>
      <c r="G14" s="46">
        <v>118</v>
      </c>
      <c r="H14" s="47"/>
      <c r="I14" s="48" t="s">
        <v>6580</v>
      </c>
      <c r="J14" s="49" t="s">
        <v>6581</v>
      </c>
      <c r="L14" s="14">
        <f>COUNTA(B17)+L13</f>
        <v>9</v>
      </c>
      <c r="M14" s="83">
        <f>C17</f>
        <v>0</v>
      </c>
      <c r="N14" s="84" t="s">
        <v>7430</v>
      </c>
      <c r="O14" s="85">
        <v>34</v>
      </c>
      <c r="P14" s="85">
        <v>103</v>
      </c>
      <c r="Q14" s="110"/>
      <c r="R14" s="110"/>
      <c r="S14" s="110"/>
      <c r="T14" s="110"/>
      <c r="U14" s="85">
        <f>B17</f>
        <v>3</v>
      </c>
      <c r="V14" s="105"/>
      <c r="W14" s="106"/>
      <c r="X14" s="111" t="str">
        <f t="shared" si="2"/>
        <v/>
      </c>
      <c r="Y14" s="111" t="str">
        <f t="shared" si="2"/>
        <v/>
      </c>
      <c r="Z14" s="127" t="s">
        <v>7241</v>
      </c>
      <c r="AA14" s="128" t="e">
        <f>VLOOKUP($M:$M,Data!$I:$J,2,FALSE)</f>
        <v>#N/A</v>
      </c>
      <c r="AB14" s="126"/>
    </row>
    <row r="15" spans="2:28">
      <c r="B15" s="50">
        <v>1</v>
      </c>
      <c r="C15" s="51" t="str">
        <f>VLOOKUP("34/103/1",Data!$A$2:$E$1425,3,FALSE)</f>
        <v>23205 Oskar</v>
      </c>
      <c r="D15" s="52"/>
      <c r="E15" s="53"/>
      <c r="G15" s="50">
        <v>1</v>
      </c>
      <c r="H15" s="51" t="str">
        <f>VLOOKUP("34/118/1",Data!$A$2:$E$1425,3,FALSE)</f>
        <v>24503 Magnus</v>
      </c>
      <c r="I15" s="52"/>
      <c r="J15" s="53"/>
      <c r="L15" s="6">
        <f>COUNTA(B19)+L14</f>
        <v>10</v>
      </c>
      <c r="M15" s="79" t="str">
        <f>C19</f>
        <v>23207 Milton</v>
      </c>
      <c r="N15" s="80" t="s">
        <v>7430</v>
      </c>
      <c r="O15" s="81">
        <v>34</v>
      </c>
      <c r="P15" s="81">
        <v>104</v>
      </c>
      <c r="Q15" s="62" t="str">
        <f>_xlfn.IFS(COUNTA(B19:B21)=1,"Single",COUNTA(B19:B21)=2,"Double",COUNTA(B19:B21)=3,"Triple",COUNTA(B19:B21)=0,"Empty")</f>
        <v>Triple</v>
      </c>
      <c r="R15" s="62"/>
      <c r="S15" s="62"/>
      <c r="T15" s="62"/>
      <c r="U15" s="81">
        <f>B19</f>
        <v>1</v>
      </c>
      <c r="V15" s="100">
        <f>COUNT(B19:B21)</f>
        <v>3</v>
      </c>
      <c r="W15" s="101"/>
      <c r="X15" s="108" t="str">
        <f>IF(D19=0,"",D19)</f>
        <v/>
      </c>
      <c r="Y15" s="108" t="str">
        <f>IF(E19=0,"",E19)</f>
        <v/>
      </c>
      <c r="Z15" s="120" t="s">
        <v>7312</v>
      </c>
      <c r="AA15" s="121" t="e">
        <f>VLOOKUP($M:$M,Data!$I:$J,2,FALSE)</f>
        <v>#N/A</v>
      </c>
      <c r="AB15" s="122"/>
    </row>
    <row r="16" spans="2:28">
      <c r="B16" s="50">
        <v>2</v>
      </c>
      <c r="C16" s="51" t="str">
        <f>VLOOKUP("34/103/2",Data!$A$2:$E$1425,3,FALSE)</f>
        <v>23204 Emil </v>
      </c>
      <c r="D16" s="54"/>
      <c r="E16" s="55"/>
      <c r="G16" s="50">
        <v>2</v>
      </c>
      <c r="H16" s="51">
        <f>VLOOKUP("34/118/2",Data!$A$2:$E$1425,3,FALSE)</f>
        <v>0</v>
      </c>
      <c r="I16" s="54"/>
      <c r="J16" s="55"/>
      <c r="L16" s="9">
        <f>COUNTA(B20)+L15</f>
        <v>11</v>
      </c>
      <c r="M16" s="31" t="str">
        <f>C20</f>
        <v>23208 Johannes</v>
      </c>
      <c r="N16" s="82" t="s">
        <v>7430</v>
      </c>
      <c r="O16" s="36">
        <v>34</v>
      </c>
      <c r="P16" s="36">
        <v>104</v>
      </c>
      <c r="Q16" s="32"/>
      <c r="R16" s="32"/>
      <c r="S16" s="32"/>
      <c r="T16" s="32"/>
      <c r="U16" s="36">
        <f>B20</f>
        <v>2</v>
      </c>
      <c r="V16" s="103"/>
      <c r="W16" s="104"/>
      <c r="X16" s="109" t="str">
        <f t="shared" ref="X16:Y17" si="3">IF(D20=0,"",D20)</f>
        <v/>
      </c>
      <c r="Y16" s="109" t="str">
        <f t="shared" si="3"/>
        <v/>
      </c>
      <c r="Z16" s="123" t="s">
        <v>7207</v>
      </c>
      <c r="AA16" s="124" t="e">
        <f>VLOOKUP($M:$M,Data!$I:$J,2,FALSE)</f>
        <v>#N/A</v>
      </c>
      <c r="AB16" s="125"/>
    </row>
    <row r="17" ht="15.25" spans="2:28">
      <c r="B17" s="58">
        <v>3</v>
      </c>
      <c r="C17" s="59">
        <f>VLOOKUP("34/103/3",Data!$A$2:$E$1425,3,FALSE)</f>
        <v>0</v>
      </c>
      <c r="D17" s="56"/>
      <c r="E17" s="57"/>
      <c r="G17" s="58">
        <v>3</v>
      </c>
      <c r="H17" s="59">
        <f>VLOOKUP("34/118/3",Data!$A$2:$E$1425,3,FALSE)</f>
        <v>0</v>
      </c>
      <c r="I17" s="56"/>
      <c r="J17" s="57"/>
      <c r="L17" s="14">
        <f>COUNTA(B21)+L16</f>
        <v>12</v>
      </c>
      <c r="M17" s="83">
        <f>C21</f>
        <v>0</v>
      </c>
      <c r="N17" s="84" t="s">
        <v>7430</v>
      </c>
      <c r="O17" s="85">
        <v>34</v>
      </c>
      <c r="P17" s="85">
        <v>104</v>
      </c>
      <c r="Q17" s="110"/>
      <c r="R17" s="110"/>
      <c r="S17" s="110"/>
      <c r="T17" s="110"/>
      <c r="U17" s="85">
        <f>B21</f>
        <v>3</v>
      </c>
      <c r="V17" s="105"/>
      <c r="W17" s="106"/>
      <c r="X17" s="111" t="str">
        <f t="shared" si="3"/>
        <v/>
      </c>
      <c r="Y17" s="111" t="str">
        <f t="shared" si="3"/>
        <v/>
      </c>
      <c r="Z17" s="127" t="s">
        <v>7773</v>
      </c>
      <c r="AA17" s="128" t="e">
        <f>VLOOKUP($M:$M,Data!$I:$J,2,FALSE)</f>
        <v>#N/A</v>
      </c>
      <c r="AB17" s="126"/>
    </row>
    <row r="18" spans="2:28">
      <c r="B18" s="46">
        <v>104</v>
      </c>
      <c r="C18" s="47"/>
      <c r="D18" s="48" t="s">
        <v>6580</v>
      </c>
      <c r="E18" s="49" t="s">
        <v>6581</v>
      </c>
      <c r="G18" s="46">
        <v>117</v>
      </c>
      <c r="H18" s="47"/>
      <c r="I18" s="48" t="s">
        <v>6580</v>
      </c>
      <c r="J18" s="49" t="s">
        <v>6581</v>
      </c>
      <c r="L18" s="6">
        <f>COUNTA(B23)+L17</f>
        <v>13</v>
      </c>
      <c r="M18" s="79" t="str">
        <f>C23</f>
        <v>23209 Axel</v>
      </c>
      <c r="N18" s="80" t="s">
        <v>7430</v>
      </c>
      <c r="O18" s="81">
        <v>34</v>
      </c>
      <c r="P18" s="81">
        <v>105</v>
      </c>
      <c r="Q18" s="62" t="str">
        <f>_xlfn.IFS(COUNTA(B23:B25)=1,"Single",COUNTA(B23:B25)=2,"Double",COUNTA(B23:B25)=3,"Triple",COUNTA(B23:B25)=0,"Empty")</f>
        <v>Double</v>
      </c>
      <c r="R18" s="62"/>
      <c r="S18" s="62"/>
      <c r="T18" s="62"/>
      <c r="U18" s="81">
        <f>B23</f>
        <v>1</v>
      </c>
      <c r="V18" s="100">
        <f>COUNT(B23:B25)</f>
        <v>2</v>
      </c>
      <c r="W18" s="101"/>
      <c r="X18" s="108" t="str">
        <f>IF(D23=0,"",D23)</f>
        <v/>
      </c>
      <c r="Y18" s="108" t="str">
        <f>IF(E23=0,"",E23)</f>
        <v/>
      </c>
      <c r="Z18" s="120" t="s">
        <v>7774</v>
      </c>
      <c r="AA18" s="121" t="e">
        <f>VLOOKUP($M:$M,Data!$I:$J,2,FALSE)</f>
        <v>#N/A</v>
      </c>
      <c r="AB18" s="122"/>
    </row>
    <row r="19" spans="2:28">
      <c r="B19" s="50">
        <v>1</v>
      </c>
      <c r="C19" s="51" t="str">
        <f>VLOOKUP("34/104/1",Data!$A$2:$E$1425,3,FALSE)</f>
        <v>23207 Milton</v>
      </c>
      <c r="D19" s="52"/>
      <c r="E19" s="53"/>
      <c r="G19" s="50">
        <v>1</v>
      </c>
      <c r="H19" s="51" t="str">
        <f>VLOOKUP("34/117/1",Data!$A$2:$E$1425,3,FALSE)</f>
        <v>24507 Viktor</v>
      </c>
      <c r="I19" s="52"/>
      <c r="J19" s="53"/>
      <c r="L19" s="9">
        <f>COUNTA(B24)+L18</f>
        <v>14</v>
      </c>
      <c r="M19" s="31" t="str">
        <f>C24</f>
        <v>23206 Gustav </v>
      </c>
      <c r="N19" s="82" t="s">
        <v>7430</v>
      </c>
      <c r="O19" s="36">
        <v>34</v>
      </c>
      <c r="P19" s="36">
        <v>105</v>
      </c>
      <c r="Q19" s="32"/>
      <c r="R19" s="32"/>
      <c r="S19" s="32"/>
      <c r="T19" s="32"/>
      <c r="U19" s="36">
        <f>B24</f>
        <v>2</v>
      </c>
      <c r="V19" s="103"/>
      <c r="W19" s="104"/>
      <c r="X19" s="109" t="str">
        <f t="shared" ref="X19:Y20" si="4">IF(D24=0,"",D24)</f>
        <v/>
      </c>
      <c r="Y19" s="109" t="str">
        <f t="shared" si="4"/>
        <v/>
      </c>
      <c r="Z19" s="123" t="s">
        <v>7775</v>
      </c>
      <c r="AA19" s="124" t="e">
        <f>VLOOKUP($M:$M,Data!$I:$J,2,FALSE)</f>
        <v>#N/A</v>
      </c>
      <c r="AB19" s="125"/>
    </row>
    <row r="20" ht="15.25" spans="2:28">
      <c r="B20" s="50">
        <v>2</v>
      </c>
      <c r="C20" s="51" t="str">
        <f>VLOOKUP("34/104/2",Data!$A$2:$E$1425,3,FALSE)</f>
        <v>23208 Johannes</v>
      </c>
      <c r="D20" s="54"/>
      <c r="E20" s="55"/>
      <c r="G20" s="50">
        <v>2</v>
      </c>
      <c r="H20" s="51" t="str">
        <f>VLOOKUP("34/117/2",Data!$A$2:$E$1425,3,FALSE)</f>
        <v>24508 Malte</v>
      </c>
      <c r="I20" s="54"/>
      <c r="J20" s="55"/>
      <c r="L20" s="14">
        <f>COUNTA(B25)+L19</f>
        <v>14</v>
      </c>
      <c r="M20" s="83">
        <f>C25</f>
        <v>0</v>
      </c>
      <c r="N20" s="84" t="s">
        <v>7430</v>
      </c>
      <c r="O20" s="85">
        <v>34</v>
      </c>
      <c r="P20" s="85">
        <v>105</v>
      </c>
      <c r="Q20" s="110"/>
      <c r="R20" s="110"/>
      <c r="S20" s="110"/>
      <c r="T20" s="110"/>
      <c r="U20" s="85">
        <f>B25</f>
        <v>0</v>
      </c>
      <c r="V20" s="105"/>
      <c r="W20" s="106"/>
      <c r="X20" s="111" t="str">
        <f t="shared" si="4"/>
        <v/>
      </c>
      <c r="Y20" s="111" t="str">
        <f t="shared" si="4"/>
        <v/>
      </c>
      <c r="Z20" s="127"/>
      <c r="AA20" s="128" t="e">
        <f>VLOOKUP($M:$M,Data!$I:$J,2,FALSE)</f>
        <v>#N/A</v>
      </c>
      <c r="AB20" s="126"/>
    </row>
    <row r="21" ht="15.25" spans="2:28">
      <c r="B21" s="58">
        <v>3</v>
      </c>
      <c r="C21" s="59">
        <f>VLOOKUP("34/104/3",Data!$A$2:$E$1425,3,FALSE)</f>
        <v>0</v>
      </c>
      <c r="D21" s="56"/>
      <c r="E21" s="57"/>
      <c r="G21" s="58">
        <v>3</v>
      </c>
      <c r="H21" s="59">
        <f>VLOOKUP("34/117/3",Data!$A$2:$E$1425,3,FALSE)</f>
        <v>0</v>
      </c>
      <c r="I21" s="56"/>
      <c r="J21" s="57"/>
      <c r="L21" s="6">
        <f>COUNTA(B27)+L20</f>
        <v>15</v>
      </c>
      <c r="M21" s="79" t="str">
        <f>C27</f>
        <v>23301 Axel</v>
      </c>
      <c r="N21" s="80" t="s">
        <v>7430</v>
      </c>
      <c r="O21" s="81">
        <v>34</v>
      </c>
      <c r="P21" s="81">
        <v>106</v>
      </c>
      <c r="Q21" s="62" t="str">
        <f>_xlfn.IFS(COUNTA(B27:B29)=1,"Single",COUNTA(B27:B29)=2,"Double",COUNTA(B27:B29)=3,"Triple",COUNTA(B27:B29)=0,"Empty")</f>
        <v>Triple</v>
      </c>
      <c r="R21" s="62"/>
      <c r="S21" s="62"/>
      <c r="T21" s="62"/>
      <c r="U21" s="81">
        <f>B27</f>
        <v>1</v>
      </c>
      <c r="V21" s="100">
        <f>COUNT(B27:B29)</f>
        <v>3</v>
      </c>
      <c r="W21" s="101"/>
      <c r="X21" s="108" t="str">
        <f>IF(D27=0,"",D27)</f>
        <v/>
      </c>
      <c r="Y21" s="108" t="str">
        <f>IF(E27=0,"",E27)</f>
        <v/>
      </c>
      <c r="Z21" s="120" t="s">
        <v>7776</v>
      </c>
      <c r="AA21" s="121" t="e">
        <f>VLOOKUP($M:$M,Data!$I:$J,2,FALSE)</f>
        <v>#N/A</v>
      </c>
      <c r="AB21" s="122"/>
    </row>
    <row r="22" spans="2:28">
      <c r="B22" s="46">
        <v>105</v>
      </c>
      <c r="C22" s="47"/>
      <c r="D22" s="48" t="s">
        <v>6580</v>
      </c>
      <c r="E22" s="49" t="s">
        <v>6581</v>
      </c>
      <c r="G22" s="46">
        <v>116</v>
      </c>
      <c r="H22" s="47"/>
      <c r="I22" s="48" t="s">
        <v>6580</v>
      </c>
      <c r="J22" s="49" t="s">
        <v>6581</v>
      </c>
      <c r="L22" s="9">
        <f>COUNTA(B28)+L21</f>
        <v>16</v>
      </c>
      <c r="M22" s="31" t="str">
        <f>C28</f>
        <v>23302 Alexander</v>
      </c>
      <c r="N22" s="82" t="s">
        <v>7430</v>
      </c>
      <c r="O22" s="36">
        <v>34</v>
      </c>
      <c r="P22" s="36">
        <v>106</v>
      </c>
      <c r="Q22" s="32"/>
      <c r="R22" s="32"/>
      <c r="S22" s="32"/>
      <c r="T22" s="32"/>
      <c r="U22" s="36">
        <f>B28</f>
        <v>2</v>
      </c>
      <c r="V22" s="103"/>
      <c r="W22" s="104"/>
      <c r="X22" s="109" t="str">
        <f t="shared" ref="X22:Y23" si="5">IF(D28=0,"",D28)</f>
        <v/>
      </c>
      <c r="Y22" s="109" t="str">
        <f t="shared" si="5"/>
        <v/>
      </c>
      <c r="Z22" s="123" t="s">
        <v>7777</v>
      </c>
      <c r="AA22" s="124" t="e">
        <f>VLOOKUP($M:$M,Data!$I:$J,2,FALSE)</f>
        <v>#N/A</v>
      </c>
      <c r="AB22" s="125"/>
    </row>
    <row r="23" ht="15.25" spans="2:28">
      <c r="B23" s="50">
        <v>1</v>
      </c>
      <c r="C23" s="51" t="str">
        <f>VLOOKUP("34/105/1",Data!$A$2:$E$1425,3,FALSE)</f>
        <v>23209 Axel</v>
      </c>
      <c r="D23" s="52"/>
      <c r="E23" s="53"/>
      <c r="G23" s="50">
        <v>1</v>
      </c>
      <c r="H23" s="51" t="str">
        <f>VLOOKUP("34/116/1",Data!$A$2:$E$1425,3,FALSE)</f>
        <v>24403 Fredrik</v>
      </c>
      <c r="I23" s="52"/>
      <c r="J23" s="53"/>
      <c r="L23" s="14">
        <f>COUNTA(B29)+L22</f>
        <v>17</v>
      </c>
      <c r="M23" s="83">
        <f>C29</f>
        <v>0</v>
      </c>
      <c r="N23" s="84" t="s">
        <v>7430</v>
      </c>
      <c r="O23" s="85">
        <v>34</v>
      </c>
      <c r="P23" s="85">
        <v>106</v>
      </c>
      <c r="Q23" s="110"/>
      <c r="R23" s="110"/>
      <c r="S23" s="110"/>
      <c r="T23" s="110"/>
      <c r="U23" s="85">
        <f>B29</f>
        <v>3</v>
      </c>
      <c r="V23" s="105"/>
      <c r="W23" s="106"/>
      <c r="X23" s="111" t="str">
        <f t="shared" si="5"/>
        <v/>
      </c>
      <c r="Y23" s="111" t="str">
        <f t="shared" si="5"/>
        <v/>
      </c>
      <c r="Z23" s="127" t="s">
        <v>7778</v>
      </c>
      <c r="AA23" s="128" t="e">
        <f>VLOOKUP($M:$M,Data!$I:$J,2,FALSE)</f>
        <v>#N/A</v>
      </c>
      <c r="AB23" s="126"/>
    </row>
    <row r="24" spans="2:28">
      <c r="B24" s="50">
        <v>2</v>
      </c>
      <c r="C24" s="51" t="str">
        <f>VLOOKUP("34/105/2",Data!$A$2:$E$1425,3,FALSE)</f>
        <v>23206 Gustav </v>
      </c>
      <c r="D24" s="54"/>
      <c r="E24" s="55"/>
      <c r="G24" s="50">
        <v>2</v>
      </c>
      <c r="H24" s="51" t="str">
        <f>VLOOKUP("34/116/2",Data!$A$2:$E$1425,3,FALSE)</f>
        <v>24101 John</v>
      </c>
      <c r="I24" s="54"/>
      <c r="J24" s="55"/>
      <c r="L24" s="6">
        <f>COUNTA(B31)+L23</f>
        <v>18</v>
      </c>
      <c r="M24" s="79" t="str">
        <f>C31</f>
        <v>23305 Elias</v>
      </c>
      <c r="N24" s="80" t="s">
        <v>7430</v>
      </c>
      <c r="O24" s="81">
        <v>34</v>
      </c>
      <c r="P24" s="81">
        <v>107</v>
      </c>
      <c r="Q24" s="62" t="str">
        <f>_xlfn.IFS(COUNTA(B31:B33)=1,"Single",COUNTA(B31:B33)=2,"Double",COUNTA(B31:B33)=3,"Triple",COUNTA(B31:B33)=0,"Empty")</f>
        <v>Triple</v>
      </c>
      <c r="R24" s="62"/>
      <c r="S24" s="62"/>
      <c r="T24" s="62"/>
      <c r="U24" s="81">
        <f>B31</f>
        <v>1</v>
      </c>
      <c r="V24" s="100">
        <f>COUNT(B31:B33)</f>
        <v>3</v>
      </c>
      <c r="W24" s="101"/>
      <c r="X24" s="108" t="str">
        <f>IF(D31=0,"",D31)</f>
        <v/>
      </c>
      <c r="Y24" s="108" t="str">
        <f>IF(E31=0,"",E31)</f>
        <v/>
      </c>
      <c r="Z24" s="120" t="s">
        <v>7779</v>
      </c>
      <c r="AA24" s="121" t="e">
        <f>VLOOKUP($M:$M,Data!$I:$J,2,FALSE)</f>
        <v>#N/A</v>
      </c>
      <c r="AB24" s="122"/>
    </row>
    <row r="25" ht="15.25" spans="2:28">
      <c r="B25" s="58"/>
      <c r="C25" s="59">
        <f>VLOOKUP("34/105/3",Data!$A$2:$E$1425,3,FALSE)</f>
        <v>0</v>
      </c>
      <c r="D25" s="56"/>
      <c r="E25" s="57"/>
      <c r="G25" s="58"/>
      <c r="H25" s="59">
        <f>VLOOKUP("34/116/3",Data!$A$2:$E$1425,3,FALSE)</f>
        <v>0</v>
      </c>
      <c r="I25" s="56"/>
      <c r="J25" s="57"/>
      <c r="L25" s="9">
        <f>COUNTA(B32)+L24</f>
        <v>19</v>
      </c>
      <c r="M25" s="31" t="str">
        <f>C32</f>
        <v>23304 Lukas</v>
      </c>
      <c r="N25" s="82" t="s">
        <v>7430</v>
      </c>
      <c r="O25" s="36">
        <v>34</v>
      </c>
      <c r="P25" s="36">
        <v>107</v>
      </c>
      <c r="Q25" s="32"/>
      <c r="R25" s="32"/>
      <c r="S25" s="32"/>
      <c r="T25" s="32"/>
      <c r="U25" s="36">
        <f>B32</f>
        <v>2</v>
      </c>
      <c r="V25" s="103"/>
      <c r="W25" s="104"/>
      <c r="X25" s="109" t="str">
        <f t="shared" ref="X25:Y26" si="6">IF(D32=0,"",D32)</f>
        <v/>
      </c>
      <c r="Y25" s="109" t="str">
        <f t="shared" si="6"/>
        <v/>
      </c>
      <c r="Z25" s="123" t="s">
        <v>7780</v>
      </c>
      <c r="AA25" s="124" t="e">
        <f>VLOOKUP($M:$M,Data!$I:$J,2,FALSE)</f>
        <v>#N/A</v>
      </c>
      <c r="AB25" s="125"/>
    </row>
    <row r="26" ht="15.25" spans="2:28">
      <c r="B26" s="46">
        <v>106</v>
      </c>
      <c r="C26" s="47"/>
      <c r="D26" s="48" t="s">
        <v>6580</v>
      </c>
      <c r="E26" s="49" t="s">
        <v>6581</v>
      </c>
      <c r="G26" s="67" t="s">
        <v>7435</v>
      </c>
      <c r="H26" s="68"/>
      <c r="I26" s="68"/>
      <c r="J26" s="86"/>
      <c r="L26" s="14">
        <f>COUNTA(B33)+L25</f>
        <v>20</v>
      </c>
      <c r="M26" s="83">
        <f>C33</f>
        <v>0</v>
      </c>
      <c r="N26" s="84" t="s">
        <v>7430</v>
      </c>
      <c r="O26" s="85">
        <v>34</v>
      </c>
      <c r="P26" s="85">
        <v>107</v>
      </c>
      <c r="Q26" s="110"/>
      <c r="R26" s="110"/>
      <c r="S26" s="110"/>
      <c r="T26" s="110"/>
      <c r="U26" s="85">
        <f>B33</f>
        <v>3</v>
      </c>
      <c r="V26" s="105"/>
      <c r="W26" s="106"/>
      <c r="X26" s="111" t="str">
        <f t="shared" si="6"/>
        <v/>
      </c>
      <c r="Y26" s="111" t="str">
        <f t="shared" si="6"/>
        <v/>
      </c>
      <c r="Z26" s="127" t="s">
        <v>7781</v>
      </c>
      <c r="AA26" s="128" t="e">
        <f>VLOOKUP($M:$M,Data!$I:$J,2,FALSE)</f>
        <v>#N/A</v>
      </c>
      <c r="AB26" s="126"/>
    </row>
    <row r="27" spans="2:28">
      <c r="B27" s="50">
        <v>1</v>
      </c>
      <c r="C27" s="51" t="str">
        <f>VLOOKUP("34/106/1",Data!$A$2:$E$1425,3,FALSE)</f>
        <v>23301 Axel</v>
      </c>
      <c r="D27" s="52"/>
      <c r="E27" s="53"/>
      <c r="G27" s="69"/>
      <c r="H27" s="70"/>
      <c r="I27" s="70"/>
      <c r="J27" s="87"/>
      <c r="L27" s="6">
        <f>COUNTA(B35)+L26</f>
        <v>21</v>
      </c>
      <c r="M27" s="79" t="str">
        <f>C35</f>
        <v>23307 Harry</v>
      </c>
      <c r="N27" s="80" t="s">
        <v>7430</v>
      </c>
      <c r="O27" s="81">
        <v>34</v>
      </c>
      <c r="P27" s="81">
        <v>108</v>
      </c>
      <c r="Q27" s="62" t="str">
        <f>_xlfn.IFS(COUNTA(B35:B37)=1,"Single",COUNTA(B35:B37)=2,"Double",COUNTA(B35:B37)=3,"Triple",COUNTA(B35:B37)=0,"Empty")</f>
        <v>Triple</v>
      </c>
      <c r="R27" s="62"/>
      <c r="S27" s="62"/>
      <c r="T27" s="62"/>
      <c r="U27" s="81">
        <f>B35</f>
        <v>1</v>
      </c>
      <c r="V27" s="100">
        <f>COUNT(B35:B37)</f>
        <v>3</v>
      </c>
      <c r="W27" s="101"/>
      <c r="X27" s="108" t="str">
        <f>IF(D35=0,"",D35)</f>
        <v/>
      </c>
      <c r="Y27" s="108" t="str">
        <f>IF(E35=0,"",E35)</f>
        <v/>
      </c>
      <c r="Z27" s="120" t="s">
        <v>7782</v>
      </c>
      <c r="AA27" s="121" t="e">
        <f>VLOOKUP($M:$M,Data!$I:$J,2,FALSE)</f>
        <v>#N/A</v>
      </c>
      <c r="AB27" s="122"/>
    </row>
    <row r="28" spans="2:28">
      <c r="B28" s="50">
        <v>2</v>
      </c>
      <c r="C28" s="51" t="str">
        <f>VLOOKUP("34/106/2",Data!$A$2:$E$1425,3,FALSE)</f>
        <v>23302 Alexander</v>
      </c>
      <c r="D28" s="54"/>
      <c r="E28" s="55"/>
      <c r="G28" s="69"/>
      <c r="H28" s="70"/>
      <c r="I28" s="70"/>
      <c r="J28" s="87"/>
      <c r="L28" s="9">
        <f>COUNTA(B36)+L27</f>
        <v>22</v>
      </c>
      <c r="M28" s="31" t="str">
        <f>C36</f>
        <v>23308 Emil</v>
      </c>
      <c r="N28" s="82" t="s">
        <v>7430</v>
      </c>
      <c r="O28" s="36">
        <v>34</v>
      </c>
      <c r="P28" s="36">
        <v>108</v>
      </c>
      <c r="Q28" s="32"/>
      <c r="R28" s="32"/>
      <c r="S28" s="32"/>
      <c r="T28" s="32"/>
      <c r="U28" s="36">
        <f>B36</f>
        <v>2</v>
      </c>
      <c r="V28" s="103"/>
      <c r="W28" s="104"/>
      <c r="X28" s="109" t="str">
        <f t="shared" ref="X28:Y29" si="7">IF(D36=0,"",D36)</f>
        <v/>
      </c>
      <c r="Y28" s="109" t="str">
        <f t="shared" si="7"/>
        <v/>
      </c>
      <c r="Z28" s="123" t="s">
        <v>7783</v>
      </c>
      <c r="AA28" s="124" t="e">
        <f>VLOOKUP($M:$M,Data!$I:$J,2,FALSE)</f>
        <v>#N/A</v>
      </c>
      <c r="AB28" s="125"/>
    </row>
    <row r="29" ht="15.25" spans="2:28">
      <c r="B29" s="58">
        <v>3</v>
      </c>
      <c r="C29" s="59">
        <f>VLOOKUP("34/106/3",Data!$A$2:$E$1425,3,FALSE)</f>
        <v>0</v>
      </c>
      <c r="D29" s="56"/>
      <c r="E29" s="57"/>
      <c r="G29" s="69"/>
      <c r="H29" s="70"/>
      <c r="I29" s="70"/>
      <c r="J29" s="87"/>
      <c r="L29" s="14">
        <f>COUNTA(B37)+L28</f>
        <v>23</v>
      </c>
      <c r="M29" s="83">
        <f>C37</f>
        <v>0</v>
      </c>
      <c r="N29" s="84" t="s">
        <v>7430</v>
      </c>
      <c r="O29" s="85">
        <v>34</v>
      </c>
      <c r="P29" s="85">
        <v>108</v>
      </c>
      <c r="Q29" s="110"/>
      <c r="R29" s="110"/>
      <c r="S29" s="110"/>
      <c r="T29" s="110"/>
      <c r="U29" s="85">
        <f>B37</f>
        <v>3</v>
      </c>
      <c r="V29" s="105"/>
      <c r="W29" s="106"/>
      <c r="X29" s="111" t="str">
        <f t="shared" si="7"/>
        <v/>
      </c>
      <c r="Y29" s="111" t="str">
        <f t="shared" si="7"/>
        <v/>
      </c>
      <c r="Z29" s="127" t="s">
        <v>7784</v>
      </c>
      <c r="AA29" s="128" t="e">
        <f>VLOOKUP($M:$M,Data!$I:$J,2,FALSE)</f>
        <v>#N/A</v>
      </c>
      <c r="AB29" s="126"/>
    </row>
    <row r="30" spans="2:28">
      <c r="B30" s="46">
        <v>107</v>
      </c>
      <c r="C30" s="47"/>
      <c r="D30" s="48" t="s">
        <v>6580</v>
      </c>
      <c r="E30" s="49" t="s">
        <v>6581</v>
      </c>
      <c r="G30" s="69"/>
      <c r="H30" s="70"/>
      <c r="I30" s="70"/>
      <c r="J30" s="87"/>
      <c r="L30" s="6">
        <f>COUNTA(B39)+L29</f>
        <v>24</v>
      </c>
      <c r="M30" s="79" t="str">
        <f>C39</f>
        <v>23306 Jonatan</v>
      </c>
      <c r="N30" s="80" t="s">
        <v>7430</v>
      </c>
      <c r="O30" s="81">
        <v>34</v>
      </c>
      <c r="P30" s="81">
        <v>109</v>
      </c>
      <c r="Q30" s="62" t="str">
        <f>_xlfn.IFS(COUNTA(B39:B41)=1,"Single",COUNTA(B39:B41)=2,"Double",COUNTA(B39:B41)=3,"Triple",COUNTA(B39:B41)=0,"Empty")</f>
        <v>Triple</v>
      </c>
      <c r="R30" s="62"/>
      <c r="S30" s="62"/>
      <c r="T30" s="62"/>
      <c r="U30" s="81">
        <f>B39</f>
        <v>1</v>
      </c>
      <c r="V30" s="100">
        <f>COUNT(B39:B41)</f>
        <v>3</v>
      </c>
      <c r="W30" s="101"/>
      <c r="X30" s="108" t="str">
        <f>IF(D39=0,"",D39)</f>
        <v/>
      </c>
      <c r="Y30" s="108" t="str">
        <f>IF(E39=0,"",E39)</f>
        <v/>
      </c>
      <c r="Z30" s="120" t="s">
        <v>7785</v>
      </c>
      <c r="AA30" s="121" t="e">
        <f>VLOOKUP($M:$M,Data!$I:$J,2,FALSE)</f>
        <v>#N/A</v>
      </c>
      <c r="AB30" s="122"/>
    </row>
    <row r="31" spans="2:28">
      <c r="B31" s="50">
        <v>1</v>
      </c>
      <c r="C31" s="51" t="str">
        <f>VLOOKUP("34/107/1",Data!$A$2:$E$1425,3,FALSE)</f>
        <v>23305 Elias</v>
      </c>
      <c r="D31" s="52"/>
      <c r="E31" s="53"/>
      <c r="G31" s="69"/>
      <c r="H31" s="70"/>
      <c r="I31" s="70"/>
      <c r="J31" s="87"/>
      <c r="L31" s="9">
        <f>COUNTA(B40)+L30</f>
        <v>25</v>
      </c>
      <c r="M31" s="31" t="str">
        <f>C40</f>
        <v>23203 Ebbe</v>
      </c>
      <c r="N31" s="82" t="s">
        <v>7430</v>
      </c>
      <c r="O31" s="36">
        <v>34</v>
      </c>
      <c r="P31" s="36">
        <v>109</v>
      </c>
      <c r="Q31" s="32"/>
      <c r="R31" s="32"/>
      <c r="S31" s="32"/>
      <c r="T31" s="32"/>
      <c r="U31" s="36">
        <f>B40</f>
        <v>2</v>
      </c>
      <c r="V31" s="103"/>
      <c r="W31" s="104"/>
      <c r="X31" s="109" t="str">
        <f t="shared" ref="X31:Y32" si="8">IF(D40=0,"",D40)</f>
        <v/>
      </c>
      <c r="Y31" s="109" t="str">
        <f t="shared" si="8"/>
        <v/>
      </c>
      <c r="Z31" s="123" t="s">
        <v>7786</v>
      </c>
      <c r="AA31" s="124" t="e">
        <f>VLOOKUP($M:$M,Data!$I:$J,2,FALSE)</f>
        <v>#N/A</v>
      </c>
      <c r="AB31" s="125"/>
    </row>
    <row r="32" ht="15.25" spans="2:28">
      <c r="B32" s="50">
        <v>2</v>
      </c>
      <c r="C32" s="51" t="str">
        <f>VLOOKUP("34/107/2",Data!$A$2:$E$1425,3,FALSE)</f>
        <v>23304 Lukas</v>
      </c>
      <c r="D32" s="54"/>
      <c r="E32" s="55"/>
      <c r="G32" s="69"/>
      <c r="H32" s="70"/>
      <c r="I32" s="70"/>
      <c r="J32" s="87"/>
      <c r="L32" s="14">
        <f>COUNTA(B41)+L31</f>
        <v>26</v>
      </c>
      <c r="M32" s="83">
        <f>C41</f>
        <v>0</v>
      </c>
      <c r="N32" s="84" t="s">
        <v>7430</v>
      </c>
      <c r="O32" s="85">
        <v>34</v>
      </c>
      <c r="P32" s="85">
        <v>109</v>
      </c>
      <c r="Q32" s="110"/>
      <c r="R32" s="110"/>
      <c r="S32" s="110"/>
      <c r="T32" s="110"/>
      <c r="U32" s="85">
        <f>B41</f>
        <v>3</v>
      </c>
      <c r="V32" s="105"/>
      <c r="W32" s="106"/>
      <c r="X32" s="111" t="str">
        <f t="shared" si="8"/>
        <v/>
      </c>
      <c r="Y32" s="111" t="str">
        <f t="shared" si="8"/>
        <v/>
      </c>
      <c r="Z32" s="127" t="s">
        <v>7787</v>
      </c>
      <c r="AA32" s="128" t="e">
        <f>VLOOKUP($M:$M,Data!$I:$J,2,FALSE)</f>
        <v>#N/A</v>
      </c>
      <c r="AB32" s="126"/>
    </row>
    <row r="33" ht="15.25" spans="2:28">
      <c r="B33" s="58">
        <v>3</v>
      </c>
      <c r="C33" s="59">
        <f>VLOOKUP("34/107/3",Data!$A$2:$E$1425,3,FALSE)</f>
        <v>0</v>
      </c>
      <c r="D33" s="56"/>
      <c r="E33" s="57"/>
      <c r="G33" s="71"/>
      <c r="H33" s="72"/>
      <c r="I33" s="72"/>
      <c r="J33" s="88"/>
      <c r="L33" s="6">
        <f>COUNTA(B43)+L32</f>
        <v>27</v>
      </c>
      <c r="M33" s="79" t="str">
        <f>C43</f>
        <v>24104 Mans</v>
      </c>
      <c r="N33" s="80" t="s">
        <v>7430</v>
      </c>
      <c r="O33" s="81">
        <v>34</v>
      </c>
      <c r="P33" s="81">
        <v>110</v>
      </c>
      <c r="Q33" s="62" t="str">
        <f>_xlfn.IFS(COUNTA(B43:B45)=1,"Single",COUNTA(B43:B45)=2,"Double",COUNTA(B43:B45)=3,"Triple",COUNTA(B43:B45)=0,"Empty")</f>
        <v>Double</v>
      </c>
      <c r="R33" s="62"/>
      <c r="S33" s="62"/>
      <c r="T33" s="62"/>
      <c r="U33" s="81">
        <f>B43</f>
        <v>1</v>
      </c>
      <c r="V33" s="100">
        <f>COUNT(B43:B45)</f>
        <v>2</v>
      </c>
      <c r="W33" s="101"/>
      <c r="X33" s="108" t="str">
        <f>IF(D43=0,"",D43)</f>
        <v/>
      </c>
      <c r="Y33" s="108" t="str">
        <f>IF(E43=0,"",E43)</f>
        <v/>
      </c>
      <c r="Z33" s="120" t="s">
        <v>7788</v>
      </c>
      <c r="AA33" s="121" t="e">
        <f>VLOOKUP($M:$M,Data!$I:$J,2,FALSE)</f>
        <v>#N/A</v>
      </c>
      <c r="AB33" s="122"/>
    </row>
    <row r="34" spans="2:28">
      <c r="B34" s="46">
        <v>108</v>
      </c>
      <c r="C34" s="47"/>
      <c r="D34" s="48" t="s">
        <v>6580</v>
      </c>
      <c r="E34" s="49" t="s">
        <v>6581</v>
      </c>
      <c r="G34" s="46">
        <v>115</v>
      </c>
      <c r="H34" s="47"/>
      <c r="I34" s="48" t="s">
        <v>6580</v>
      </c>
      <c r="J34" s="49" t="s">
        <v>6581</v>
      </c>
      <c r="L34" s="9">
        <f>COUNTA(B44)+L33</f>
        <v>28</v>
      </c>
      <c r="M34" s="31">
        <f>C44</f>
        <v>0</v>
      </c>
      <c r="N34" s="82" t="s">
        <v>7430</v>
      </c>
      <c r="O34" s="36">
        <v>34</v>
      </c>
      <c r="P34" s="36">
        <v>110</v>
      </c>
      <c r="Q34" s="32"/>
      <c r="R34" s="32"/>
      <c r="S34" s="32"/>
      <c r="T34" s="32"/>
      <c r="U34" s="36">
        <f>B44</f>
        <v>2</v>
      </c>
      <c r="V34" s="103"/>
      <c r="W34" s="104"/>
      <c r="X34" s="109" t="str">
        <f t="shared" ref="X34:Y35" si="9">IF(D44=0,"",D44)</f>
        <v/>
      </c>
      <c r="Y34" s="109" t="str">
        <f t="shared" si="9"/>
        <v/>
      </c>
      <c r="Z34" s="123" t="s">
        <v>7789</v>
      </c>
      <c r="AA34" s="124" t="e">
        <f>VLOOKUP($M:$M,Data!$I:$J,2,FALSE)</f>
        <v>#N/A</v>
      </c>
      <c r="AB34" s="125"/>
    </row>
    <row r="35" ht="15.25" spans="2:28">
      <c r="B35" s="50">
        <v>1</v>
      </c>
      <c r="C35" s="51" t="str">
        <f>VLOOKUP("34/108/1",Data!$A$2:$E$1425,3,FALSE)</f>
        <v>23307 Harry</v>
      </c>
      <c r="D35" s="52"/>
      <c r="E35" s="53"/>
      <c r="G35" s="50">
        <v>1</v>
      </c>
      <c r="H35" s="51" t="str">
        <f>VLOOKUP("34/115/1",Data!$A$2:$E$1425,3,FALSE)</f>
        <v>24307 Axel</v>
      </c>
      <c r="I35" s="52"/>
      <c r="J35" s="53"/>
      <c r="L35" s="14">
        <f>COUNTA(B45)+L34</f>
        <v>28</v>
      </c>
      <c r="M35" s="83">
        <f>C45</f>
        <v>0</v>
      </c>
      <c r="N35" s="84" t="s">
        <v>7430</v>
      </c>
      <c r="O35" s="85">
        <v>34</v>
      </c>
      <c r="P35" s="85">
        <v>110</v>
      </c>
      <c r="Q35" s="110"/>
      <c r="R35" s="110"/>
      <c r="S35" s="110"/>
      <c r="T35" s="110"/>
      <c r="U35" s="85">
        <f>B45</f>
        <v>0</v>
      </c>
      <c r="V35" s="105"/>
      <c r="W35" s="106"/>
      <c r="X35" s="111" t="str">
        <f t="shared" si="9"/>
        <v/>
      </c>
      <c r="Y35" s="111" t="str">
        <f t="shared" si="9"/>
        <v/>
      </c>
      <c r="Z35" s="127"/>
      <c r="AA35" s="128" t="e">
        <f>VLOOKUP($M:$M,Data!$I:$J,2,FALSE)</f>
        <v>#N/A</v>
      </c>
      <c r="AB35" s="126"/>
    </row>
    <row r="36" spans="2:28">
      <c r="B36" s="50">
        <v>2</v>
      </c>
      <c r="C36" s="51" t="str">
        <f>VLOOKUP("34/108/2",Data!$A$2:$E$1425,3,FALSE)</f>
        <v>23308 Emil</v>
      </c>
      <c r="D36" s="54"/>
      <c r="E36" s="55"/>
      <c r="G36" s="50">
        <v>2</v>
      </c>
      <c r="H36" s="51" t="str">
        <f>VLOOKUP("34/115/2",Data!$A$2:$E$1425,3,FALSE)</f>
        <v>24407 Frank</v>
      </c>
      <c r="I36" s="54"/>
      <c r="J36" s="55"/>
      <c r="L36" s="6">
        <f>COUNTA(B47)+L35</f>
        <v>29</v>
      </c>
      <c r="M36" s="79" t="str">
        <f>C47</f>
        <v>24204 Albin</v>
      </c>
      <c r="N36" s="80" t="s">
        <v>7430</v>
      </c>
      <c r="O36" s="81">
        <v>34</v>
      </c>
      <c r="P36" s="81">
        <v>111</v>
      </c>
      <c r="Q36" s="62" t="str">
        <f>_xlfn.IFS(COUNTA(B47:B49)=1,"Single",COUNTA(B47:B49)=2,"Double",COUNTA(B47:B49)=3,"Triple",COUNTA(B47:B49)=0,"Empty")</f>
        <v>Triple</v>
      </c>
      <c r="R36" s="62"/>
      <c r="S36" s="62"/>
      <c r="T36" s="62"/>
      <c r="U36" s="81">
        <f>B47</f>
        <v>1</v>
      </c>
      <c r="V36" s="100">
        <f>COUNT(B47:B49)</f>
        <v>3</v>
      </c>
      <c r="W36" s="101"/>
      <c r="X36" s="108" t="str">
        <f>IF(D47=0,"",D47)</f>
        <v/>
      </c>
      <c r="Y36" s="108" t="str">
        <f>IF(E47=0,"",E47)</f>
        <v/>
      </c>
      <c r="Z36" s="120" t="s">
        <v>7790</v>
      </c>
      <c r="AA36" s="121" t="e">
        <f>VLOOKUP($M:$M,Data!$I:$J,2,FALSE)</f>
        <v>#N/A</v>
      </c>
      <c r="AB36" s="122"/>
    </row>
    <row r="37" ht="15.25" spans="2:28">
      <c r="B37" s="58">
        <v>3</v>
      </c>
      <c r="C37" s="59">
        <f>VLOOKUP("34/108/3",Data!$A$2:$E$1425,3,FALSE)</f>
        <v>0</v>
      </c>
      <c r="D37" s="56"/>
      <c r="E37" s="57"/>
      <c r="G37" s="58">
        <v>3</v>
      </c>
      <c r="H37" s="59">
        <f>VLOOKUP("34/115/3",Data!$A$2:$E$1425,3,FALSE)</f>
        <v>0</v>
      </c>
      <c r="I37" s="56"/>
      <c r="J37" s="57"/>
      <c r="L37" s="9">
        <f>COUNTA(B48)+L36</f>
        <v>30</v>
      </c>
      <c r="M37" s="31" t="str">
        <f>C48</f>
        <v>24205 Melvin</v>
      </c>
      <c r="N37" s="82" t="s">
        <v>7430</v>
      </c>
      <c r="O37" s="36">
        <v>34</v>
      </c>
      <c r="P37" s="36">
        <v>111</v>
      </c>
      <c r="Q37" s="32"/>
      <c r="R37" s="32"/>
      <c r="S37" s="32"/>
      <c r="T37" s="32"/>
      <c r="U37" s="36">
        <f>B48</f>
        <v>2</v>
      </c>
      <c r="V37" s="103"/>
      <c r="W37" s="104"/>
      <c r="X37" s="109" t="str">
        <f t="shared" ref="X37:Y38" si="10">IF(D48=0,"",D48)</f>
        <v/>
      </c>
      <c r="Y37" s="109" t="str">
        <f t="shared" si="10"/>
        <v/>
      </c>
      <c r="Z37" s="123" t="s">
        <v>7791</v>
      </c>
      <c r="AA37" s="124" t="e">
        <f>VLOOKUP($M:$M,Data!$I:$J,2,FALSE)</f>
        <v>#N/A</v>
      </c>
      <c r="AB37" s="125"/>
    </row>
    <row r="38" ht="15.25" spans="2:28">
      <c r="B38" s="46">
        <v>109</v>
      </c>
      <c r="C38" s="47"/>
      <c r="D38" s="48" t="s">
        <v>6580</v>
      </c>
      <c r="E38" s="49" t="s">
        <v>6581</v>
      </c>
      <c r="G38" s="46">
        <v>114</v>
      </c>
      <c r="H38" s="47"/>
      <c r="I38" s="48" t="s">
        <v>6580</v>
      </c>
      <c r="J38" s="49" t="s">
        <v>6581</v>
      </c>
      <c r="L38" s="14">
        <f>COUNTA(B49)+L37</f>
        <v>31</v>
      </c>
      <c r="M38" s="83">
        <f>C49</f>
        <v>0</v>
      </c>
      <c r="N38" s="84" t="s">
        <v>7430</v>
      </c>
      <c r="O38" s="85">
        <v>34</v>
      </c>
      <c r="P38" s="85">
        <v>111</v>
      </c>
      <c r="Q38" s="110"/>
      <c r="R38" s="110"/>
      <c r="S38" s="110"/>
      <c r="T38" s="110"/>
      <c r="U38" s="85">
        <f>B49</f>
        <v>3</v>
      </c>
      <c r="V38" s="105"/>
      <c r="W38" s="106"/>
      <c r="X38" s="111" t="str">
        <f t="shared" si="10"/>
        <v/>
      </c>
      <c r="Y38" s="111" t="str">
        <f t="shared" si="10"/>
        <v/>
      </c>
      <c r="Z38" s="127" t="s">
        <v>7792</v>
      </c>
      <c r="AA38" s="128" t="e">
        <f>VLOOKUP($M:$M,Data!$I:$J,2,FALSE)</f>
        <v>#N/A</v>
      </c>
      <c r="AB38" s="126"/>
    </row>
    <row r="39" spans="2:28">
      <c r="B39" s="50">
        <v>1</v>
      </c>
      <c r="C39" s="51" t="str">
        <f>VLOOKUP("34/109/1",Data!$A$2:$E$1425,3,FALSE)</f>
        <v>23306 Jonatan</v>
      </c>
      <c r="D39" s="52"/>
      <c r="E39" s="53"/>
      <c r="G39" s="50">
        <v>1</v>
      </c>
      <c r="H39" s="51" t="str">
        <f>VLOOKUP("34/114/1",Data!$A$2:$E$1425,3,FALSE)</f>
        <v>24107 Daniel</v>
      </c>
      <c r="I39" s="52"/>
      <c r="J39" s="53"/>
      <c r="L39" s="6">
        <f>COUNTA(G47)+L38</f>
        <v>32</v>
      </c>
      <c r="M39" s="79" t="str">
        <f>H47</f>
        <v>24305 Gustav</v>
      </c>
      <c r="N39" s="80" t="s">
        <v>7430</v>
      </c>
      <c r="O39" s="81">
        <v>34</v>
      </c>
      <c r="P39" s="81">
        <v>112</v>
      </c>
      <c r="Q39" s="62" t="str">
        <f>_xlfn.IFS(COUNTA(G47:G49)=1,"Single",COUNTA(G47:G49)=2,"Double",COUNTA(G47:G49)=3,"Triple",COUNTA(G47:G49)=0,"Empty")</f>
        <v>Double</v>
      </c>
      <c r="R39" s="62"/>
      <c r="S39" s="62"/>
      <c r="T39" s="62"/>
      <c r="U39" s="81">
        <f>G47</f>
        <v>1</v>
      </c>
      <c r="V39" s="100">
        <f>COUNT(G47:G49)</f>
        <v>2</v>
      </c>
      <c r="W39" s="101"/>
      <c r="X39" s="108" t="str">
        <f>IF(I47=0,"",I47)</f>
        <v/>
      </c>
      <c r="Y39" s="108" t="str">
        <f>IF(J47=0,"",J47)</f>
        <v/>
      </c>
      <c r="Z39" s="120" t="s">
        <v>7793</v>
      </c>
      <c r="AA39" s="121" t="e">
        <f>VLOOKUP($M:$M,Data!$I:$J,2,FALSE)</f>
        <v>#N/A</v>
      </c>
      <c r="AB39" s="122"/>
    </row>
    <row r="40" spans="2:28">
      <c r="B40" s="50">
        <v>2</v>
      </c>
      <c r="C40" s="51" t="str">
        <f>VLOOKUP("34/109/2",Data!$A$2:$E$1425,3,FALSE)</f>
        <v>23203 Ebbe</v>
      </c>
      <c r="D40" s="54"/>
      <c r="E40" s="55"/>
      <c r="G40" s="50">
        <v>2</v>
      </c>
      <c r="H40" s="51" t="str">
        <f>VLOOKUP("34/114/2",Data!$A$2:$E$1425,3,FALSE)</f>
        <v>24207 Mattias</v>
      </c>
      <c r="I40" s="54"/>
      <c r="J40" s="55"/>
      <c r="L40" s="9">
        <f>COUNTA(G48)+L39</f>
        <v>33</v>
      </c>
      <c r="M40" s="31" t="str">
        <f>H48</f>
        <v>24304 Wilmer</v>
      </c>
      <c r="N40" s="82" t="s">
        <v>7430</v>
      </c>
      <c r="O40" s="36">
        <v>34</v>
      </c>
      <c r="P40" s="36">
        <v>112</v>
      </c>
      <c r="Q40" s="32"/>
      <c r="R40" s="32"/>
      <c r="S40" s="32"/>
      <c r="T40" s="32"/>
      <c r="U40" s="36">
        <f>G48</f>
        <v>2</v>
      </c>
      <c r="V40" s="103"/>
      <c r="W40" s="104"/>
      <c r="X40" s="109" t="str">
        <f t="shared" ref="X40:Y41" si="11">IF(I48=0,"",I48)</f>
        <v/>
      </c>
      <c r="Y40" s="109" t="str">
        <f t="shared" si="11"/>
        <v/>
      </c>
      <c r="Z40" s="123" t="s">
        <v>7794</v>
      </c>
      <c r="AA40" s="124" t="e">
        <f>VLOOKUP($M:$M,Data!$I:$J,2,FALSE)</f>
        <v>#N/A</v>
      </c>
      <c r="AB40" s="125"/>
    </row>
    <row r="41" ht="15.25" spans="2:28">
      <c r="B41" s="58">
        <v>3</v>
      </c>
      <c r="C41" s="59">
        <f>VLOOKUP("34/109/3",Data!$A$2:$E$1425,3,FALSE)</f>
        <v>0</v>
      </c>
      <c r="D41" s="56"/>
      <c r="E41" s="57"/>
      <c r="G41" s="58">
        <v>3</v>
      </c>
      <c r="H41" s="59">
        <f>VLOOKUP("34/114/3",Data!$A$2:$E$1425,3,FALSE)</f>
        <v>0</v>
      </c>
      <c r="I41" s="56"/>
      <c r="J41" s="57"/>
      <c r="L41" s="14">
        <f>COUNTA(G49)+L40</f>
        <v>33</v>
      </c>
      <c r="M41" s="83">
        <f>H49</f>
        <v>0</v>
      </c>
      <c r="N41" s="84" t="s">
        <v>7430</v>
      </c>
      <c r="O41" s="85">
        <v>34</v>
      </c>
      <c r="P41" s="85">
        <v>112</v>
      </c>
      <c r="Q41" s="110"/>
      <c r="R41" s="110"/>
      <c r="S41" s="110"/>
      <c r="T41" s="110"/>
      <c r="U41" s="85">
        <f>G49</f>
        <v>0</v>
      </c>
      <c r="V41" s="105"/>
      <c r="W41" s="106"/>
      <c r="X41" s="111" t="str">
        <f t="shared" si="11"/>
        <v/>
      </c>
      <c r="Y41" s="111" t="str">
        <f t="shared" si="11"/>
        <v/>
      </c>
      <c r="Z41" s="127"/>
      <c r="AA41" s="128" t="e">
        <f>VLOOKUP($M:$M,Data!$I:$J,2,FALSE)</f>
        <v>#N/A</v>
      </c>
      <c r="AB41" s="126"/>
    </row>
    <row r="42" spans="2:28">
      <c r="B42" s="46">
        <v>110</v>
      </c>
      <c r="C42" s="47"/>
      <c r="D42" s="48" t="s">
        <v>6580</v>
      </c>
      <c r="E42" s="49" t="s">
        <v>6581</v>
      </c>
      <c r="G42" s="46">
        <v>113</v>
      </c>
      <c r="H42" s="47"/>
      <c r="I42" s="48" t="s">
        <v>6580</v>
      </c>
      <c r="J42" s="49" t="s">
        <v>6581</v>
      </c>
      <c r="L42" s="6">
        <f>COUNTA(G43)+L41</f>
        <v>34</v>
      </c>
      <c r="M42" s="79" t="str">
        <f>H43</f>
        <v>24405 Max</v>
      </c>
      <c r="N42" s="80" t="s">
        <v>7430</v>
      </c>
      <c r="O42" s="81">
        <v>34</v>
      </c>
      <c r="P42" s="81">
        <v>113</v>
      </c>
      <c r="Q42" s="62" t="str">
        <f>_xlfn.IFS(COUNTA(G43:G45)=1,"Single",COUNTA(G43:G45)=2,"Double",COUNTA(G43:G45)=3,"Triple",COUNTA(G43:G45)=0,"Empty")</f>
        <v>Triple</v>
      </c>
      <c r="R42" s="62"/>
      <c r="S42" s="62"/>
      <c r="T42" s="62"/>
      <c r="U42" s="81">
        <f>G43</f>
        <v>1</v>
      </c>
      <c r="V42" s="100">
        <f>COUNT(G43:G45)</f>
        <v>3</v>
      </c>
      <c r="W42" s="101"/>
      <c r="X42" s="108" t="str">
        <f>IF(I43=0,"",I43)</f>
        <v/>
      </c>
      <c r="Y42" s="108" t="str">
        <f>IF(J43=0,"",J43)</f>
        <v/>
      </c>
      <c r="Z42" s="120" t="s">
        <v>7795</v>
      </c>
      <c r="AA42" s="121" t="e">
        <f>VLOOKUP($M:$M,Data!$I:$J,2,FALSE)</f>
        <v>#N/A</v>
      </c>
      <c r="AB42" s="122"/>
    </row>
    <row r="43" spans="2:28">
      <c r="B43" s="50">
        <v>1</v>
      </c>
      <c r="C43" s="51" t="str">
        <f>VLOOKUP("34/110/1",Data!$A$2:$E$1425,3,FALSE)</f>
        <v>24104 Mans</v>
      </c>
      <c r="D43" s="52"/>
      <c r="E43" s="53"/>
      <c r="G43" s="50">
        <v>1</v>
      </c>
      <c r="H43" s="51" t="str">
        <f>VLOOKUP("34/113/1",Data!$A$2:$E$1425,3,FALSE)</f>
        <v>24405 Max</v>
      </c>
      <c r="I43" s="52"/>
      <c r="J43" s="53"/>
      <c r="L43" s="9">
        <f>COUNTA(G44)+L42</f>
        <v>35</v>
      </c>
      <c r="M43" s="31" t="str">
        <f>H44</f>
        <v>24404 Carl</v>
      </c>
      <c r="N43" s="82" t="s">
        <v>7430</v>
      </c>
      <c r="O43" s="36">
        <v>34</v>
      </c>
      <c r="P43" s="36">
        <v>113</v>
      </c>
      <c r="Q43" s="32"/>
      <c r="R43" s="32"/>
      <c r="S43" s="32"/>
      <c r="T43" s="32"/>
      <c r="U43" s="36">
        <f>G44</f>
        <v>2</v>
      </c>
      <c r="V43" s="103"/>
      <c r="W43" s="104"/>
      <c r="X43" s="109" t="str">
        <f t="shared" ref="X43:Y44" si="12">IF(I44=0,"",I44)</f>
        <v/>
      </c>
      <c r="Y43" s="109" t="str">
        <f t="shared" si="12"/>
        <v/>
      </c>
      <c r="Z43" s="123" t="s">
        <v>7796</v>
      </c>
      <c r="AA43" s="124" t="e">
        <f>VLOOKUP($M:$M,Data!$I:$J,2,FALSE)</f>
        <v>#N/A</v>
      </c>
      <c r="AB43" s="125"/>
    </row>
    <row r="44" ht="15.25" spans="2:28">
      <c r="B44" s="50">
        <v>2</v>
      </c>
      <c r="C44" s="51">
        <f>VLOOKUP("34/110/2",Data!$A$2:$E$1425,3,FALSE)</f>
        <v>0</v>
      </c>
      <c r="D44" s="54"/>
      <c r="E44" s="55"/>
      <c r="G44" s="50">
        <v>2</v>
      </c>
      <c r="H44" s="51" t="str">
        <f>VLOOKUP("34/113/2",Data!$A$2:$E$1425,3,FALSE)</f>
        <v>24404 Carl</v>
      </c>
      <c r="I44" s="54"/>
      <c r="J44" s="55"/>
      <c r="L44" s="14">
        <f>COUNTA(G45)+L43</f>
        <v>36</v>
      </c>
      <c r="M44" s="83">
        <f>H45</f>
        <v>0</v>
      </c>
      <c r="N44" s="84" t="s">
        <v>7430</v>
      </c>
      <c r="O44" s="85">
        <v>34</v>
      </c>
      <c r="P44" s="85">
        <v>113</v>
      </c>
      <c r="Q44" s="110"/>
      <c r="R44" s="110"/>
      <c r="S44" s="110"/>
      <c r="T44" s="110"/>
      <c r="U44" s="85">
        <f>G45</f>
        <v>3</v>
      </c>
      <c r="V44" s="105"/>
      <c r="W44" s="106"/>
      <c r="X44" s="111" t="str">
        <f t="shared" si="12"/>
        <v/>
      </c>
      <c r="Y44" s="111" t="str">
        <f t="shared" si="12"/>
        <v/>
      </c>
      <c r="Z44" s="127" t="s">
        <v>7797</v>
      </c>
      <c r="AA44" s="128" t="e">
        <f>VLOOKUP($M:$M,Data!$I:$J,2,FALSE)</f>
        <v>#N/A</v>
      </c>
      <c r="AB44" s="126"/>
    </row>
    <row r="45" ht="15.25" spans="2:28">
      <c r="B45" s="58"/>
      <c r="C45" s="59">
        <f>VLOOKUP("34/110/3",Data!$A$2:$E$1425,3,FALSE)</f>
        <v>0</v>
      </c>
      <c r="D45" s="56"/>
      <c r="E45" s="57"/>
      <c r="G45" s="58">
        <v>3</v>
      </c>
      <c r="H45" s="59">
        <f>VLOOKUP("34/113/3",Data!$A$2:$E$1425,3,FALSE)</f>
        <v>0</v>
      </c>
      <c r="I45" s="56"/>
      <c r="J45" s="57"/>
      <c r="L45" s="6">
        <f>COUNTA(G39)+L44</f>
        <v>37</v>
      </c>
      <c r="M45" s="79" t="str">
        <f>H39</f>
        <v>24107 Daniel</v>
      </c>
      <c r="N45" s="80" t="s">
        <v>7430</v>
      </c>
      <c r="O45" s="81">
        <v>34</v>
      </c>
      <c r="P45" s="81">
        <v>114</v>
      </c>
      <c r="Q45" s="62" t="str">
        <f>_xlfn.IFS(COUNTA(G39:G41)=1,"Single",COUNTA(G39:G41)=2,"Double",COUNTA(G39:G41)=3,"Triple",COUNTA(G39:G41)=0,"Empty")</f>
        <v>Triple</v>
      </c>
      <c r="R45" s="62"/>
      <c r="S45" s="62"/>
      <c r="T45" s="62"/>
      <c r="U45" s="81">
        <f>G39</f>
        <v>1</v>
      </c>
      <c r="V45" s="100">
        <f>COUNT(G39:G41)</f>
        <v>3</v>
      </c>
      <c r="W45" s="101"/>
      <c r="X45" s="108" t="str">
        <f>IF(I39=0,"",I39)</f>
        <v/>
      </c>
      <c r="Y45" s="108" t="str">
        <f>IF(J39=0,"",J39)</f>
        <v/>
      </c>
      <c r="Z45" s="120" t="s">
        <v>7798</v>
      </c>
      <c r="AA45" s="121" t="e">
        <f>VLOOKUP($M:$M,Data!$I:$J,2,FALSE)</f>
        <v>#N/A</v>
      </c>
      <c r="AB45" s="122"/>
    </row>
    <row r="46" spans="2:28">
      <c r="B46" s="46">
        <v>111</v>
      </c>
      <c r="C46" s="47"/>
      <c r="D46" s="48" t="s">
        <v>6580</v>
      </c>
      <c r="E46" s="49" t="s">
        <v>6581</v>
      </c>
      <c r="G46" s="46">
        <v>112</v>
      </c>
      <c r="H46" s="47"/>
      <c r="I46" s="48" t="s">
        <v>6580</v>
      </c>
      <c r="J46" s="49" t="s">
        <v>6581</v>
      </c>
      <c r="L46" s="9">
        <f>COUNTA(G40)+L45</f>
        <v>38</v>
      </c>
      <c r="M46" s="31" t="str">
        <f>H40</f>
        <v>24207 Mattias</v>
      </c>
      <c r="N46" s="82" t="s">
        <v>7430</v>
      </c>
      <c r="O46" s="36">
        <v>34</v>
      </c>
      <c r="P46" s="36">
        <v>114</v>
      </c>
      <c r="Q46" s="32"/>
      <c r="R46" s="32"/>
      <c r="S46" s="32"/>
      <c r="T46" s="32"/>
      <c r="U46" s="36">
        <f>G40</f>
        <v>2</v>
      </c>
      <c r="V46" s="103"/>
      <c r="W46" s="104"/>
      <c r="X46" s="109" t="str">
        <f t="shared" ref="X46:Y47" si="13">IF(I40=0,"",I40)</f>
        <v/>
      </c>
      <c r="Y46" s="109" t="str">
        <f t="shared" si="13"/>
        <v/>
      </c>
      <c r="Z46" s="123" t="s">
        <v>7799</v>
      </c>
      <c r="AA46" s="124" t="e">
        <f>VLOOKUP($M:$M,Data!$I:$J,2,FALSE)</f>
        <v>#N/A</v>
      </c>
      <c r="AB46" s="125"/>
    </row>
    <row r="47" ht="15.25" spans="2:28">
      <c r="B47" s="50">
        <v>1</v>
      </c>
      <c r="C47" s="51" t="str">
        <f>VLOOKUP("34/111/1",Data!$A$2:$E$1425,3,FALSE)</f>
        <v>24204 Albin</v>
      </c>
      <c r="D47" s="52"/>
      <c r="E47" s="53"/>
      <c r="G47" s="50">
        <v>1</v>
      </c>
      <c r="H47" s="51" t="str">
        <f>VLOOKUP("34/112/1",Data!$A$2:$E$1425,3,FALSE)</f>
        <v>24305 Gustav</v>
      </c>
      <c r="I47" s="52"/>
      <c r="J47" s="53"/>
      <c r="L47" s="14">
        <f>COUNTA(G41)+L46</f>
        <v>39</v>
      </c>
      <c r="M47" s="83">
        <f>H41</f>
        <v>0</v>
      </c>
      <c r="N47" s="84" t="s">
        <v>7430</v>
      </c>
      <c r="O47" s="85">
        <v>34</v>
      </c>
      <c r="P47" s="85">
        <v>114</v>
      </c>
      <c r="Q47" s="110"/>
      <c r="R47" s="110"/>
      <c r="S47" s="110"/>
      <c r="T47" s="110"/>
      <c r="U47" s="85">
        <f>G41</f>
        <v>3</v>
      </c>
      <c r="V47" s="105"/>
      <c r="W47" s="106"/>
      <c r="X47" s="111" t="str">
        <f t="shared" si="13"/>
        <v/>
      </c>
      <c r="Y47" s="111" t="str">
        <f t="shared" si="13"/>
        <v/>
      </c>
      <c r="Z47" s="127" t="s">
        <v>7800</v>
      </c>
      <c r="AA47" s="128" t="e">
        <f>VLOOKUP($M:$M,Data!$I:$J,2,FALSE)</f>
        <v>#N/A</v>
      </c>
      <c r="AB47" s="126"/>
    </row>
    <row r="48" spans="2:28">
      <c r="B48" s="50">
        <v>2</v>
      </c>
      <c r="C48" s="51" t="str">
        <f>VLOOKUP("34/111/2",Data!$A$2:$E$1425,3,FALSE)</f>
        <v>24205 Melvin</v>
      </c>
      <c r="D48" s="54"/>
      <c r="E48" s="55"/>
      <c r="G48" s="50">
        <v>2</v>
      </c>
      <c r="H48" s="51" t="str">
        <f>VLOOKUP("34/112/2",Data!$A$2:$E$1425,3,FALSE)</f>
        <v>24304 Wilmer</v>
      </c>
      <c r="I48" s="54"/>
      <c r="J48" s="55"/>
      <c r="L48" s="6">
        <f>COUNTA(G35)+L47</f>
        <v>40</v>
      </c>
      <c r="M48" s="79" t="str">
        <f>H35</f>
        <v>24307 Axel</v>
      </c>
      <c r="N48" s="80" t="s">
        <v>7430</v>
      </c>
      <c r="O48" s="81">
        <v>34</v>
      </c>
      <c r="P48" s="81">
        <v>115</v>
      </c>
      <c r="Q48" s="62" t="str">
        <f>_xlfn.IFS(COUNTA(G35:G37)=1,"Single",COUNTA(G35:G37)=2,"Double",COUNTA(G35:G37)=3,"Triple",COUNTA(G35:G37)=0,"Empty")</f>
        <v>Triple</v>
      </c>
      <c r="R48" s="62"/>
      <c r="S48" s="62"/>
      <c r="T48" s="62"/>
      <c r="U48" s="81">
        <f>G35</f>
        <v>1</v>
      </c>
      <c r="V48" s="100">
        <f>COUNT(G35:G37)</f>
        <v>3</v>
      </c>
      <c r="W48" s="101"/>
      <c r="X48" s="108" t="str">
        <f>IF(I35=0,"",I35)</f>
        <v/>
      </c>
      <c r="Y48" s="108" t="str">
        <f>IF(J35=0,"",J35)</f>
        <v/>
      </c>
      <c r="Z48" s="120" t="s">
        <v>7801</v>
      </c>
      <c r="AA48" s="121" t="e">
        <f>VLOOKUP($M:$M,Data!$I:$J,2,FALSE)</f>
        <v>#N/A</v>
      </c>
      <c r="AB48" s="122"/>
    </row>
    <row r="49" ht="15.25" spans="2:28">
      <c r="B49" s="58">
        <v>3</v>
      </c>
      <c r="C49" s="59">
        <f>VLOOKUP("34/111/3",Data!$A$2:$E$1425,3,FALSE)</f>
        <v>0</v>
      </c>
      <c r="D49" s="56"/>
      <c r="E49" s="57"/>
      <c r="G49" s="58"/>
      <c r="H49" s="59">
        <f>VLOOKUP("34/112/3",Data!$A$2:$E$1425,3,FALSE)</f>
        <v>0</v>
      </c>
      <c r="I49" s="56"/>
      <c r="J49" s="57"/>
      <c r="L49" s="9">
        <f>COUNTA(G36)+L48</f>
        <v>41</v>
      </c>
      <c r="M49" s="31" t="str">
        <f>H36</f>
        <v>24407 Frank</v>
      </c>
      <c r="N49" s="82" t="s">
        <v>7430</v>
      </c>
      <c r="O49" s="36">
        <v>34</v>
      </c>
      <c r="P49" s="36">
        <v>115</v>
      </c>
      <c r="Q49" s="32"/>
      <c r="R49" s="32"/>
      <c r="S49" s="32"/>
      <c r="T49" s="32"/>
      <c r="U49" s="36">
        <f>G36</f>
        <v>2</v>
      </c>
      <c r="V49" s="103"/>
      <c r="W49" s="104"/>
      <c r="X49" s="109" t="str">
        <f t="shared" ref="X49:Y50" si="14">IF(I36=0,"",I36)</f>
        <v/>
      </c>
      <c r="Y49" s="109" t="str">
        <f t="shared" si="14"/>
        <v/>
      </c>
      <c r="Z49" s="123" t="s">
        <v>7802</v>
      </c>
      <c r="AA49" s="124" t="e">
        <f>VLOOKUP($M:$M,Data!$I:$J,2,FALSE)</f>
        <v>#N/A</v>
      </c>
      <c r="AB49" s="125"/>
    </row>
    <row r="50" ht="15.25" spans="12:28">
      <c r="L50" s="14">
        <f>COUNTA(G37)+L49</f>
        <v>42</v>
      </c>
      <c r="M50" s="83">
        <f>H37</f>
        <v>0</v>
      </c>
      <c r="N50" s="84" t="s">
        <v>7430</v>
      </c>
      <c r="O50" s="85">
        <v>34</v>
      </c>
      <c r="P50" s="85">
        <v>115</v>
      </c>
      <c r="Q50" s="110"/>
      <c r="R50" s="110"/>
      <c r="S50" s="110"/>
      <c r="T50" s="110"/>
      <c r="U50" s="85">
        <f>G37</f>
        <v>3</v>
      </c>
      <c r="V50" s="105"/>
      <c r="W50" s="106"/>
      <c r="X50" s="111" t="str">
        <f t="shared" si="14"/>
        <v/>
      </c>
      <c r="Y50" s="111" t="str">
        <f t="shared" si="14"/>
        <v/>
      </c>
      <c r="Z50" s="127" t="s">
        <v>6668</v>
      </c>
      <c r="AA50" s="128" t="e">
        <f>VLOOKUP($M:$M,Data!$I:$J,2,FALSE)</f>
        <v>#N/A</v>
      </c>
      <c r="AB50" s="126"/>
    </row>
    <row r="51" spans="3:28">
      <c r="C51" s="1" t="s">
        <v>7803</v>
      </c>
      <c r="D51" s="1"/>
      <c r="E51" s="1"/>
      <c r="F51" s="1"/>
      <c r="G51" s="1"/>
      <c r="H51" s="1"/>
      <c r="I51" s="1"/>
      <c r="J51" s="89"/>
      <c r="L51" s="6">
        <f>COUNTA(G23)+L50</f>
        <v>43</v>
      </c>
      <c r="M51" s="79" t="str">
        <f>H23</f>
        <v>24403 Fredrik</v>
      </c>
      <c r="N51" s="80" t="s">
        <v>7430</v>
      </c>
      <c r="O51" s="81">
        <v>34</v>
      </c>
      <c r="P51" s="81">
        <v>116</v>
      </c>
      <c r="Q51" s="62" t="str">
        <f>_xlfn.IFS(COUNTA(G23:G25)=1,"Single",COUNTA(G23:G25)=2,"Double",COUNTA(G23:G25)=3,"Triple",COUNTA(G23:G25)=0,"Empty")</f>
        <v>Double</v>
      </c>
      <c r="R51" s="62"/>
      <c r="S51" s="62"/>
      <c r="T51" s="62"/>
      <c r="U51" s="81">
        <f>G23</f>
        <v>1</v>
      </c>
      <c r="V51" s="100">
        <f>COUNT(G23:G25)</f>
        <v>2</v>
      </c>
      <c r="W51" s="101"/>
      <c r="X51" s="108" t="str">
        <f>IF(I23=0,"",I23)</f>
        <v/>
      </c>
      <c r="Y51" s="108" t="str">
        <f>IF(J23=0,"",J23)</f>
        <v/>
      </c>
      <c r="Z51" s="120" t="s">
        <v>7804</v>
      </c>
      <c r="AA51" s="121" t="e">
        <f>VLOOKUP($M:$M,Data!$I:$J,2,FALSE)</f>
        <v>#N/A</v>
      </c>
      <c r="AB51" s="122"/>
    </row>
    <row r="52" ht="15.25" spans="2:28">
      <c r="B52" s="45" t="s">
        <v>7427</v>
      </c>
      <c r="C52" s="45"/>
      <c r="D52" s="45"/>
      <c r="E52" s="45"/>
      <c r="G52" s="45" t="s">
        <v>7427</v>
      </c>
      <c r="H52" s="45"/>
      <c r="I52" s="45"/>
      <c r="J52" s="45"/>
      <c r="L52" s="9">
        <f>COUNTA(G24)+L51</f>
        <v>44</v>
      </c>
      <c r="M52" s="31" t="str">
        <f>H24</f>
        <v>24101 John</v>
      </c>
      <c r="N52" s="82" t="s">
        <v>7430</v>
      </c>
      <c r="O52" s="36">
        <v>34</v>
      </c>
      <c r="P52" s="36">
        <v>116</v>
      </c>
      <c r="Q52" s="32"/>
      <c r="R52" s="32"/>
      <c r="S52" s="32"/>
      <c r="T52" s="32"/>
      <c r="U52" s="36">
        <f>G24</f>
        <v>2</v>
      </c>
      <c r="V52" s="103"/>
      <c r="W52" s="104"/>
      <c r="X52" s="109" t="str">
        <f t="shared" ref="X52:Y53" si="15">IF(I24=0,"",I24)</f>
        <v/>
      </c>
      <c r="Y52" s="109" t="str">
        <f t="shared" si="15"/>
        <v/>
      </c>
      <c r="Z52" s="123" t="s">
        <v>7805</v>
      </c>
      <c r="AA52" s="124" t="e">
        <f>VLOOKUP($M:$M,Data!$I:$J,2,FALSE)</f>
        <v>#N/A</v>
      </c>
      <c r="AB52" s="125"/>
    </row>
    <row r="53" ht="15.25" spans="2:28">
      <c r="B53" s="46">
        <v>201</v>
      </c>
      <c r="C53" s="47"/>
      <c r="D53" s="48" t="s">
        <v>6580</v>
      </c>
      <c r="E53" s="49" t="s">
        <v>6581</v>
      </c>
      <c r="G53" s="46">
        <v>220</v>
      </c>
      <c r="H53" s="47"/>
      <c r="I53" s="48" t="s">
        <v>6580</v>
      </c>
      <c r="J53" s="49" t="s">
        <v>6581</v>
      </c>
      <c r="L53" s="14">
        <f>COUNTA(G25)+L52</f>
        <v>44</v>
      </c>
      <c r="M53" s="83">
        <f>H25</f>
        <v>0</v>
      </c>
      <c r="N53" s="82" t="s">
        <v>7430</v>
      </c>
      <c r="O53" s="85">
        <v>34</v>
      </c>
      <c r="P53" s="85">
        <v>116</v>
      </c>
      <c r="Q53" s="110"/>
      <c r="R53" s="110"/>
      <c r="S53" s="110"/>
      <c r="T53" s="110"/>
      <c r="U53" s="85">
        <f>G25</f>
        <v>0</v>
      </c>
      <c r="V53" s="105"/>
      <c r="W53" s="106"/>
      <c r="X53" s="111" t="str">
        <f t="shared" si="15"/>
        <v/>
      </c>
      <c r="Y53" s="111" t="str">
        <f t="shared" si="15"/>
        <v/>
      </c>
      <c r="Z53" s="127" t="s">
        <v>7806</v>
      </c>
      <c r="AA53" s="128" t="e">
        <f>VLOOKUP($M:$M,Data!$I:$J,2,FALSE)</f>
        <v>#N/A</v>
      </c>
      <c r="AB53" s="126" t="s">
        <v>7807</v>
      </c>
    </row>
    <row r="54" spans="2:28">
      <c r="B54" s="50">
        <v>1</v>
      </c>
      <c r="C54" s="51" t="str">
        <f>VLOOKUP("34/201/1",Data!$A$2:$E$1425,3,FALSE)</f>
        <v>25001 Elsa </v>
      </c>
      <c r="D54" s="52"/>
      <c r="E54" s="53"/>
      <c r="G54" s="50">
        <v>1</v>
      </c>
      <c r="H54" s="51" t="str">
        <f>VLOOKUP("34/220/1",Data!$A$2:$E$1425,3,FALSE)</f>
        <v>25504 Hannes</v>
      </c>
      <c r="I54" s="52"/>
      <c r="J54" s="53"/>
      <c r="L54" s="6">
        <f>COUNTA(G19)+L53</f>
        <v>45</v>
      </c>
      <c r="M54" s="79" t="str">
        <f>H19</f>
        <v>24507 Viktor</v>
      </c>
      <c r="N54" s="80" t="s">
        <v>7430</v>
      </c>
      <c r="O54" s="81">
        <v>34</v>
      </c>
      <c r="P54" s="81">
        <v>117</v>
      </c>
      <c r="Q54" s="62" t="str">
        <f>_xlfn.IFS(COUNTA(G19:G21)=1,"Single",COUNTA(G19:G21)=2,"Double",COUNTA(G19:G21)=3,"Triple",COUNTA(G19:G21)=0,"Empty")</f>
        <v>Triple</v>
      </c>
      <c r="R54" s="62"/>
      <c r="S54" s="62"/>
      <c r="T54" s="62"/>
      <c r="U54" s="81">
        <f>G19</f>
        <v>1</v>
      </c>
      <c r="V54" s="100">
        <f>COUNT(G19:G21)</f>
        <v>3</v>
      </c>
      <c r="W54" s="101"/>
      <c r="X54" s="108" t="str">
        <f>IF(I19=0,"",I19)</f>
        <v/>
      </c>
      <c r="Y54" s="108" t="str">
        <f>IF(J19=0,"",J19)</f>
        <v/>
      </c>
      <c r="Z54" s="120" t="s">
        <v>7808</v>
      </c>
      <c r="AA54" s="121" t="e">
        <f>VLOOKUP($M:$M,Data!$I:$J,2,FALSE)</f>
        <v>#N/A</v>
      </c>
      <c r="AB54" s="122"/>
    </row>
    <row r="55" spans="2:28">
      <c r="B55" s="50"/>
      <c r="C55" s="51">
        <f>VLOOKUP("34/201/2",Data!$A$2:$E$1425,3,FALSE)</f>
        <v>0</v>
      </c>
      <c r="D55" s="54"/>
      <c r="E55" s="55"/>
      <c r="G55" s="50">
        <v>2</v>
      </c>
      <c r="H55" s="51" t="str">
        <f>VLOOKUP("34/220/2",Data!$A$2:$E$1425,3,FALSE)</f>
        <v>25509 Sam</v>
      </c>
      <c r="I55" s="54"/>
      <c r="J55" s="55"/>
      <c r="L55" s="9">
        <f>COUNTA(G20)+L54</f>
        <v>46</v>
      </c>
      <c r="M55" s="31" t="str">
        <f>H20</f>
        <v>24508 Malte</v>
      </c>
      <c r="N55" s="82" t="s">
        <v>7430</v>
      </c>
      <c r="O55" s="36">
        <v>34</v>
      </c>
      <c r="P55" s="36">
        <v>117</v>
      </c>
      <c r="Q55" s="32"/>
      <c r="R55" s="32"/>
      <c r="S55" s="32"/>
      <c r="T55" s="32"/>
      <c r="U55" s="36">
        <f>G20</f>
        <v>2</v>
      </c>
      <c r="V55" s="103"/>
      <c r="W55" s="104"/>
      <c r="X55" s="109" t="str">
        <f t="shared" ref="X55:Y56" si="16">IF(I20=0,"",I20)</f>
        <v/>
      </c>
      <c r="Y55" s="109" t="str">
        <f t="shared" si="16"/>
        <v/>
      </c>
      <c r="Z55" s="123" t="s">
        <v>7809</v>
      </c>
      <c r="AA55" s="124" t="e">
        <f>VLOOKUP($M:$M,Data!$I:$J,2,FALSE)</f>
        <v>#N/A</v>
      </c>
      <c r="AB55" s="125"/>
    </row>
    <row r="56" ht="15.25" spans="2:28">
      <c r="B56" s="58"/>
      <c r="C56" s="59">
        <f>VLOOKUP("34/201/3",Data!$A$2:$E$1425,3,FALSE)</f>
        <v>0</v>
      </c>
      <c r="D56" s="56"/>
      <c r="E56" s="57"/>
      <c r="G56" s="58"/>
      <c r="H56" s="59">
        <f>VLOOKUP("34/220/3",Data!$A$2:$E$1425,3,FALSE)</f>
        <v>0</v>
      </c>
      <c r="I56" s="56"/>
      <c r="J56" s="57"/>
      <c r="L56" s="14">
        <f>COUNTA(G21)+L55</f>
        <v>47</v>
      </c>
      <c r="M56" s="83">
        <f>H21</f>
        <v>0</v>
      </c>
      <c r="N56" s="84" t="s">
        <v>7430</v>
      </c>
      <c r="O56" s="85">
        <v>34</v>
      </c>
      <c r="P56" s="85">
        <v>117</v>
      </c>
      <c r="Q56" s="110"/>
      <c r="R56" s="110"/>
      <c r="S56" s="110"/>
      <c r="T56" s="110"/>
      <c r="U56" s="85">
        <f>G21</f>
        <v>3</v>
      </c>
      <c r="V56" s="105"/>
      <c r="W56" s="106"/>
      <c r="X56" s="111" t="str">
        <f t="shared" si="16"/>
        <v/>
      </c>
      <c r="Y56" s="111" t="str">
        <f t="shared" si="16"/>
        <v/>
      </c>
      <c r="Z56" s="127" t="s">
        <v>7810</v>
      </c>
      <c r="AA56" s="128" t="e">
        <f>VLOOKUP($M:$M,Data!$I:$J,2,FALSE)</f>
        <v>#N/A</v>
      </c>
      <c r="AB56" s="126"/>
    </row>
    <row r="57" spans="2:28">
      <c r="B57" s="46">
        <v>202</v>
      </c>
      <c r="C57" s="47"/>
      <c r="D57" s="48" t="s">
        <v>6580</v>
      </c>
      <c r="E57" s="49" t="s">
        <v>6581</v>
      </c>
      <c r="G57" s="46">
        <v>219</v>
      </c>
      <c r="H57" s="47"/>
      <c r="I57" s="48" t="s">
        <v>6580</v>
      </c>
      <c r="J57" s="49" t="s">
        <v>6581</v>
      </c>
      <c r="L57" s="6">
        <f>COUNTA(G15)+L56</f>
        <v>48</v>
      </c>
      <c r="M57" s="79" t="str">
        <f>H15</f>
        <v>24503 Magnus</v>
      </c>
      <c r="N57" s="80" t="s">
        <v>7430</v>
      </c>
      <c r="O57" s="81">
        <v>34</v>
      </c>
      <c r="P57" s="81">
        <v>118</v>
      </c>
      <c r="Q57" s="62" t="str">
        <f>_xlfn.IFS(COUNTA(G15:G17)=1,"Single",COUNTA(G15:G17)=2,"Double",COUNTA(G15:G17)=3,"Triple",COUNTA(G15:G17)=0,"Empty")</f>
        <v>Triple</v>
      </c>
      <c r="R57" s="62"/>
      <c r="S57" s="62"/>
      <c r="T57" s="62"/>
      <c r="U57" s="81">
        <f>G15</f>
        <v>1</v>
      </c>
      <c r="V57" s="100">
        <f>COUNT(G15:G17)</f>
        <v>3</v>
      </c>
      <c r="W57" s="101"/>
      <c r="X57" s="108" t="str">
        <f>IF(I15=0,"",I15)</f>
        <v/>
      </c>
      <c r="Y57" s="108" t="str">
        <f>IF(J15=0,"",J15)</f>
        <v/>
      </c>
      <c r="Z57" s="120" t="s">
        <v>7811</v>
      </c>
      <c r="AA57" s="121" t="e">
        <f>VLOOKUP($M:$M,Data!$I:$J,2,FALSE)</f>
        <v>#N/A</v>
      </c>
      <c r="AB57" s="122"/>
    </row>
    <row r="58" spans="2:28">
      <c r="B58" s="50">
        <v>1</v>
      </c>
      <c r="C58" s="51" t="str">
        <f>VLOOKUP("34/202/1",Data!$A$2:$E$1425,3,FALSE)</f>
        <v>25002 Patrik </v>
      </c>
      <c r="D58" s="52"/>
      <c r="E58" s="53"/>
      <c r="G58" s="50">
        <v>1</v>
      </c>
      <c r="H58" s="51" t="str">
        <f>VLOOKUP("34/219/1",Data!$A$2:$E$1425,3,FALSE)</f>
        <v>25702 Fredrik</v>
      </c>
      <c r="I58" s="52"/>
      <c r="J58" s="53"/>
      <c r="L58" s="9">
        <f>COUNTA(G16)+L57</f>
        <v>49</v>
      </c>
      <c r="M58" s="31">
        <f>H16</f>
        <v>0</v>
      </c>
      <c r="N58" s="82" t="s">
        <v>7430</v>
      </c>
      <c r="O58" s="36">
        <v>34</v>
      </c>
      <c r="P58" s="36">
        <v>118</v>
      </c>
      <c r="Q58" s="32"/>
      <c r="R58" s="32"/>
      <c r="S58" s="32"/>
      <c r="T58" s="32"/>
      <c r="U58" s="36">
        <f>G16</f>
        <v>2</v>
      </c>
      <c r="V58" s="103"/>
      <c r="W58" s="104"/>
      <c r="X58" s="109" t="str">
        <f t="shared" ref="X58:Y59" si="17">IF(I16=0,"",I16)</f>
        <v/>
      </c>
      <c r="Y58" s="109" t="str">
        <f t="shared" si="17"/>
        <v/>
      </c>
      <c r="Z58" s="123" t="s">
        <v>7812</v>
      </c>
      <c r="AA58" s="124" t="e">
        <f>VLOOKUP($M:$M,Data!$I:$J,2,FALSE)</f>
        <v>#N/A</v>
      </c>
      <c r="AB58" s="125"/>
    </row>
    <row r="59" ht="15.25" spans="2:28">
      <c r="B59" s="50">
        <v>2</v>
      </c>
      <c r="C59" s="51">
        <f>VLOOKUP("34/202/2",Data!$A$2:$E$1425,3,FALSE)</f>
        <v>0</v>
      </c>
      <c r="D59" s="54"/>
      <c r="E59" s="55"/>
      <c r="G59" s="50">
        <v>2</v>
      </c>
      <c r="H59" s="51" t="str">
        <f>VLOOKUP("34/219/2",Data!$A$2:$E$1425,3,FALSE)</f>
        <v>25708 Melvin</v>
      </c>
      <c r="I59" s="54"/>
      <c r="J59" s="55"/>
      <c r="L59" s="14">
        <f>COUNTA(G17)+L58</f>
        <v>50</v>
      </c>
      <c r="M59" s="83">
        <f>H17</f>
        <v>0</v>
      </c>
      <c r="N59" s="84" t="s">
        <v>7430</v>
      </c>
      <c r="O59" s="85">
        <v>34</v>
      </c>
      <c r="P59" s="85">
        <v>118</v>
      </c>
      <c r="Q59" s="110"/>
      <c r="R59" s="110"/>
      <c r="S59" s="110"/>
      <c r="T59" s="110"/>
      <c r="U59" s="85">
        <f>G17</f>
        <v>3</v>
      </c>
      <c r="V59" s="105"/>
      <c r="W59" s="106"/>
      <c r="X59" s="111" t="str">
        <f t="shared" si="17"/>
        <v/>
      </c>
      <c r="Y59" s="111" t="str">
        <f t="shared" si="17"/>
        <v/>
      </c>
      <c r="Z59" s="127" t="s">
        <v>7813</v>
      </c>
      <c r="AA59" s="128" t="e">
        <f>VLOOKUP($M:$M,Data!$I:$J,2,FALSE)</f>
        <v>#N/A</v>
      </c>
      <c r="AB59" s="126"/>
    </row>
    <row r="60" ht="15.25" spans="2:28">
      <c r="B60" s="58"/>
      <c r="C60" s="59">
        <f>VLOOKUP("34/202/3",Data!$A$2:$E$1425,3,FALSE)</f>
        <v>0</v>
      </c>
      <c r="D60" s="56"/>
      <c r="E60" s="57"/>
      <c r="G60" s="58"/>
      <c r="H60" s="59">
        <f>VLOOKUP("34/219/3",Data!$A$2:$E$1425,3,FALSE)</f>
        <v>0</v>
      </c>
      <c r="I60" s="56"/>
      <c r="J60" s="57"/>
      <c r="L60" s="6">
        <f>COUNTA(G11)+L59</f>
        <v>51</v>
      </c>
      <c r="M60" s="79" t="str">
        <f>H11</f>
        <v>24002 Felix </v>
      </c>
      <c r="N60" s="80" t="s">
        <v>7430</v>
      </c>
      <c r="O60" s="81">
        <v>34</v>
      </c>
      <c r="P60" s="81">
        <v>119</v>
      </c>
      <c r="Q60" s="62" t="str">
        <f>_xlfn.IFS(COUNTA(G11:G13)=1,"Single",COUNTA(G11:G13)=2,"Double",COUNTA(G11:G13)=3,"Triple",COUNTA(G11:G13)=0,"Empty")</f>
        <v>Triple</v>
      </c>
      <c r="R60" s="62"/>
      <c r="S60" s="62"/>
      <c r="T60" s="62"/>
      <c r="U60" s="81">
        <f>G11</f>
        <v>1</v>
      </c>
      <c r="V60" s="100">
        <f>COUNT(G11:G13)</f>
        <v>3</v>
      </c>
      <c r="W60" s="101"/>
      <c r="X60" s="108" t="str">
        <f>IF(I11=0,"",I11)</f>
        <v/>
      </c>
      <c r="Y60" s="108" t="str">
        <f>IF(J11=0,"",J11)</f>
        <v/>
      </c>
      <c r="Z60" s="120" t="s">
        <v>7814</v>
      </c>
      <c r="AA60" s="121" t="e">
        <f>VLOOKUP($M:$M,Data!$I:$J,2,FALSE)</f>
        <v>#N/A</v>
      </c>
      <c r="AB60" s="122"/>
    </row>
    <row r="61" spans="2:28">
      <c r="B61" s="46">
        <v>203</v>
      </c>
      <c r="C61" s="47"/>
      <c r="D61" s="48" t="s">
        <v>6580</v>
      </c>
      <c r="E61" s="49" t="s">
        <v>6581</v>
      </c>
      <c r="G61" s="46">
        <v>218</v>
      </c>
      <c r="H61" s="47"/>
      <c r="I61" s="48" t="s">
        <v>6580</v>
      </c>
      <c r="J61" s="49" t="s">
        <v>6581</v>
      </c>
      <c r="L61" s="9">
        <f>COUNTA(G12)+L60</f>
        <v>52</v>
      </c>
      <c r="M61" s="31">
        <f>H12</f>
        <v>0</v>
      </c>
      <c r="N61" s="82" t="s">
        <v>7430</v>
      </c>
      <c r="O61" s="36">
        <v>34</v>
      </c>
      <c r="P61" s="36">
        <v>119</v>
      </c>
      <c r="Q61" s="32"/>
      <c r="R61" s="32"/>
      <c r="S61" s="32"/>
      <c r="T61" s="32"/>
      <c r="U61" s="36">
        <f>G12</f>
        <v>2</v>
      </c>
      <c r="V61" s="103"/>
      <c r="W61" s="104"/>
      <c r="X61" s="109" t="str">
        <f t="shared" ref="X61:Y62" si="18">IF(I12=0,"",I12)</f>
        <v/>
      </c>
      <c r="Y61" s="109" t="str">
        <f t="shared" si="18"/>
        <v/>
      </c>
      <c r="Z61" s="123" t="s">
        <v>7815</v>
      </c>
      <c r="AA61" s="124" t="e">
        <f>VLOOKUP($M:$M,Data!$I:$J,2,FALSE)</f>
        <v>#N/A</v>
      </c>
      <c r="AB61" s="125"/>
    </row>
    <row r="62" ht="15.25" spans="2:28">
      <c r="B62" s="50">
        <v>1</v>
      </c>
      <c r="C62" s="51" t="str">
        <f>VLOOKUP("34/203/1",Data!$A$2:$E$1425,3,FALSE)</f>
        <v>25107 John</v>
      </c>
      <c r="D62" s="52"/>
      <c r="E62" s="53"/>
      <c r="G62" s="50">
        <v>1</v>
      </c>
      <c r="H62" s="51" t="str">
        <f>VLOOKUP("34/218/1",Data!$A$2:$E$1425,3,FALSE)</f>
        <v>25602 Martin</v>
      </c>
      <c r="I62" s="52"/>
      <c r="J62" s="53"/>
      <c r="L62" s="14">
        <f>COUNTA(G13)+L61</f>
        <v>53</v>
      </c>
      <c r="M62" s="83">
        <f>H13</f>
        <v>0</v>
      </c>
      <c r="N62" s="84" t="s">
        <v>7430</v>
      </c>
      <c r="O62" s="85">
        <v>34</v>
      </c>
      <c r="P62" s="85">
        <v>119</v>
      </c>
      <c r="Q62" s="110"/>
      <c r="R62" s="110"/>
      <c r="S62" s="110"/>
      <c r="T62" s="110"/>
      <c r="U62" s="85">
        <f>G13</f>
        <v>3</v>
      </c>
      <c r="V62" s="105"/>
      <c r="W62" s="106"/>
      <c r="X62" s="111" t="str">
        <f t="shared" si="18"/>
        <v/>
      </c>
      <c r="Y62" s="111" t="str">
        <f t="shared" si="18"/>
        <v/>
      </c>
      <c r="Z62" s="127" t="s">
        <v>7816</v>
      </c>
      <c r="AA62" s="128" t="e">
        <f>VLOOKUP($M:$M,Data!$I:$J,2,FALSE)</f>
        <v>#N/A</v>
      </c>
      <c r="AB62" s="126"/>
    </row>
    <row r="63" spans="2:28">
      <c r="B63" s="50"/>
      <c r="C63" s="51" t="str">
        <f>VLOOKUP("34/203/2",Data!$A$2:$E$1425,3,FALSE)</f>
        <v>25207 Ludvig</v>
      </c>
      <c r="D63" s="54"/>
      <c r="E63" s="55"/>
      <c r="G63" s="50">
        <v>2</v>
      </c>
      <c r="H63" s="51" t="str">
        <f>VLOOKUP("34/218/2",Data!$A$2:$E$1425,3,FALSE)</f>
        <v>25607 Erik</v>
      </c>
      <c r="I63" s="54"/>
      <c r="J63" s="55"/>
      <c r="L63" s="6">
        <f>COUNTA(G7)+L62</f>
        <v>54</v>
      </c>
      <c r="M63" s="79" t="str">
        <f>H7</f>
        <v>24001 Andreas</v>
      </c>
      <c r="N63" s="80" t="s">
        <v>7430</v>
      </c>
      <c r="O63" s="81">
        <v>34</v>
      </c>
      <c r="P63" s="81">
        <v>120</v>
      </c>
      <c r="Q63" s="62" t="str">
        <f>_xlfn.IFS(COUNTA(G7:G9)=1,"Single",COUNTA(G7:G9)=2,"Double",COUNTA(G7:G9)=3,"Triple",COUNTA(G7:G9)=0,"Empty")</f>
        <v>Double</v>
      </c>
      <c r="R63" s="62"/>
      <c r="S63" s="62"/>
      <c r="T63" s="62"/>
      <c r="U63" s="81">
        <f>G7</f>
        <v>1</v>
      </c>
      <c r="V63" s="100">
        <f>COUNT(G7:G9)</f>
        <v>2</v>
      </c>
      <c r="W63" s="101"/>
      <c r="X63" s="108" t="str">
        <f>IF(I7=0,"",I7)</f>
        <v/>
      </c>
      <c r="Y63" s="108" t="str">
        <f>IF(J7=0,"",J7)</f>
        <v/>
      </c>
      <c r="Z63" s="120" t="s">
        <v>7817</v>
      </c>
      <c r="AA63" s="121" t="e">
        <f>VLOOKUP($M:$M,Data!$I:$J,2,FALSE)</f>
        <v>#N/A</v>
      </c>
      <c r="AB63" s="122"/>
    </row>
    <row r="64" ht="15.25" spans="2:28">
      <c r="B64" s="58"/>
      <c r="C64" s="59">
        <f>VLOOKUP("34/203/3",Data!$A$2:$E$1425,3,FALSE)</f>
        <v>0</v>
      </c>
      <c r="D64" s="56"/>
      <c r="E64" s="57"/>
      <c r="G64" s="58"/>
      <c r="H64" s="59">
        <f>VLOOKUP("34/218/3",Data!$A$2:$E$1425,3,FALSE)</f>
        <v>0</v>
      </c>
      <c r="I64" s="56"/>
      <c r="J64" s="57"/>
      <c r="L64" s="9">
        <f>COUNTA(G8)+L63</f>
        <v>55</v>
      </c>
      <c r="M64" s="31">
        <f>H8</f>
        <v>0</v>
      </c>
      <c r="N64" s="82" t="s">
        <v>7430</v>
      </c>
      <c r="O64" s="36">
        <v>34</v>
      </c>
      <c r="P64" s="36">
        <v>120</v>
      </c>
      <c r="Q64" s="32"/>
      <c r="R64" s="32"/>
      <c r="S64" s="32"/>
      <c r="T64" s="32"/>
      <c r="U64" s="36">
        <f>G8</f>
        <v>2</v>
      </c>
      <c r="V64" s="103"/>
      <c r="W64" s="104"/>
      <c r="X64" s="109" t="str">
        <f t="shared" ref="X64:Y65" si="19">IF(I8=0,"",I8)</f>
        <v/>
      </c>
      <c r="Y64" s="109" t="str">
        <f t="shared" si="19"/>
        <v/>
      </c>
      <c r="Z64" s="123" t="s">
        <v>7818</v>
      </c>
      <c r="AA64" s="124" t="e">
        <f>VLOOKUP($M:$M,Data!$I:$J,2,FALSE)</f>
        <v>#N/A</v>
      </c>
      <c r="AB64" s="125"/>
    </row>
    <row r="65" ht="15.25" spans="2:28">
      <c r="B65" s="46">
        <v>204</v>
      </c>
      <c r="C65" s="47"/>
      <c r="D65" s="48" t="s">
        <v>6580</v>
      </c>
      <c r="E65" s="49" t="s">
        <v>6581</v>
      </c>
      <c r="G65" s="46">
        <v>217</v>
      </c>
      <c r="H65" s="47"/>
      <c r="I65" s="48" t="s">
        <v>6580</v>
      </c>
      <c r="J65" s="49" t="s">
        <v>6581</v>
      </c>
      <c r="L65" s="14">
        <f>COUNTA(G9)+L64</f>
        <v>55</v>
      </c>
      <c r="M65" s="83">
        <f>H9</f>
        <v>0</v>
      </c>
      <c r="N65" s="84" t="s">
        <v>7430</v>
      </c>
      <c r="O65" s="85">
        <v>34</v>
      </c>
      <c r="P65" s="85">
        <v>120</v>
      </c>
      <c r="Q65" s="110"/>
      <c r="R65" s="110"/>
      <c r="S65" s="110"/>
      <c r="T65" s="110"/>
      <c r="U65" s="85">
        <f>G9</f>
        <v>0</v>
      </c>
      <c r="V65" s="105"/>
      <c r="W65" s="106"/>
      <c r="X65" s="111" t="str">
        <f t="shared" si="19"/>
        <v/>
      </c>
      <c r="Y65" s="111" t="str">
        <f t="shared" si="19"/>
        <v/>
      </c>
      <c r="Z65" s="127"/>
      <c r="AA65" s="128" t="e">
        <f>VLOOKUP($M:$M,Data!$I:$J,2,FALSE)</f>
        <v>#N/A</v>
      </c>
      <c r="AB65" s="126"/>
    </row>
    <row r="66" spans="2:28">
      <c r="B66" s="50"/>
      <c r="C66" s="51" t="str">
        <f>VLOOKUP("34/204/1",Data!$A$2:$E$1425,3,FALSE)</f>
        <v>25108 Otto</v>
      </c>
      <c r="D66" s="52"/>
      <c r="E66" s="53"/>
      <c r="G66" s="50"/>
      <c r="H66" s="51" t="str">
        <f>VLOOKUP("34/217/1",Data!$A$2:$E$1425,3,FALSE)</f>
        <v>25601 Ludwig</v>
      </c>
      <c r="I66" s="52"/>
      <c r="J66" s="53"/>
      <c r="L66" s="6">
        <f>COUNTA(B54)+L65</f>
        <v>56</v>
      </c>
      <c r="M66" s="79" t="str">
        <f>C54</f>
        <v>25001 Elsa </v>
      </c>
      <c r="N66" s="80" t="s">
        <v>7430</v>
      </c>
      <c r="O66" s="81">
        <v>34</v>
      </c>
      <c r="P66" s="81">
        <v>201</v>
      </c>
      <c r="Q66" s="62" t="str">
        <f>_xlfn.IFS(COUNTA(B54:B56)=1,"Single",COUNTA(B54:B56)=2,"Double",COUNTA(B54:B56)=3,"Triple",COUNTA(B54:B56)=0,"Empty")</f>
        <v>Single</v>
      </c>
      <c r="R66" s="62"/>
      <c r="S66" s="62"/>
      <c r="T66" s="62"/>
      <c r="U66" s="81">
        <f>B54</f>
        <v>1</v>
      </c>
      <c r="V66" s="100">
        <f>COUNT(B54:B56)</f>
        <v>1</v>
      </c>
      <c r="W66" s="101"/>
      <c r="X66" s="108" t="str">
        <f>IF(D54=0,"",D54)</f>
        <v/>
      </c>
      <c r="Y66" s="108" t="str">
        <f>IF(E54=0,"",E54)</f>
        <v/>
      </c>
      <c r="Z66" s="120" t="s">
        <v>7819</v>
      </c>
      <c r="AA66" s="121" t="e">
        <f>VLOOKUP($M:$M,Data!$I:$J,2,FALSE)</f>
        <v>#N/A</v>
      </c>
      <c r="AB66" s="122"/>
    </row>
    <row r="67" spans="2:28">
      <c r="B67" s="50">
        <v>2</v>
      </c>
      <c r="C67" s="51" t="str">
        <f>VLOOKUP("34/204/2",Data!$A$2:$E$1425,3,FALSE)</f>
        <v>25109 Melvin</v>
      </c>
      <c r="D67" s="54"/>
      <c r="E67" s="55"/>
      <c r="G67" s="50"/>
      <c r="H67" s="51" t="str">
        <f>VLOOKUP("34/217/2",Data!$A$2:$E$1425,3,FALSE)</f>
        <v>25608 Mattias</v>
      </c>
      <c r="I67" s="54"/>
      <c r="J67" s="55"/>
      <c r="L67" s="9">
        <f>COUNTA(B55)+L66</f>
        <v>56</v>
      </c>
      <c r="M67" s="31">
        <f>C55</f>
        <v>0</v>
      </c>
      <c r="N67" s="82" t="s">
        <v>7430</v>
      </c>
      <c r="O67" s="36">
        <v>34</v>
      </c>
      <c r="P67" s="36">
        <v>201</v>
      </c>
      <c r="Q67" s="32"/>
      <c r="R67" s="32"/>
      <c r="S67" s="32"/>
      <c r="T67" s="32"/>
      <c r="U67" s="36">
        <f>B55</f>
        <v>0</v>
      </c>
      <c r="V67" s="103"/>
      <c r="W67" s="104"/>
      <c r="X67" s="109" t="str">
        <f t="shared" ref="X67:Y68" si="20">IF(D55=0,"",D55)</f>
        <v/>
      </c>
      <c r="Y67" s="109" t="str">
        <f t="shared" si="20"/>
        <v/>
      </c>
      <c r="Z67" s="123"/>
      <c r="AA67" s="124" t="e">
        <f>VLOOKUP($M:$M,Data!$I:$J,2,FALSE)</f>
        <v>#N/A</v>
      </c>
      <c r="AB67" s="125"/>
    </row>
    <row r="68" ht="15.25" spans="2:28">
      <c r="B68" s="58"/>
      <c r="C68" s="59">
        <f>VLOOKUP("34/204/3",Data!$A$2:$E$1425,3,FALSE)</f>
        <v>0</v>
      </c>
      <c r="D68" s="56"/>
      <c r="E68" s="57"/>
      <c r="G68" s="58"/>
      <c r="H68" s="59">
        <f>VLOOKUP("34/217/3",Data!$A$2:$E$1425,3,FALSE)</f>
        <v>0</v>
      </c>
      <c r="I68" s="56"/>
      <c r="J68" s="57"/>
      <c r="L68" s="14">
        <f>COUNTA(B56)+L67</f>
        <v>56</v>
      </c>
      <c r="M68" s="83">
        <f>C56</f>
        <v>0</v>
      </c>
      <c r="N68" s="84" t="s">
        <v>7430</v>
      </c>
      <c r="O68" s="85">
        <v>34</v>
      </c>
      <c r="P68" s="85">
        <v>201</v>
      </c>
      <c r="Q68" s="110"/>
      <c r="R68" s="110"/>
      <c r="S68" s="110"/>
      <c r="T68" s="110"/>
      <c r="U68" s="85">
        <f>B56</f>
        <v>0</v>
      </c>
      <c r="V68" s="105"/>
      <c r="W68" s="106"/>
      <c r="X68" s="111" t="str">
        <f t="shared" si="20"/>
        <v/>
      </c>
      <c r="Y68" s="111" t="str">
        <f t="shared" si="20"/>
        <v/>
      </c>
      <c r="Z68" s="127"/>
      <c r="AA68" s="128" t="e">
        <f>VLOOKUP($M:$M,Data!$I:$J,2,FALSE)</f>
        <v>#N/A</v>
      </c>
      <c r="AB68" s="126"/>
    </row>
    <row r="69" spans="2:28">
      <c r="B69" s="46">
        <v>205</v>
      </c>
      <c r="C69" s="47"/>
      <c r="D69" s="48" t="s">
        <v>6580</v>
      </c>
      <c r="E69" s="49" t="s">
        <v>6581</v>
      </c>
      <c r="G69" s="46">
        <v>216</v>
      </c>
      <c r="H69" s="47"/>
      <c r="I69" s="48" t="s">
        <v>6580</v>
      </c>
      <c r="J69" s="49" t="s">
        <v>6581</v>
      </c>
      <c r="L69" s="6">
        <f>COUNTA(B58)+L68</f>
        <v>57</v>
      </c>
      <c r="M69" s="79" t="str">
        <f>C58</f>
        <v>25002 Patrik </v>
      </c>
      <c r="N69" s="80" t="s">
        <v>7430</v>
      </c>
      <c r="O69" s="81">
        <v>34</v>
      </c>
      <c r="P69" s="81">
        <v>202</v>
      </c>
      <c r="Q69" s="62" t="str">
        <f>_xlfn.IFS(COUNTA(B58:B60)=1,"Single",COUNTA(B58:B60)=2,"Double",COUNTA(B58:B60)=3,"Triple",COUNTA(B58:B60)=0,"Empty")</f>
        <v>Double</v>
      </c>
      <c r="R69" s="62"/>
      <c r="S69" s="62"/>
      <c r="T69" s="62"/>
      <c r="U69" s="81">
        <f>B58</f>
        <v>1</v>
      </c>
      <c r="V69" s="100">
        <f>COUNT(B58:B60)</f>
        <v>2</v>
      </c>
      <c r="W69" s="101"/>
      <c r="X69" s="108" t="str">
        <f>IF(D58=0,"",D58)</f>
        <v/>
      </c>
      <c r="Y69" s="108" t="str">
        <f>IF(E58=0,"",E58)</f>
        <v/>
      </c>
      <c r="Z69" s="120" t="s">
        <v>7261</v>
      </c>
      <c r="AA69" s="121" t="e">
        <f>VLOOKUP($M:$M,Data!$I:$J,2,FALSE)</f>
        <v>#N/A</v>
      </c>
      <c r="AB69" s="122"/>
    </row>
    <row r="70" spans="2:28">
      <c r="B70" s="50">
        <v>1</v>
      </c>
      <c r="C70" s="51" t="str">
        <f>VLOOKUP("34/205/1",Data!$A$2:$E$1425,3,FALSE)</f>
        <v>25105 Oskar</v>
      </c>
      <c r="D70" s="52"/>
      <c r="E70" s="53"/>
      <c r="G70" s="50">
        <v>1</v>
      </c>
      <c r="H70" s="51" t="str">
        <f>VLOOKUP("34/216/1",Data!$A$2:$E$1425,3,FALSE)</f>
        <v>25405 Theo</v>
      </c>
      <c r="I70" s="52"/>
      <c r="J70" s="53"/>
      <c r="L70" s="9">
        <f>COUNTA(B59)+L69</f>
        <v>58</v>
      </c>
      <c r="M70" s="31">
        <f>C59</f>
        <v>0</v>
      </c>
      <c r="N70" s="82" t="s">
        <v>7430</v>
      </c>
      <c r="O70" s="36">
        <v>34</v>
      </c>
      <c r="P70" s="36">
        <v>202</v>
      </c>
      <c r="Q70" s="32"/>
      <c r="R70" s="32"/>
      <c r="S70" s="32"/>
      <c r="T70" s="32"/>
      <c r="U70" s="36">
        <f>B59</f>
        <v>2</v>
      </c>
      <c r="V70" s="103"/>
      <c r="W70" s="104"/>
      <c r="X70" s="109" t="str">
        <f t="shared" ref="X70:Y71" si="21">IF(D59=0,"",D59)</f>
        <v/>
      </c>
      <c r="Y70" s="109" t="str">
        <f t="shared" si="21"/>
        <v/>
      </c>
      <c r="Z70" s="123" t="s">
        <v>6826</v>
      </c>
      <c r="AA70" s="124" t="e">
        <f>VLOOKUP($M:$M,Data!$I:$J,2,FALSE)</f>
        <v>#N/A</v>
      </c>
      <c r="AB70" s="125"/>
    </row>
    <row r="71" ht="15.25" spans="2:28">
      <c r="B71" s="50">
        <v>2</v>
      </c>
      <c r="C71" s="51" t="str">
        <f>VLOOKUP("34/205/2",Data!$A$2:$E$1425,3,FALSE)</f>
        <v>25104 Leopold</v>
      </c>
      <c r="D71" s="54"/>
      <c r="E71" s="55"/>
      <c r="G71" s="50">
        <v>2</v>
      </c>
      <c r="H71" s="51" t="str">
        <f>VLOOKUP("34/216/2",Data!$A$2:$E$1425,3,FALSE)</f>
        <v>25404 Isac</v>
      </c>
      <c r="I71" s="54"/>
      <c r="J71" s="55"/>
      <c r="L71" s="14">
        <f>COUNTA(B60)+L70</f>
        <v>58</v>
      </c>
      <c r="M71" s="83">
        <f>C60</f>
        <v>0</v>
      </c>
      <c r="N71" s="84" t="s">
        <v>7430</v>
      </c>
      <c r="O71" s="85">
        <v>34</v>
      </c>
      <c r="P71" s="85">
        <v>202</v>
      </c>
      <c r="Q71" s="110"/>
      <c r="R71" s="110"/>
      <c r="S71" s="110"/>
      <c r="T71" s="110"/>
      <c r="U71" s="85">
        <f>B60</f>
        <v>0</v>
      </c>
      <c r="V71" s="105"/>
      <c r="W71" s="106"/>
      <c r="X71" s="111" t="str">
        <f t="shared" si="21"/>
        <v/>
      </c>
      <c r="Y71" s="111" t="str">
        <f t="shared" si="21"/>
        <v/>
      </c>
      <c r="Z71" s="127"/>
      <c r="AA71" s="128" t="e">
        <f>VLOOKUP($M:$M,Data!$I:$J,2,FALSE)</f>
        <v>#N/A</v>
      </c>
      <c r="AB71" s="126"/>
    </row>
    <row r="72" ht="15.25" spans="2:28">
      <c r="B72" s="58"/>
      <c r="C72" s="59">
        <f>VLOOKUP("34/205/3",Data!$A$2:$E$1425,3,FALSE)</f>
        <v>0</v>
      </c>
      <c r="D72" s="56"/>
      <c r="E72" s="57"/>
      <c r="G72" s="58"/>
      <c r="H72" s="59">
        <f>VLOOKUP("34/216/3",Data!$A$2:$E$1425,3,FALSE)</f>
        <v>0</v>
      </c>
      <c r="I72" s="56"/>
      <c r="J72" s="57"/>
      <c r="L72" s="6">
        <f>COUNTA(B62)+L71</f>
        <v>59</v>
      </c>
      <c r="M72" s="79" t="str">
        <f>C62</f>
        <v>25107 John</v>
      </c>
      <c r="N72" s="80" t="s">
        <v>7430</v>
      </c>
      <c r="O72" s="81">
        <v>34</v>
      </c>
      <c r="P72" s="81">
        <v>203</v>
      </c>
      <c r="Q72" s="62" t="str">
        <f>_xlfn.IFS(COUNTA(B62:B64)=1,"Single",COUNTA(B62:B64)=2,"Double",COUNTA(B62:B64)=3,"Triple",COUNTA(B62:B64)=0,"Empty")</f>
        <v>Single</v>
      </c>
      <c r="R72" s="62"/>
      <c r="S72" s="62"/>
      <c r="T72" s="62"/>
      <c r="U72" s="81">
        <f>B62</f>
        <v>1</v>
      </c>
      <c r="V72" s="100">
        <f>COUNT(B62:B64)</f>
        <v>1</v>
      </c>
      <c r="W72" s="101"/>
      <c r="X72" s="108" t="str">
        <f>IF(D62=0,"",D62)</f>
        <v/>
      </c>
      <c r="Y72" s="108" t="str">
        <f>IF(E62=0,"",E62)</f>
        <v/>
      </c>
      <c r="Z72" s="120" t="s">
        <v>7820</v>
      </c>
      <c r="AA72" s="121" t="e">
        <f>VLOOKUP($M:$M,Data!$I:$J,2,FALSE)</f>
        <v>#N/A</v>
      </c>
      <c r="AB72" s="122"/>
    </row>
    <row r="73" spans="2:28">
      <c r="B73" s="46">
        <v>206</v>
      </c>
      <c r="C73" s="47"/>
      <c r="D73" s="48" t="s">
        <v>6580</v>
      </c>
      <c r="E73" s="49" t="s">
        <v>6581</v>
      </c>
      <c r="G73" s="67" t="s">
        <v>7435</v>
      </c>
      <c r="H73" s="68"/>
      <c r="I73" s="68"/>
      <c r="J73" s="86"/>
      <c r="L73" s="9">
        <f>COUNTA(B63)+L72</f>
        <v>59</v>
      </c>
      <c r="M73" s="31" t="str">
        <f>C63</f>
        <v>25207 Ludvig</v>
      </c>
      <c r="N73" s="82" t="s">
        <v>7430</v>
      </c>
      <c r="O73" s="36">
        <v>34</v>
      </c>
      <c r="P73" s="36">
        <v>203</v>
      </c>
      <c r="Q73" s="32"/>
      <c r="R73" s="32"/>
      <c r="S73" s="32"/>
      <c r="T73" s="32"/>
      <c r="U73" s="36">
        <f>B63</f>
        <v>0</v>
      </c>
      <c r="V73" s="103"/>
      <c r="W73" s="104"/>
      <c r="X73" s="109" t="str">
        <f t="shared" ref="X73:Y74" si="22">IF(D63=0,"",D63)</f>
        <v/>
      </c>
      <c r="Y73" s="109" t="str">
        <f t="shared" si="22"/>
        <v/>
      </c>
      <c r="Z73" s="123" t="s">
        <v>7821</v>
      </c>
      <c r="AA73" s="124" t="e">
        <f>VLOOKUP($M:$M,Data!$I:$J,2,FALSE)</f>
        <v>#N/A</v>
      </c>
      <c r="AB73" s="125"/>
    </row>
    <row r="74" ht="15.25" spans="2:28">
      <c r="B74" s="50">
        <v>1</v>
      </c>
      <c r="C74" s="51" t="str">
        <f>VLOOKUP("34/206/1",Data!$A$2:$E$1425,3,FALSE)</f>
        <v>25201 Sixten</v>
      </c>
      <c r="D74" s="52"/>
      <c r="E74" s="53"/>
      <c r="G74" s="69"/>
      <c r="H74" s="70"/>
      <c r="I74" s="70"/>
      <c r="J74" s="87"/>
      <c r="L74" s="14">
        <f>COUNTA(B64)+L73</f>
        <v>59</v>
      </c>
      <c r="M74" s="83">
        <f>C64</f>
        <v>0</v>
      </c>
      <c r="N74" s="84" t="s">
        <v>7430</v>
      </c>
      <c r="O74" s="85">
        <v>34</v>
      </c>
      <c r="P74" s="85">
        <v>203</v>
      </c>
      <c r="Q74" s="110"/>
      <c r="R74" s="110"/>
      <c r="S74" s="110"/>
      <c r="T74" s="110"/>
      <c r="U74" s="85">
        <f>B64</f>
        <v>0</v>
      </c>
      <c r="V74" s="105"/>
      <c r="W74" s="106"/>
      <c r="X74" s="111" t="str">
        <f t="shared" si="22"/>
        <v/>
      </c>
      <c r="Y74" s="111" t="str">
        <f t="shared" si="22"/>
        <v/>
      </c>
      <c r="Z74" s="127"/>
      <c r="AA74" s="128" t="e">
        <f>VLOOKUP($M:$M,Data!$I:$J,2,FALSE)</f>
        <v>#N/A</v>
      </c>
      <c r="AB74" s="126"/>
    </row>
    <row r="75" spans="2:28">
      <c r="B75" s="50">
        <v>2</v>
      </c>
      <c r="C75" s="51" t="str">
        <f>VLOOKUP("34/206/2",Data!$A$2:$E$1425,3,FALSE)</f>
        <v>25204 Alexander</v>
      </c>
      <c r="D75" s="54"/>
      <c r="E75" s="55"/>
      <c r="G75" s="69"/>
      <c r="H75" s="70"/>
      <c r="I75" s="70"/>
      <c r="J75" s="87"/>
      <c r="L75" s="6">
        <f>COUNTA(B66)+L74</f>
        <v>59</v>
      </c>
      <c r="M75" s="79" t="str">
        <f>C66</f>
        <v>25108 Otto</v>
      </c>
      <c r="N75" s="80" t="s">
        <v>7430</v>
      </c>
      <c r="O75" s="81">
        <v>34</v>
      </c>
      <c r="P75" s="81">
        <v>204</v>
      </c>
      <c r="Q75" s="62" t="str">
        <f>_xlfn.IFS(COUNTA(B66:B68)=1,"Single",COUNTA(B66:B68)=2,"Double",COUNTA(B66:B68)=3,"Triple",COUNTA(B66:B68)=0,"Empty")</f>
        <v>Single</v>
      </c>
      <c r="R75" s="62"/>
      <c r="S75" s="62"/>
      <c r="T75" s="62"/>
      <c r="U75" s="81">
        <f>B66</f>
        <v>0</v>
      </c>
      <c r="V75" s="100">
        <f>COUNT(B66:B68)</f>
        <v>1</v>
      </c>
      <c r="W75" s="101"/>
      <c r="X75" s="108" t="str">
        <f>IF(D66=0,"",D66)</f>
        <v/>
      </c>
      <c r="Y75" s="108" t="str">
        <f>IF(E66=0,"",E66)</f>
        <v/>
      </c>
      <c r="Z75" s="120" t="s">
        <v>7822</v>
      </c>
      <c r="AA75" s="121" t="e">
        <f>VLOOKUP($M:$M,Data!$I:$J,2,FALSE)</f>
        <v>#N/A</v>
      </c>
      <c r="AB75" s="122"/>
    </row>
    <row r="76" ht="15.25" spans="2:28">
      <c r="B76" s="58"/>
      <c r="C76" s="59">
        <f>VLOOKUP("34/206/3",Data!$A$2:$E$1425,3,FALSE)</f>
        <v>0</v>
      </c>
      <c r="D76" s="56"/>
      <c r="E76" s="57"/>
      <c r="G76" s="69"/>
      <c r="H76" s="70"/>
      <c r="I76" s="70"/>
      <c r="J76" s="87"/>
      <c r="L76" s="9">
        <f>COUNTA(B67)+L75</f>
        <v>60</v>
      </c>
      <c r="M76" s="31" t="str">
        <f>C67</f>
        <v>25109 Melvin</v>
      </c>
      <c r="N76" s="82" t="s">
        <v>7430</v>
      </c>
      <c r="O76" s="36">
        <v>34</v>
      </c>
      <c r="P76" s="36">
        <v>204</v>
      </c>
      <c r="Q76" s="32"/>
      <c r="R76" s="32"/>
      <c r="S76" s="32"/>
      <c r="T76" s="32"/>
      <c r="U76" s="36">
        <f>B67</f>
        <v>2</v>
      </c>
      <c r="V76" s="103"/>
      <c r="W76" s="104"/>
      <c r="X76" s="109" t="str">
        <f t="shared" ref="X76:Y77" si="23">IF(D67=0,"",D67)</f>
        <v/>
      </c>
      <c r="Y76" s="109" t="str">
        <f t="shared" si="23"/>
        <v/>
      </c>
      <c r="Z76" s="123" t="s">
        <v>7823</v>
      </c>
      <c r="AA76" s="124" t="e">
        <f>VLOOKUP($M:$M,Data!$I:$J,2,FALSE)</f>
        <v>#N/A</v>
      </c>
      <c r="AB76" s="125"/>
    </row>
    <row r="77" ht="15.25" spans="2:28">
      <c r="B77" s="46">
        <v>207</v>
      </c>
      <c r="C77" s="47"/>
      <c r="D77" s="48" t="s">
        <v>6580</v>
      </c>
      <c r="E77" s="49" t="s">
        <v>6581</v>
      </c>
      <c r="G77" s="69"/>
      <c r="H77" s="70"/>
      <c r="I77" s="70"/>
      <c r="J77" s="87"/>
      <c r="L77" s="14">
        <f>COUNTA(B68)+L76</f>
        <v>60</v>
      </c>
      <c r="M77" s="83">
        <f>C68</f>
        <v>0</v>
      </c>
      <c r="N77" s="84" t="s">
        <v>7430</v>
      </c>
      <c r="O77" s="85">
        <v>34</v>
      </c>
      <c r="P77" s="85">
        <v>204</v>
      </c>
      <c r="Q77" s="110"/>
      <c r="R77" s="110"/>
      <c r="S77" s="110"/>
      <c r="T77" s="110"/>
      <c r="U77" s="85">
        <f>B68</f>
        <v>0</v>
      </c>
      <c r="V77" s="105"/>
      <c r="W77" s="106"/>
      <c r="X77" s="111" t="str">
        <f t="shared" si="23"/>
        <v/>
      </c>
      <c r="Y77" s="111" t="str">
        <f t="shared" si="23"/>
        <v/>
      </c>
      <c r="Z77" s="127"/>
      <c r="AA77" s="128" t="e">
        <f>VLOOKUP($M:$M,Data!$I:$J,2,FALSE)</f>
        <v>#N/A</v>
      </c>
      <c r="AB77" s="126"/>
    </row>
    <row r="78" spans="2:28">
      <c r="B78" s="50">
        <v>1</v>
      </c>
      <c r="C78" s="51" t="str">
        <f>VLOOKUP("34/207/1",Data!$A$2:$E$1425,3,FALSE)</f>
        <v>25208 Lukas</v>
      </c>
      <c r="D78" s="52"/>
      <c r="E78" s="53"/>
      <c r="G78" s="69"/>
      <c r="H78" s="70"/>
      <c r="I78" s="70"/>
      <c r="J78" s="87"/>
      <c r="L78" s="6">
        <f>COUNTA(B70)+L77</f>
        <v>61</v>
      </c>
      <c r="M78" s="79" t="str">
        <f>C70</f>
        <v>25105 Oskar</v>
      </c>
      <c r="N78" s="80" t="s">
        <v>7430</v>
      </c>
      <c r="O78" s="81">
        <v>34</v>
      </c>
      <c r="P78" s="81">
        <v>205</v>
      </c>
      <c r="Q78" s="62" t="str">
        <f>_xlfn.IFS(COUNTA(B70:B72)=1,"Single",COUNTA(B70:B72)=2,"Double",COUNTA(B70:B72)=3,"Triple",COUNTA(B70:B72)=0,"Empty")</f>
        <v>Double</v>
      </c>
      <c r="R78" s="62"/>
      <c r="S78" s="62"/>
      <c r="T78" s="62"/>
      <c r="U78" s="81">
        <f>B70</f>
        <v>1</v>
      </c>
      <c r="V78" s="100">
        <f>COUNT(B70:B72)</f>
        <v>2</v>
      </c>
      <c r="W78" s="101"/>
      <c r="X78" s="108" t="str">
        <f>IF(D70=0,"",D70)</f>
        <v/>
      </c>
      <c r="Y78" s="108" t="str">
        <f>IF(E70=0,"",E70)</f>
        <v/>
      </c>
      <c r="Z78" s="120" t="s">
        <v>7824</v>
      </c>
      <c r="AA78" s="121" t="e">
        <f>VLOOKUP($M:$M,Data!$I:$J,2,FALSE)</f>
        <v>#N/A</v>
      </c>
      <c r="AB78" s="122"/>
    </row>
    <row r="79" spans="2:28">
      <c r="B79" s="50">
        <v>2</v>
      </c>
      <c r="C79" s="51" t="str">
        <f>VLOOKUP("34/207/2",Data!$A$2:$E$1425,3,FALSE)</f>
        <v>25205 Christian</v>
      </c>
      <c r="D79" s="54"/>
      <c r="E79" s="55"/>
      <c r="G79" s="69"/>
      <c r="H79" s="70"/>
      <c r="I79" s="70"/>
      <c r="J79" s="87"/>
      <c r="L79" s="9">
        <f>COUNTA(B71)+L78</f>
        <v>62</v>
      </c>
      <c r="M79" s="31" t="str">
        <f>C71</f>
        <v>25104 Leopold</v>
      </c>
      <c r="N79" s="82" t="s">
        <v>7430</v>
      </c>
      <c r="O79" s="36">
        <v>34</v>
      </c>
      <c r="P79" s="36">
        <v>205</v>
      </c>
      <c r="Q79" s="32"/>
      <c r="R79" s="32"/>
      <c r="S79" s="32"/>
      <c r="T79" s="32"/>
      <c r="U79" s="36">
        <f>B71</f>
        <v>2</v>
      </c>
      <c r="V79" s="103"/>
      <c r="W79" s="104"/>
      <c r="X79" s="109" t="str">
        <f t="shared" ref="X79:Y80" si="24">IF(D71=0,"",D71)</f>
        <v/>
      </c>
      <c r="Y79" s="109" t="str">
        <f t="shared" si="24"/>
        <v/>
      </c>
      <c r="Z79" s="123" t="s">
        <v>7825</v>
      </c>
      <c r="AA79" s="124" t="e">
        <f>VLOOKUP($M:$M,Data!$I:$J,2,FALSE)</f>
        <v>#N/A</v>
      </c>
      <c r="AB79" s="125"/>
    </row>
    <row r="80" ht="15.25" spans="2:28">
      <c r="B80" s="58"/>
      <c r="C80" s="59">
        <f>VLOOKUP("34/207/3",Data!$A$2:$E$1425,3,FALSE)</f>
        <v>0</v>
      </c>
      <c r="D80" s="56"/>
      <c r="E80" s="57"/>
      <c r="G80" s="71"/>
      <c r="H80" s="72"/>
      <c r="I80" s="72"/>
      <c r="J80" s="88"/>
      <c r="L80" s="14">
        <f>COUNTA(B72)+L79</f>
        <v>62</v>
      </c>
      <c r="M80" s="83">
        <f>C72</f>
        <v>0</v>
      </c>
      <c r="N80" s="84" t="s">
        <v>7430</v>
      </c>
      <c r="O80" s="85">
        <v>34</v>
      </c>
      <c r="P80" s="85">
        <v>205</v>
      </c>
      <c r="Q80" s="110"/>
      <c r="R80" s="110"/>
      <c r="S80" s="110"/>
      <c r="T80" s="110"/>
      <c r="U80" s="85">
        <f>B72</f>
        <v>0</v>
      </c>
      <c r="V80" s="105"/>
      <c r="W80" s="106"/>
      <c r="X80" s="111" t="str">
        <f t="shared" si="24"/>
        <v/>
      </c>
      <c r="Y80" s="111" t="str">
        <f t="shared" si="24"/>
        <v/>
      </c>
      <c r="Z80" s="127"/>
      <c r="AA80" s="128" t="e">
        <f>VLOOKUP($M:$M,Data!$I:$J,2,FALSE)</f>
        <v>#N/A</v>
      </c>
      <c r="AB80" s="126"/>
    </row>
    <row r="81" spans="2:28">
      <c r="B81" s="46">
        <v>208</v>
      </c>
      <c r="C81" s="47"/>
      <c r="D81" s="48" t="s">
        <v>6580</v>
      </c>
      <c r="E81" s="49" t="s">
        <v>6581</v>
      </c>
      <c r="G81" s="46">
        <v>215</v>
      </c>
      <c r="H81" s="47"/>
      <c r="I81" s="48" t="s">
        <v>6580</v>
      </c>
      <c r="J81" s="49" t="s">
        <v>6581</v>
      </c>
      <c r="L81" s="6">
        <f>COUNTA(B74)+L80</f>
        <v>63</v>
      </c>
      <c r="M81" s="79" t="str">
        <f>C74</f>
        <v>25201 Sixten</v>
      </c>
      <c r="N81" s="80" t="s">
        <v>7430</v>
      </c>
      <c r="O81" s="81">
        <v>34</v>
      </c>
      <c r="P81" s="81">
        <v>206</v>
      </c>
      <c r="Q81" s="62" t="str">
        <f>_xlfn.IFS(COUNTA(B74:B76)=1,"Single",COUNTA(B74:B76)=2,"Double",COUNTA(B74:B76)=3,"Triple",COUNTA(B74:B76)=0,"Empty")</f>
        <v>Double</v>
      </c>
      <c r="R81" s="62"/>
      <c r="S81" s="62"/>
      <c r="T81" s="62"/>
      <c r="U81" s="81">
        <f>B74</f>
        <v>1</v>
      </c>
      <c r="V81" s="100">
        <f>COUNT(B74:B76)</f>
        <v>2</v>
      </c>
      <c r="W81" s="101"/>
      <c r="X81" s="108" t="str">
        <f>IF(D74=0,"",D74)</f>
        <v/>
      </c>
      <c r="Y81" s="108" t="str">
        <f>IF(E74=0,"",E74)</f>
        <v/>
      </c>
      <c r="Z81" s="120" t="s">
        <v>6833</v>
      </c>
      <c r="AA81" s="121" t="e">
        <f>VLOOKUP($M:$M,Data!$I:$J,2,FALSE)</f>
        <v>#N/A</v>
      </c>
      <c r="AB81" s="122"/>
    </row>
    <row r="82" spans="2:28">
      <c r="B82" s="50">
        <v>1</v>
      </c>
      <c r="C82" s="51" t="str">
        <f>VLOOKUP("34/208/1",Data!$A$2:$E$1425,3,FALSE)</f>
        <v>25304 Axel</v>
      </c>
      <c r="D82" s="52"/>
      <c r="E82" s="53"/>
      <c r="G82" s="50">
        <v>1</v>
      </c>
      <c r="H82" s="51" t="str">
        <f>VLOOKUP("34/215/1",Data!$A$2:$E$1425,3,FALSE)</f>
        <v>25402 Isabella</v>
      </c>
      <c r="I82" s="52"/>
      <c r="J82" s="53"/>
      <c r="L82" s="9">
        <f>COUNTA(B75)+L81</f>
        <v>64</v>
      </c>
      <c r="M82" s="31" t="str">
        <f>C75</f>
        <v>25204 Alexander</v>
      </c>
      <c r="N82" s="82" t="s">
        <v>7430</v>
      </c>
      <c r="O82" s="36">
        <v>34</v>
      </c>
      <c r="P82" s="36">
        <v>206</v>
      </c>
      <c r="Q82" s="32"/>
      <c r="R82" s="32"/>
      <c r="S82" s="32"/>
      <c r="T82" s="32"/>
      <c r="U82" s="36">
        <f>B75</f>
        <v>2</v>
      </c>
      <c r="V82" s="103"/>
      <c r="W82" s="104"/>
      <c r="X82" s="109" t="str">
        <f t="shared" ref="X82:Y83" si="25">IF(D75=0,"",D75)</f>
        <v/>
      </c>
      <c r="Y82" s="109" t="str">
        <f t="shared" si="25"/>
        <v/>
      </c>
      <c r="Z82" s="123" t="s">
        <v>7826</v>
      </c>
      <c r="AA82" s="124" t="e">
        <f>VLOOKUP($M:$M,Data!$I:$J,2,FALSE)</f>
        <v>#N/A</v>
      </c>
      <c r="AB82" s="125"/>
    </row>
    <row r="83" ht="15.25" spans="2:28">
      <c r="B83" s="50">
        <v>2</v>
      </c>
      <c r="C83" s="51" t="str">
        <f>VLOOKUP("34/208/2",Data!$A$2:$E$1425,3,FALSE)</f>
        <v>25305 Gustav</v>
      </c>
      <c r="D83" s="54"/>
      <c r="E83" s="55"/>
      <c r="G83" s="50">
        <v>2</v>
      </c>
      <c r="H83" s="51" t="str">
        <f>VLOOKUP("34/215/2",Data!$A$2:$E$1425,3,FALSE)</f>
        <v>25707 Elinor</v>
      </c>
      <c r="I83" s="54"/>
      <c r="J83" s="55"/>
      <c r="L83" s="14">
        <f>COUNTA(B76)+L82</f>
        <v>64</v>
      </c>
      <c r="M83" s="83">
        <f>C76</f>
        <v>0</v>
      </c>
      <c r="N83" s="84" t="s">
        <v>7430</v>
      </c>
      <c r="O83" s="85">
        <v>34</v>
      </c>
      <c r="P83" s="85">
        <v>206</v>
      </c>
      <c r="Q83" s="110"/>
      <c r="R83" s="110"/>
      <c r="S83" s="110"/>
      <c r="T83" s="110"/>
      <c r="U83" s="85">
        <f>B76</f>
        <v>0</v>
      </c>
      <c r="V83" s="105"/>
      <c r="W83" s="106"/>
      <c r="X83" s="111" t="str">
        <f t="shared" si="25"/>
        <v/>
      </c>
      <c r="Y83" s="111" t="str">
        <f t="shared" si="25"/>
        <v/>
      </c>
      <c r="Z83" s="127"/>
      <c r="AA83" s="128" t="e">
        <f>VLOOKUP($M:$M,Data!$I:$J,2,FALSE)</f>
        <v>#N/A</v>
      </c>
      <c r="AB83" s="126"/>
    </row>
    <row r="84" ht="15.25" spans="2:28">
      <c r="B84" s="58"/>
      <c r="C84" s="59">
        <f>VLOOKUP("34/208/3",Data!$A$2:$E$1425,3,FALSE)</f>
        <v>0</v>
      </c>
      <c r="D84" s="56"/>
      <c r="E84" s="57"/>
      <c r="G84" s="58"/>
      <c r="H84" s="59">
        <f>VLOOKUP("34/215/3",Data!$A$2:$E$1425,3,FALSE)</f>
        <v>0</v>
      </c>
      <c r="I84" s="56"/>
      <c r="J84" s="57"/>
      <c r="L84" s="6">
        <f>COUNTA(B78)+L83</f>
        <v>65</v>
      </c>
      <c r="M84" s="79" t="str">
        <f>C78</f>
        <v>25208 Lukas</v>
      </c>
      <c r="N84" s="80" t="s">
        <v>7430</v>
      </c>
      <c r="O84" s="81">
        <v>34</v>
      </c>
      <c r="P84" s="81">
        <v>207</v>
      </c>
      <c r="Q84" s="62" t="str">
        <f>_xlfn.IFS(COUNTA(B78:B80)=1,"Single",COUNTA(B78:B80)=2,"Double",COUNTA(B78:B80)=3,"Triple",COUNTA(B78:B80)=0,"Empty")</f>
        <v>Double</v>
      </c>
      <c r="R84" s="62"/>
      <c r="S84" s="62"/>
      <c r="T84" s="62"/>
      <c r="U84" s="81">
        <f>B78</f>
        <v>1</v>
      </c>
      <c r="V84" s="100">
        <f>COUNT(B78:B80)</f>
        <v>2</v>
      </c>
      <c r="W84" s="101"/>
      <c r="X84" s="108" t="str">
        <f>IF(D78=0,"",D78)</f>
        <v/>
      </c>
      <c r="Y84" s="108" t="str">
        <f>IF(E78=0,"",E78)</f>
        <v/>
      </c>
      <c r="Z84" s="318" t="s">
        <v>7827</v>
      </c>
      <c r="AA84" s="121" t="e">
        <f>VLOOKUP($M:$M,Data!$I:$J,2,FALSE)</f>
        <v>#N/A</v>
      </c>
      <c r="AB84" s="122"/>
    </row>
    <row r="85" spans="2:28">
      <c r="B85" s="46">
        <v>209</v>
      </c>
      <c r="C85" s="47"/>
      <c r="D85" s="48" t="s">
        <v>6580</v>
      </c>
      <c r="E85" s="49" t="s">
        <v>6581</v>
      </c>
      <c r="G85" s="46">
        <v>214</v>
      </c>
      <c r="H85" s="47"/>
      <c r="I85" s="48" t="s">
        <v>6580</v>
      </c>
      <c r="J85" s="49" t="s">
        <v>6581</v>
      </c>
      <c r="L85" s="9">
        <f>COUNTA(B79)+L84</f>
        <v>66</v>
      </c>
      <c r="M85" s="31" t="str">
        <f>C79</f>
        <v>25205 Christian</v>
      </c>
      <c r="N85" s="82" t="s">
        <v>7430</v>
      </c>
      <c r="O85" s="36">
        <v>34</v>
      </c>
      <c r="P85" s="36">
        <v>207</v>
      </c>
      <c r="Q85" s="32"/>
      <c r="R85" s="32"/>
      <c r="S85" s="32"/>
      <c r="T85" s="32"/>
      <c r="U85" s="36">
        <f>B79</f>
        <v>2</v>
      </c>
      <c r="V85" s="103"/>
      <c r="W85" s="104"/>
      <c r="X85" s="109" t="str">
        <f t="shared" ref="X85:Y86" si="26">IF(D79=0,"",D79)</f>
        <v/>
      </c>
      <c r="Y85" s="109" t="str">
        <f t="shared" si="26"/>
        <v/>
      </c>
      <c r="Z85" s="123" t="s">
        <v>7828</v>
      </c>
      <c r="AA85" s="124" t="e">
        <f>VLOOKUP($M:$M,Data!$I:$J,2,FALSE)</f>
        <v>#N/A</v>
      </c>
      <c r="AB85" s="125"/>
    </row>
    <row r="86" ht="15.25" spans="2:28">
      <c r="B86" s="50">
        <v>1</v>
      </c>
      <c r="C86" s="51" t="str">
        <f>VLOOKUP("34/209/1",Data!$A$2:$E$1425,3,FALSE)</f>
        <v>25307 Madeleine </v>
      </c>
      <c r="D86" s="52"/>
      <c r="E86" s="53"/>
      <c r="G86" s="50">
        <v>1</v>
      </c>
      <c r="H86" s="51" t="str">
        <f>VLOOKUP("34/214/1",Data!$A$2:$E$1425,3,FALSE)</f>
        <v>25401 Yasmine</v>
      </c>
      <c r="I86" s="52"/>
      <c r="J86" s="53"/>
      <c r="L86" s="14">
        <f>COUNTA(B80)+L85</f>
        <v>66</v>
      </c>
      <c r="M86" s="83">
        <f>C80</f>
        <v>0</v>
      </c>
      <c r="N86" s="84" t="s">
        <v>7430</v>
      </c>
      <c r="O86" s="85">
        <v>34</v>
      </c>
      <c r="P86" s="85">
        <v>207</v>
      </c>
      <c r="Q86" s="110"/>
      <c r="R86" s="110"/>
      <c r="S86" s="110"/>
      <c r="T86" s="110"/>
      <c r="U86" s="85">
        <f>B80</f>
        <v>0</v>
      </c>
      <c r="V86" s="105"/>
      <c r="W86" s="106"/>
      <c r="X86" s="111" t="str">
        <f t="shared" si="26"/>
        <v/>
      </c>
      <c r="Y86" s="111" t="str">
        <f t="shared" si="26"/>
        <v/>
      </c>
      <c r="Z86" s="127"/>
      <c r="AA86" s="128" t="e">
        <f>VLOOKUP($M:$M,Data!$I:$J,2,FALSE)</f>
        <v>#N/A</v>
      </c>
      <c r="AB86" s="126"/>
    </row>
    <row r="87" spans="2:28">
      <c r="B87" s="50">
        <v>2</v>
      </c>
      <c r="C87" s="51" t="str">
        <f>VLOOKUP("34/209/2",Data!$A$2:$E$1425,3,FALSE)</f>
        <v>25801 Klara</v>
      </c>
      <c r="D87" s="54"/>
      <c r="E87" s="55"/>
      <c r="G87" s="50">
        <v>2</v>
      </c>
      <c r="H87" s="51" t="str">
        <f>VLOOKUP("34/214/2",Data!$A$2:$E$1425,3,FALSE)</f>
        <v>24105 Maja</v>
      </c>
      <c r="I87" s="54"/>
      <c r="J87" s="55"/>
      <c r="L87" s="6">
        <f>COUNTA(B82)+L86</f>
        <v>67</v>
      </c>
      <c r="M87" s="79" t="str">
        <f>C82</f>
        <v>25304 Axel</v>
      </c>
      <c r="N87" s="80" t="s">
        <v>7430</v>
      </c>
      <c r="O87" s="81">
        <v>34</v>
      </c>
      <c r="P87" s="81">
        <v>208</v>
      </c>
      <c r="Q87" s="62" t="str">
        <f>_xlfn.IFS(COUNTA(B82:B84)=1,"Single",COUNTA(B82:B84)=2,"Double",COUNTA(B82:B84)=3,"Triple",COUNTA(B82:B84)=0,"Empty")</f>
        <v>Double</v>
      </c>
      <c r="R87" s="62"/>
      <c r="S87" s="62"/>
      <c r="T87" s="62"/>
      <c r="U87" s="81">
        <f>B82</f>
        <v>1</v>
      </c>
      <c r="V87" s="100">
        <f>COUNT(B82:B84)</f>
        <v>2</v>
      </c>
      <c r="W87" s="101"/>
      <c r="X87" s="108" t="str">
        <f>IF(D82=0,"",D82)</f>
        <v/>
      </c>
      <c r="Y87" s="108" t="str">
        <f>IF(E82=0,"",E82)</f>
        <v/>
      </c>
      <c r="Z87" s="120" t="s">
        <v>7829</v>
      </c>
      <c r="AA87" s="121" t="e">
        <f>VLOOKUP($M:$M,Data!$I:$J,2,FALSE)</f>
        <v>#N/A</v>
      </c>
      <c r="AB87" s="122"/>
    </row>
    <row r="88" ht="15.25" spans="2:28">
      <c r="B88" s="58"/>
      <c r="C88" s="59">
        <f>VLOOKUP("34/209/3",Data!$A$2:$E$1425,3,FALSE)</f>
        <v>0</v>
      </c>
      <c r="D88" s="56"/>
      <c r="E88" s="57"/>
      <c r="G88" s="58"/>
      <c r="H88" s="59">
        <f>VLOOKUP("34/214/3",Data!$A$2:$E$1425,3,FALSE)</f>
        <v>0</v>
      </c>
      <c r="I88" s="56"/>
      <c r="J88" s="57"/>
      <c r="L88" s="9">
        <f>COUNTA(B83)+L87</f>
        <v>68</v>
      </c>
      <c r="M88" s="31" t="str">
        <f>C83</f>
        <v>25305 Gustav</v>
      </c>
      <c r="N88" s="82" t="s">
        <v>7430</v>
      </c>
      <c r="O88" s="36">
        <v>34</v>
      </c>
      <c r="P88" s="36">
        <v>208</v>
      </c>
      <c r="Q88" s="32"/>
      <c r="R88" s="32"/>
      <c r="S88" s="32"/>
      <c r="T88" s="32"/>
      <c r="U88" s="36">
        <f>B83</f>
        <v>2</v>
      </c>
      <c r="V88" s="103"/>
      <c r="W88" s="104"/>
      <c r="X88" s="109" t="str">
        <f t="shared" ref="X88:Y89" si="27">IF(D83=0,"",D83)</f>
        <v/>
      </c>
      <c r="Y88" s="109" t="str">
        <f t="shared" si="27"/>
        <v/>
      </c>
      <c r="Z88" s="123" t="s">
        <v>7830</v>
      </c>
      <c r="AA88" s="124" t="e">
        <f>VLOOKUP($M:$M,Data!$I:$J,2,FALSE)</f>
        <v>#N/A</v>
      </c>
      <c r="AB88" s="125"/>
    </row>
    <row r="89" ht="15.25" spans="2:28">
      <c r="B89" s="46">
        <v>210</v>
      </c>
      <c r="C89" s="47"/>
      <c r="D89" s="48" t="s">
        <v>6580</v>
      </c>
      <c r="E89" s="49" t="s">
        <v>6581</v>
      </c>
      <c r="G89" s="46">
        <v>213</v>
      </c>
      <c r="H89" s="47"/>
      <c r="I89" s="48" t="s">
        <v>6580</v>
      </c>
      <c r="J89" s="49" t="s">
        <v>6581</v>
      </c>
      <c r="L89" s="14">
        <f>COUNTA(B84)+L88</f>
        <v>68</v>
      </c>
      <c r="M89" s="83">
        <f>C84</f>
        <v>0</v>
      </c>
      <c r="N89" s="84" t="s">
        <v>7430</v>
      </c>
      <c r="O89" s="85">
        <v>34</v>
      </c>
      <c r="P89" s="85">
        <v>208</v>
      </c>
      <c r="Q89" s="110"/>
      <c r="R89" s="110"/>
      <c r="S89" s="110"/>
      <c r="T89" s="110"/>
      <c r="U89" s="85">
        <f>B84</f>
        <v>0</v>
      </c>
      <c r="V89" s="105"/>
      <c r="W89" s="106"/>
      <c r="X89" s="111" t="str">
        <f t="shared" si="27"/>
        <v/>
      </c>
      <c r="Y89" s="111" t="str">
        <f t="shared" si="27"/>
        <v/>
      </c>
      <c r="Z89" s="127"/>
      <c r="AA89" s="128" t="e">
        <f>VLOOKUP($M:$M,Data!$I:$J,2,FALSE)</f>
        <v>#N/A</v>
      </c>
      <c r="AB89" s="126"/>
    </row>
    <row r="90" spans="2:28">
      <c r="B90" s="50">
        <v>1</v>
      </c>
      <c r="C90" s="51" t="str">
        <f>VLOOKUP("34/210/1",Data!$A$2:$E$1425,3,FALSE)</f>
        <v>25501 Martin</v>
      </c>
      <c r="D90" s="52"/>
      <c r="E90" s="53"/>
      <c r="G90" s="50">
        <v>1</v>
      </c>
      <c r="H90" s="51" t="str">
        <f>VLOOKUP("34/213/1",Data!$A$2:$E$1425,3,FALSE)</f>
        <v>25507 Markus</v>
      </c>
      <c r="I90" s="52"/>
      <c r="J90" s="53"/>
      <c r="L90" s="6">
        <f>COUNTA(B86)+L89</f>
        <v>69</v>
      </c>
      <c r="M90" s="79" t="str">
        <f>C86</f>
        <v>25307 Madeleine </v>
      </c>
      <c r="N90" s="80" t="s">
        <v>7430</v>
      </c>
      <c r="O90" s="81">
        <v>34</v>
      </c>
      <c r="P90" s="81">
        <v>209</v>
      </c>
      <c r="Q90" s="62" t="str">
        <f>_xlfn.IFS(COUNTA(B86:B88)=1,"Single",COUNTA(B86:B88)=2,"Double",COUNTA(B86:B88)=3,"Triple",COUNTA(B86:B88)=0,"Empty")</f>
        <v>Double</v>
      </c>
      <c r="R90" s="62"/>
      <c r="S90" s="62"/>
      <c r="T90" s="62"/>
      <c r="U90" s="81">
        <f>B86</f>
        <v>1</v>
      </c>
      <c r="V90" s="100">
        <f>COUNT(B86:B88)</f>
        <v>2</v>
      </c>
      <c r="W90" s="101"/>
      <c r="X90" s="108" t="str">
        <f>IF(D86=0,"",D86)</f>
        <v/>
      </c>
      <c r="Y90" s="108" t="str">
        <f>IF(E86=0,"",E86)</f>
        <v/>
      </c>
      <c r="Z90" s="120" t="s">
        <v>7831</v>
      </c>
      <c r="AA90" s="121" t="e">
        <f>VLOOKUP($M:$M,Data!$I:$J,2,FALSE)</f>
        <v>#N/A</v>
      </c>
      <c r="AB90" s="122"/>
    </row>
    <row r="91" spans="2:28">
      <c r="B91" s="50">
        <v>2</v>
      </c>
      <c r="C91" s="51" t="str">
        <f>VLOOKUP("34/210/2",Data!$A$2:$E$1425,3,FALSE)</f>
        <v>25701 Rasmus</v>
      </c>
      <c r="D91" s="54"/>
      <c r="E91" s="55"/>
      <c r="G91" s="50">
        <v>2</v>
      </c>
      <c r="H91" s="51" t="str">
        <f>VLOOKUP("34/213/2",Data!$A$2:$E$1425,3,FALSE)</f>
        <v>25510 Joel </v>
      </c>
      <c r="I91" s="54"/>
      <c r="J91" s="55"/>
      <c r="L91" s="9">
        <f>COUNTA(B87)+L90</f>
        <v>70</v>
      </c>
      <c r="M91" s="31" t="str">
        <f>C87</f>
        <v>25801 Klara</v>
      </c>
      <c r="N91" s="82" t="s">
        <v>7430</v>
      </c>
      <c r="O91" s="36">
        <v>34</v>
      </c>
      <c r="P91" s="36">
        <v>209</v>
      </c>
      <c r="Q91" s="32"/>
      <c r="R91" s="32"/>
      <c r="S91" s="32"/>
      <c r="T91" s="32"/>
      <c r="U91" s="36">
        <f>B87</f>
        <v>2</v>
      </c>
      <c r="V91" s="103"/>
      <c r="W91" s="104"/>
      <c r="X91" s="109" t="str">
        <f t="shared" ref="X91:Y92" si="28">IF(D87=0,"",D87)</f>
        <v/>
      </c>
      <c r="Y91" s="109" t="str">
        <f t="shared" si="28"/>
        <v/>
      </c>
      <c r="Z91" s="123" t="s">
        <v>7832</v>
      </c>
      <c r="AA91" s="124" t="e">
        <f>VLOOKUP($M:$M,Data!$I:$J,2,FALSE)</f>
        <v>#N/A</v>
      </c>
      <c r="AB91" s="125"/>
    </row>
    <row r="92" ht="15.25" spans="2:28">
      <c r="B92" s="58"/>
      <c r="C92" s="59">
        <f>VLOOKUP("34/210/3",Data!$A$2:$E$1425,3,FALSE)</f>
        <v>0</v>
      </c>
      <c r="D92" s="56"/>
      <c r="E92" s="57"/>
      <c r="G92" s="58">
        <v>3</v>
      </c>
      <c r="H92" s="59">
        <f>VLOOKUP("34/213/3",Data!$A$2:$E$1425,3,FALSE)</f>
        <v>0</v>
      </c>
      <c r="I92" s="56"/>
      <c r="J92" s="57"/>
      <c r="L92" s="14">
        <f>COUNTA(B88)+L91</f>
        <v>70</v>
      </c>
      <c r="M92" s="83">
        <f>C88</f>
        <v>0</v>
      </c>
      <c r="N92" s="84" t="s">
        <v>7430</v>
      </c>
      <c r="O92" s="85">
        <v>34</v>
      </c>
      <c r="P92" s="85">
        <v>209</v>
      </c>
      <c r="Q92" s="110"/>
      <c r="R92" s="110"/>
      <c r="S92" s="110"/>
      <c r="T92" s="110"/>
      <c r="U92" s="85">
        <f>B88</f>
        <v>0</v>
      </c>
      <c r="V92" s="105"/>
      <c r="W92" s="106"/>
      <c r="X92" s="111" t="str">
        <f t="shared" si="28"/>
        <v/>
      </c>
      <c r="Y92" s="111" t="str">
        <f t="shared" si="28"/>
        <v/>
      </c>
      <c r="Z92" s="127"/>
      <c r="AA92" s="128" t="e">
        <f>VLOOKUP($M:$M,Data!$I:$J,2,FALSE)</f>
        <v>#N/A</v>
      </c>
      <c r="AB92" s="126"/>
    </row>
    <row r="93" spans="2:28">
      <c r="B93" s="46">
        <v>211</v>
      </c>
      <c r="C93" s="47"/>
      <c r="D93" s="48" t="s">
        <v>6580</v>
      </c>
      <c r="E93" s="49" t="s">
        <v>6581</v>
      </c>
      <c r="G93" s="46">
        <v>212</v>
      </c>
      <c r="H93" s="47"/>
      <c r="I93" s="48" t="s">
        <v>6580</v>
      </c>
      <c r="J93" s="49" t="s">
        <v>6581</v>
      </c>
      <c r="L93" s="6">
        <f>COUNTA(B90)+L92</f>
        <v>71</v>
      </c>
      <c r="M93" s="79" t="str">
        <f>C90</f>
        <v>25501 Martin</v>
      </c>
      <c r="N93" s="80" t="s">
        <v>7430</v>
      </c>
      <c r="O93" s="81">
        <v>34</v>
      </c>
      <c r="P93" s="81">
        <v>210</v>
      </c>
      <c r="Q93" s="62" t="str">
        <f>_xlfn.IFS(COUNTA(B90:B92)=1,"Single",COUNTA(B90:B92)=2,"Double",COUNTA(B90:B92)=3,"Triple",COUNTA(B90:B92)=0,"Empty")</f>
        <v>Double</v>
      </c>
      <c r="R93" s="62"/>
      <c r="S93" s="62"/>
      <c r="T93" s="62"/>
      <c r="U93" s="81">
        <f>B90</f>
        <v>1</v>
      </c>
      <c r="V93" s="100">
        <f>COUNT(B90:B92)</f>
        <v>2</v>
      </c>
      <c r="W93" s="101"/>
      <c r="X93" s="108" t="str">
        <f>IF(D90=0,"",D90)</f>
        <v/>
      </c>
      <c r="Y93" s="108" t="str">
        <f>IF(E90=0,"",E90)</f>
        <v/>
      </c>
      <c r="Z93" s="120" t="s">
        <v>7833</v>
      </c>
      <c r="AA93" s="121" t="e">
        <f>VLOOKUP($M:$M,Data!$I:$J,2,FALSE)</f>
        <v>#N/A</v>
      </c>
      <c r="AB93" s="122"/>
    </row>
    <row r="94" spans="2:28">
      <c r="B94" s="50">
        <v>1</v>
      </c>
      <c r="C94" s="51" t="str">
        <f>VLOOKUP("34/211/1",Data!$A$2:$E$1425,3,FALSE)</f>
        <v>25203 Albin</v>
      </c>
      <c r="D94" s="52"/>
      <c r="E94" s="53"/>
      <c r="G94" s="50">
        <v>1</v>
      </c>
      <c r="H94" s="51" t="str">
        <f>VLOOKUP("34/212/1",Data!$A$2:$E$1425,3,FALSE)</f>
        <v>25806 Martin</v>
      </c>
      <c r="I94" s="52"/>
      <c r="J94" s="53"/>
      <c r="L94" s="9">
        <f>COUNTA(B91)+L93</f>
        <v>72</v>
      </c>
      <c r="M94" s="31" t="str">
        <f>C91</f>
        <v>25701 Rasmus</v>
      </c>
      <c r="N94" s="82" t="s">
        <v>7430</v>
      </c>
      <c r="O94" s="36">
        <v>34</v>
      </c>
      <c r="P94" s="36">
        <v>210</v>
      </c>
      <c r="Q94" s="32"/>
      <c r="R94" s="32"/>
      <c r="S94" s="32"/>
      <c r="T94" s="32"/>
      <c r="U94" s="36">
        <f>B91</f>
        <v>2</v>
      </c>
      <c r="V94" s="103"/>
      <c r="W94" s="104"/>
      <c r="X94" s="109" t="str">
        <f t="shared" ref="X94:Y95" si="29">IF(D91=0,"",D91)</f>
        <v/>
      </c>
      <c r="Y94" s="109" t="str">
        <f t="shared" si="29"/>
        <v/>
      </c>
      <c r="Z94" s="123" t="s">
        <v>7834</v>
      </c>
      <c r="AA94" s="124" t="e">
        <f>VLOOKUP($M:$M,Data!$I:$J,2,FALSE)</f>
        <v>#N/A</v>
      </c>
      <c r="AB94" s="125"/>
    </row>
    <row r="95" ht="15.25" spans="2:28">
      <c r="B95" s="50">
        <v>2</v>
      </c>
      <c r="C95" s="51" t="str">
        <f>VLOOKUP("34/211/2",Data!$A$2:$E$1425,3,FALSE)</f>
        <v>25407 Edvin</v>
      </c>
      <c r="D95" s="54"/>
      <c r="E95" s="55"/>
      <c r="G95" s="50">
        <v>2</v>
      </c>
      <c r="H95" s="51" t="str">
        <f>VLOOKUP("34/212/2",Data!$A$2:$E$1425,3,FALSE)</f>
        <v>25805 Julian</v>
      </c>
      <c r="I95" s="54"/>
      <c r="J95" s="55"/>
      <c r="L95" s="14">
        <f>COUNTA(B92)+L94</f>
        <v>72</v>
      </c>
      <c r="M95" s="83">
        <f>C92</f>
        <v>0</v>
      </c>
      <c r="N95" s="84" t="s">
        <v>7430</v>
      </c>
      <c r="O95" s="85">
        <v>34</v>
      </c>
      <c r="P95" s="85">
        <v>210</v>
      </c>
      <c r="Q95" s="110"/>
      <c r="R95" s="110"/>
      <c r="S95" s="110"/>
      <c r="T95" s="110"/>
      <c r="U95" s="85">
        <f>B92</f>
        <v>0</v>
      </c>
      <c r="V95" s="105"/>
      <c r="W95" s="106"/>
      <c r="X95" s="111" t="str">
        <f t="shared" si="29"/>
        <v/>
      </c>
      <c r="Y95" s="111" t="str">
        <f t="shared" si="29"/>
        <v/>
      </c>
      <c r="Z95" s="127"/>
      <c r="AA95" s="128" t="e">
        <f>VLOOKUP($M:$M,Data!$I:$J,2,FALSE)</f>
        <v>#N/A</v>
      </c>
      <c r="AB95" s="126"/>
    </row>
    <row r="96" ht="15.25" spans="2:28">
      <c r="B96" s="58"/>
      <c r="C96" s="59">
        <f>VLOOKUP("34/211/3",Data!$A$2:$E$1425,3,FALSE)</f>
        <v>0</v>
      </c>
      <c r="D96" s="56"/>
      <c r="E96" s="57"/>
      <c r="G96" s="58">
        <v>3</v>
      </c>
      <c r="H96" s="59" t="str">
        <f>VLOOKUP("34/212/3",Data!$A$2:$E$1425,3,FALSE)</f>
        <v>25807 Daniel</v>
      </c>
      <c r="I96" s="56"/>
      <c r="J96" s="57"/>
      <c r="L96" s="6">
        <f>COUNTA(B94)+L95</f>
        <v>73</v>
      </c>
      <c r="M96" s="79" t="str">
        <f>C94</f>
        <v>25203 Albin</v>
      </c>
      <c r="N96" s="80" t="s">
        <v>7430</v>
      </c>
      <c r="O96" s="81">
        <v>34</v>
      </c>
      <c r="P96" s="81">
        <v>211</v>
      </c>
      <c r="Q96" s="62" t="str">
        <f>_xlfn.IFS(COUNTA(B94:B96)=1,"Single",COUNTA(B94:B96)=2,"Double",COUNTA(B94:B96)=3,"Triple",COUNTA(B94:B96)=0,"Empty")</f>
        <v>Double</v>
      </c>
      <c r="R96" s="62"/>
      <c r="S96" s="62"/>
      <c r="T96" s="62"/>
      <c r="U96" s="81">
        <f>B94</f>
        <v>1</v>
      </c>
      <c r="V96" s="100">
        <f>COUNT(B94:B96)</f>
        <v>2</v>
      </c>
      <c r="W96" s="101"/>
      <c r="X96" s="108" t="str">
        <f>IF(D94=0,"",D94)</f>
        <v/>
      </c>
      <c r="Y96" s="108" t="str">
        <f>IF(E94=0,"",E94)</f>
        <v/>
      </c>
      <c r="Z96" s="120" t="s">
        <v>7835</v>
      </c>
      <c r="AA96" s="121" t="e">
        <f>VLOOKUP($M:$M,Data!$I:$J,2,FALSE)</f>
        <v>#N/A</v>
      </c>
      <c r="AB96" s="122"/>
    </row>
    <row r="97" spans="12:28">
      <c r="L97" s="9">
        <f>COUNTA(B95)+L96</f>
        <v>74</v>
      </c>
      <c r="M97" s="31" t="str">
        <f>C95</f>
        <v>25407 Edvin</v>
      </c>
      <c r="N97" s="82" t="s">
        <v>7430</v>
      </c>
      <c r="O97" s="36">
        <v>34</v>
      </c>
      <c r="P97" s="36">
        <v>211</v>
      </c>
      <c r="Q97" s="32"/>
      <c r="R97" s="32"/>
      <c r="S97" s="32"/>
      <c r="T97" s="32"/>
      <c r="U97" s="36">
        <f>B95</f>
        <v>2</v>
      </c>
      <c r="V97" s="103"/>
      <c r="W97" s="104"/>
      <c r="X97" s="109" t="str">
        <f t="shared" ref="X97:Y98" si="30">IF(D95=0,"",D95)</f>
        <v/>
      </c>
      <c r="Y97" s="109" t="str">
        <f t="shared" si="30"/>
        <v/>
      </c>
      <c r="Z97" s="123" t="s">
        <v>7836</v>
      </c>
      <c r="AA97" s="124" t="e">
        <f>VLOOKUP($M:$M,Data!$I:$J,2,FALSE)</f>
        <v>#N/A</v>
      </c>
      <c r="AB97" s="125"/>
    </row>
    <row r="98" ht="15.25" spans="12:28">
      <c r="L98" s="14">
        <f>COUNTA(B96)+L97</f>
        <v>74</v>
      </c>
      <c r="M98" s="83">
        <f>C96</f>
        <v>0</v>
      </c>
      <c r="N98" s="84" t="s">
        <v>7430</v>
      </c>
      <c r="O98" s="85">
        <v>34</v>
      </c>
      <c r="P98" s="85">
        <v>211</v>
      </c>
      <c r="Q98" s="110"/>
      <c r="R98" s="110"/>
      <c r="S98" s="110"/>
      <c r="T98" s="110"/>
      <c r="U98" s="85">
        <f>B96</f>
        <v>0</v>
      </c>
      <c r="V98" s="105"/>
      <c r="W98" s="106"/>
      <c r="X98" s="111" t="str">
        <f t="shared" si="30"/>
        <v/>
      </c>
      <c r="Y98" s="111" t="str">
        <f t="shared" si="30"/>
        <v/>
      </c>
      <c r="Z98" s="127"/>
      <c r="AA98" s="128" t="e">
        <f>VLOOKUP($M:$M,Data!$I:$J,2,FALSE)</f>
        <v>#N/A</v>
      </c>
      <c r="AB98" s="126"/>
    </row>
    <row r="99" spans="12:28">
      <c r="L99" s="6">
        <f>COUNTA(G94)+L98</f>
        <v>75</v>
      </c>
      <c r="M99" s="79" t="str">
        <f>H94</f>
        <v>25806 Martin</v>
      </c>
      <c r="N99" s="80" t="s">
        <v>7430</v>
      </c>
      <c r="O99" s="81">
        <v>34</v>
      </c>
      <c r="P99" s="81">
        <v>212</v>
      </c>
      <c r="Q99" s="62" t="str">
        <f>_xlfn.IFS(COUNTA(G94:G96)=1,"Single",COUNTA(G94:G96)=2,"Double",COUNTA(G94:G96)=3,"Triple",COUNTA(G94:G96)=0,"Empty")</f>
        <v>Triple</v>
      </c>
      <c r="R99" s="62"/>
      <c r="S99" s="62"/>
      <c r="T99" s="62"/>
      <c r="U99" s="81">
        <f>G94</f>
        <v>1</v>
      </c>
      <c r="V99" s="100">
        <f>COUNT(G94:G96)</f>
        <v>3</v>
      </c>
      <c r="W99" s="101"/>
      <c r="X99" s="108" t="str">
        <f>IF(I94=0,"",I94)</f>
        <v/>
      </c>
      <c r="Y99" s="108" t="str">
        <f>IF(J94=0,"",J94)</f>
        <v/>
      </c>
      <c r="Z99" s="120" t="s">
        <v>6655</v>
      </c>
      <c r="AA99" s="121" t="e">
        <f>VLOOKUP($M:$M,Data!$I:$J,2,FALSE)</f>
        <v>#N/A</v>
      </c>
      <c r="AB99" s="122"/>
    </row>
    <row r="100" spans="12:28">
      <c r="L100" s="9">
        <f>COUNTA(G95)+L99</f>
        <v>76</v>
      </c>
      <c r="M100" s="31" t="str">
        <f>H95</f>
        <v>25805 Julian</v>
      </c>
      <c r="N100" s="82" t="s">
        <v>7430</v>
      </c>
      <c r="O100" s="36">
        <v>34</v>
      </c>
      <c r="P100" s="36">
        <v>212</v>
      </c>
      <c r="Q100" s="32"/>
      <c r="R100" s="32"/>
      <c r="S100" s="32"/>
      <c r="T100" s="32"/>
      <c r="U100" s="36">
        <f>G95</f>
        <v>2</v>
      </c>
      <c r="V100" s="103"/>
      <c r="W100" s="104"/>
      <c r="X100" s="109" t="str">
        <f t="shared" ref="X100:Y101" si="31">IF(I95=0,"",I95)</f>
        <v/>
      </c>
      <c r="Y100" s="109" t="str">
        <f t="shared" si="31"/>
        <v/>
      </c>
      <c r="Z100" s="123" t="s">
        <v>7197</v>
      </c>
      <c r="AA100" s="124" t="e">
        <f>VLOOKUP($M:$M,Data!$I:$J,2,FALSE)</f>
        <v>#N/A</v>
      </c>
      <c r="AB100" s="125"/>
    </row>
    <row r="101" ht="15.25" spans="12:28">
      <c r="L101" s="14">
        <f>COUNTA(G96)+L100</f>
        <v>77</v>
      </c>
      <c r="M101" s="83" t="str">
        <f>H96</f>
        <v>25807 Daniel</v>
      </c>
      <c r="N101" s="84" t="s">
        <v>7430</v>
      </c>
      <c r="O101" s="85">
        <v>34</v>
      </c>
      <c r="P101" s="85">
        <v>212</v>
      </c>
      <c r="Q101" s="110"/>
      <c r="R101" s="110"/>
      <c r="S101" s="110"/>
      <c r="T101" s="110"/>
      <c r="U101" s="85">
        <f>G96</f>
        <v>3</v>
      </c>
      <c r="V101" s="105"/>
      <c r="W101" s="106"/>
      <c r="X101" s="111" t="str">
        <f t="shared" si="31"/>
        <v/>
      </c>
      <c r="Y101" s="111" t="str">
        <f t="shared" si="31"/>
        <v/>
      </c>
      <c r="Z101" s="127" t="s">
        <v>6797</v>
      </c>
      <c r="AA101" s="128" t="e">
        <f>VLOOKUP($M:$M,Data!$I:$J,2,FALSE)</f>
        <v>#N/A</v>
      </c>
      <c r="AB101" s="126"/>
    </row>
    <row r="102" spans="12:28">
      <c r="L102" s="6">
        <f>COUNTA(G90)+L101</f>
        <v>78</v>
      </c>
      <c r="M102" s="79" t="str">
        <f>H90</f>
        <v>25507 Markus</v>
      </c>
      <c r="N102" s="80" t="s">
        <v>7430</v>
      </c>
      <c r="O102" s="81">
        <v>34</v>
      </c>
      <c r="P102" s="81">
        <v>213</v>
      </c>
      <c r="Q102" s="62" t="str">
        <f>_xlfn.IFS(COUNTA(G90:G92)=1,"Single",COUNTA(G90:G92)=2,"Double",COUNTA(G90:G92)=3,"Triple",COUNTA(G90:G92)=0,"Empty")</f>
        <v>Triple</v>
      </c>
      <c r="R102" s="62"/>
      <c r="S102" s="62"/>
      <c r="T102" s="62"/>
      <c r="U102" s="81">
        <f>G90</f>
        <v>1</v>
      </c>
      <c r="V102" s="100">
        <f>COUNT(G90:G92)</f>
        <v>3</v>
      </c>
      <c r="W102" s="101"/>
      <c r="X102" s="108" t="str">
        <f>IF(I90=0,"",I90)</f>
        <v/>
      </c>
      <c r="Y102" s="108" t="str">
        <f>IF(J90=0,"",J90)</f>
        <v/>
      </c>
      <c r="Z102" s="120" t="s">
        <v>6793</v>
      </c>
      <c r="AA102" s="121" t="e">
        <f>VLOOKUP($M:$M,Data!$I:$J,2,FALSE)</f>
        <v>#N/A</v>
      </c>
      <c r="AB102" s="122"/>
    </row>
    <row r="103" spans="12:28">
      <c r="L103" s="9">
        <f>COUNTA(G91)+L102</f>
        <v>79</v>
      </c>
      <c r="M103" s="31" t="str">
        <f>H91</f>
        <v>25510 Joel </v>
      </c>
      <c r="N103" s="82" t="s">
        <v>7430</v>
      </c>
      <c r="O103" s="36">
        <v>34</v>
      </c>
      <c r="P103" s="36">
        <v>213</v>
      </c>
      <c r="Q103" s="32"/>
      <c r="R103" s="32"/>
      <c r="S103" s="32"/>
      <c r="T103" s="32"/>
      <c r="U103" s="36">
        <f>G91</f>
        <v>2</v>
      </c>
      <c r="V103" s="103"/>
      <c r="W103" s="104"/>
      <c r="X103" s="109" t="str">
        <f t="shared" ref="X103:Y104" si="32">IF(I91=0,"",I91)</f>
        <v/>
      </c>
      <c r="Y103" s="109" t="str">
        <f t="shared" si="32"/>
        <v/>
      </c>
      <c r="Z103" s="123" t="s">
        <v>7380</v>
      </c>
      <c r="AA103" s="124" t="e">
        <f>VLOOKUP($M:$M,Data!$I:$J,2,FALSE)</f>
        <v>#N/A</v>
      </c>
      <c r="AB103" s="125"/>
    </row>
    <row r="104" ht="15.25" spans="12:28">
      <c r="L104" s="14">
        <f>COUNTA(G92)+L103</f>
        <v>80</v>
      </c>
      <c r="M104" s="83">
        <f>H92</f>
        <v>0</v>
      </c>
      <c r="N104" s="84" t="s">
        <v>7430</v>
      </c>
      <c r="O104" s="85">
        <v>34</v>
      </c>
      <c r="P104" s="85">
        <v>213</v>
      </c>
      <c r="Q104" s="110"/>
      <c r="R104" s="110"/>
      <c r="S104" s="110"/>
      <c r="T104" s="110"/>
      <c r="U104" s="85">
        <f>G92</f>
        <v>3</v>
      </c>
      <c r="V104" s="105"/>
      <c r="W104" s="106"/>
      <c r="X104" s="111" t="str">
        <f t="shared" si="32"/>
        <v/>
      </c>
      <c r="Y104" s="111" t="str">
        <f t="shared" si="32"/>
        <v/>
      </c>
      <c r="Z104" s="127" t="s">
        <v>7233</v>
      </c>
      <c r="AA104" s="128" t="e">
        <f>VLOOKUP($M:$M,Data!$I:$J,2,FALSE)</f>
        <v>#N/A</v>
      </c>
      <c r="AB104" s="126"/>
    </row>
    <row r="105" spans="12:28">
      <c r="L105" s="6">
        <f>COUNTA(G86)+L104</f>
        <v>81</v>
      </c>
      <c r="M105" s="79" t="str">
        <f>H86</f>
        <v>25401 Yasmine</v>
      </c>
      <c r="N105" s="80" t="s">
        <v>7430</v>
      </c>
      <c r="O105" s="81">
        <v>34</v>
      </c>
      <c r="P105" s="81">
        <v>214</v>
      </c>
      <c r="Q105" s="62" t="str">
        <f>_xlfn.IFS(COUNTA(G86:G88)=1,"Single",COUNTA(G86:G88)=2,"Double",COUNTA(G86:G88)=3,"Triple",COUNTA(G86:G88)=0,"Empty")</f>
        <v>Double</v>
      </c>
      <c r="R105" s="62"/>
      <c r="S105" s="62"/>
      <c r="T105" s="62"/>
      <c r="U105" s="81">
        <f>G86</f>
        <v>1</v>
      </c>
      <c r="V105" s="100">
        <f>COUNT(G86:G88)</f>
        <v>2</v>
      </c>
      <c r="W105" s="101"/>
      <c r="X105" s="108" t="str">
        <f>IF(I86=0,"",I86)</f>
        <v/>
      </c>
      <c r="Y105" s="108" t="str">
        <f>IF(J86=0,"",J86)</f>
        <v/>
      </c>
      <c r="Z105" s="120" t="s">
        <v>6759</v>
      </c>
      <c r="AA105" s="121" t="e">
        <f>VLOOKUP($M:$M,Data!$I:$J,2,FALSE)</f>
        <v>#N/A</v>
      </c>
      <c r="AB105" s="122"/>
    </row>
    <row r="106" spans="12:28">
      <c r="L106" s="9">
        <f>COUNTA(G87)+L105</f>
        <v>82</v>
      </c>
      <c r="M106" s="31" t="str">
        <f>H87</f>
        <v>24105 Maja</v>
      </c>
      <c r="N106" s="82" t="s">
        <v>7430</v>
      </c>
      <c r="O106" s="36">
        <v>34</v>
      </c>
      <c r="P106" s="36">
        <v>214</v>
      </c>
      <c r="Q106" s="32"/>
      <c r="R106" s="32"/>
      <c r="S106" s="32"/>
      <c r="T106" s="32"/>
      <c r="U106" s="36">
        <f>G87</f>
        <v>2</v>
      </c>
      <c r="V106" s="103"/>
      <c r="W106" s="104"/>
      <c r="X106" s="109" t="str">
        <f t="shared" ref="X106:Y107" si="33">IF(I87=0,"",I87)</f>
        <v/>
      </c>
      <c r="Y106" s="109" t="str">
        <f t="shared" si="33"/>
        <v/>
      </c>
      <c r="Z106" s="123" t="s">
        <v>7837</v>
      </c>
      <c r="AA106" s="124" t="e">
        <f>VLOOKUP($M:$M,Data!$I:$J,2,FALSE)</f>
        <v>#N/A</v>
      </c>
      <c r="AB106" s="125"/>
    </row>
    <row r="107" ht="15.25" spans="12:28">
      <c r="L107" s="14">
        <f>COUNTA(G88)+L106</f>
        <v>82</v>
      </c>
      <c r="M107" s="83">
        <f>H88</f>
        <v>0</v>
      </c>
      <c r="N107" s="84" t="s">
        <v>7430</v>
      </c>
      <c r="O107" s="85">
        <v>34</v>
      </c>
      <c r="P107" s="85">
        <v>214</v>
      </c>
      <c r="Q107" s="110"/>
      <c r="R107" s="110"/>
      <c r="S107" s="110"/>
      <c r="T107" s="110"/>
      <c r="U107" s="85">
        <f>G88</f>
        <v>0</v>
      </c>
      <c r="V107" s="105"/>
      <c r="W107" s="106"/>
      <c r="X107" s="111" t="str">
        <f t="shared" si="33"/>
        <v/>
      </c>
      <c r="Y107" s="111" t="str">
        <f t="shared" si="33"/>
        <v/>
      </c>
      <c r="Z107" s="127"/>
      <c r="AA107" s="128" t="e">
        <f>VLOOKUP($M:$M,Data!$I:$J,2,FALSE)</f>
        <v>#N/A</v>
      </c>
      <c r="AB107" s="126"/>
    </row>
    <row r="108" spans="12:28">
      <c r="L108" s="6">
        <f>COUNTA(G82)+L107</f>
        <v>83</v>
      </c>
      <c r="M108" s="79" t="str">
        <f>H82</f>
        <v>25402 Isabella</v>
      </c>
      <c r="N108" s="80" t="s">
        <v>7430</v>
      </c>
      <c r="O108" s="81">
        <v>34</v>
      </c>
      <c r="P108" s="81">
        <v>215</v>
      </c>
      <c r="Q108" s="62" t="str">
        <f>_xlfn.IFS(COUNTA(G82:G84)=1,"Single",COUNTA(G82:G84)=2,"Double",COUNTA(G82:G84)=3,"Triple",COUNTA(G82:G84)=0,"Empty")</f>
        <v>Double</v>
      </c>
      <c r="R108" s="62"/>
      <c r="S108" s="62"/>
      <c r="T108" s="62"/>
      <c r="U108" s="81">
        <f>G82</f>
        <v>1</v>
      </c>
      <c r="V108" s="100">
        <f>COUNT(G82:G84)</f>
        <v>2</v>
      </c>
      <c r="W108" s="101"/>
      <c r="X108" s="108" t="str">
        <f>IF(I82=0,"",I82)</f>
        <v/>
      </c>
      <c r="Y108" s="108" t="str">
        <f>IF(J82=0,"",J82)</f>
        <v/>
      </c>
      <c r="Z108" s="120" t="s">
        <v>6789</v>
      </c>
      <c r="AA108" s="121" t="e">
        <f>VLOOKUP($M:$M,Data!$I:$J,2,FALSE)</f>
        <v>#N/A</v>
      </c>
      <c r="AB108" s="122"/>
    </row>
    <row r="109" spans="12:28">
      <c r="L109" s="9">
        <f>COUNTA(G83)+L108</f>
        <v>84</v>
      </c>
      <c r="M109" s="31" t="str">
        <f>H83</f>
        <v>25707 Elinor</v>
      </c>
      <c r="N109" s="82" t="s">
        <v>7430</v>
      </c>
      <c r="O109" s="36">
        <v>34</v>
      </c>
      <c r="P109" s="36">
        <v>215</v>
      </c>
      <c r="Q109" s="32"/>
      <c r="R109" s="32"/>
      <c r="S109" s="32"/>
      <c r="T109" s="32"/>
      <c r="U109" s="36">
        <f>G83</f>
        <v>2</v>
      </c>
      <c r="V109" s="103"/>
      <c r="W109" s="104"/>
      <c r="X109" s="109" t="str">
        <f t="shared" ref="X109:Y110" si="34">IF(I83=0,"",I83)</f>
        <v/>
      </c>
      <c r="Y109" s="109" t="str">
        <f t="shared" si="34"/>
        <v/>
      </c>
      <c r="Z109" s="123" t="s">
        <v>6746</v>
      </c>
      <c r="AA109" s="124" t="e">
        <f>VLOOKUP($M:$M,Data!$I:$J,2,FALSE)</f>
        <v>#N/A</v>
      </c>
      <c r="AB109" s="125"/>
    </row>
    <row r="110" ht="15.25" spans="12:28">
      <c r="L110" s="14">
        <f>COUNTA(G84)+L109</f>
        <v>84</v>
      </c>
      <c r="M110" s="83">
        <f>H84</f>
        <v>0</v>
      </c>
      <c r="N110" s="84" t="s">
        <v>7430</v>
      </c>
      <c r="O110" s="85">
        <v>34</v>
      </c>
      <c r="P110" s="85">
        <v>215</v>
      </c>
      <c r="Q110" s="110"/>
      <c r="R110" s="110"/>
      <c r="S110" s="110"/>
      <c r="T110" s="110"/>
      <c r="U110" s="85">
        <f>G84</f>
        <v>0</v>
      </c>
      <c r="V110" s="105"/>
      <c r="W110" s="106"/>
      <c r="X110" s="111" t="str">
        <f t="shared" si="34"/>
        <v/>
      </c>
      <c r="Y110" s="111" t="str">
        <f t="shared" si="34"/>
        <v/>
      </c>
      <c r="Z110" s="127"/>
      <c r="AA110" s="128" t="e">
        <f>VLOOKUP($M:$M,Data!$I:$J,2,FALSE)</f>
        <v>#N/A</v>
      </c>
      <c r="AB110" s="126"/>
    </row>
    <row r="111" spans="12:28">
      <c r="L111" s="6">
        <f>COUNTA(G70)+L110</f>
        <v>85</v>
      </c>
      <c r="M111" s="79" t="str">
        <f>H70</f>
        <v>25405 Theo</v>
      </c>
      <c r="N111" s="80" t="s">
        <v>7430</v>
      </c>
      <c r="O111" s="81">
        <v>34</v>
      </c>
      <c r="P111" s="81">
        <v>216</v>
      </c>
      <c r="Q111" s="62" t="str">
        <f>_xlfn.IFS(COUNTA(G70:G72)=1,"Single",COUNTA(G70:G72)=2,"Double",COUNTA(G70:G72)=3,"Triple",COUNTA(G70:G72)=0,"Empty")</f>
        <v>Double</v>
      </c>
      <c r="R111" s="62"/>
      <c r="S111" s="62"/>
      <c r="T111" s="62"/>
      <c r="U111" s="81">
        <f>G70</f>
        <v>1</v>
      </c>
      <c r="V111" s="100">
        <f>COUNT(G70:G72)</f>
        <v>2</v>
      </c>
      <c r="W111" s="101"/>
      <c r="X111" s="108" t="str">
        <f>IF(I70=0,"",I70)</f>
        <v/>
      </c>
      <c r="Y111" s="108" t="str">
        <f>IF(J70=0,"",J70)</f>
        <v/>
      </c>
      <c r="Z111" s="120" t="s">
        <v>7838</v>
      </c>
      <c r="AA111" s="121" t="e">
        <f>VLOOKUP($M:$M,Data!$I:$J,2,FALSE)</f>
        <v>#N/A</v>
      </c>
      <c r="AB111" s="122"/>
    </row>
    <row r="112" spans="12:28">
      <c r="L112" s="9">
        <f>COUNTA(G71)+L111</f>
        <v>86</v>
      </c>
      <c r="M112" s="31" t="str">
        <f>H71</f>
        <v>25404 Isac</v>
      </c>
      <c r="N112" s="82" t="s">
        <v>7430</v>
      </c>
      <c r="O112" s="36">
        <v>34</v>
      </c>
      <c r="P112" s="36">
        <v>216</v>
      </c>
      <c r="Q112" s="32"/>
      <c r="R112" s="32"/>
      <c r="S112" s="32"/>
      <c r="T112" s="32"/>
      <c r="U112" s="36">
        <f>G71</f>
        <v>2</v>
      </c>
      <c r="V112" s="103"/>
      <c r="W112" s="104"/>
      <c r="X112" s="109" t="str">
        <f t="shared" ref="X112:Y113" si="35">IF(I71=0,"",I71)</f>
        <v/>
      </c>
      <c r="Y112" s="109" t="str">
        <f t="shared" si="35"/>
        <v/>
      </c>
      <c r="Z112" s="123" t="s">
        <v>7839</v>
      </c>
      <c r="AA112" s="124" t="e">
        <f>VLOOKUP($M:$M,Data!$I:$J,2,FALSE)</f>
        <v>#N/A</v>
      </c>
      <c r="AB112" s="125"/>
    </row>
    <row r="113" ht="15.25" spans="12:28">
      <c r="L113" s="14">
        <f>COUNTA(G72)+L112</f>
        <v>86</v>
      </c>
      <c r="M113" s="83">
        <f>H72</f>
        <v>0</v>
      </c>
      <c r="N113" s="84" t="s">
        <v>7430</v>
      </c>
      <c r="O113" s="85">
        <v>34</v>
      </c>
      <c r="P113" s="85">
        <v>216</v>
      </c>
      <c r="Q113" s="110"/>
      <c r="R113" s="110"/>
      <c r="S113" s="110"/>
      <c r="T113" s="110"/>
      <c r="U113" s="85">
        <f>G72</f>
        <v>0</v>
      </c>
      <c r="V113" s="105"/>
      <c r="W113" s="106"/>
      <c r="X113" s="111" t="str">
        <f t="shared" si="35"/>
        <v/>
      </c>
      <c r="Y113" s="111" t="str">
        <f t="shared" si="35"/>
        <v/>
      </c>
      <c r="Z113" s="127"/>
      <c r="AA113" s="128" t="e">
        <f>VLOOKUP($M:$M,Data!$I:$J,2,FALSE)</f>
        <v>#N/A</v>
      </c>
      <c r="AB113" s="126"/>
    </row>
    <row r="114" spans="12:28">
      <c r="L114" s="6">
        <f>COUNTA(G66)+L113</f>
        <v>86</v>
      </c>
      <c r="M114" s="79" t="str">
        <f>H66</f>
        <v>25601 Ludwig</v>
      </c>
      <c r="N114" s="80" t="s">
        <v>7430</v>
      </c>
      <c r="O114" s="81">
        <v>34</v>
      </c>
      <c r="P114" s="81">
        <v>217</v>
      </c>
      <c r="Q114" s="62" t="str">
        <f>_xlfn.IFS(COUNTA(G66:G68)=1,"Single",COUNTA(G66:G68)=2,"Double",COUNTA(G66:G68)=3,"Triple",COUNTA(G66:G68)=0,"Empty")</f>
        <v>Empty</v>
      </c>
      <c r="R114" s="62"/>
      <c r="S114" s="62"/>
      <c r="T114" s="62"/>
      <c r="U114" s="81">
        <f>G66</f>
        <v>0</v>
      </c>
      <c r="V114" s="100">
        <f>COUNT(G66:G68)</f>
        <v>0</v>
      </c>
      <c r="W114" s="101"/>
      <c r="X114" s="108" t="str">
        <f>IF(I66=0,"",I66)</f>
        <v/>
      </c>
      <c r="Y114" s="108" t="str">
        <f>IF(J66=0,"",J66)</f>
        <v/>
      </c>
      <c r="Z114" s="120"/>
      <c r="AA114" s="121" t="e">
        <f>VLOOKUP($M:$M,Data!$I:$J,2,FALSE)</f>
        <v>#N/A</v>
      </c>
      <c r="AB114" s="122"/>
    </row>
    <row r="115" spans="12:28">
      <c r="L115" s="9">
        <f>COUNTA(G67)+L114</f>
        <v>86</v>
      </c>
      <c r="M115" s="31" t="str">
        <f>H67</f>
        <v>25608 Mattias</v>
      </c>
      <c r="N115" s="82" t="s">
        <v>7430</v>
      </c>
      <c r="O115" s="36">
        <v>34</v>
      </c>
      <c r="P115" s="36">
        <v>217</v>
      </c>
      <c r="Q115" s="32"/>
      <c r="R115" s="32"/>
      <c r="S115" s="32"/>
      <c r="T115" s="32"/>
      <c r="U115" s="36">
        <f>G67</f>
        <v>0</v>
      </c>
      <c r="V115" s="103"/>
      <c r="W115" s="104"/>
      <c r="X115" s="109" t="str">
        <f t="shared" ref="X115:Y116" si="36">IF(I67=0,"",I67)</f>
        <v/>
      </c>
      <c r="Y115" s="109" t="str">
        <f t="shared" si="36"/>
        <v/>
      </c>
      <c r="Z115" s="123"/>
      <c r="AA115" s="124" t="e">
        <f>VLOOKUP($M:$M,Data!$I:$J,2,FALSE)</f>
        <v>#N/A</v>
      </c>
      <c r="AB115" s="125"/>
    </row>
    <row r="116" ht="15.25" spans="12:28">
      <c r="L116" s="14">
        <f>COUNTA(G68)+L115</f>
        <v>86</v>
      </c>
      <c r="M116" s="83">
        <f>H68</f>
        <v>0</v>
      </c>
      <c r="N116" s="84" t="s">
        <v>7430</v>
      </c>
      <c r="O116" s="85">
        <v>34</v>
      </c>
      <c r="P116" s="85">
        <v>217</v>
      </c>
      <c r="Q116" s="110"/>
      <c r="R116" s="110"/>
      <c r="S116" s="110"/>
      <c r="T116" s="110"/>
      <c r="U116" s="85">
        <f>G68</f>
        <v>0</v>
      </c>
      <c r="V116" s="105"/>
      <c r="W116" s="106"/>
      <c r="X116" s="111" t="str">
        <f t="shared" si="36"/>
        <v/>
      </c>
      <c r="Y116" s="111" t="str">
        <f t="shared" si="36"/>
        <v/>
      </c>
      <c r="Z116" s="127"/>
      <c r="AA116" s="128" t="e">
        <f>VLOOKUP($M:$M,Data!$I:$J,2,FALSE)</f>
        <v>#N/A</v>
      </c>
      <c r="AB116" s="126"/>
    </row>
    <row r="117" spans="12:28">
      <c r="L117" s="6">
        <f>COUNTA(G62)+L116</f>
        <v>87</v>
      </c>
      <c r="M117" s="79" t="str">
        <f>H62</f>
        <v>25602 Martin</v>
      </c>
      <c r="N117" s="80" t="s">
        <v>7430</v>
      </c>
      <c r="O117" s="81">
        <v>34</v>
      </c>
      <c r="P117" s="81">
        <v>218</v>
      </c>
      <c r="Q117" s="62" t="str">
        <f>_xlfn.IFS(COUNTA(G62:G64)=1,"Single",COUNTA(G62:G64)=2,"Double",COUNTA(G62:G64)=3,"Triple",COUNTA(G62:G64)=0,"Empty")</f>
        <v>Double</v>
      </c>
      <c r="R117" s="62"/>
      <c r="S117" s="62"/>
      <c r="T117" s="62"/>
      <c r="U117" s="81">
        <f>G62</f>
        <v>1</v>
      </c>
      <c r="V117" s="100">
        <f>COUNT(G62:G64)</f>
        <v>2</v>
      </c>
      <c r="W117" s="101"/>
      <c r="X117" s="108" t="str">
        <f>IF(I62=0,"",I62)</f>
        <v/>
      </c>
      <c r="Y117" s="108" t="str">
        <f>IF(J62=0,"",J62)</f>
        <v/>
      </c>
      <c r="Z117" s="120" t="s">
        <v>6709</v>
      </c>
      <c r="AA117" s="121" t="e">
        <f>VLOOKUP($M:$M,Data!$I:$J,2,FALSE)</f>
        <v>#N/A</v>
      </c>
      <c r="AB117" s="122"/>
    </row>
    <row r="118" spans="12:28">
      <c r="L118" s="9">
        <f>COUNTA(G63)+L117</f>
        <v>88</v>
      </c>
      <c r="M118" s="31" t="str">
        <f>H63</f>
        <v>25607 Erik</v>
      </c>
      <c r="N118" s="82" t="s">
        <v>7430</v>
      </c>
      <c r="O118" s="36">
        <v>34</v>
      </c>
      <c r="P118" s="36">
        <v>218</v>
      </c>
      <c r="Q118" s="32"/>
      <c r="R118" s="32"/>
      <c r="S118" s="32"/>
      <c r="T118" s="32"/>
      <c r="U118" s="36">
        <f>G63</f>
        <v>2</v>
      </c>
      <c r="V118" s="103"/>
      <c r="W118" s="104"/>
      <c r="X118" s="109" t="str">
        <f t="shared" ref="X118:Y119" si="37">IF(I63=0,"",I63)</f>
        <v/>
      </c>
      <c r="Y118" s="109" t="str">
        <f t="shared" si="37"/>
        <v/>
      </c>
      <c r="Z118" s="123" t="s">
        <v>6782</v>
      </c>
      <c r="AA118" s="124" t="e">
        <f>VLOOKUP($M:$M,Data!$I:$J,2,FALSE)</f>
        <v>#N/A</v>
      </c>
      <c r="AB118" s="125"/>
    </row>
    <row r="119" ht="15.25" spans="12:28">
      <c r="L119" s="14">
        <f>COUNTA(G64)+L118</f>
        <v>88</v>
      </c>
      <c r="M119" s="83">
        <f>H64</f>
        <v>0</v>
      </c>
      <c r="N119" s="84" t="s">
        <v>7430</v>
      </c>
      <c r="O119" s="85">
        <v>34</v>
      </c>
      <c r="P119" s="85">
        <v>218</v>
      </c>
      <c r="Q119" s="110"/>
      <c r="R119" s="110"/>
      <c r="S119" s="110"/>
      <c r="T119" s="110"/>
      <c r="U119" s="85">
        <f>G64</f>
        <v>0</v>
      </c>
      <c r="V119" s="105"/>
      <c r="W119" s="106"/>
      <c r="X119" s="111" t="str">
        <f t="shared" si="37"/>
        <v/>
      </c>
      <c r="Y119" s="111" t="str">
        <f t="shared" si="37"/>
        <v/>
      </c>
      <c r="Z119" s="127"/>
      <c r="AA119" s="128" t="e">
        <f>VLOOKUP($M:$M,Data!$I:$J,2,FALSE)</f>
        <v>#N/A</v>
      </c>
      <c r="AB119" s="126"/>
    </row>
    <row r="120" spans="12:28">
      <c r="L120" s="6">
        <f>COUNTA(G58)+L119</f>
        <v>89</v>
      </c>
      <c r="M120" s="79" t="str">
        <f>H58</f>
        <v>25702 Fredrik</v>
      </c>
      <c r="N120" s="80" t="s">
        <v>7430</v>
      </c>
      <c r="O120" s="81">
        <v>34</v>
      </c>
      <c r="P120" s="81">
        <v>219</v>
      </c>
      <c r="Q120" s="62" t="str">
        <f>_xlfn.IFS(COUNTA(G58:G60)=1,"Single",COUNTA(G58:G60)=2,"Double",COUNTA(G58:G60)=3,"Triple",COUNTA(G58:G60)=0,"Empty")</f>
        <v>Double</v>
      </c>
      <c r="R120" s="62"/>
      <c r="S120" s="62"/>
      <c r="T120" s="62"/>
      <c r="U120" s="81">
        <f>G58</f>
        <v>1</v>
      </c>
      <c r="V120" s="100">
        <f>COUNT(G58:G60)</f>
        <v>2</v>
      </c>
      <c r="W120" s="101"/>
      <c r="X120" s="108" t="str">
        <f>IF(I58=0,"",I58)</f>
        <v/>
      </c>
      <c r="Y120" s="108" t="str">
        <f>IF(J58=0,"",J58)</f>
        <v/>
      </c>
      <c r="Z120" s="120" t="s">
        <v>6716</v>
      </c>
      <c r="AA120" s="121" t="e">
        <f>VLOOKUP($M:$M,Data!$I:$J,2,FALSE)</f>
        <v>#N/A</v>
      </c>
      <c r="AB120" s="122"/>
    </row>
    <row r="121" spans="12:28">
      <c r="L121" s="9">
        <f>COUNTA(G59)+L120</f>
        <v>90</v>
      </c>
      <c r="M121" s="31" t="str">
        <f>H59</f>
        <v>25708 Melvin</v>
      </c>
      <c r="N121" s="82" t="s">
        <v>7430</v>
      </c>
      <c r="O121" s="36">
        <v>34</v>
      </c>
      <c r="P121" s="36">
        <v>219</v>
      </c>
      <c r="Q121" s="32"/>
      <c r="R121" s="32"/>
      <c r="S121" s="32"/>
      <c r="T121" s="32"/>
      <c r="U121" s="36">
        <f>G59</f>
        <v>2</v>
      </c>
      <c r="V121" s="103"/>
      <c r="W121" s="104"/>
      <c r="X121" s="109" t="str">
        <f t="shared" ref="X121:Y122" si="38">IF(I59=0,"",I59)</f>
        <v/>
      </c>
      <c r="Y121" s="109" t="str">
        <f t="shared" si="38"/>
        <v/>
      </c>
      <c r="Z121" s="123" t="s">
        <v>6932</v>
      </c>
      <c r="AA121" s="124" t="e">
        <f>VLOOKUP($M:$M,Data!$I:$J,2,FALSE)</f>
        <v>#N/A</v>
      </c>
      <c r="AB121" s="125"/>
    </row>
    <row r="122" ht="15.25" spans="12:28">
      <c r="L122" s="14">
        <f>COUNTA(G60)+L121</f>
        <v>90</v>
      </c>
      <c r="M122" s="83">
        <f>H60</f>
        <v>0</v>
      </c>
      <c r="N122" s="84" t="s">
        <v>7430</v>
      </c>
      <c r="O122" s="85">
        <v>34</v>
      </c>
      <c r="P122" s="85">
        <v>219</v>
      </c>
      <c r="Q122" s="110"/>
      <c r="R122" s="110"/>
      <c r="S122" s="110"/>
      <c r="T122" s="110"/>
      <c r="U122" s="85">
        <f>G60</f>
        <v>0</v>
      </c>
      <c r="V122" s="105"/>
      <c r="W122" s="106"/>
      <c r="X122" s="111" t="str">
        <f t="shared" si="38"/>
        <v/>
      </c>
      <c r="Y122" s="111" t="str">
        <f t="shared" si="38"/>
        <v/>
      </c>
      <c r="Z122" s="127"/>
      <c r="AA122" s="128" t="e">
        <f>VLOOKUP($M:$M,Data!$I:$J,2,FALSE)</f>
        <v>#N/A</v>
      </c>
      <c r="AB122" s="126"/>
    </row>
    <row r="123" spans="12:28">
      <c r="L123" s="6">
        <f>COUNTA(G54)+L122</f>
        <v>91</v>
      </c>
      <c r="M123" s="79" t="str">
        <f>H54</f>
        <v>25504 Hannes</v>
      </c>
      <c r="N123" s="80" t="s">
        <v>7430</v>
      </c>
      <c r="O123" s="81">
        <v>34</v>
      </c>
      <c r="P123" s="81">
        <v>220</v>
      </c>
      <c r="Q123" s="62" t="str">
        <f>_xlfn.IFS(COUNTA(G54:G56)=1,"Single",COUNTA(G54:G56)=2,"Double",COUNTA(G54:G56)=3,"Triple",COUNTA(G54:G56)=0,"Empty")</f>
        <v>Double</v>
      </c>
      <c r="R123" s="62"/>
      <c r="S123" s="62"/>
      <c r="T123" s="62"/>
      <c r="U123" s="81">
        <f>G54</f>
        <v>1</v>
      </c>
      <c r="V123" s="100">
        <f>COUNT(G54:G56)</f>
        <v>2</v>
      </c>
      <c r="W123" s="101"/>
      <c r="X123" s="108" t="str">
        <f>IF(I54=0,"",I54)</f>
        <v/>
      </c>
      <c r="Y123" s="108" t="str">
        <f>IF(J54=0,"",J54)</f>
        <v/>
      </c>
      <c r="Z123" s="120" t="s">
        <v>7274</v>
      </c>
      <c r="AA123" s="121" t="e">
        <f>VLOOKUP($M:$M,Data!$I:$J,2,FALSE)</f>
        <v>#N/A</v>
      </c>
      <c r="AB123" s="122"/>
    </row>
    <row r="124" spans="12:28">
      <c r="L124" s="9">
        <f>COUNTA(G55)+L123</f>
        <v>92</v>
      </c>
      <c r="M124" s="31" t="str">
        <f t="shared" ref="M124:M125" si="39">H55</f>
        <v>25509 Sam</v>
      </c>
      <c r="N124" s="82" t="s">
        <v>7430</v>
      </c>
      <c r="O124" s="36">
        <v>34</v>
      </c>
      <c r="P124" s="36">
        <v>220</v>
      </c>
      <c r="Q124" s="32"/>
      <c r="R124" s="32"/>
      <c r="S124" s="32"/>
      <c r="T124" s="32"/>
      <c r="U124" s="36">
        <f t="shared" ref="U124:U125" si="40">G55</f>
        <v>2</v>
      </c>
      <c r="V124" s="103"/>
      <c r="W124" s="104"/>
      <c r="X124" s="109" t="str">
        <f t="shared" ref="X124:Y125" si="41">IF(I55=0,"",I55)</f>
        <v/>
      </c>
      <c r="Y124" s="109" t="str">
        <f t="shared" si="41"/>
        <v/>
      </c>
      <c r="Z124" s="123" t="s">
        <v>6728</v>
      </c>
      <c r="AA124" s="124" t="e">
        <f>VLOOKUP($M:$M,Data!$I:$J,2,FALSE)</f>
        <v>#N/A</v>
      </c>
      <c r="AB124" s="125"/>
    </row>
    <row r="125" ht="15.25" spans="12:28">
      <c r="L125" s="14">
        <f>COUNTA(G56)+L124</f>
        <v>92</v>
      </c>
      <c r="M125" s="83">
        <f t="shared" si="39"/>
        <v>0</v>
      </c>
      <c r="N125" s="84" t="s">
        <v>7430</v>
      </c>
      <c r="O125" s="85">
        <v>34</v>
      </c>
      <c r="P125" s="85">
        <v>220</v>
      </c>
      <c r="Q125" s="110"/>
      <c r="R125" s="110"/>
      <c r="S125" s="110"/>
      <c r="T125" s="110"/>
      <c r="U125" s="85">
        <f t="shared" si="40"/>
        <v>0</v>
      </c>
      <c r="V125" s="105"/>
      <c r="W125" s="106"/>
      <c r="X125" s="111" t="str">
        <f t="shared" si="41"/>
        <v/>
      </c>
      <c r="Y125" s="111" t="str">
        <f t="shared" si="41"/>
        <v/>
      </c>
      <c r="Z125" s="127"/>
      <c r="AA125" s="128" t="e">
        <f>VLOOKUP($M:$M,Data!$I:$J,2,FALSE)</f>
        <v>#N/A</v>
      </c>
      <c r="AB125" s="126"/>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6:T8"/>
    <mergeCell ref="V6:W8"/>
    <mergeCell ref="Q15:T17"/>
    <mergeCell ref="V15:W17"/>
    <mergeCell ref="Q18:T20"/>
    <mergeCell ref="V18:W20"/>
    <mergeCell ref="Q9:T11"/>
    <mergeCell ref="V9:W11"/>
    <mergeCell ref="Q12:T14"/>
    <mergeCell ref="V12:W14"/>
    <mergeCell ref="Q30:T32"/>
    <mergeCell ref="V30:W32"/>
    <mergeCell ref="Q33:T35"/>
    <mergeCell ref="V33:W35"/>
    <mergeCell ref="Q21:T23"/>
    <mergeCell ref="V21:W23"/>
    <mergeCell ref="Q24:T26"/>
    <mergeCell ref="V24:W26"/>
    <mergeCell ref="G26:J33"/>
    <mergeCell ref="Q27:T29"/>
    <mergeCell ref="V27:W29"/>
    <mergeCell ref="Q42:T44"/>
    <mergeCell ref="V42:W44"/>
    <mergeCell ref="Q45:T47"/>
    <mergeCell ref="V45:W47"/>
    <mergeCell ref="Q36:T38"/>
    <mergeCell ref="V36:W38"/>
    <mergeCell ref="Q39:T41"/>
    <mergeCell ref="V39:W41"/>
    <mergeCell ref="Q54:T56"/>
    <mergeCell ref="V54:W56"/>
    <mergeCell ref="Q57:T59"/>
    <mergeCell ref="V57:W59"/>
    <mergeCell ref="Q48:T50"/>
    <mergeCell ref="V48:W50"/>
    <mergeCell ref="Q51:T53"/>
    <mergeCell ref="V51:W53"/>
    <mergeCell ref="Q66:T68"/>
    <mergeCell ref="V66:W68"/>
    <mergeCell ref="Q69:T71"/>
    <mergeCell ref="V69:W71"/>
    <mergeCell ref="Q60:T62"/>
    <mergeCell ref="V60:W62"/>
    <mergeCell ref="Q63:T65"/>
    <mergeCell ref="V63:W65"/>
    <mergeCell ref="Q72:T74"/>
    <mergeCell ref="V72:W74"/>
    <mergeCell ref="G73:J80"/>
    <mergeCell ref="Q75:T77"/>
    <mergeCell ref="V75:W77"/>
    <mergeCell ref="Q78:T80"/>
    <mergeCell ref="V78:W80"/>
    <mergeCell ref="Q87:T89"/>
    <mergeCell ref="V87:W89"/>
    <mergeCell ref="Q90:T92"/>
    <mergeCell ref="V90:W92"/>
    <mergeCell ref="Q81:T83"/>
    <mergeCell ref="V81:W83"/>
    <mergeCell ref="Q84:T86"/>
    <mergeCell ref="V84:W86"/>
    <mergeCell ref="Q99:T101"/>
    <mergeCell ref="V99:W101"/>
    <mergeCell ref="Q102:T104"/>
    <mergeCell ref="V102:W104"/>
    <mergeCell ref="Q105:T107"/>
    <mergeCell ref="V105:W107"/>
    <mergeCell ref="Q93:T95"/>
    <mergeCell ref="V93:W95"/>
    <mergeCell ref="Q96:T98"/>
    <mergeCell ref="V96:W98"/>
    <mergeCell ref="Q117:T119"/>
    <mergeCell ref="V117:W119"/>
    <mergeCell ref="Q120:T122"/>
    <mergeCell ref="V120:W122"/>
    <mergeCell ref="Q123:T125"/>
    <mergeCell ref="V123:W125"/>
    <mergeCell ref="Q108:T110"/>
    <mergeCell ref="V108:W110"/>
    <mergeCell ref="Q111:T113"/>
    <mergeCell ref="V111:W113"/>
    <mergeCell ref="Q114:T116"/>
    <mergeCell ref="V114:W116"/>
  </mergeCells>
  <conditionalFormatting sqref="L6">
    <cfRule type="cellIs" dxfId="12" priority="532" operator="equal">
      <formula>0</formula>
    </cfRule>
  </conditionalFormatting>
  <conditionalFormatting sqref="B7:B9">
    <cfRule type="cellIs" dxfId="27" priority="515" operator="notEqual">
      <formula>0</formula>
    </cfRule>
    <cfRule type="expression" dxfId="28" priority="516">
      <formula>COUNTA(C7)&lt;&gt;0</formula>
    </cfRule>
  </conditionalFormatting>
  <conditionalFormatting sqref="B11:B13">
    <cfRule type="cellIs" dxfId="27" priority="513" operator="notEqual">
      <formula>0</formula>
    </cfRule>
    <cfRule type="expression" dxfId="28" priority="514">
      <formula>COUNTA(C11)&lt;&gt;0</formula>
    </cfRule>
  </conditionalFormatting>
  <conditionalFormatting sqref="B15:B17">
    <cfRule type="cellIs" dxfId="27" priority="507" operator="notEqual">
      <formula>0</formula>
    </cfRule>
    <cfRule type="expression" dxfId="28" priority="508">
      <formula>COUNTA(C15)&lt;&gt;0</formula>
    </cfRule>
  </conditionalFormatting>
  <conditionalFormatting sqref="B19:B21">
    <cfRule type="cellIs" dxfId="27" priority="505" operator="notEqual">
      <formula>0</formula>
    </cfRule>
    <cfRule type="expression" dxfId="28" priority="506">
      <formula>COUNTA(C19)&lt;&gt;0</formula>
    </cfRule>
  </conditionalFormatting>
  <conditionalFormatting sqref="B23:B25">
    <cfRule type="cellIs" dxfId="27" priority="499" operator="notEqual">
      <formula>0</formula>
    </cfRule>
    <cfRule type="expression" dxfId="28" priority="500">
      <formula>COUNTA(C23)&lt;&gt;0</formula>
    </cfRule>
  </conditionalFormatting>
  <conditionalFormatting sqref="B27:B29">
    <cfRule type="cellIs" dxfId="27" priority="497" operator="notEqual">
      <formula>0</formula>
    </cfRule>
    <cfRule type="expression" dxfId="28" priority="498">
      <formula>COUNTA(C27)&lt;&gt;0</formula>
    </cfRule>
  </conditionalFormatting>
  <conditionalFormatting sqref="B31:B33">
    <cfRule type="cellIs" dxfId="27" priority="495" operator="notEqual">
      <formula>0</formula>
    </cfRule>
    <cfRule type="expression" dxfId="28" priority="496">
      <formula>COUNTA(C31)&lt;&gt;0</formula>
    </cfRule>
  </conditionalFormatting>
  <conditionalFormatting sqref="B35:B37">
    <cfRule type="cellIs" dxfId="27" priority="493" operator="notEqual">
      <formula>0</formula>
    </cfRule>
    <cfRule type="expression" dxfId="28" priority="494">
      <formula>COUNTA(C35)&lt;&gt;0</formula>
    </cfRule>
  </conditionalFormatting>
  <conditionalFormatting sqref="B39:B41">
    <cfRule type="cellIs" dxfId="27" priority="487" operator="notEqual">
      <formula>0</formula>
    </cfRule>
    <cfRule type="expression" dxfId="28" priority="488">
      <formula>COUNTA(C39)&lt;&gt;0</formula>
    </cfRule>
  </conditionalFormatting>
  <conditionalFormatting sqref="B43:B45">
    <cfRule type="cellIs" dxfId="27" priority="485" operator="notEqual">
      <formula>0</formula>
    </cfRule>
    <cfRule type="expression" dxfId="28" priority="486">
      <formula>COUNTA(C43)&lt;&gt;0</formula>
    </cfRule>
  </conditionalFormatting>
  <conditionalFormatting sqref="B47:B49">
    <cfRule type="cellIs" dxfId="27" priority="479" operator="notEqual">
      <formula>0</formula>
    </cfRule>
    <cfRule type="expression" dxfId="28" priority="480">
      <formula>COUNTA(C47)&lt;&gt;0</formula>
    </cfRule>
  </conditionalFormatting>
  <conditionalFormatting sqref="B54:B56">
    <cfRule type="cellIs" dxfId="27" priority="455" operator="notEqual">
      <formula>0</formula>
    </cfRule>
    <cfRule type="expression" dxfId="28" priority="456">
      <formula>COUNTA(C54)&lt;&gt;0</formula>
    </cfRule>
  </conditionalFormatting>
  <conditionalFormatting sqref="B58:B60">
    <cfRule type="cellIs" dxfId="27" priority="453" operator="notEqual">
      <formula>0</formula>
    </cfRule>
    <cfRule type="expression" dxfId="28" priority="454">
      <formula>COUNTA(C58)&lt;&gt;0</formula>
    </cfRule>
  </conditionalFormatting>
  <conditionalFormatting sqref="B62:B64">
    <cfRule type="cellIs" dxfId="27" priority="447" operator="notEqual">
      <formula>0</formula>
    </cfRule>
    <cfRule type="expression" dxfId="28" priority="448">
      <formula>COUNTA(C62)&lt;&gt;0</formula>
    </cfRule>
  </conditionalFormatting>
  <conditionalFormatting sqref="B66:B68">
    <cfRule type="cellIs" dxfId="27" priority="445" operator="notEqual">
      <formula>0</formula>
    </cfRule>
    <cfRule type="expression" dxfId="28" priority="446">
      <formula>COUNTA(C66)&lt;&gt;0</formula>
    </cfRule>
  </conditionalFormatting>
  <conditionalFormatting sqref="B70:B72">
    <cfRule type="cellIs" dxfId="27" priority="439" operator="notEqual">
      <formula>0</formula>
    </cfRule>
    <cfRule type="expression" dxfId="28" priority="440">
      <formula>COUNTA(C70)&lt;&gt;0</formula>
    </cfRule>
  </conditionalFormatting>
  <conditionalFormatting sqref="B74:B76">
    <cfRule type="cellIs" dxfId="27" priority="437" operator="notEqual">
      <formula>0</formula>
    </cfRule>
    <cfRule type="expression" dxfId="28" priority="438">
      <formula>COUNTA(C74)&lt;&gt;0</formula>
    </cfRule>
  </conditionalFormatting>
  <conditionalFormatting sqref="B78:B80">
    <cfRule type="cellIs" dxfId="27" priority="435" operator="notEqual">
      <formula>0</formula>
    </cfRule>
    <cfRule type="expression" dxfId="28" priority="436">
      <formula>COUNTA(C78)&lt;&gt;0</formula>
    </cfRule>
  </conditionalFormatting>
  <conditionalFormatting sqref="B82:B84">
    <cfRule type="cellIs" dxfId="27" priority="433" operator="notEqual">
      <formula>0</formula>
    </cfRule>
    <cfRule type="expression" dxfId="28" priority="434">
      <formula>COUNTA(C82)&lt;&gt;0</formula>
    </cfRule>
  </conditionalFormatting>
  <conditionalFormatting sqref="B86:B88">
    <cfRule type="cellIs" dxfId="27" priority="427" operator="notEqual">
      <formula>0</formula>
    </cfRule>
    <cfRule type="expression" dxfId="28" priority="428">
      <formula>COUNTA(C86)&lt;&gt;0</formula>
    </cfRule>
  </conditionalFormatting>
  <conditionalFormatting sqref="B90:B92">
    <cfRule type="cellIs" dxfId="27" priority="425" operator="notEqual">
      <formula>0</formula>
    </cfRule>
    <cfRule type="expression" dxfId="28" priority="426">
      <formula>COUNTA(C90)&lt;&gt;0</formula>
    </cfRule>
  </conditionalFormatting>
  <conditionalFormatting sqref="B94:B96">
    <cfRule type="cellIs" dxfId="27" priority="419" operator="notEqual">
      <formula>0</formula>
    </cfRule>
    <cfRule type="expression" dxfId="28" priority="420">
      <formula>COUNTA(C94)&lt;&gt;0</formula>
    </cfRule>
  </conditionalFormatting>
  <conditionalFormatting sqref="C7:C9">
    <cfRule type="cellIs" dxfId="2" priority="519" operator="notEqual">
      <formula>0</formula>
    </cfRule>
  </conditionalFormatting>
  <conditionalFormatting sqref="C11:C13">
    <cfRule type="cellIs" dxfId="2" priority="520" operator="notEqual">
      <formula>0</formula>
    </cfRule>
  </conditionalFormatting>
  <conditionalFormatting sqref="C15:C17">
    <cfRule type="cellIs" dxfId="2" priority="521" operator="notEqual">
      <formula>0</formula>
    </cfRule>
  </conditionalFormatting>
  <conditionalFormatting sqref="C19:C21">
    <cfRule type="cellIs" dxfId="2" priority="522" operator="notEqual">
      <formula>0</formula>
    </cfRule>
  </conditionalFormatting>
  <conditionalFormatting sqref="C23:C25">
    <cfRule type="cellIs" dxfId="2" priority="523" operator="notEqual">
      <formula>0</formula>
    </cfRule>
  </conditionalFormatting>
  <conditionalFormatting sqref="C27:C29">
    <cfRule type="cellIs" dxfId="2" priority="524" operator="notEqual">
      <formula>0</formula>
    </cfRule>
  </conditionalFormatting>
  <conditionalFormatting sqref="C31:C33">
    <cfRule type="cellIs" dxfId="2" priority="525" operator="notEqual">
      <formula>0</formula>
    </cfRule>
  </conditionalFormatting>
  <conditionalFormatting sqref="C35:C37">
    <cfRule type="cellIs" dxfId="2" priority="526" operator="notEqual">
      <formula>0</formula>
    </cfRule>
  </conditionalFormatting>
  <conditionalFormatting sqref="C39:C41">
    <cfRule type="cellIs" dxfId="2" priority="527" operator="notEqual">
      <formula>0</formula>
    </cfRule>
  </conditionalFormatting>
  <conditionalFormatting sqref="C43:C45">
    <cfRule type="cellIs" dxfId="2" priority="528" operator="notEqual">
      <formula>0</formula>
    </cfRule>
  </conditionalFormatting>
  <conditionalFormatting sqref="C47:C49">
    <cfRule type="cellIs" dxfId="2" priority="529" operator="notEqual">
      <formula>0</formula>
    </cfRule>
  </conditionalFormatting>
  <conditionalFormatting sqref="C54:C56">
    <cfRule type="cellIs" dxfId="2" priority="459" operator="notEqual">
      <formula>0</formula>
    </cfRule>
  </conditionalFormatting>
  <conditionalFormatting sqref="C58:C60">
    <cfRule type="cellIs" dxfId="2" priority="460" operator="notEqual">
      <formula>0</formula>
    </cfRule>
  </conditionalFormatting>
  <conditionalFormatting sqref="C62:C64">
    <cfRule type="cellIs" dxfId="2" priority="461" operator="notEqual">
      <formula>0</formula>
    </cfRule>
  </conditionalFormatting>
  <conditionalFormatting sqref="C66:C68">
    <cfRule type="cellIs" dxfId="2" priority="462" operator="notEqual">
      <formula>0</formula>
    </cfRule>
  </conditionalFormatting>
  <conditionalFormatting sqref="C70:C72">
    <cfRule type="cellIs" dxfId="2" priority="463" operator="notEqual">
      <formula>0</formula>
    </cfRule>
  </conditionalFormatting>
  <conditionalFormatting sqref="C74:C76">
    <cfRule type="cellIs" dxfId="2" priority="464" operator="notEqual">
      <formula>0</formula>
    </cfRule>
  </conditionalFormatting>
  <conditionalFormatting sqref="C78:C80">
    <cfRule type="cellIs" dxfId="2" priority="465" operator="notEqual">
      <formula>0</formula>
    </cfRule>
  </conditionalFormatting>
  <conditionalFormatting sqref="C82:C84">
    <cfRule type="cellIs" dxfId="2" priority="466" operator="notEqual">
      <formula>0</formula>
    </cfRule>
  </conditionalFormatting>
  <conditionalFormatting sqref="C86:C88">
    <cfRule type="cellIs" dxfId="2" priority="467" operator="notEqual">
      <formula>0</formula>
    </cfRule>
  </conditionalFormatting>
  <conditionalFormatting sqref="C90:C92">
    <cfRule type="cellIs" dxfId="2" priority="468" operator="notEqual">
      <formula>0</formula>
    </cfRule>
  </conditionalFormatting>
  <conditionalFormatting sqref="C94:C96">
    <cfRule type="cellIs" dxfId="2" priority="469" operator="notEqual">
      <formula>0</formula>
    </cfRule>
  </conditionalFormatting>
  <conditionalFormatting sqref="D7:D9">
    <cfRule type="cellIs" dxfId="22" priority="394" operator="equal">
      <formula>""</formula>
    </cfRule>
    <cfRule type="cellIs" dxfId="22" priority="395" operator="greaterThan">
      <formula>TODAY()</formula>
    </cfRule>
    <cfRule type="expression" dxfId="14" priority="405">
      <formula>AND(D7&lt;TODAY(),E7="")</formula>
    </cfRule>
    <cfRule type="expression" dxfId="13" priority="406">
      <formula>E7&lt;TODAY()</formula>
    </cfRule>
    <cfRule type="expression" dxfId="14" priority="407">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401" operator="equal">
      <formula>0</formula>
    </cfRule>
    <cfRule type="cellIs" dxfId="29" priority="402" operator="lessThan">
      <formula>D7</formula>
    </cfRule>
    <cfRule type="expression" dxfId="13" priority="403">
      <formula>E7&lt;TODAY()</formula>
    </cfRule>
    <cfRule type="expression" dxfId="14" priority="404">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517" operator="notEqual">
      <formula>0</formula>
    </cfRule>
    <cfRule type="expression" dxfId="28" priority="518">
      <formula>COUNTA(H7)&lt;&gt;0</formula>
    </cfRule>
  </conditionalFormatting>
  <conditionalFormatting sqref="G11:G13">
    <cfRule type="cellIs" dxfId="27" priority="511" operator="notEqual">
      <formula>0</formula>
    </cfRule>
    <cfRule type="expression" dxfId="28" priority="512">
      <formula>COUNTA(H11)&lt;&gt;0</formula>
    </cfRule>
  </conditionalFormatting>
  <conditionalFormatting sqref="G15:G17">
    <cfRule type="cellIs" dxfId="27" priority="509" operator="notEqual">
      <formula>0</formula>
    </cfRule>
    <cfRule type="expression" dxfId="28" priority="510">
      <formula>COUNTA(H15)&lt;&gt;0</formula>
    </cfRule>
  </conditionalFormatting>
  <conditionalFormatting sqref="G19:G21">
    <cfRule type="cellIs" dxfId="27" priority="503" operator="notEqual">
      <formula>0</formula>
    </cfRule>
    <cfRule type="expression" dxfId="28" priority="504">
      <formula>COUNTA(H19)&lt;&gt;0</formula>
    </cfRule>
  </conditionalFormatting>
  <conditionalFormatting sqref="G23:G25">
    <cfRule type="cellIs" dxfId="27" priority="501" operator="notEqual">
      <formula>0</formula>
    </cfRule>
    <cfRule type="expression" dxfId="28" priority="502">
      <formula>COUNTA(H23)&lt;&gt;0</formula>
    </cfRule>
  </conditionalFormatting>
  <conditionalFormatting sqref="G35:G37">
    <cfRule type="cellIs" dxfId="27" priority="491" operator="notEqual">
      <formula>0</formula>
    </cfRule>
    <cfRule type="expression" dxfId="28" priority="492">
      <formula>COUNTA(H35)&lt;&gt;0</formula>
    </cfRule>
  </conditionalFormatting>
  <conditionalFormatting sqref="G39:G41">
    <cfRule type="cellIs" dxfId="27" priority="489" operator="notEqual">
      <formula>0</formula>
    </cfRule>
    <cfRule type="expression" dxfId="28" priority="490">
      <formula>COUNTA(H39)&lt;&gt;0</formula>
    </cfRule>
  </conditionalFormatting>
  <conditionalFormatting sqref="G43:G45">
    <cfRule type="cellIs" dxfId="27" priority="483" operator="notEqual">
      <formula>0</formula>
    </cfRule>
    <cfRule type="expression" dxfId="28" priority="484">
      <formula>COUNTA(H43)&lt;&gt;0</formula>
    </cfRule>
  </conditionalFormatting>
  <conditionalFormatting sqref="G47:G49">
    <cfRule type="cellIs" dxfId="27" priority="481" operator="notEqual">
      <formula>0</formula>
    </cfRule>
    <cfRule type="expression" dxfId="28" priority="482">
      <formula>COUNTA(H47)&lt;&gt;0</formula>
    </cfRule>
  </conditionalFormatting>
  <conditionalFormatting sqref="G54:G56">
    <cfRule type="cellIs" dxfId="27" priority="457" operator="notEqual">
      <formula>0</formula>
    </cfRule>
    <cfRule type="expression" dxfId="28" priority="458">
      <formula>COUNTA(H54)&lt;&gt;0</formula>
    </cfRule>
  </conditionalFormatting>
  <conditionalFormatting sqref="G58:G60">
    <cfRule type="cellIs" dxfId="27" priority="451" operator="notEqual">
      <formula>0</formula>
    </cfRule>
    <cfRule type="expression" dxfId="28" priority="452">
      <formula>COUNTA(H58)&lt;&gt;0</formula>
    </cfRule>
  </conditionalFormatting>
  <conditionalFormatting sqref="G62:G64">
    <cfRule type="cellIs" dxfId="27" priority="449" operator="notEqual">
      <formula>0</formula>
    </cfRule>
    <cfRule type="expression" dxfId="28" priority="450">
      <formula>COUNTA(H62)&lt;&gt;0</formula>
    </cfRule>
  </conditionalFormatting>
  <conditionalFormatting sqref="G66:G68">
    <cfRule type="cellIs" dxfId="27" priority="443" operator="notEqual">
      <formula>0</formula>
    </cfRule>
    <cfRule type="expression" dxfId="28" priority="444">
      <formula>COUNTA(H66)&lt;&gt;0</formula>
    </cfRule>
  </conditionalFormatting>
  <conditionalFormatting sqref="G70:G72">
    <cfRule type="cellIs" dxfId="27" priority="441" operator="notEqual">
      <formula>0</formula>
    </cfRule>
    <cfRule type="expression" dxfId="28" priority="442">
      <formula>COUNTA(H70)&lt;&gt;0</formula>
    </cfRule>
  </conditionalFormatting>
  <conditionalFormatting sqref="G82:G84">
    <cfRule type="cellIs" dxfId="27" priority="431" operator="notEqual">
      <formula>0</formula>
    </cfRule>
    <cfRule type="expression" dxfId="28" priority="432">
      <formula>COUNTA(H82)&lt;&gt;0</formula>
    </cfRule>
  </conditionalFormatting>
  <conditionalFormatting sqref="G86:G88">
    <cfRule type="cellIs" dxfId="27" priority="429" operator="notEqual">
      <formula>0</formula>
    </cfRule>
    <cfRule type="expression" dxfId="28" priority="430">
      <formula>COUNTA(H86)&lt;&gt;0</formula>
    </cfRule>
  </conditionalFormatting>
  <conditionalFormatting sqref="G90:G92">
    <cfRule type="cellIs" dxfId="27" priority="423" operator="notEqual">
      <formula>0</formula>
    </cfRule>
    <cfRule type="expression" dxfId="28" priority="424">
      <formula>COUNTA(H90)&lt;&gt;0</formula>
    </cfRule>
  </conditionalFormatting>
  <conditionalFormatting sqref="G94:G96">
    <cfRule type="cellIs" dxfId="27" priority="421" operator="notEqual">
      <formula>0</formula>
    </cfRule>
    <cfRule type="expression" dxfId="28" priority="422">
      <formula>COUNTA(H94)&lt;&gt;0</formula>
    </cfRule>
  </conditionalFormatting>
  <conditionalFormatting sqref="H7:H9">
    <cfRule type="cellIs" dxfId="2" priority="470" operator="notEqual">
      <formula>0</formula>
    </cfRule>
  </conditionalFormatting>
  <conditionalFormatting sqref="H11:H13">
    <cfRule type="cellIs" dxfId="2" priority="471" operator="notEqual">
      <formula>0</formula>
    </cfRule>
  </conditionalFormatting>
  <conditionalFormatting sqref="H15:H17">
    <cfRule type="cellIs" dxfId="2" priority="472" operator="notEqual">
      <formula>0</formula>
    </cfRule>
  </conditionalFormatting>
  <conditionalFormatting sqref="H19:H21">
    <cfRule type="cellIs" dxfId="2" priority="473" operator="notEqual">
      <formula>0</formula>
    </cfRule>
  </conditionalFormatting>
  <conditionalFormatting sqref="H23:H25">
    <cfRule type="cellIs" dxfId="2" priority="474" operator="notEqual">
      <formula>0</formula>
    </cfRule>
  </conditionalFormatting>
  <conditionalFormatting sqref="H35:H37">
    <cfRule type="cellIs" dxfId="2" priority="475" operator="notEqual">
      <formula>0</formula>
    </cfRule>
  </conditionalFormatting>
  <conditionalFormatting sqref="H39:H41">
    <cfRule type="cellIs" dxfId="2" priority="476" operator="notEqual">
      <formula>0</formula>
    </cfRule>
  </conditionalFormatting>
  <conditionalFormatting sqref="H43:H45">
    <cfRule type="cellIs" dxfId="2" priority="477" operator="notEqual">
      <formula>0</formula>
    </cfRule>
  </conditionalFormatting>
  <conditionalFormatting sqref="H47:H49">
    <cfRule type="cellIs" dxfId="2" priority="478" operator="notEqual">
      <formula>0</formula>
    </cfRule>
  </conditionalFormatting>
  <conditionalFormatting sqref="H54:H56">
    <cfRule type="cellIs" dxfId="2" priority="410" operator="notEqual">
      <formula>0</formula>
    </cfRule>
  </conditionalFormatting>
  <conditionalFormatting sqref="H58:H60">
    <cfRule type="cellIs" dxfId="2" priority="411" operator="notEqual">
      <formula>0</formula>
    </cfRule>
  </conditionalFormatting>
  <conditionalFormatting sqref="H62:H64">
    <cfRule type="cellIs" dxfId="2" priority="412" operator="notEqual">
      <formula>0</formula>
    </cfRule>
  </conditionalFormatting>
  <conditionalFormatting sqref="H66:H68">
    <cfRule type="cellIs" dxfId="2" priority="413" operator="notEqual">
      <formula>0</formula>
    </cfRule>
  </conditionalFormatting>
  <conditionalFormatting sqref="H70:H72">
    <cfRule type="cellIs" dxfId="2" priority="414" operator="notEqual">
      <formula>0</formula>
    </cfRule>
  </conditionalFormatting>
  <conditionalFormatting sqref="H82:H84">
    <cfRule type="cellIs" dxfId="2" priority="415" operator="notEqual">
      <formula>0</formula>
    </cfRule>
  </conditionalFormatting>
  <conditionalFormatting sqref="H86:H88">
    <cfRule type="cellIs" dxfId="2" priority="416" operator="notEqual">
      <formula>0</formula>
    </cfRule>
  </conditionalFormatting>
  <conditionalFormatting sqref="H90:H92">
    <cfRule type="cellIs" dxfId="2" priority="417" operator="notEqual">
      <formula>0</formula>
    </cfRule>
  </conditionalFormatting>
  <conditionalFormatting sqref="H94:H96">
    <cfRule type="cellIs" dxfId="2" priority="418"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533" operator="equal">
      <formula>L6</formula>
    </cfRule>
  </conditionalFormatting>
  <conditionalFormatting sqref="M$1:M$1048576">
    <cfRule type="cellIs" dxfId="12" priority="530" operator="equal">
      <formula>0</formula>
    </cfRule>
  </conditionalFormatting>
  <conditionalFormatting sqref="U6:U125">
    <cfRule type="cellIs" dxfId="12" priority="531" operator="equal">
      <formula>0</formula>
    </cfRule>
  </conditionalFormatting>
  <conditionalFormatting sqref="X6:X125">
    <cfRule type="expression" dxfId="13" priority="399">
      <formula>Y6&lt;TODAY()</formula>
    </cfRule>
    <cfRule type="expression" dxfId="14" priority="400">
      <formula>X6&lt;TODAY()</formula>
    </cfRule>
  </conditionalFormatting>
  <conditionalFormatting sqref="Y6:Y125">
    <cfRule type="expression" dxfId="15" priority="393">
      <formula>AND(Y6&lt;X6,X6&lt;&gt;"")</formula>
    </cfRule>
    <cfRule type="expression" dxfId="13" priority="396">
      <formula>Y6&lt;TODAY()</formula>
    </cfRule>
    <cfRule type="expression" dxfId="14" priority="397">
      <formula>AND(Y6&gt;TODAY(),X6="")</formula>
    </cfRule>
    <cfRule type="expression" dxfId="14" priority="398">
      <formula>X6&lt;TODAY()</formula>
    </cfRule>
  </conditionalFormatting>
  <conditionalFormatting sqref="AB6:AB125">
    <cfRule type="cellIs" dxfId="30" priority="409"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392" operator="equal">
      <formula>""</formula>
    </cfRule>
  </conditionalFormatting>
  <conditionalFormatting sqref="D8:E9">
    <cfRule type="cellIs" dxfId="2" priority="408"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workbookViewId="0">
      <pane ySplit="5" topLeftCell="A77" activePane="bottomLeft" state="frozen"/>
      <selection/>
      <selection pane="bottomLeft" activeCell="B51" sqref="B51:J96"/>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35.2818181818182"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7840</v>
      </c>
      <c r="D4" s="44"/>
      <c r="E4" s="44"/>
      <c r="F4" s="44"/>
      <c r="G4" s="44"/>
      <c r="H4" s="44"/>
      <c r="I4" s="44"/>
      <c r="J4" s="75"/>
      <c r="L4" s="73"/>
      <c r="M4" s="73">
        <f>Q4+R4*2+S4*3</f>
        <v>102</v>
      </c>
      <c r="N4" s="76"/>
      <c r="O4" s="73"/>
      <c r="P4" s="73">
        <f>SUM(Q4:S4)</f>
        <v>39</v>
      </c>
      <c r="Q4" s="96">
        <f>COUNTIFS(Q6:T125,"=Single")</f>
        <v>1</v>
      </c>
      <c r="R4" s="96">
        <f>COUNTIFS(Q6:T125,"=Double")</f>
        <v>13</v>
      </c>
      <c r="S4" s="96">
        <f>COUNTIFS(Q6:T125,"=Triple")</f>
        <v>25</v>
      </c>
      <c r="T4" s="96">
        <f>COUNTIFS(Q6:T125,"=Empty")</f>
        <v>1</v>
      </c>
      <c r="U4" s="73">
        <f>COUNTIFS(V6:W125,"=1")</f>
        <v>1</v>
      </c>
      <c r="V4" s="73">
        <f>COUNTIFS(V6:W125,"=2")</f>
        <v>13</v>
      </c>
      <c r="W4" s="73">
        <f>COUNTIFS(V6:W125,"=3")</f>
        <v>25</v>
      </c>
      <c r="X4" s="97"/>
      <c r="Y4" s="97"/>
      <c r="Z4" s="115">
        <f>COUNTA(Z6:Z130)</f>
        <v>104</v>
      </c>
      <c r="AA4" s="115">
        <f>COUNTA(AA6:AA130)-SUM(COUNTIF(AA6:AA130,{"#N/A"}))</f>
        <v>0</v>
      </c>
      <c r="AB4" s="116"/>
    </row>
    <row r="5" ht="15.25" spans="2:28">
      <c r="B5" s="45" t="s">
        <v>7427</v>
      </c>
      <c r="C5" s="45"/>
      <c r="D5" s="45"/>
      <c r="E5" s="45"/>
      <c r="G5" s="45" t="s">
        <v>7427</v>
      </c>
      <c r="H5" s="45"/>
      <c r="I5" s="45"/>
      <c r="J5" s="45"/>
      <c r="L5" s="77"/>
      <c r="M5" s="78"/>
      <c r="N5" s="77"/>
      <c r="O5" s="77"/>
      <c r="P5" s="77"/>
      <c r="Q5" s="96"/>
      <c r="R5" s="96"/>
      <c r="S5" s="96"/>
      <c r="T5" s="96"/>
      <c r="U5" s="98">
        <f>SUM(V6:W125)</f>
        <v>102</v>
      </c>
      <c r="V5" s="73" t="s">
        <v>7428</v>
      </c>
      <c r="W5" s="98">
        <f>U4+V4+W4</f>
        <v>39</v>
      </c>
      <c r="X5" s="99"/>
      <c r="Y5" s="99"/>
      <c r="Z5" s="117"/>
      <c r="AA5" s="118"/>
      <c r="AB5" s="119"/>
    </row>
    <row r="6" spans="2:28">
      <c r="B6" s="46">
        <v>101</v>
      </c>
      <c r="C6" s="47"/>
      <c r="D6" s="48" t="s">
        <v>6580</v>
      </c>
      <c r="E6" s="49" t="s">
        <v>6581</v>
      </c>
      <c r="G6" s="46">
        <v>120</v>
      </c>
      <c r="H6" s="47"/>
      <c r="I6" s="48" t="s">
        <v>6580</v>
      </c>
      <c r="J6" s="49" t="s">
        <v>6581</v>
      </c>
      <c r="L6" s="6">
        <f>COUNTA(B7)</f>
        <v>1</v>
      </c>
      <c r="M6" s="79" t="str">
        <f>C7</f>
        <v>14001 JOHAN</v>
      </c>
      <c r="N6" s="80" t="s">
        <v>7430</v>
      </c>
      <c r="O6" s="81">
        <v>35</v>
      </c>
      <c r="P6" s="81">
        <v>101</v>
      </c>
      <c r="Q6" s="81" t="str">
        <f>_xlfn.IFS(COUNTA(B7:B9)=1,"Single",COUNTA(B7:B9)=2,"Double",COUNTA(B7:B9)=3,"Triple",COUNTA(B7:B9)=0,"Empty")</f>
        <v>Triple</v>
      </c>
      <c r="R6" s="81"/>
      <c r="S6" s="81"/>
      <c r="T6" s="81"/>
      <c r="U6" s="81">
        <f>B7</f>
        <v>1</v>
      </c>
      <c r="V6" s="100">
        <f>COUNT(B7:B9)</f>
        <v>3</v>
      </c>
      <c r="W6" s="101"/>
      <c r="X6" s="102" t="str">
        <f>IF(D7=0,"",D7)</f>
        <v/>
      </c>
      <c r="Y6" s="108" t="str">
        <f t="shared" ref="X6:Y8" si="0">IF(E7=0,"",E7)</f>
        <v/>
      </c>
      <c r="Z6" s="120" t="s">
        <v>6632</v>
      </c>
      <c r="AA6" s="121" t="e">
        <f>VLOOKUP($M:$M,Data!$I:$J,2,FALSE)</f>
        <v>#N/A</v>
      </c>
      <c r="AB6" s="122"/>
    </row>
    <row r="7" spans="2:28">
      <c r="B7" s="50">
        <v>1</v>
      </c>
      <c r="C7" s="51" t="str">
        <f>VLOOKUP("35/101/1",Data!$A$2:$E$1425,3,FALSE)</f>
        <v>14001 JOHAN</v>
      </c>
      <c r="D7" s="52"/>
      <c r="E7" s="53"/>
      <c r="G7" s="50">
        <v>1</v>
      </c>
      <c r="H7" s="51" t="str">
        <f>VLOOKUP("35/120/1",Data!$A$2:$E$1425,3,FALSE)</f>
        <v>14401 WILIAM</v>
      </c>
      <c r="I7" s="52"/>
      <c r="J7" s="53"/>
      <c r="L7" s="9">
        <f>COUNTA(B8)+L6</f>
        <v>2</v>
      </c>
      <c r="M7" s="31">
        <f>C8</f>
        <v>0</v>
      </c>
      <c r="N7" s="82" t="s">
        <v>7430</v>
      </c>
      <c r="O7" s="36">
        <v>35</v>
      </c>
      <c r="P7" s="36">
        <v>101</v>
      </c>
      <c r="Q7" s="36"/>
      <c r="R7" s="36"/>
      <c r="S7" s="36"/>
      <c r="T7" s="36"/>
      <c r="U7" s="36">
        <f>B8</f>
        <v>2</v>
      </c>
      <c r="V7" s="103"/>
      <c r="W7" s="104"/>
      <c r="X7" s="52" t="str">
        <f t="shared" si="0"/>
        <v/>
      </c>
      <c r="Y7" s="109" t="str">
        <f t="shared" si="0"/>
        <v/>
      </c>
      <c r="Z7" s="317" t="s">
        <v>7258</v>
      </c>
      <c r="AA7" s="124" t="e">
        <f>VLOOKUP($M:$M,Data!$I:$J,2,FALSE)</f>
        <v>#N/A</v>
      </c>
      <c r="AB7" s="125"/>
    </row>
    <row r="8" ht="15.25" spans="2:28">
      <c r="B8" s="50">
        <v>2</v>
      </c>
      <c r="C8" s="51">
        <f>VLOOKUP("35/101/2",Data!$A$2:$E$1425,3,FALSE)</f>
        <v>0</v>
      </c>
      <c r="D8" s="54"/>
      <c r="E8" s="55"/>
      <c r="G8" s="50">
        <v>2</v>
      </c>
      <c r="H8" s="51" t="str">
        <f>VLOOKUP("35/120/2",Data!$A$2:$E$1425,3,FALSE)</f>
        <v>14402 ANTON</v>
      </c>
      <c r="I8" s="54"/>
      <c r="J8" s="55"/>
      <c r="L8" s="14">
        <f>COUNTA(B9)+L7</f>
        <v>3</v>
      </c>
      <c r="M8" s="83">
        <f>C9</f>
        <v>0</v>
      </c>
      <c r="N8" s="84" t="s">
        <v>7430</v>
      </c>
      <c r="O8" s="85">
        <v>35</v>
      </c>
      <c r="P8" s="85">
        <v>101</v>
      </c>
      <c r="Q8" s="85"/>
      <c r="R8" s="85"/>
      <c r="S8" s="85"/>
      <c r="T8" s="85"/>
      <c r="U8" s="85">
        <f>B9</f>
        <v>3</v>
      </c>
      <c r="V8" s="105"/>
      <c r="W8" s="106"/>
      <c r="X8" s="107" t="str">
        <f t="shared" si="0"/>
        <v/>
      </c>
      <c r="Y8" s="111" t="str">
        <f t="shared" si="0"/>
        <v/>
      </c>
      <c r="Z8" s="123" t="s">
        <v>6857</v>
      </c>
      <c r="AA8" s="124" t="e">
        <f>VLOOKUP($M:$M,Data!$I:$J,2,FALSE)</f>
        <v>#N/A</v>
      </c>
      <c r="AB8" s="126"/>
    </row>
    <row r="9" ht="15.25" spans="2:28">
      <c r="B9" s="50">
        <v>3</v>
      </c>
      <c r="C9" s="51">
        <f>VLOOKUP("35/101/3",Data!$A$2:$E$1425,3,FALSE)</f>
        <v>0</v>
      </c>
      <c r="D9" s="56"/>
      <c r="E9" s="57"/>
      <c r="G9" s="58">
        <v>3</v>
      </c>
      <c r="H9" s="59">
        <f>VLOOKUP("35/120/3",Data!$A$2:$E$1425,3,FALSE)</f>
        <v>0</v>
      </c>
      <c r="I9" s="56"/>
      <c r="J9" s="57"/>
      <c r="L9" s="6">
        <f>COUNTA(B11)+L8</f>
        <v>4</v>
      </c>
      <c r="M9" s="79" t="str">
        <f>C11</f>
        <v>14103 ELIAS</v>
      </c>
      <c r="N9" s="80" t="s">
        <v>7430</v>
      </c>
      <c r="O9" s="81">
        <v>35</v>
      </c>
      <c r="P9" s="81">
        <v>102</v>
      </c>
      <c r="Q9" s="62" t="str">
        <f>_xlfn.IFS(COUNTA(B11:B13)=1,"Single",COUNTA(B11:B13)=2,"Double",COUNTA(B11:B13)=3,"Triple",COUNTA(B11:B13)=0,"Empty")</f>
        <v>Triple</v>
      </c>
      <c r="R9" s="62"/>
      <c r="S9" s="62"/>
      <c r="T9" s="62"/>
      <c r="U9" s="81">
        <f>B11</f>
        <v>1</v>
      </c>
      <c r="V9" s="100">
        <f>COUNT(B11:B13)</f>
        <v>3</v>
      </c>
      <c r="W9" s="101"/>
      <c r="X9" s="108" t="str">
        <f t="shared" ref="X9:Y11" si="1">IF(D11=0,"",D11)</f>
        <v/>
      </c>
      <c r="Y9" s="108" t="str">
        <f t="shared" si="1"/>
        <v/>
      </c>
      <c r="Z9" s="120" t="s">
        <v>7841</v>
      </c>
      <c r="AA9" s="121" t="e">
        <f>VLOOKUP($M:$M,Data!$I:$J,2,FALSE)</f>
        <v>#N/A</v>
      </c>
      <c r="AB9" s="122"/>
    </row>
    <row r="10" spans="2:28">
      <c r="B10" s="60">
        <v>102</v>
      </c>
      <c r="C10" s="61"/>
      <c r="D10" s="62" t="s">
        <v>6580</v>
      </c>
      <c r="E10" s="8" t="s">
        <v>6581</v>
      </c>
      <c r="G10" s="46">
        <v>119</v>
      </c>
      <c r="H10" s="47"/>
      <c r="I10" s="48" t="s">
        <v>6580</v>
      </c>
      <c r="J10" s="49" t="s">
        <v>6581</v>
      </c>
      <c r="L10" s="9">
        <f>COUNTA(B12)+L9</f>
        <v>5</v>
      </c>
      <c r="M10" s="31" t="str">
        <f>C12</f>
        <v>14105 CARL</v>
      </c>
      <c r="N10" s="82" t="s">
        <v>7430</v>
      </c>
      <c r="O10" s="36">
        <v>35</v>
      </c>
      <c r="P10" s="36">
        <v>102</v>
      </c>
      <c r="Q10" s="32"/>
      <c r="R10" s="32"/>
      <c r="S10" s="32"/>
      <c r="T10" s="32"/>
      <c r="U10" s="36">
        <f>B12</f>
        <v>2</v>
      </c>
      <c r="V10" s="103"/>
      <c r="W10" s="104"/>
      <c r="X10" s="109" t="str">
        <f t="shared" si="1"/>
        <v/>
      </c>
      <c r="Y10" s="109" t="str">
        <f t="shared" si="1"/>
        <v/>
      </c>
      <c r="Z10" s="123" t="s">
        <v>6764</v>
      </c>
      <c r="AA10" s="124" t="e">
        <f>VLOOKUP($M:$M,Data!$I:$J,2,FALSE)</f>
        <v>#N/A</v>
      </c>
      <c r="AB10" s="125"/>
    </row>
    <row r="11" ht="15.25" spans="2:28">
      <c r="B11" s="50">
        <v>1</v>
      </c>
      <c r="C11" s="51" t="str">
        <f>VLOOKUP("35/102/1",Data!$A$2:$E$1425,3,FALSE)</f>
        <v>14103 ELIAS</v>
      </c>
      <c r="D11" s="52"/>
      <c r="E11" s="53"/>
      <c r="G11" s="50">
        <v>1</v>
      </c>
      <c r="H11" s="51" t="str">
        <f>VLOOKUP("35/119/1",Data!$A$2:$E$1425,3,FALSE)</f>
        <v>14002 THOMAS</v>
      </c>
      <c r="I11" s="52"/>
      <c r="J11" s="53"/>
      <c r="L11" s="14">
        <f>COUNTA(B13)+L10</f>
        <v>6</v>
      </c>
      <c r="M11" s="83">
        <f>C13</f>
        <v>0</v>
      </c>
      <c r="N11" s="84" t="s">
        <v>7430</v>
      </c>
      <c r="O11" s="85">
        <v>35</v>
      </c>
      <c r="P11" s="85">
        <v>102</v>
      </c>
      <c r="Q11" s="110"/>
      <c r="R11" s="110"/>
      <c r="S11" s="110"/>
      <c r="T11" s="110"/>
      <c r="U11" s="85">
        <f>B13</f>
        <v>3</v>
      </c>
      <c r="V11" s="105"/>
      <c r="W11" s="106"/>
      <c r="X11" s="111" t="str">
        <f t="shared" si="1"/>
        <v/>
      </c>
      <c r="Y11" s="111" t="str">
        <f t="shared" si="1"/>
        <v/>
      </c>
      <c r="Z11" s="127" t="s">
        <v>7300</v>
      </c>
      <c r="AA11" s="128" t="e">
        <f>VLOOKUP($M:$M,Data!$I:$J,2,FALSE)</f>
        <v>#N/A</v>
      </c>
      <c r="AB11" s="126"/>
    </row>
    <row r="12" spans="2:28">
      <c r="B12" s="50">
        <v>2</v>
      </c>
      <c r="C12" s="51" t="str">
        <f>VLOOKUP("35/102/2",Data!$A$2:$E$1425,3,FALSE)</f>
        <v>14105 CARL</v>
      </c>
      <c r="D12" s="54"/>
      <c r="E12" s="55"/>
      <c r="G12" s="50">
        <v>2</v>
      </c>
      <c r="H12" s="51" t="str">
        <f>VLOOKUP("35/119/2",Data!$A$2:$E$1425,3,FALSE)</f>
        <v>14205 RASMUS</v>
      </c>
      <c r="I12" s="54"/>
      <c r="J12" s="55"/>
      <c r="L12" s="6">
        <f>COUNTA(B15)+L11</f>
        <v>7</v>
      </c>
      <c r="M12" s="79" t="str">
        <f>C15</f>
        <v>14106 JESPER</v>
      </c>
      <c r="N12" s="80" t="s">
        <v>7430</v>
      </c>
      <c r="O12" s="81">
        <v>35</v>
      </c>
      <c r="P12" s="81">
        <v>103</v>
      </c>
      <c r="Q12" s="62" t="str">
        <f>_xlfn.IFS(COUNTA(B15:B17)=1,"Single",COUNTA(B15:B17)=2,"Double",COUNTA(B15:B17)=3,"Triple",COUNTA(B15:B17)=0,"Empty")</f>
        <v>Triple</v>
      </c>
      <c r="R12" s="62"/>
      <c r="S12" s="62"/>
      <c r="T12" s="62"/>
      <c r="U12" s="81">
        <f>B15</f>
        <v>1</v>
      </c>
      <c r="V12" s="100">
        <f>COUNT(B15:B17)</f>
        <v>3</v>
      </c>
      <c r="W12" s="101"/>
      <c r="X12" s="108" t="str">
        <f t="shared" ref="X12:Y14" si="2">IF(D15=0,"",D15)</f>
        <v/>
      </c>
      <c r="Y12" s="108" t="str">
        <f t="shared" si="2"/>
        <v/>
      </c>
      <c r="Z12" s="120" t="s">
        <v>7842</v>
      </c>
      <c r="AA12" s="121" t="e">
        <f>VLOOKUP($M:$M,Data!$I:$J,2,FALSE)</f>
        <v>#N/A</v>
      </c>
      <c r="AB12" s="122"/>
    </row>
    <row r="13" ht="15.25" spans="2:28">
      <c r="B13" s="58">
        <v>3</v>
      </c>
      <c r="C13" s="59">
        <f>VLOOKUP("35/102/3",Data!$A$2:$E$1425,3,FALSE)</f>
        <v>0</v>
      </c>
      <c r="D13" s="56"/>
      <c r="E13" s="57"/>
      <c r="G13" s="58">
        <v>3</v>
      </c>
      <c r="H13" s="59">
        <f>VLOOKUP("35/119/3",Data!$A$2:$E$1425,3,FALSE)</f>
        <v>0</v>
      </c>
      <c r="I13" s="56"/>
      <c r="J13" s="57"/>
      <c r="L13" s="9">
        <f>COUNTA(B16)+L12</f>
        <v>8</v>
      </c>
      <c r="M13" s="31" t="str">
        <f>C16</f>
        <v>14107 KARL</v>
      </c>
      <c r="N13" s="82" t="s">
        <v>7430</v>
      </c>
      <c r="O13" s="36">
        <v>35</v>
      </c>
      <c r="P13" s="36">
        <v>103</v>
      </c>
      <c r="Q13" s="32"/>
      <c r="R13" s="32"/>
      <c r="S13" s="32"/>
      <c r="T13" s="32"/>
      <c r="U13" s="36">
        <f>B16</f>
        <v>2</v>
      </c>
      <c r="V13" s="103"/>
      <c r="W13" s="104"/>
      <c r="X13" s="109" t="str">
        <f t="shared" si="2"/>
        <v/>
      </c>
      <c r="Y13" s="109" t="str">
        <f t="shared" si="2"/>
        <v/>
      </c>
      <c r="Z13" s="123" t="s">
        <v>6776</v>
      </c>
      <c r="AA13" s="124" t="e">
        <f>VLOOKUP($M:$M,Data!$I:$J,2,FALSE)</f>
        <v>#N/A</v>
      </c>
      <c r="AB13" s="125"/>
    </row>
    <row r="14" ht="15.25" spans="2:28">
      <c r="B14" s="63">
        <v>103</v>
      </c>
      <c r="C14" s="64"/>
      <c r="D14" s="65" t="s">
        <v>6580</v>
      </c>
      <c r="E14" s="66" t="s">
        <v>6581</v>
      </c>
      <c r="G14" s="46">
        <v>118</v>
      </c>
      <c r="H14" s="47"/>
      <c r="I14" s="48" t="s">
        <v>6580</v>
      </c>
      <c r="J14" s="49" t="s">
        <v>6581</v>
      </c>
      <c r="L14" s="14">
        <f>COUNTA(B17)+L13</f>
        <v>9</v>
      </c>
      <c r="M14" s="83">
        <f>C17</f>
        <v>0</v>
      </c>
      <c r="N14" s="84" t="s">
        <v>7430</v>
      </c>
      <c r="O14" s="85">
        <v>35</v>
      </c>
      <c r="P14" s="85">
        <v>103</v>
      </c>
      <c r="Q14" s="110"/>
      <c r="R14" s="110"/>
      <c r="S14" s="110"/>
      <c r="T14" s="110"/>
      <c r="U14" s="85">
        <f>B17</f>
        <v>3</v>
      </c>
      <c r="V14" s="105"/>
      <c r="W14" s="106"/>
      <c r="X14" s="111" t="str">
        <f t="shared" si="2"/>
        <v/>
      </c>
      <c r="Y14" s="111" t="str">
        <f t="shared" si="2"/>
        <v/>
      </c>
      <c r="Z14" s="127" t="s">
        <v>6665</v>
      </c>
      <c r="AA14" s="128" t="e">
        <f>VLOOKUP($M:$M,Data!$I:$J,2,FALSE)</f>
        <v>#N/A</v>
      </c>
      <c r="AB14" s="126"/>
    </row>
    <row r="15" spans="2:28">
      <c r="B15" s="50">
        <v>1</v>
      </c>
      <c r="C15" s="51" t="str">
        <f>VLOOKUP("35/103/1",Data!$A$2:$E$1425,3,FALSE)</f>
        <v>14106 JESPER</v>
      </c>
      <c r="D15" s="52"/>
      <c r="E15" s="53"/>
      <c r="G15" s="50">
        <v>1</v>
      </c>
      <c r="H15" s="51" t="str">
        <f>VLOOKUP("35/118/1",Data!$A$2:$E$1425,3,FALSE)</f>
        <v>14109 ALEXANDER</v>
      </c>
      <c r="I15" s="52"/>
      <c r="J15" s="53"/>
      <c r="L15" s="6">
        <f>COUNTA(B19)+L14</f>
        <v>10</v>
      </c>
      <c r="M15" s="79" t="str">
        <f>C19</f>
        <v>14204 AXEL</v>
      </c>
      <c r="N15" s="80" t="s">
        <v>7430</v>
      </c>
      <c r="O15" s="81">
        <v>35</v>
      </c>
      <c r="P15" s="81">
        <v>104</v>
      </c>
      <c r="Q15" s="62" t="str">
        <f>_xlfn.IFS(COUNTA(B19:B21)=1,"Single",COUNTA(B19:B21)=2,"Double",COUNTA(B19:B21)=3,"Triple",COUNTA(B19:B21)=0,"Empty")</f>
        <v>Triple</v>
      </c>
      <c r="R15" s="62"/>
      <c r="S15" s="62"/>
      <c r="T15" s="62"/>
      <c r="U15" s="81">
        <f>B19</f>
        <v>1</v>
      </c>
      <c r="V15" s="100">
        <f>COUNT(B19:B21)</f>
        <v>3</v>
      </c>
      <c r="W15" s="101"/>
      <c r="X15" s="108" t="str">
        <f>IF(D19=0,"",D19)</f>
        <v/>
      </c>
      <c r="Y15" s="108" t="str">
        <f>IF(E19=0,"",E19)</f>
        <v/>
      </c>
      <c r="Z15" s="120" t="s">
        <v>6719</v>
      </c>
      <c r="AA15" s="121" t="e">
        <f>VLOOKUP($M:$M,Data!$I:$J,2,FALSE)</f>
        <v>#N/A</v>
      </c>
      <c r="AB15" s="122"/>
    </row>
    <row r="16" spans="2:28">
      <c r="B16" s="50">
        <v>2</v>
      </c>
      <c r="C16" s="51" t="str">
        <f>VLOOKUP("35/103/2",Data!$A$2:$E$1425,3,FALSE)</f>
        <v>14107 KARL</v>
      </c>
      <c r="D16" s="54"/>
      <c r="E16" s="55"/>
      <c r="G16" s="50">
        <v>2</v>
      </c>
      <c r="H16" s="51" t="str">
        <f>VLOOKUP("35/118/2",Data!$A$2:$E$1425,3,FALSE)</f>
        <v>14111 SIMON</v>
      </c>
      <c r="I16" s="54"/>
      <c r="J16" s="55"/>
      <c r="L16" s="9">
        <f>COUNTA(B20)+L15</f>
        <v>11</v>
      </c>
      <c r="M16" s="31" t="str">
        <f>C20</f>
        <v>14206 EMIL</v>
      </c>
      <c r="N16" s="82" t="s">
        <v>7430</v>
      </c>
      <c r="O16" s="36">
        <v>35</v>
      </c>
      <c r="P16" s="36">
        <v>104</v>
      </c>
      <c r="Q16" s="32"/>
      <c r="R16" s="32"/>
      <c r="S16" s="32"/>
      <c r="T16" s="32"/>
      <c r="U16" s="36">
        <f>B20</f>
        <v>2</v>
      </c>
      <c r="V16" s="103"/>
      <c r="W16" s="104"/>
      <c r="X16" s="109" t="str">
        <f t="shared" ref="X16:Y17" si="3">IF(D20=0,"",D20)</f>
        <v/>
      </c>
      <c r="Y16" s="109" t="str">
        <f t="shared" si="3"/>
        <v/>
      </c>
      <c r="Z16" s="123" t="s">
        <v>7843</v>
      </c>
      <c r="AA16" s="124" t="e">
        <f>VLOOKUP($M:$M,Data!$I:$J,2,FALSE)</f>
        <v>#N/A</v>
      </c>
      <c r="AB16" s="125"/>
    </row>
    <row r="17" ht="15.25" spans="2:28">
      <c r="B17" s="58">
        <v>3</v>
      </c>
      <c r="C17" s="59">
        <f>VLOOKUP("35/103/3",Data!$A$2:$E$1425,3,FALSE)</f>
        <v>0</v>
      </c>
      <c r="D17" s="56"/>
      <c r="E17" s="57"/>
      <c r="G17" s="58">
        <v>3</v>
      </c>
      <c r="H17" s="59">
        <f>VLOOKUP("35/118/3",Data!$A$2:$E$1425,3,FALSE)</f>
        <v>0</v>
      </c>
      <c r="I17" s="56"/>
      <c r="J17" s="57"/>
      <c r="L17" s="14">
        <f>COUNTA(B21)+L16</f>
        <v>12</v>
      </c>
      <c r="M17" s="83">
        <f>C21</f>
        <v>0</v>
      </c>
      <c r="N17" s="84" t="s">
        <v>7430</v>
      </c>
      <c r="O17" s="85">
        <v>35</v>
      </c>
      <c r="P17" s="85">
        <v>104</v>
      </c>
      <c r="Q17" s="110"/>
      <c r="R17" s="110"/>
      <c r="S17" s="110"/>
      <c r="T17" s="110"/>
      <c r="U17" s="85">
        <f>B21</f>
        <v>3</v>
      </c>
      <c r="V17" s="105"/>
      <c r="W17" s="106"/>
      <c r="X17" s="111" t="str">
        <f t="shared" si="3"/>
        <v/>
      </c>
      <c r="Y17" s="111" t="str">
        <f t="shared" si="3"/>
        <v/>
      </c>
      <c r="Z17" s="127" t="s">
        <v>7302</v>
      </c>
      <c r="AA17" s="128" t="e">
        <f>VLOOKUP($M:$M,Data!$I:$J,2,FALSE)</f>
        <v>#N/A</v>
      </c>
      <c r="AB17" s="126"/>
    </row>
    <row r="18" spans="2:28">
      <c r="B18" s="46">
        <v>104</v>
      </c>
      <c r="C18" s="47"/>
      <c r="D18" s="48" t="s">
        <v>6580</v>
      </c>
      <c r="E18" s="49" t="s">
        <v>6581</v>
      </c>
      <c r="G18" s="46">
        <v>117</v>
      </c>
      <c r="H18" s="47"/>
      <c r="I18" s="48" t="s">
        <v>6580</v>
      </c>
      <c r="J18" s="49" t="s">
        <v>6581</v>
      </c>
      <c r="L18" s="6">
        <f>COUNTA(B23)+L17</f>
        <v>13</v>
      </c>
      <c r="M18" s="79" t="str">
        <f>C23</f>
        <v>14207 ADAM</v>
      </c>
      <c r="N18" s="80" t="s">
        <v>7430</v>
      </c>
      <c r="O18" s="81">
        <v>35</v>
      </c>
      <c r="P18" s="81">
        <v>105</v>
      </c>
      <c r="Q18" s="62" t="str">
        <f>_xlfn.IFS(COUNTA(B23:B25)=1,"Single",COUNTA(B23:B25)=2,"Double",COUNTA(B23:B25)=3,"Triple",COUNTA(B23:B25)=0,"Empty")</f>
        <v>Triple</v>
      </c>
      <c r="R18" s="62"/>
      <c r="S18" s="62"/>
      <c r="T18" s="62"/>
      <c r="U18" s="81">
        <f>B23</f>
        <v>1</v>
      </c>
      <c r="V18" s="100">
        <f>COUNT(B23:B25)</f>
        <v>3</v>
      </c>
      <c r="W18" s="101"/>
      <c r="X18" s="108" t="str">
        <f>IF(D23=0,"",D23)</f>
        <v/>
      </c>
      <c r="Y18" s="108" t="str">
        <f>IF(E23=0,"",E23)</f>
        <v/>
      </c>
      <c r="Z18" s="120" t="s">
        <v>7124</v>
      </c>
      <c r="AA18" s="121" t="e">
        <f>VLOOKUP($M:$M,Data!$I:$J,2,FALSE)</f>
        <v>#N/A</v>
      </c>
      <c r="AB18" s="122"/>
    </row>
    <row r="19" spans="2:28">
      <c r="B19" s="50">
        <v>1</v>
      </c>
      <c r="C19" s="51" t="str">
        <f>VLOOKUP("35/104/1",Data!$A$2:$E$1425,3,FALSE)</f>
        <v>14204 AXEL</v>
      </c>
      <c r="D19" s="52"/>
      <c r="E19" s="53"/>
      <c r="G19" s="50">
        <v>1</v>
      </c>
      <c r="H19" s="51" t="str">
        <f>VLOOKUP("35/117/1",Data!$A$2:$E$1425,3,FALSE)</f>
        <v>14108 AGNES</v>
      </c>
      <c r="I19" s="52"/>
      <c r="J19" s="53"/>
      <c r="L19" s="9">
        <f>COUNTA(B24)+L18</f>
        <v>14</v>
      </c>
      <c r="M19" s="31" t="str">
        <f>C24</f>
        <v>14208 VICTOR</v>
      </c>
      <c r="N19" s="82" t="s">
        <v>7430</v>
      </c>
      <c r="O19" s="36">
        <v>35</v>
      </c>
      <c r="P19" s="36">
        <v>105</v>
      </c>
      <c r="Q19" s="32"/>
      <c r="R19" s="32"/>
      <c r="S19" s="32"/>
      <c r="T19" s="32"/>
      <c r="U19" s="36">
        <f>B24</f>
        <v>2</v>
      </c>
      <c r="V19" s="103"/>
      <c r="W19" s="104"/>
      <c r="X19" s="109" t="str">
        <f t="shared" ref="X19:Y20" si="4">IF(D24=0,"",D24)</f>
        <v/>
      </c>
      <c r="Y19" s="109" t="str">
        <f t="shared" si="4"/>
        <v/>
      </c>
      <c r="Z19" s="123" t="s">
        <v>7219</v>
      </c>
      <c r="AA19" s="124" t="e">
        <f>VLOOKUP($M:$M,Data!$I:$J,2,FALSE)</f>
        <v>#N/A</v>
      </c>
      <c r="AB19" s="125"/>
    </row>
    <row r="20" ht="15.25" spans="2:28">
      <c r="B20" s="50">
        <v>2</v>
      </c>
      <c r="C20" s="51" t="str">
        <f>VLOOKUP("35/104/2",Data!$A$2:$E$1425,3,FALSE)</f>
        <v>14206 EMIL</v>
      </c>
      <c r="D20" s="54"/>
      <c r="E20" s="55"/>
      <c r="G20" s="50">
        <v>2</v>
      </c>
      <c r="H20" s="51" t="str">
        <f>VLOOKUP("35/117/2",Data!$A$2:$E$1425,3,FALSE)</f>
        <v>14104 AMANDA</v>
      </c>
      <c r="I20" s="54"/>
      <c r="J20" s="55"/>
      <c r="L20" s="14">
        <f>COUNTA(B25)+L19</f>
        <v>15</v>
      </c>
      <c r="M20" s="83">
        <f>C25</f>
        <v>0</v>
      </c>
      <c r="N20" s="84" t="s">
        <v>7430</v>
      </c>
      <c r="O20" s="85">
        <v>35</v>
      </c>
      <c r="P20" s="85">
        <v>105</v>
      </c>
      <c r="Q20" s="110"/>
      <c r="R20" s="110"/>
      <c r="S20" s="110"/>
      <c r="T20" s="110"/>
      <c r="U20" s="85">
        <f>B25</f>
        <v>3</v>
      </c>
      <c r="V20" s="105"/>
      <c r="W20" s="106"/>
      <c r="X20" s="111" t="str">
        <f t="shared" si="4"/>
        <v/>
      </c>
      <c r="Y20" s="111" t="str">
        <f t="shared" si="4"/>
        <v/>
      </c>
      <c r="Z20" s="127" t="s">
        <v>6879</v>
      </c>
      <c r="AA20" s="128" t="e">
        <f>VLOOKUP($M:$M,Data!$I:$J,2,FALSE)</f>
        <v>#N/A</v>
      </c>
      <c r="AB20" s="126"/>
    </row>
    <row r="21" ht="15.25" spans="2:28">
      <c r="B21" s="58">
        <v>3</v>
      </c>
      <c r="C21" s="59">
        <f>VLOOKUP("35/104/3",Data!$A$2:$E$1425,3,FALSE)</f>
        <v>0</v>
      </c>
      <c r="D21" s="56"/>
      <c r="E21" s="57"/>
      <c r="G21" s="58">
        <v>3</v>
      </c>
      <c r="H21" s="59">
        <f>VLOOKUP("35/117/3",Data!$A$2:$E$1425,3,FALSE)</f>
        <v>0</v>
      </c>
      <c r="I21" s="56"/>
      <c r="J21" s="57"/>
      <c r="L21" s="6">
        <f>COUNTA(B27)+L20</f>
        <v>16</v>
      </c>
      <c r="M21" s="79" t="str">
        <f>C27</f>
        <v>14209 JESPER</v>
      </c>
      <c r="N21" s="80" t="s">
        <v>7430</v>
      </c>
      <c r="O21" s="81">
        <v>35</v>
      </c>
      <c r="P21" s="81">
        <v>106</v>
      </c>
      <c r="Q21" s="62" t="str">
        <f>_xlfn.IFS(COUNTA(B27:B29)=1,"Single",COUNTA(B27:B29)=2,"Double",COUNTA(B27:B29)=3,"Triple",COUNTA(B27:B29)=0,"Empty")</f>
        <v>Triple</v>
      </c>
      <c r="R21" s="62"/>
      <c r="S21" s="62"/>
      <c r="T21" s="62"/>
      <c r="U21" s="81">
        <f>B27</f>
        <v>1</v>
      </c>
      <c r="V21" s="100">
        <f>COUNT(B27:B29)</f>
        <v>3</v>
      </c>
      <c r="W21" s="101"/>
      <c r="X21" s="108" t="str">
        <f>IF(D27=0,"",D27)</f>
        <v/>
      </c>
      <c r="Y21" s="108" t="str">
        <f>IF(E27=0,"",E27)</f>
        <v/>
      </c>
      <c r="Z21" s="120" t="s">
        <v>7844</v>
      </c>
      <c r="AA21" s="121" t="e">
        <f>VLOOKUP($M:$M,Data!$I:$J,2,FALSE)</f>
        <v>#N/A</v>
      </c>
      <c r="AB21" s="122"/>
    </row>
    <row r="22" spans="2:28">
      <c r="B22" s="46">
        <v>105</v>
      </c>
      <c r="C22" s="47"/>
      <c r="D22" s="48" t="s">
        <v>6580</v>
      </c>
      <c r="E22" s="49" t="s">
        <v>6581</v>
      </c>
      <c r="G22" s="46">
        <v>116</v>
      </c>
      <c r="H22" s="47"/>
      <c r="I22" s="48" t="s">
        <v>6580</v>
      </c>
      <c r="J22" s="49" t="s">
        <v>6581</v>
      </c>
      <c r="L22" s="9">
        <f>COUNTA(B28)+L21</f>
        <v>17</v>
      </c>
      <c r="M22" s="31" t="str">
        <f>C28</f>
        <v>14210 ZACHARIAS</v>
      </c>
      <c r="N22" s="82" t="s">
        <v>7430</v>
      </c>
      <c r="O22" s="36">
        <v>35</v>
      </c>
      <c r="P22" s="36">
        <v>106</v>
      </c>
      <c r="Q22" s="32"/>
      <c r="R22" s="32"/>
      <c r="S22" s="32"/>
      <c r="T22" s="32"/>
      <c r="U22" s="36">
        <f>B28</f>
        <v>2</v>
      </c>
      <c r="V22" s="103"/>
      <c r="W22" s="104"/>
      <c r="X22" s="109" t="str">
        <f t="shared" ref="X22:Y23" si="5">IF(D28=0,"",D28)</f>
        <v/>
      </c>
      <c r="Y22" s="109" t="str">
        <f t="shared" si="5"/>
        <v/>
      </c>
      <c r="Z22" s="123" t="s">
        <v>6652</v>
      </c>
      <c r="AA22" s="124" t="e">
        <f>VLOOKUP($M:$M,Data!$I:$J,2,FALSE)</f>
        <v>#N/A</v>
      </c>
      <c r="AB22" s="125"/>
    </row>
    <row r="23" ht="15.25" spans="2:28">
      <c r="B23" s="50">
        <v>1</v>
      </c>
      <c r="C23" s="51" t="str">
        <f>VLOOKUP("35/105/1",Data!$A$2:$E$1425,3,FALSE)</f>
        <v>14207 ADAM</v>
      </c>
      <c r="D23" s="52"/>
      <c r="E23" s="53"/>
      <c r="G23" s="50">
        <v>1</v>
      </c>
      <c r="H23" s="51" t="str">
        <f>VLOOKUP("35/116/1",Data!$A$2:$E$1425,3,FALSE)</f>
        <v>14203 SIGRID</v>
      </c>
      <c r="I23" s="52"/>
      <c r="J23" s="53"/>
      <c r="L23" s="14">
        <f>COUNTA(B29)+L22</f>
        <v>18</v>
      </c>
      <c r="M23" s="83">
        <f>C29</f>
        <v>0</v>
      </c>
      <c r="N23" s="84" t="s">
        <v>7430</v>
      </c>
      <c r="O23" s="85">
        <v>35</v>
      </c>
      <c r="P23" s="85">
        <v>106</v>
      </c>
      <c r="Q23" s="110"/>
      <c r="R23" s="110"/>
      <c r="S23" s="110"/>
      <c r="T23" s="110"/>
      <c r="U23" s="85">
        <f>B29</f>
        <v>3</v>
      </c>
      <c r="V23" s="105"/>
      <c r="W23" s="106"/>
      <c r="X23" s="111" t="str">
        <f t="shared" si="5"/>
        <v/>
      </c>
      <c r="Y23" s="111" t="str">
        <f t="shared" si="5"/>
        <v/>
      </c>
      <c r="Z23" s="127" t="s">
        <v>6774</v>
      </c>
      <c r="AA23" s="128" t="e">
        <f>VLOOKUP($M:$M,Data!$I:$J,2,FALSE)</f>
        <v>#N/A</v>
      </c>
      <c r="AB23" s="126"/>
    </row>
    <row r="24" spans="2:28">
      <c r="B24" s="50">
        <v>2</v>
      </c>
      <c r="C24" s="51" t="str">
        <f>VLOOKUP("35/105/2",Data!$A$2:$E$1425,3,FALSE)</f>
        <v>14208 VICTOR</v>
      </c>
      <c r="D24" s="54"/>
      <c r="E24" s="55"/>
      <c r="G24" s="50">
        <v>2</v>
      </c>
      <c r="H24" s="51" t="str">
        <f>VLOOKUP("35/116/2",Data!$A$2:$E$1425,3,FALSE)</f>
        <v>14615 VILMA</v>
      </c>
      <c r="I24" s="54"/>
      <c r="J24" s="55"/>
      <c r="L24" s="6">
        <f>COUNTA(B31)+L23</f>
        <v>19</v>
      </c>
      <c r="M24" s="79" t="str">
        <f>C31</f>
        <v>14304 ARVID</v>
      </c>
      <c r="N24" s="80" t="s">
        <v>7430</v>
      </c>
      <c r="O24" s="81">
        <v>35</v>
      </c>
      <c r="P24" s="81">
        <v>107</v>
      </c>
      <c r="Q24" s="62" t="str">
        <f>_xlfn.IFS(COUNTA(B31:B33)=1,"Single",COUNTA(B31:B33)=2,"Double",COUNTA(B31:B33)=3,"Triple",COUNTA(B31:B33)=0,"Empty")</f>
        <v>Triple</v>
      </c>
      <c r="R24" s="62"/>
      <c r="S24" s="62"/>
      <c r="T24" s="62"/>
      <c r="U24" s="81">
        <f>B31</f>
        <v>1</v>
      </c>
      <c r="V24" s="100">
        <f>COUNT(B31:B33)</f>
        <v>3</v>
      </c>
      <c r="W24" s="101"/>
      <c r="X24" s="108" t="str">
        <f>IF(D31=0,"",D31)</f>
        <v/>
      </c>
      <c r="Y24" s="108" t="str">
        <f>IF(E31=0,"",E31)</f>
        <v/>
      </c>
      <c r="Z24" s="120" t="s">
        <v>7119</v>
      </c>
      <c r="AA24" s="121" t="e">
        <f>VLOOKUP($M:$M,Data!$I:$J,2,FALSE)</f>
        <v>#N/A</v>
      </c>
      <c r="AB24" s="122"/>
    </row>
    <row r="25" ht="15.25" spans="2:28">
      <c r="B25" s="58">
        <v>3</v>
      </c>
      <c r="C25" s="59">
        <f>VLOOKUP("35/105/3",Data!$A$2:$E$1425,3,FALSE)</f>
        <v>0</v>
      </c>
      <c r="D25" s="56"/>
      <c r="E25" s="57"/>
      <c r="G25" s="58">
        <v>3</v>
      </c>
      <c r="H25" s="59">
        <f>VLOOKUP("35/116/3",Data!$A$2:$E$1425,3,FALSE)</f>
        <v>0</v>
      </c>
      <c r="I25" s="56"/>
      <c r="J25" s="57"/>
      <c r="L25" s="9">
        <f>COUNTA(B32)+L24</f>
        <v>20</v>
      </c>
      <c r="M25" s="31" t="str">
        <f>C32</f>
        <v>14308 ANDREAS</v>
      </c>
      <c r="N25" s="82" t="s">
        <v>7430</v>
      </c>
      <c r="O25" s="36">
        <v>35</v>
      </c>
      <c r="P25" s="36">
        <v>107</v>
      </c>
      <c r="Q25" s="32"/>
      <c r="R25" s="32"/>
      <c r="S25" s="32"/>
      <c r="T25" s="32"/>
      <c r="U25" s="36">
        <f>B32</f>
        <v>2</v>
      </c>
      <c r="V25" s="103"/>
      <c r="W25" s="104"/>
      <c r="X25" s="109" t="str">
        <f t="shared" ref="X25:Y26" si="6">IF(D32=0,"",D32)</f>
        <v/>
      </c>
      <c r="Y25" s="109" t="str">
        <f t="shared" si="6"/>
        <v/>
      </c>
      <c r="Z25" s="123" t="s">
        <v>6863</v>
      </c>
      <c r="AA25" s="124" t="e">
        <f>VLOOKUP($M:$M,Data!$I:$J,2,FALSE)</f>
        <v>#N/A</v>
      </c>
      <c r="AB25" s="125"/>
    </row>
    <row r="26" ht="15.25" spans="2:28">
      <c r="B26" s="46">
        <v>106</v>
      </c>
      <c r="C26" s="47"/>
      <c r="D26" s="48" t="s">
        <v>6580</v>
      </c>
      <c r="E26" s="49" t="s">
        <v>6581</v>
      </c>
      <c r="G26" s="67" t="s">
        <v>7435</v>
      </c>
      <c r="H26" s="68"/>
      <c r="I26" s="68"/>
      <c r="J26" s="86"/>
      <c r="L26" s="14">
        <f>COUNTA(B33)+L25</f>
        <v>21</v>
      </c>
      <c r="M26" s="83">
        <f>C33</f>
        <v>0</v>
      </c>
      <c r="N26" s="84" t="s">
        <v>7430</v>
      </c>
      <c r="O26" s="85">
        <v>35</v>
      </c>
      <c r="P26" s="85">
        <v>107</v>
      </c>
      <c r="Q26" s="110"/>
      <c r="R26" s="110"/>
      <c r="S26" s="110"/>
      <c r="T26" s="110"/>
      <c r="U26" s="85">
        <f>B33</f>
        <v>3</v>
      </c>
      <c r="V26" s="105"/>
      <c r="W26" s="106"/>
      <c r="X26" s="111" t="str">
        <f t="shared" si="6"/>
        <v/>
      </c>
      <c r="Y26" s="111" t="str">
        <f t="shared" si="6"/>
        <v/>
      </c>
      <c r="Z26" s="127" t="s">
        <v>7209</v>
      </c>
      <c r="AA26" s="128" t="e">
        <f>VLOOKUP($M:$M,Data!$I:$J,2,FALSE)</f>
        <v>#N/A</v>
      </c>
      <c r="AB26" s="126"/>
    </row>
    <row r="27" spans="2:28">
      <c r="B27" s="50">
        <v>1</v>
      </c>
      <c r="C27" s="51" t="str">
        <f>VLOOKUP("35/106/1",Data!$A$2:$E$1425,3,FALSE)</f>
        <v>14209 JESPER</v>
      </c>
      <c r="D27" s="52"/>
      <c r="E27" s="53"/>
      <c r="G27" s="69"/>
      <c r="H27" s="70"/>
      <c r="I27" s="70"/>
      <c r="J27" s="87"/>
      <c r="L27" s="6">
        <f>COUNTA(B35)+L26</f>
        <v>22</v>
      </c>
      <c r="M27" s="79" t="str">
        <f>C35</f>
        <v>14605 JESPER</v>
      </c>
      <c r="N27" s="80" t="s">
        <v>7430</v>
      </c>
      <c r="O27" s="81">
        <v>35</v>
      </c>
      <c r="P27" s="81">
        <v>108</v>
      </c>
      <c r="Q27" s="62" t="str">
        <f>_xlfn.IFS(COUNTA(B35:B37)=1,"Single",COUNTA(B35:B37)=2,"Double",COUNTA(B35:B37)=3,"Triple",COUNTA(B35:B37)=0,"Empty")</f>
        <v>Single</v>
      </c>
      <c r="R27" s="62"/>
      <c r="S27" s="62"/>
      <c r="T27" s="62"/>
      <c r="U27" s="81">
        <f>B35</f>
        <v>1</v>
      </c>
      <c r="V27" s="100">
        <f>COUNT(B35:B37)</f>
        <v>1</v>
      </c>
      <c r="W27" s="101"/>
      <c r="X27" s="108" t="str">
        <f>IF(D35=0,"",D35)</f>
        <v/>
      </c>
      <c r="Y27" s="108" t="str">
        <f>IF(E35=0,"",E35)</f>
        <v/>
      </c>
      <c r="Z27" s="120" t="s">
        <v>6792</v>
      </c>
      <c r="AA27" s="121" t="e">
        <f>VLOOKUP($M:$M,Data!$I:$J,2,FALSE)</f>
        <v>#N/A</v>
      </c>
      <c r="AB27" s="122"/>
    </row>
    <row r="28" spans="2:28">
      <c r="B28" s="50">
        <v>2</v>
      </c>
      <c r="C28" s="51" t="str">
        <f>VLOOKUP("35/106/2",Data!$A$2:$E$1425,3,FALSE)</f>
        <v>14210 ZACHARIAS</v>
      </c>
      <c r="D28" s="54"/>
      <c r="E28" s="55"/>
      <c r="G28" s="69"/>
      <c r="H28" s="70"/>
      <c r="I28" s="70"/>
      <c r="J28" s="87"/>
      <c r="L28" s="9">
        <f>COUNTA(B36)+L27</f>
        <v>22</v>
      </c>
      <c r="M28" s="31" t="str">
        <f>C36</f>
        <v>14307 JOHN</v>
      </c>
      <c r="N28" s="82" t="s">
        <v>7430</v>
      </c>
      <c r="O28" s="36">
        <v>35</v>
      </c>
      <c r="P28" s="36">
        <v>108</v>
      </c>
      <c r="Q28" s="32"/>
      <c r="R28" s="32"/>
      <c r="S28" s="32"/>
      <c r="T28" s="32"/>
      <c r="U28" s="36">
        <f>B36</f>
        <v>0</v>
      </c>
      <c r="V28" s="103"/>
      <c r="W28" s="104"/>
      <c r="X28" s="109" t="str">
        <f t="shared" ref="X28:Y29" si="7">IF(D36=0,"",D36)</f>
        <v/>
      </c>
      <c r="Y28" s="109" t="str">
        <f t="shared" si="7"/>
        <v/>
      </c>
      <c r="Z28" s="123" t="s">
        <v>6795</v>
      </c>
      <c r="AA28" s="124" t="e">
        <f>VLOOKUP($M:$M,Data!$I:$J,2,FALSE)</f>
        <v>#N/A</v>
      </c>
      <c r="AB28" s="125"/>
    </row>
    <row r="29" ht="15.25" spans="2:28">
      <c r="B29" s="58">
        <v>3</v>
      </c>
      <c r="C29" s="59">
        <f>VLOOKUP("35/106/3",Data!$A$2:$E$1425,3,FALSE)</f>
        <v>0</v>
      </c>
      <c r="D29" s="56"/>
      <c r="E29" s="57"/>
      <c r="G29" s="69"/>
      <c r="H29" s="70"/>
      <c r="I29" s="70"/>
      <c r="J29" s="87"/>
      <c r="L29" s="14">
        <f>COUNTA(B37)+L28</f>
        <v>22</v>
      </c>
      <c r="M29" s="83">
        <f>C37</f>
        <v>0</v>
      </c>
      <c r="N29" s="84" t="s">
        <v>7430</v>
      </c>
      <c r="O29" s="85">
        <v>35</v>
      </c>
      <c r="P29" s="85">
        <v>108</v>
      </c>
      <c r="Q29" s="110"/>
      <c r="R29" s="110"/>
      <c r="S29" s="110"/>
      <c r="T29" s="110"/>
      <c r="U29" s="85">
        <f>B37</f>
        <v>0</v>
      </c>
      <c r="V29" s="105"/>
      <c r="W29" s="106"/>
      <c r="X29" s="111" t="str">
        <f t="shared" si="7"/>
        <v/>
      </c>
      <c r="Y29" s="111" t="str">
        <f t="shared" si="7"/>
        <v/>
      </c>
      <c r="Z29" s="127" t="s">
        <v>6798</v>
      </c>
      <c r="AA29" s="128" t="e">
        <f>VLOOKUP($M:$M,Data!$I:$J,2,FALSE)</f>
        <v>#N/A</v>
      </c>
      <c r="AB29" s="126"/>
    </row>
    <row r="30" spans="2:28">
      <c r="B30" s="46">
        <v>107</v>
      </c>
      <c r="C30" s="47"/>
      <c r="D30" s="48" t="s">
        <v>6580</v>
      </c>
      <c r="E30" s="49" t="s">
        <v>6581</v>
      </c>
      <c r="G30" s="69"/>
      <c r="H30" s="70"/>
      <c r="I30" s="70"/>
      <c r="J30" s="87"/>
      <c r="L30" s="6">
        <f>COUNTA(B39)+L29</f>
        <v>23</v>
      </c>
      <c r="M30" s="79" t="str">
        <f>C39</f>
        <v>14501 FILIP</v>
      </c>
      <c r="N30" s="80" t="s">
        <v>7430</v>
      </c>
      <c r="O30" s="81">
        <v>35</v>
      </c>
      <c r="P30" s="81">
        <v>109</v>
      </c>
      <c r="Q30" s="62" t="str">
        <f>_xlfn.IFS(COUNTA(B39:B41)=1,"Single",COUNTA(B39:B41)=2,"Double",COUNTA(B39:B41)=3,"Triple",COUNTA(B39:B41)=0,"Empty")</f>
        <v>Triple</v>
      </c>
      <c r="R30" s="62"/>
      <c r="S30" s="62"/>
      <c r="T30" s="62"/>
      <c r="U30" s="81">
        <f>B39</f>
        <v>1</v>
      </c>
      <c r="V30" s="100">
        <f>COUNT(B39:B41)</f>
        <v>3</v>
      </c>
      <c r="W30" s="101"/>
      <c r="X30" s="108" t="str">
        <f>IF(D39=0,"",D39)</f>
        <v/>
      </c>
      <c r="Y30" s="108" t="str">
        <f>IF(E39=0,"",E39)</f>
        <v/>
      </c>
      <c r="Z30" s="120" t="s">
        <v>6861</v>
      </c>
      <c r="AA30" s="121" t="e">
        <f>VLOOKUP($M:$M,Data!$I:$J,2,FALSE)</f>
        <v>#N/A</v>
      </c>
      <c r="AB30" s="122"/>
    </row>
    <row r="31" spans="2:28">
      <c r="B31" s="50">
        <v>1</v>
      </c>
      <c r="C31" s="51" t="str">
        <f>VLOOKUP("35/107/1",Data!$A$2:$E$1425,3,FALSE)</f>
        <v>14304 ARVID</v>
      </c>
      <c r="D31" s="52"/>
      <c r="E31" s="53"/>
      <c r="G31" s="69"/>
      <c r="H31" s="70"/>
      <c r="I31" s="70"/>
      <c r="J31" s="87"/>
      <c r="L31" s="9">
        <f>COUNTA(B40)+L30</f>
        <v>24</v>
      </c>
      <c r="M31" s="31" t="str">
        <f>C40</f>
        <v>14507 KRISTOFFER</v>
      </c>
      <c r="N31" s="82" t="s">
        <v>7430</v>
      </c>
      <c r="O31" s="36">
        <v>35</v>
      </c>
      <c r="P31" s="36">
        <v>109</v>
      </c>
      <c r="Q31" s="32"/>
      <c r="R31" s="32"/>
      <c r="S31" s="32"/>
      <c r="T31" s="32"/>
      <c r="U31" s="36">
        <f>B40</f>
        <v>2</v>
      </c>
      <c r="V31" s="103"/>
      <c r="W31" s="104"/>
      <c r="X31" s="109" t="str">
        <f t="shared" ref="X31:Y32" si="8">IF(D40=0,"",D40)</f>
        <v/>
      </c>
      <c r="Y31" s="109" t="str">
        <f t="shared" si="8"/>
        <v/>
      </c>
      <c r="Z31" s="123" t="s">
        <v>7845</v>
      </c>
      <c r="AA31" s="124" t="e">
        <f>VLOOKUP($M:$M,Data!$I:$J,2,FALSE)</f>
        <v>#N/A</v>
      </c>
      <c r="AB31" s="125"/>
    </row>
    <row r="32" ht="15.25" spans="2:28">
      <c r="B32" s="50">
        <v>2</v>
      </c>
      <c r="C32" s="51" t="str">
        <f>VLOOKUP("35/107/2",Data!$A$2:$E$1425,3,FALSE)</f>
        <v>14308 ANDREAS</v>
      </c>
      <c r="D32" s="54"/>
      <c r="E32" s="55"/>
      <c r="G32" s="69"/>
      <c r="H32" s="70"/>
      <c r="I32" s="70"/>
      <c r="J32" s="87"/>
      <c r="L32" s="14">
        <f>COUNTA(B41)+L31</f>
        <v>25</v>
      </c>
      <c r="M32" s="83">
        <f>C41</f>
        <v>0</v>
      </c>
      <c r="N32" s="84" t="s">
        <v>7430</v>
      </c>
      <c r="O32" s="85">
        <v>35</v>
      </c>
      <c r="P32" s="85">
        <v>109</v>
      </c>
      <c r="Q32" s="110"/>
      <c r="R32" s="110"/>
      <c r="S32" s="110"/>
      <c r="T32" s="110"/>
      <c r="U32" s="85">
        <f>B41</f>
        <v>3</v>
      </c>
      <c r="V32" s="105"/>
      <c r="W32" s="106"/>
      <c r="X32" s="111" t="str">
        <f t="shared" si="8"/>
        <v/>
      </c>
      <c r="Y32" s="111" t="str">
        <f t="shared" si="8"/>
        <v/>
      </c>
      <c r="Z32" s="127" t="s">
        <v>6638</v>
      </c>
      <c r="AA32" s="128" t="e">
        <f>VLOOKUP($M:$M,Data!$I:$J,2,FALSE)</f>
        <v>#N/A</v>
      </c>
      <c r="AB32" s="126"/>
    </row>
    <row r="33" ht="15.25" spans="2:28">
      <c r="B33" s="58">
        <v>3</v>
      </c>
      <c r="C33" s="59">
        <f>VLOOKUP("35/107/3",Data!$A$2:$E$1425,3,FALSE)</f>
        <v>0</v>
      </c>
      <c r="D33" s="56"/>
      <c r="E33" s="57"/>
      <c r="G33" s="71"/>
      <c r="H33" s="72"/>
      <c r="I33" s="72"/>
      <c r="J33" s="88"/>
      <c r="L33" s="6">
        <f>COUNTA(B43)+L32</f>
        <v>26</v>
      </c>
      <c r="M33" s="79" t="str">
        <f>C43</f>
        <v>14503 ERIK</v>
      </c>
      <c r="N33" s="80" t="s">
        <v>7430</v>
      </c>
      <c r="O33" s="81">
        <v>35</v>
      </c>
      <c r="P33" s="81">
        <v>110</v>
      </c>
      <c r="Q33" s="62" t="str">
        <f>_xlfn.IFS(COUNTA(B43:B45)=1,"Single",COUNTA(B43:B45)=2,"Double",COUNTA(B43:B45)=3,"Triple",COUNTA(B43:B45)=0,"Empty")</f>
        <v>Triple</v>
      </c>
      <c r="R33" s="62"/>
      <c r="S33" s="62"/>
      <c r="T33" s="62"/>
      <c r="U33" s="81">
        <f>B43</f>
        <v>1</v>
      </c>
      <c r="V33" s="100">
        <f>COUNT(B43:B45)</f>
        <v>3</v>
      </c>
      <c r="W33" s="101"/>
      <c r="X33" s="108" t="str">
        <f>IF(D43=0,"",D43)</f>
        <v/>
      </c>
      <c r="Y33" s="108" t="str">
        <f>IF(E43=0,"",E43)</f>
        <v/>
      </c>
      <c r="Z33" s="120" t="s">
        <v>6848</v>
      </c>
      <c r="AA33" s="121" t="e">
        <f>VLOOKUP($M:$M,Data!$I:$J,2,FALSE)</f>
        <v>#N/A</v>
      </c>
      <c r="AB33" s="122"/>
    </row>
    <row r="34" spans="2:28">
      <c r="B34" s="46">
        <v>108</v>
      </c>
      <c r="C34" s="47"/>
      <c r="D34" s="48" t="s">
        <v>6580</v>
      </c>
      <c r="E34" s="49" t="s">
        <v>6581</v>
      </c>
      <c r="G34" s="46">
        <v>115</v>
      </c>
      <c r="H34" s="47"/>
      <c r="I34" s="48" t="s">
        <v>6580</v>
      </c>
      <c r="J34" s="49" t="s">
        <v>6581</v>
      </c>
      <c r="L34" s="9">
        <f>COUNTA(B44)+L33</f>
        <v>27</v>
      </c>
      <c r="M34" s="31" t="str">
        <f>C44</f>
        <v>14505 DANIEL </v>
      </c>
      <c r="N34" s="82" t="s">
        <v>7430</v>
      </c>
      <c r="O34" s="36">
        <v>35</v>
      </c>
      <c r="P34" s="36">
        <v>110</v>
      </c>
      <c r="Q34" s="32"/>
      <c r="R34" s="32"/>
      <c r="S34" s="32"/>
      <c r="T34" s="32"/>
      <c r="U34" s="36">
        <f>B44</f>
        <v>2</v>
      </c>
      <c r="V34" s="103"/>
      <c r="W34" s="104"/>
      <c r="X34" s="109" t="str">
        <f t="shared" ref="X34:Y35" si="9">IF(D44=0,"",D44)</f>
        <v/>
      </c>
      <c r="Y34" s="109" t="str">
        <f t="shared" si="9"/>
        <v/>
      </c>
      <c r="Z34" s="123" t="s">
        <v>6809</v>
      </c>
      <c r="AA34" s="124" t="e">
        <f>VLOOKUP($M:$M,Data!$I:$J,2,FALSE)</f>
        <v>#N/A</v>
      </c>
      <c r="AB34" s="125"/>
    </row>
    <row r="35" ht="15.25" spans="2:28">
      <c r="B35" s="50">
        <v>1</v>
      </c>
      <c r="C35" s="51" t="str">
        <f>VLOOKUP("35/108/1",Data!$A$2:$E$1425,3,FALSE)</f>
        <v>14605 JESPER</v>
      </c>
      <c r="D35" s="52"/>
      <c r="E35" s="53"/>
      <c r="G35" s="50">
        <v>1</v>
      </c>
      <c r="H35" s="51" t="str">
        <f>VLOOKUP("35/115/1",Data!$A$2:$E$1425,3,FALSE)</f>
        <v>14301 PONTUS</v>
      </c>
      <c r="I35" s="52"/>
      <c r="J35" s="53"/>
      <c r="L35" s="14">
        <f>COUNTA(B45)+L34</f>
        <v>28</v>
      </c>
      <c r="M35" s="83">
        <f>C45</f>
        <v>0</v>
      </c>
      <c r="N35" s="84" t="s">
        <v>7430</v>
      </c>
      <c r="O35" s="85">
        <v>35</v>
      </c>
      <c r="P35" s="85">
        <v>110</v>
      </c>
      <c r="Q35" s="110"/>
      <c r="R35" s="110"/>
      <c r="S35" s="110"/>
      <c r="T35" s="110"/>
      <c r="U35" s="85">
        <f>B45</f>
        <v>3</v>
      </c>
      <c r="V35" s="105"/>
      <c r="W35" s="106"/>
      <c r="X35" s="111" t="str">
        <f t="shared" si="9"/>
        <v/>
      </c>
      <c r="Y35" s="111" t="str">
        <f t="shared" si="9"/>
        <v/>
      </c>
      <c r="Z35" s="127" t="s">
        <v>6659</v>
      </c>
      <c r="AA35" s="128" t="e">
        <f>VLOOKUP($M:$M,Data!$I:$J,2,FALSE)</f>
        <v>#N/A</v>
      </c>
      <c r="AB35" s="126"/>
    </row>
    <row r="36" spans="2:28">
      <c r="B36" s="50"/>
      <c r="C36" s="51" t="str">
        <f>VLOOKUP("35/108/2",Data!$A$2:$E$1425,3,FALSE)</f>
        <v>14307 JOHN</v>
      </c>
      <c r="D36" s="54"/>
      <c r="E36" s="55"/>
      <c r="G36" s="50">
        <v>2</v>
      </c>
      <c r="H36" s="51" t="str">
        <f>VLOOKUP("35/115/2",Data!$A$2:$E$1425,3,FALSE)</f>
        <v>14305 ALEM</v>
      </c>
      <c r="I36" s="54"/>
      <c r="J36" s="55"/>
      <c r="L36" s="6">
        <f>COUNTA(B47)+L35</f>
        <v>29</v>
      </c>
      <c r="M36" s="79" t="str">
        <f>C47</f>
        <v>14701 JOHAN</v>
      </c>
      <c r="N36" s="80" t="s">
        <v>7430</v>
      </c>
      <c r="O36" s="81">
        <v>35</v>
      </c>
      <c r="P36" s="81">
        <v>111</v>
      </c>
      <c r="Q36" s="62" t="str">
        <f>_xlfn.IFS(COUNTA(B47:B49)=1,"Single",COUNTA(B47:B49)=2,"Double",COUNTA(B47:B49)=3,"Triple",COUNTA(B47:B49)=0,"Empty")</f>
        <v>Triple</v>
      </c>
      <c r="R36" s="62"/>
      <c r="S36" s="62"/>
      <c r="T36" s="62"/>
      <c r="U36" s="81">
        <f>B47</f>
        <v>1</v>
      </c>
      <c r="V36" s="100">
        <f>COUNT(B47:B49)</f>
        <v>3</v>
      </c>
      <c r="W36" s="101"/>
      <c r="X36" s="108" t="str">
        <f>IF(D47=0,"",D47)</f>
        <v/>
      </c>
      <c r="Y36" s="108" t="str">
        <f>IF(E47=0,"",E47)</f>
        <v/>
      </c>
      <c r="Z36" s="120" t="s">
        <v>6758</v>
      </c>
      <c r="AA36" s="121" t="e">
        <f>VLOOKUP($M:$M,Data!$I:$J,2,FALSE)</f>
        <v>#N/A</v>
      </c>
      <c r="AB36" s="122"/>
    </row>
    <row r="37" ht="15.25" spans="2:28">
      <c r="B37" s="58"/>
      <c r="C37" s="59">
        <f>VLOOKUP("35/108/3",Data!$A$2:$E$1425,3,FALSE)</f>
        <v>0</v>
      </c>
      <c r="D37" s="56"/>
      <c r="E37" s="57"/>
      <c r="G37" s="58">
        <v>3</v>
      </c>
      <c r="H37" s="59">
        <f>VLOOKUP("35/115/3",Data!$A$2:$E$1425,3,FALSE)</f>
        <v>0</v>
      </c>
      <c r="I37" s="56"/>
      <c r="J37" s="57"/>
      <c r="L37" s="9">
        <f>COUNTA(B48)+L36</f>
        <v>30</v>
      </c>
      <c r="M37" s="31" t="str">
        <f>C48</f>
        <v>14707 TIAM </v>
      </c>
      <c r="N37" s="82" t="s">
        <v>7430</v>
      </c>
      <c r="O37" s="36">
        <v>35</v>
      </c>
      <c r="P37" s="36">
        <v>111</v>
      </c>
      <c r="Q37" s="32"/>
      <c r="R37" s="32"/>
      <c r="S37" s="32"/>
      <c r="T37" s="32"/>
      <c r="U37" s="36">
        <f>B48</f>
        <v>2</v>
      </c>
      <c r="V37" s="103"/>
      <c r="W37" s="104"/>
      <c r="X37" s="109" t="str">
        <f t="shared" ref="X37:Y38" si="10">IF(D48=0,"",D48)</f>
        <v/>
      </c>
      <c r="Y37" s="109" t="str">
        <f t="shared" si="10"/>
        <v/>
      </c>
      <c r="Z37" s="123" t="s">
        <v>6730</v>
      </c>
      <c r="AA37" s="124" t="e">
        <f>VLOOKUP($M:$M,Data!$I:$J,2,FALSE)</f>
        <v>#N/A</v>
      </c>
      <c r="AB37" s="125"/>
    </row>
    <row r="38" ht="15.25" spans="2:28">
      <c r="B38" s="46">
        <v>109</v>
      </c>
      <c r="C38" s="47"/>
      <c r="D38" s="48" t="s">
        <v>6580</v>
      </c>
      <c r="E38" s="49" t="s">
        <v>6581</v>
      </c>
      <c r="G38" s="46">
        <v>114</v>
      </c>
      <c r="H38" s="47"/>
      <c r="I38" s="48" t="s">
        <v>6580</v>
      </c>
      <c r="J38" s="49" t="s">
        <v>6581</v>
      </c>
      <c r="L38" s="14">
        <f>COUNTA(B49)+L37</f>
        <v>31</v>
      </c>
      <c r="M38" s="83">
        <f>C49</f>
        <v>0</v>
      </c>
      <c r="N38" s="84" t="s">
        <v>7430</v>
      </c>
      <c r="O38" s="85">
        <v>35</v>
      </c>
      <c r="P38" s="85">
        <v>111</v>
      </c>
      <c r="Q38" s="110"/>
      <c r="R38" s="110"/>
      <c r="S38" s="110"/>
      <c r="T38" s="110"/>
      <c r="U38" s="85">
        <f>B49</f>
        <v>3</v>
      </c>
      <c r="V38" s="105"/>
      <c r="W38" s="106"/>
      <c r="X38" s="111" t="str">
        <f t="shared" si="10"/>
        <v/>
      </c>
      <c r="Y38" s="111" t="str">
        <f t="shared" si="10"/>
        <v/>
      </c>
      <c r="Z38" s="127" t="s">
        <v>6846</v>
      </c>
      <c r="AA38" s="128" t="e">
        <f>VLOOKUP($M:$M,Data!$I:$J,2,FALSE)</f>
        <v>#N/A</v>
      </c>
      <c r="AB38" s="126"/>
    </row>
    <row r="39" spans="2:28">
      <c r="B39" s="50">
        <v>1</v>
      </c>
      <c r="C39" s="51" t="str">
        <f>VLOOKUP("35/109/1",Data!$A$2:$E$1425,3,FALSE)</f>
        <v>14501 FILIP</v>
      </c>
      <c r="D39" s="52"/>
      <c r="E39" s="53"/>
      <c r="G39" s="50">
        <v>1</v>
      </c>
      <c r="H39" s="51" t="str">
        <f>VLOOKUP("35/114/1",Data!$A$2:$E$1425,3,FALSE)</f>
        <v>14601 SAMUEL</v>
      </c>
      <c r="I39" s="52"/>
      <c r="J39" s="53"/>
      <c r="L39" s="6">
        <f>COUNTA(G47)+L38</f>
        <v>32</v>
      </c>
      <c r="M39" s="79" t="str">
        <f>H47</f>
        <v>14504 CARL</v>
      </c>
      <c r="N39" s="80" t="s">
        <v>7430</v>
      </c>
      <c r="O39" s="81">
        <v>35</v>
      </c>
      <c r="P39" s="81">
        <v>112</v>
      </c>
      <c r="Q39" s="62" t="str">
        <f>_xlfn.IFS(COUNTA(G47:G49)=1,"Single",COUNTA(G47:G49)=2,"Double",COUNTA(G47:G49)=3,"Triple",COUNTA(G47:G49)=0,"Empty")</f>
        <v>Triple</v>
      </c>
      <c r="R39" s="62"/>
      <c r="S39" s="62"/>
      <c r="T39" s="62"/>
      <c r="U39" s="81">
        <f>G47</f>
        <v>1</v>
      </c>
      <c r="V39" s="100">
        <f>COUNT(G47:G49)</f>
        <v>3</v>
      </c>
      <c r="W39" s="101"/>
      <c r="X39" s="108" t="str">
        <f>IF(I47=0,"",I47)</f>
        <v/>
      </c>
      <c r="Y39" s="108" t="str">
        <f>IF(J47=0,"",J47)</f>
        <v/>
      </c>
      <c r="Z39" s="120" t="s">
        <v>7157</v>
      </c>
      <c r="AA39" s="121" t="e">
        <f>VLOOKUP($M:$M,Data!$I:$J,2,FALSE)</f>
        <v>#N/A</v>
      </c>
      <c r="AB39" s="122"/>
    </row>
    <row r="40" spans="2:28">
      <c r="B40" s="50">
        <v>2</v>
      </c>
      <c r="C40" s="51" t="str">
        <f>VLOOKUP("35/109/2",Data!$A$2:$E$1425,3,FALSE)</f>
        <v>14507 KRISTOFFER</v>
      </c>
      <c r="D40" s="54"/>
      <c r="E40" s="55"/>
      <c r="G40" s="50">
        <v>2</v>
      </c>
      <c r="H40" s="51" t="str">
        <f>VLOOKUP("35/114/2",Data!$A$2:$E$1425,3,FALSE)</f>
        <v>14602 ISAK</v>
      </c>
      <c r="I40" s="54"/>
      <c r="J40" s="55"/>
      <c r="L40" s="9">
        <f>COUNTA(G48)+L39</f>
        <v>33</v>
      </c>
      <c r="M40" s="31" t="str">
        <f>H48</f>
        <v>14508 WILLIAM</v>
      </c>
      <c r="N40" s="82" t="s">
        <v>7430</v>
      </c>
      <c r="O40" s="36">
        <v>35</v>
      </c>
      <c r="P40" s="36">
        <v>112</v>
      </c>
      <c r="Q40" s="32"/>
      <c r="R40" s="32"/>
      <c r="S40" s="32"/>
      <c r="T40" s="32"/>
      <c r="U40" s="36">
        <f>G48</f>
        <v>2</v>
      </c>
      <c r="V40" s="103"/>
      <c r="W40" s="104"/>
      <c r="X40" s="109" t="str">
        <f t="shared" ref="X40:Y41" si="11">IF(I48=0,"",I48)</f>
        <v/>
      </c>
      <c r="Y40" s="109" t="str">
        <f t="shared" si="11"/>
        <v/>
      </c>
      <c r="Z40" s="123" t="s">
        <v>6742</v>
      </c>
      <c r="AA40" s="124" t="e">
        <f>VLOOKUP($M:$M,Data!$I:$J,2,FALSE)</f>
        <v>#N/A</v>
      </c>
      <c r="AB40" s="125"/>
    </row>
    <row r="41" ht="15.25" spans="2:28">
      <c r="B41" s="58">
        <v>3</v>
      </c>
      <c r="C41" s="59">
        <f>VLOOKUP("35/109/3",Data!$A$2:$E$1425,3,FALSE)</f>
        <v>0</v>
      </c>
      <c r="D41" s="56"/>
      <c r="E41" s="57"/>
      <c r="G41" s="58"/>
      <c r="H41" s="59">
        <f>VLOOKUP("35/114/3",Data!$A$2:$E$1425,3,FALSE)</f>
        <v>0</v>
      </c>
      <c r="I41" s="56"/>
      <c r="J41" s="57"/>
      <c r="L41" s="14">
        <f>COUNTA(G49)+L40</f>
        <v>34</v>
      </c>
      <c r="M41" s="83">
        <f>H49</f>
        <v>0</v>
      </c>
      <c r="N41" s="84" t="s">
        <v>7430</v>
      </c>
      <c r="O41" s="85">
        <v>35</v>
      </c>
      <c r="P41" s="85">
        <v>112</v>
      </c>
      <c r="Q41" s="110"/>
      <c r="R41" s="110"/>
      <c r="S41" s="110"/>
      <c r="T41" s="110"/>
      <c r="U41" s="85">
        <f>G49</f>
        <v>3</v>
      </c>
      <c r="V41" s="105"/>
      <c r="W41" s="106"/>
      <c r="X41" s="111" t="str">
        <f t="shared" si="11"/>
        <v/>
      </c>
      <c r="Y41" s="111" t="str">
        <f t="shared" si="11"/>
        <v/>
      </c>
      <c r="Z41" s="127" t="s">
        <v>7270</v>
      </c>
      <c r="AA41" s="128" t="e">
        <f>VLOOKUP($M:$M,Data!$I:$J,2,FALSE)</f>
        <v>#N/A</v>
      </c>
      <c r="AB41" s="126"/>
    </row>
    <row r="42" spans="2:28">
      <c r="B42" s="46">
        <v>110</v>
      </c>
      <c r="C42" s="47"/>
      <c r="D42" s="48" t="s">
        <v>6580</v>
      </c>
      <c r="E42" s="49" t="s">
        <v>6581</v>
      </c>
      <c r="G42" s="46">
        <v>113</v>
      </c>
      <c r="H42" s="47"/>
      <c r="I42" s="48" t="s">
        <v>6580</v>
      </c>
      <c r="J42" s="49" t="s">
        <v>6581</v>
      </c>
      <c r="L42" s="6">
        <f>COUNTA(G43)+L41</f>
        <v>35</v>
      </c>
      <c r="M42" s="79" t="str">
        <f>H43</f>
        <v>14705 DISA</v>
      </c>
      <c r="N42" s="80" t="s">
        <v>7430</v>
      </c>
      <c r="O42" s="81">
        <v>35</v>
      </c>
      <c r="P42" s="81">
        <v>113</v>
      </c>
      <c r="Q42" s="62" t="str">
        <f>_xlfn.IFS(COUNTA(G43:G45)=1,"Single",COUNTA(G43:G45)=2,"Double",COUNTA(G43:G45)=3,"Triple",COUNTA(G43:G45)=0,"Empty")</f>
        <v>Triple</v>
      </c>
      <c r="R42" s="62"/>
      <c r="S42" s="62"/>
      <c r="T42" s="62"/>
      <c r="U42" s="81">
        <f>G43</f>
        <v>1</v>
      </c>
      <c r="V42" s="100">
        <f>COUNT(G43:G45)</f>
        <v>3</v>
      </c>
      <c r="W42" s="101"/>
      <c r="X42" s="108" t="str">
        <f>IF(I43=0,"",I43)</f>
        <v/>
      </c>
      <c r="Y42" s="108" t="str">
        <f>IF(J43=0,"",J43)</f>
        <v/>
      </c>
      <c r="Z42" s="120" t="s">
        <v>6777</v>
      </c>
      <c r="AA42" s="121" t="e">
        <f>VLOOKUP($M:$M,Data!$I:$J,2,FALSE)</f>
        <v>#N/A</v>
      </c>
      <c r="AB42" s="122"/>
    </row>
    <row r="43" spans="2:28">
      <c r="B43" s="50">
        <v>1</v>
      </c>
      <c r="C43" s="51" t="str">
        <f>VLOOKUP("35/110/1",Data!$A$2:$E$1425,3,FALSE)</f>
        <v>14503 ERIK</v>
      </c>
      <c r="D43" s="52"/>
      <c r="E43" s="53"/>
      <c r="G43" s="50">
        <v>1</v>
      </c>
      <c r="H43" s="51" t="str">
        <f>VLOOKUP("35/113/1",Data!$A$2:$E$1425,3,FALSE)</f>
        <v>14705 DISA</v>
      </c>
      <c r="I43" s="52"/>
      <c r="J43" s="53"/>
      <c r="L43" s="9">
        <f>COUNTA(G44)+L42</f>
        <v>36</v>
      </c>
      <c r="M43" s="31" t="str">
        <f>H44</f>
        <v>14706 AMANDA</v>
      </c>
      <c r="N43" s="82" t="s">
        <v>7430</v>
      </c>
      <c r="O43" s="36">
        <v>35</v>
      </c>
      <c r="P43" s="36">
        <v>113</v>
      </c>
      <c r="Q43" s="32"/>
      <c r="R43" s="32"/>
      <c r="S43" s="32"/>
      <c r="T43" s="32"/>
      <c r="U43" s="36">
        <f>G44</f>
        <v>2</v>
      </c>
      <c r="V43" s="103"/>
      <c r="W43" s="104"/>
      <c r="X43" s="109" t="str">
        <f t="shared" ref="X43:Y44" si="12">IF(I44=0,"",I44)</f>
        <v/>
      </c>
      <c r="Y43" s="109" t="str">
        <f t="shared" si="12"/>
        <v/>
      </c>
      <c r="Z43" s="123" t="s">
        <v>6806</v>
      </c>
      <c r="AA43" s="124" t="e">
        <f>VLOOKUP($M:$M,Data!$I:$J,2,FALSE)</f>
        <v>#N/A</v>
      </c>
      <c r="AB43" s="125"/>
    </row>
    <row r="44" ht="15.25" spans="2:28">
      <c r="B44" s="50">
        <v>2</v>
      </c>
      <c r="C44" s="51" t="str">
        <f>VLOOKUP("35/110/2",Data!$A$2:$E$1425,3,FALSE)</f>
        <v>14505 DANIEL </v>
      </c>
      <c r="D44" s="54"/>
      <c r="E44" s="55"/>
      <c r="G44" s="50">
        <v>2</v>
      </c>
      <c r="H44" s="51" t="str">
        <f>VLOOKUP("35/113/2",Data!$A$2:$E$1425,3,FALSE)</f>
        <v>14706 AMANDA</v>
      </c>
      <c r="I44" s="54"/>
      <c r="J44" s="55"/>
      <c r="L44" s="14">
        <f>COUNTA(G45)+L43</f>
        <v>37</v>
      </c>
      <c r="M44" s="83">
        <f>H45</f>
        <v>0</v>
      </c>
      <c r="N44" s="84" t="s">
        <v>7430</v>
      </c>
      <c r="O44" s="85">
        <v>35</v>
      </c>
      <c r="P44" s="85">
        <v>113</v>
      </c>
      <c r="Q44" s="110"/>
      <c r="R44" s="110"/>
      <c r="S44" s="110"/>
      <c r="T44" s="110"/>
      <c r="U44" s="85">
        <f>G45</f>
        <v>3</v>
      </c>
      <c r="V44" s="105"/>
      <c r="W44" s="106"/>
      <c r="X44" s="111" t="str">
        <f t="shared" si="12"/>
        <v/>
      </c>
      <c r="Y44" s="111" t="str">
        <f t="shared" si="12"/>
        <v/>
      </c>
      <c r="Z44" s="127" t="s">
        <v>7213</v>
      </c>
      <c r="AA44" s="128" t="e">
        <f>VLOOKUP($M:$M,Data!$I:$J,2,FALSE)</f>
        <v>#N/A</v>
      </c>
      <c r="AB44" s="126"/>
    </row>
    <row r="45" ht="15.25" spans="2:28">
      <c r="B45" s="58">
        <v>3</v>
      </c>
      <c r="C45" s="59">
        <f>VLOOKUP("35/110/3",Data!$A$2:$E$1425,3,FALSE)</f>
        <v>0</v>
      </c>
      <c r="D45" s="56"/>
      <c r="E45" s="57"/>
      <c r="G45" s="58">
        <v>3</v>
      </c>
      <c r="H45" s="59">
        <f>VLOOKUP("35/113/3",Data!$A$2:$E$1425,3,FALSE)</f>
        <v>0</v>
      </c>
      <c r="I45" s="56"/>
      <c r="J45" s="57"/>
      <c r="L45" s="6">
        <f>COUNTA(G39)+L44</f>
        <v>38</v>
      </c>
      <c r="M45" s="79" t="str">
        <f>H39</f>
        <v>14601 SAMUEL</v>
      </c>
      <c r="N45" s="80" t="s">
        <v>7430</v>
      </c>
      <c r="O45" s="81">
        <v>35</v>
      </c>
      <c r="P45" s="81">
        <v>114</v>
      </c>
      <c r="Q45" s="62" t="str">
        <f>_xlfn.IFS(COUNTA(G39:G41)=1,"Single",COUNTA(G39:G41)=2,"Double",COUNTA(G39:G41)=3,"Triple",COUNTA(G39:G41)=0,"Empty")</f>
        <v>Double</v>
      </c>
      <c r="R45" s="62"/>
      <c r="S45" s="62"/>
      <c r="T45" s="62"/>
      <c r="U45" s="81">
        <f>G39</f>
        <v>1</v>
      </c>
      <c r="V45" s="100">
        <f>COUNT(G39:G41)</f>
        <v>2</v>
      </c>
      <c r="W45" s="101"/>
      <c r="X45" s="108" t="str">
        <f>IF(I39=0,"",I39)</f>
        <v/>
      </c>
      <c r="Y45" s="108" t="str">
        <f>IF(J39=0,"",J39)</f>
        <v/>
      </c>
      <c r="Z45" s="120" t="s">
        <v>7235</v>
      </c>
      <c r="AA45" s="121" t="e">
        <f>VLOOKUP($M:$M,Data!$I:$J,2,FALSE)</f>
        <v>#N/A</v>
      </c>
      <c r="AB45" s="122"/>
    </row>
    <row r="46" spans="2:28">
      <c r="B46" s="46">
        <v>111</v>
      </c>
      <c r="C46" s="47"/>
      <c r="D46" s="48" t="s">
        <v>6580</v>
      </c>
      <c r="E46" s="49" t="s">
        <v>6581</v>
      </c>
      <c r="G46" s="46">
        <v>112</v>
      </c>
      <c r="H46" s="47"/>
      <c r="I46" s="48" t="s">
        <v>6580</v>
      </c>
      <c r="J46" s="49" t="s">
        <v>6581</v>
      </c>
      <c r="L46" s="9">
        <f>COUNTA(G40)+L45</f>
        <v>39</v>
      </c>
      <c r="M46" s="31" t="str">
        <f>H40</f>
        <v>14602 ISAK</v>
      </c>
      <c r="N46" s="82" t="s">
        <v>7430</v>
      </c>
      <c r="O46" s="36">
        <v>35</v>
      </c>
      <c r="P46" s="36">
        <v>114</v>
      </c>
      <c r="Q46" s="32"/>
      <c r="R46" s="32"/>
      <c r="S46" s="32"/>
      <c r="T46" s="32"/>
      <c r="U46" s="36">
        <f>G40</f>
        <v>2</v>
      </c>
      <c r="V46" s="103"/>
      <c r="W46" s="104"/>
      <c r="X46" s="109" t="str">
        <f t="shared" ref="X46:Y47" si="13">IF(I40=0,"",I40)</f>
        <v/>
      </c>
      <c r="Y46" s="109" t="str">
        <f t="shared" si="13"/>
        <v/>
      </c>
      <c r="Z46" s="123" t="s">
        <v>7177</v>
      </c>
      <c r="AA46" s="124" t="e">
        <f>VLOOKUP($M:$M,Data!$I:$J,2,FALSE)</f>
        <v>#N/A</v>
      </c>
      <c r="AB46" s="125"/>
    </row>
    <row r="47" ht="15.25" spans="2:28">
      <c r="B47" s="50">
        <v>1</v>
      </c>
      <c r="C47" s="51" t="str">
        <f>VLOOKUP("35/111/1",Data!$A$2:$E$1425,3,FALSE)</f>
        <v>14701 JOHAN</v>
      </c>
      <c r="D47" s="52"/>
      <c r="E47" s="53"/>
      <c r="G47" s="50">
        <v>1</v>
      </c>
      <c r="H47" s="51" t="str">
        <f>VLOOKUP("35/112/1",Data!$A$2:$E$1425,3,FALSE)</f>
        <v>14504 CARL</v>
      </c>
      <c r="I47" s="52"/>
      <c r="J47" s="53"/>
      <c r="L47" s="14">
        <f>COUNTA(G41)+L46</f>
        <v>39</v>
      </c>
      <c r="M47" s="83">
        <f>H41</f>
        <v>0</v>
      </c>
      <c r="N47" s="84" t="s">
        <v>7430</v>
      </c>
      <c r="O47" s="85">
        <v>35</v>
      </c>
      <c r="P47" s="85">
        <v>114</v>
      </c>
      <c r="Q47" s="110"/>
      <c r="R47" s="110"/>
      <c r="S47" s="110"/>
      <c r="T47" s="110"/>
      <c r="U47" s="85">
        <f>G41</f>
        <v>0</v>
      </c>
      <c r="V47" s="105"/>
      <c r="W47" s="106"/>
      <c r="X47" s="111" t="str">
        <f t="shared" si="13"/>
        <v/>
      </c>
      <c r="Y47" s="111" t="str">
        <f t="shared" si="13"/>
        <v/>
      </c>
      <c r="Z47" s="127"/>
      <c r="AA47" s="128" t="e">
        <f>VLOOKUP($M:$M,Data!$I:$J,2,FALSE)</f>
        <v>#N/A</v>
      </c>
      <c r="AB47" s="126"/>
    </row>
    <row r="48" spans="2:28">
      <c r="B48" s="50">
        <v>2</v>
      </c>
      <c r="C48" s="51" t="str">
        <f>VLOOKUP("35/111/2",Data!$A$2:$E$1425,3,FALSE)</f>
        <v>14707 TIAM </v>
      </c>
      <c r="D48" s="54"/>
      <c r="E48" s="55"/>
      <c r="G48" s="50">
        <v>2</v>
      </c>
      <c r="H48" s="51" t="str">
        <f>VLOOKUP("35/112/2",Data!$A$2:$E$1425,3,FALSE)</f>
        <v>14508 WILLIAM</v>
      </c>
      <c r="I48" s="54"/>
      <c r="J48" s="55"/>
      <c r="L48" s="6">
        <f>COUNTA(G35)+L47</f>
        <v>40</v>
      </c>
      <c r="M48" s="79" t="str">
        <f>H35</f>
        <v>14301 PONTUS</v>
      </c>
      <c r="N48" s="80" t="s">
        <v>7430</v>
      </c>
      <c r="O48" s="81">
        <v>35</v>
      </c>
      <c r="P48" s="81">
        <v>115</v>
      </c>
      <c r="Q48" s="62" t="str">
        <f>_xlfn.IFS(COUNTA(G35:G37)=1,"Single",COUNTA(G35:G37)=2,"Double",COUNTA(G35:G37)=3,"Triple",COUNTA(G35:G37)=0,"Empty")</f>
        <v>Triple</v>
      </c>
      <c r="R48" s="62"/>
      <c r="S48" s="62"/>
      <c r="T48" s="62"/>
      <c r="U48" s="81">
        <f>G35</f>
        <v>1</v>
      </c>
      <c r="V48" s="100">
        <f>COUNT(G35:G37)</f>
        <v>3</v>
      </c>
      <c r="W48" s="101"/>
      <c r="X48" s="108" t="str">
        <f>IF(I35=0,"",I35)</f>
        <v/>
      </c>
      <c r="Y48" s="108" t="str">
        <f>IF(J35=0,"",J35)</f>
        <v/>
      </c>
      <c r="Z48" s="120" t="s">
        <v>7846</v>
      </c>
      <c r="AA48" s="121" t="e">
        <f>VLOOKUP($M:$M,Data!$I:$J,2,FALSE)</f>
        <v>#N/A</v>
      </c>
      <c r="AB48" s="122"/>
    </row>
    <row r="49" ht="15.25" spans="2:28">
      <c r="B49" s="58">
        <v>3</v>
      </c>
      <c r="C49" s="59">
        <f>VLOOKUP("35/111/3",Data!$A$2:$E$1425,3,FALSE)</f>
        <v>0</v>
      </c>
      <c r="D49" s="56"/>
      <c r="E49" s="57"/>
      <c r="G49" s="58">
        <v>3</v>
      </c>
      <c r="H49" s="59">
        <f>VLOOKUP("35/112/3",Data!$A$2:$E$1425,3,FALSE)</f>
        <v>0</v>
      </c>
      <c r="I49" s="56"/>
      <c r="J49" s="57"/>
      <c r="L49" s="9">
        <f>COUNTA(G36)+L48</f>
        <v>41</v>
      </c>
      <c r="M49" s="31" t="str">
        <f>H36</f>
        <v>14305 ALEM</v>
      </c>
      <c r="N49" s="82" t="s">
        <v>7430</v>
      </c>
      <c r="O49" s="36">
        <v>35</v>
      </c>
      <c r="P49" s="36">
        <v>115</v>
      </c>
      <c r="Q49" s="32"/>
      <c r="R49" s="32"/>
      <c r="S49" s="32"/>
      <c r="T49" s="32"/>
      <c r="U49" s="36">
        <f>G36</f>
        <v>2</v>
      </c>
      <c r="V49" s="103"/>
      <c r="W49" s="104"/>
      <c r="X49" s="109" t="str">
        <f t="shared" ref="X49:Y50" si="14">IF(I36=0,"",I36)</f>
        <v/>
      </c>
      <c r="Y49" s="109" t="str">
        <f t="shared" si="14"/>
        <v/>
      </c>
      <c r="Z49" s="123" t="s">
        <v>7847</v>
      </c>
      <c r="AA49" s="124" t="e">
        <f>VLOOKUP($M:$M,Data!$I:$J,2,FALSE)</f>
        <v>#N/A</v>
      </c>
      <c r="AB49" s="125"/>
    </row>
    <row r="50" ht="15.25" spans="12:28">
      <c r="L50" s="14">
        <f>COUNTA(G37)+L49</f>
        <v>42</v>
      </c>
      <c r="M50" s="83">
        <f>H37</f>
        <v>0</v>
      </c>
      <c r="N50" s="84" t="s">
        <v>7430</v>
      </c>
      <c r="O50" s="85">
        <v>35</v>
      </c>
      <c r="P50" s="85">
        <v>115</v>
      </c>
      <c r="Q50" s="110"/>
      <c r="R50" s="110"/>
      <c r="S50" s="110"/>
      <c r="T50" s="110"/>
      <c r="U50" s="85">
        <f>G37</f>
        <v>3</v>
      </c>
      <c r="V50" s="105"/>
      <c r="W50" s="106"/>
      <c r="X50" s="111" t="str">
        <f t="shared" si="14"/>
        <v/>
      </c>
      <c r="Y50" s="111" t="str">
        <f t="shared" si="14"/>
        <v/>
      </c>
      <c r="Z50" s="127" t="s">
        <v>6927</v>
      </c>
      <c r="AA50" s="128" t="e">
        <f>VLOOKUP($M:$M,Data!$I:$J,2,FALSE)</f>
        <v>#N/A</v>
      </c>
      <c r="AB50" s="126"/>
    </row>
    <row r="51" spans="3:28">
      <c r="C51" s="1" t="s">
        <v>7848</v>
      </c>
      <c r="D51" s="1"/>
      <c r="E51" s="1"/>
      <c r="F51" s="1"/>
      <c r="G51" s="1"/>
      <c r="H51" s="1"/>
      <c r="I51" s="1"/>
      <c r="J51" s="89"/>
      <c r="L51" s="6">
        <f>COUNTA(G23)+L50</f>
        <v>43</v>
      </c>
      <c r="M51" s="79" t="str">
        <f>H23</f>
        <v>14203 SIGRID</v>
      </c>
      <c r="N51" s="80" t="s">
        <v>7430</v>
      </c>
      <c r="O51" s="81">
        <v>35</v>
      </c>
      <c r="P51" s="81">
        <v>116</v>
      </c>
      <c r="Q51" s="62" t="str">
        <f>_xlfn.IFS(COUNTA(G23:G25)=1,"Single",COUNTA(G23:G25)=2,"Double",COUNTA(G23:G25)=3,"Triple",COUNTA(G23:G25)=0,"Empty")</f>
        <v>Triple</v>
      </c>
      <c r="R51" s="62"/>
      <c r="S51" s="62"/>
      <c r="T51" s="62"/>
      <c r="U51" s="81">
        <f>G23</f>
        <v>1</v>
      </c>
      <c r="V51" s="100">
        <f>COUNT(G23:G25)</f>
        <v>3</v>
      </c>
      <c r="W51" s="101"/>
      <c r="X51" s="108" t="str">
        <f>IF(I23=0,"",I23)</f>
        <v/>
      </c>
      <c r="Y51" s="108" t="str">
        <f>IF(J23=0,"",J23)</f>
        <v/>
      </c>
      <c r="Z51" s="120" t="s">
        <v>6682</v>
      </c>
      <c r="AA51" s="121" t="e">
        <f>VLOOKUP($M:$M,Data!$I:$J,2,FALSE)</f>
        <v>#N/A</v>
      </c>
      <c r="AB51" s="122"/>
    </row>
    <row r="52" ht="15.25" spans="2:28">
      <c r="B52" s="45" t="s">
        <v>7427</v>
      </c>
      <c r="C52" s="45"/>
      <c r="D52" s="45"/>
      <c r="E52" s="45"/>
      <c r="G52" s="45" t="s">
        <v>7427</v>
      </c>
      <c r="H52" s="45"/>
      <c r="I52" s="45"/>
      <c r="J52" s="45"/>
      <c r="L52" s="9">
        <f>COUNTA(G24)+L51</f>
        <v>44</v>
      </c>
      <c r="M52" s="31" t="str">
        <f>H24</f>
        <v>14615 VILMA</v>
      </c>
      <c r="N52" s="82" t="s">
        <v>7430</v>
      </c>
      <c r="O52" s="36">
        <v>35</v>
      </c>
      <c r="P52" s="36">
        <v>116</v>
      </c>
      <c r="Q52" s="32"/>
      <c r="R52" s="32"/>
      <c r="S52" s="32"/>
      <c r="T52" s="32"/>
      <c r="U52" s="36">
        <f>G24</f>
        <v>2</v>
      </c>
      <c r="V52" s="103"/>
      <c r="W52" s="104"/>
      <c r="X52" s="109" t="str">
        <f t="shared" ref="X52:Y53" si="15">IF(I24=0,"",I24)</f>
        <v/>
      </c>
      <c r="Y52" s="109" t="str">
        <f t="shared" si="15"/>
        <v/>
      </c>
      <c r="Z52" s="123" t="s">
        <v>6867</v>
      </c>
      <c r="AA52" s="124" t="e">
        <f>VLOOKUP($M:$M,Data!$I:$J,2,FALSE)</f>
        <v>#N/A</v>
      </c>
      <c r="AB52" s="125"/>
    </row>
    <row r="53" ht="15.25" spans="2:28">
      <c r="B53" s="46">
        <v>201</v>
      </c>
      <c r="C53" s="47"/>
      <c r="D53" s="48" t="s">
        <v>6580</v>
      </c>
      <c r="E53" s="49" t="s">
        <v>6581</v>
      </c>
      <c r="G53" s="46">
        <v>220</v>
      </c>
      <c r="H53" s="47"/>
      <c r="I53" s="48" t="s">
        <v>6580</v>
      </c>
      <c r="J53" s="49" t="s">
        <v>6581</v>
      </c>
      <c r="L53" s="14">
        <f>COUNTA(G25)+L52</f>
        <v>45</v>
      </c>
      <c r="M53" s="83">
        <f>H25</f>
        <v>0</v>
      </c>
      <c r="N53" s="82" t="s">
        <v>7430</v>
      </c>
      <c r="O53" s="85">
        <v>35</v>
      </c>
      <c r="P53" s="85">
        <v>116</v>
      </c>
      <c r="Q53" s="110"/>
      <c r="R53" s="110"/>
      <c r="S53" s="110"/>
      <c r="T53" s="110"/>
      <c r="U53" s="85">
        <f>G25</f>
        <v>3</v>
      </c>
      <c r="V53" s="105"/>
      <c r="W53" s="106"/>
      <c r="X53" s="111" t="str">
        <f t="shared" si="15"/>
        <v/>
      </c>
      <c r="Y53" s="111" t="str">
        <f t="shared" si="15"/>
        <v/>
      </c>
      <c r="Z53" s="127" t="s">
        <v>6812</v>
      </c>
      <c r="AA53" s="128" t="e">
        <f>VLOOKUP($M:$M,Data!$I:$J,2,FALSE)</f>
        <v>#N/A</v>
      </c>
      <c r="AB53" s="126"/>
    </row>
    <row r="54" spans="2:28">
      <c r="B54" s="50">
        <v>1</v>
      </c>
      <c r="C54" s="51" t="str">
        <f>VLOOKUP("35/201/1",Data!$A$2:$E$1425,3,FALSE)</f>
        <v>11001 VIKTOR</v>
      </c>
      <c r="D54" s="52"/>
      <c r="E54" s="53"/>
      <c r="G54" s="50">
        <v>1</v>
      </c>
      <c r="H54" s="51" t="str">
        <f>VLOOKUP("35/220/1",Data!$A$2:$E$1425,3,FALSE)</f>
        <v>10001 JOHAN</v>
      </c>
      <c r="I54" s="52"/>
      <c r="J54" s="53"/>
      <c r="L54" s="6">
        <f>COUNTA(G19)+L53</f>
        <v>46</v>
      </c>
      <c r="M54" s="79" t="str">
        <f>H19</f>
        <v>14108 AGNES</v>
      </c>
      <c r="N54" s="80" t="s">
        <v>7430</v>
      </c>
      <c r="O54" s="81">
        <v>35</v>
      </c>
      <c r="P54" s="81">
        <v>117</v>
      </c>
      <c r="Q54" s="62" t="str">
        <f>_xlfn.IFS(COUNTA(G19:G21)=1,"Single",COUNTA(G19:G21)=2,"Double",COUNTA(G19:G21)=3,"Triple",COUNTA(G19:G21)=0,"Empty")</f>
        <v>Triple</v>
      </c>
      <c r="R54" s="62"/>
      <c r="S54" s="62"/>
      <c r="T54" s="62"/>
      <c r="U54" s="81">
        <f>G19</f>
        <v>1</v>
      </c>
      <c r="V54" s="100">
        <f>COUNT(G19:G21)</f>
        <v>3</v>
      </c>
      <c r="W54" s="101"/>
      <c r="X54" s="108" t="str">
        <f>IF(I19=0,"",I19)</f>
        <v/>
      </c>
      <c r="Y54" s="108" t="str">
        <f>IF(J19=0,"",J19)</f>
        <v/>
      </c>
      <c r="Z54" s="120" t="s">
        <v>7231</v>
      </c>
      <c r="AA54" s="121" t="e">
        <f>VLOOKUP($M:$M,Data!$I:$J,2,FALSE)</f>
        <v>#N/A</v>
      </c>
      <c r="AB54" s="122"/>
    </row>
    <row r="55" spans="2:28">
      <c r="B55" s="50">
        <v>2</v>
      </c>
      <c r="C55" s="51">
        <f>VLOOKUP("35/201/2",Data!$A$2:$E$1425,3,FALSE)</f>
        <v>0</v>
      </c>
      <c r="D55" s="54"/>
      <c r="E55" s="55"/>
      <c r="G55" s="50">
        <v>2</v>
      </c>
      <c r="H55" s="51">
        <f>VLOOKUP("35/220/2",Data!$A$2:$E$1425,3,FALSE)</f>
        <v>0</v>
      </c>
      <c r="I55" s="54"/>
      <c r="J55" s="55"/>
      <c r="L55" s="9">
        <f>COUNTA(G20)+L54</f>
        <v>47</v>
      </c>
      <c r="M55" s="31" t="str">
        <f>H20</f>
        <v>14104 AMANDA</v>
      </c>
      <c r="N55" s="82" t="s">
        <v>7430</v>
      </c>
      <c r="O55" s="36">
        <v>35</v>
      </c>
      <c r="P55" s="36">
        <v>117</v>
      </c>
      <c r="Q55" s="32"/>
      <c r="R55" s="32"/>
      <c r="S55" s="32"/>
      <c r="T55" s="32"/>
      <c r="U55" s="36">
        <f>G20</f>
        <v>2</v>
      </c>
      <c r="V55" s="103"/>
      <c r="W55" s="104"/>
      <c r="X55" s="109" t="str">
        <f t="shared" ref="X55:Y56" si="16">IF(I20=0,"",I20)</f>
        <v/>
      </c>
      <c r="Y55" s="109" t="str">
        <f t="shared" si="16"/>
        <v/>
      </c>
      <c r="Z55" s="123" t="s">
        <v>6770</v>
      </c>
      <c r="AA55" s="124" t="e">
        <f>VLOOKUP($M:$M,Data!$I:$J,2,FALSE)</f>
        <v>#N/A</v>
      </c>
      <c r="AB55" s="125"/>
    </row>
    <row r="56" ht="15.25" spans="2:28">
      <c r="B56" s="58"/>
      <c r="C56" s="59">
        <f>VLOOKUP("35/201/3",Data!$A$2:$E$1425,3,FALSE)</f>
        <v>0</v>
      </c>
      <c r="D56" s="56"/>
      <c r="E56" s="57"/>
      <c r="G56" s="58"/>
      <c r="H56" s="59">
        <f>VLOOKUP("35/220/3",Data!$A$2:$E$1425,3,FALSE)</f>
        <v>0</v>
      </c>
      <c r="I56" s="56"/>
      <c r="J56" s="57"/>
      <c r="L56" s="14">
        <f>COUNTA(G21)+L55</f>
        <v>48</v>
      </c>
      <c r="M56" s="83">
        <f>H21</f>
        <v>0</v>
      </c>
      <c r="N56" s="84" t="s">
        <v>7430</v>
      </c>
      <c r="O56" s="85">
        <v>35</v>
      </c>
      <c r="P56" s="85">
        <v>117</v>
      </c>
      <c r="Q56" s="110"/>
      <c r="R56" s="110"/>
      <c r="S56" s="110"/>
      <c r="T56" s="110"/>
      <c r="U56" s="85">
        <f>G21</f>
        <v>3</v>
      </c>
      <c r="V56" s="105"/>
      <c r="W56" s="106"/>
      <c r="X56" s="111" t="str">
        <f t="shared" si="16"/>
        <v/>
      </c>
      <c r="Y56" s="111" t="str">
        <f t="shared" si="16"/>
        <v/>
      </c>
      <c r="Z56" s="127" t="s">
        <v>6831</v>
      </c>
      <c r="AA56" s="128" t="e">
        <f>VLOOKUP($M:$M,Data!$I:$J,2,FALSE)</f>
        <v>#N/A</v>
      </c>
      <c r="AB56" s="126"/>
    </row>
    <row r="57" spans="2:28">
      <c r="B57" s="46">
        <v>202</v>
      </c>
      <c r="C57" s="47"/>
      <c r="D57" s="48" t="s">
        <v>6580</v>
      </c>
      <c r="E57" s="49" t="s">
        <v>6581</v>
      </c>
      <c r="G57" s="46">
        <v>219</v>
      </c>
      <c r="H57" s="47"/>
      <c r="I57" s="48" t="s">
        <v>6580</v>
      </c>
      <c r="J57" s="49" t="s">
        <v>6581</v>
      </c>
      <c r="L57" s="6">
        <f>COUNTA(G15)+L56</f>
        <v>49</v>
      </c>
      <c r="M57" s="79" t="str">
        <f>H15</f>
        <v>14109 ALEXANDER</v>
      </c>
      <c r="N57" s="80" t="s">
        <v>7430</v>
      </c>
      <c r="O57" s="81">
        <v>35</v>
      </c>
      <c r="P57" s="81">
        <v>118</v>
      </c>
      <c r="Q57" s="62" t="str">
        <f>_xlfn.IFS(COUNTA(G15:G17)=1,"Single",COUNTA(G15:G17)=2,"Double",COUNTA(G15:G17)=3,"Triple",COUNTA(G15:G17)=0,"Empty")</f>
        <v>Triple</v>
      </c>
      <c r="R57" s="62"/>
      <c r="S57" s="62"/>
      <c r="T57" s="62"/>
      <c r="U57" s="81">
        <f>G15</f>
        <v>1</v>
      </c>
      <c r="V57" s="100">
        <f>COUNT(G15:G17)</f>
        <v>3</v>
      </c>
      <c r="W57" s="101"/>
      <c r="X57" s="108" t="str">
        <f>IF(I15=0,"",I15)</f>
        <v/>
      </c>
      <c r="Y57" s="108" t="str">
        <f>IF(J15=0,"",J15)</f>
        <v/>
      </c>
      <c r="Z57" s="120" t="s">
        <v>7849</v>
      </c>
      <c r="AA57" s="121" t="e">
        <f>VLOOKUP($M:$M,Data!$I:$J,2,FALSE)</f>
        <v>#N/A</v>
      </c>
      <c r="AB57" s="122"/>
    </row>
    <row r="58" spans="2:28">
      <c r="B58" s="50">
        <v>1</v>
      </c>
      <c r="C58" s="51" t="str">
        <f>VLOOKUP("35/202/1",Data!$A$2:$E$1425,3,FALSE)</f>
        <v>11110 TOBIAS</v>
      </c>
      <c r="D58" s="52"/>
      <c r="E58" s="53"/>
      <c r="G58" s="50"/>
      <c r="H58" s="51" t="str">
        <f>VLOOKUP("35/219/1",Data!$A$2:$E$1425,3,FALSE)</f>
        <v>11101 KENNY </v>
      </c>
      <c r="I58" s="52"/>
      <c r="J58" s="53"/>
      <c r="L58" s="9">
        <f>COUNTA(G16)+L57</f>
        <v>50</v>
      </c>
      <c r="M58" s="31" t="str">
        <f>H16</f>
        <v>14111 SIMON</v>
      </c>
      <c r="N58" s="82" t="s">
        <v>7430</v>
      </c>
      <c r="O58" s="36">
        <v>35</v>
      </c>
      <c r="P58" s="36">
        <v>118</v>
      </c>
      <c r="Q58" s="32"/>
      <c r="R58" s="32"/>
      <c r="S58" s="32"/>
      <c r="T58" s="32"/>
      <c r="U58" s="36">
        <f>G16</f>
        <v>2</v>
      </c>
      <c r="V58" s="103"/>
      <c r="W58" s="104"/>
      <c r="X58" s="109" t="str">
        <f t="shared" ref="X58:Y59" si="17">IF(I16=0,"",I16)</f>
        <v/>
      </c>
      <c r="Y58" s="109" t="str">
        <f t="shared" si="17"/>
        <v/>
      </c>
      <c r="Z58" s="123" t="s">
        <v>6787</v>
      </c>
      <c r="AA58" s="124" t="e">
        <f>VLOOKUP($M:$M,Data!$I:$J,2,FALSE)</f>
        <v>#N/A</v>
      </c>
      <c r="AB58" s="125" t="s">
        <v>7850</v>
      </c>
    </row>
    <row r="59" ht="15.25" spans="2:28">
      <c r="B59" s="50">
        <v>2</v>
      </c>
      <c r="C59" s="51" t="str">
        <f>VLOOKUP("35/202/2",Data!$A$2:$E$1425,3,FALSE)</f>
        <v>11106 ANTON</v>
      </c>
      <c r="D59" s="54"/>
      <c r="E59" s="55"/>
      <c r="G59" s="50"/>
      <c r="H59" s="51" t="str">
        <f>VLOOKUP("35/219/2",Data!$A$2:$E$1425,3,FALSE)</f>
        <v>11102 JOSHUA</v>
      </c>
      <c r="I59" s="54"/>
      <c r="J59" s="55"/>
      <c r="L59" s="14">
        <f>COUNTA(G17)+L58</f>
        <v>51</v>
      </c>
      <c r="M59" s="83">
        <f>H17</f>
        <v>0</v>
      </c>
      <c r="N59" s="84" t="s">
        <v>7430</v>
      </c>
      <c r="O59" s="85">
        <v>35</v>
      </c>
      <c r="P59" s="85">
        <v>118</v>
      </c>
      <c r="Q59" s="110"/>
      <c r="R59" s="110"/>
      <c r="S59" s="110"/>
      <c r="T59" s="110"/>
      <c r="U59" s="85">
        <f>G17</f>
        <v>3</v>
      </c>
      <c r="V59" s="105"/>
      <c r="W59" s="106"/>
      <c r="X59" s="111" t="str">
        <f t="shared" si="17"/>
        <v/>
      </c>
      <c r="Y59" s="111" t="str">
        <f t="shared" si="17"/>
        <v/>
      </c>
      <c r="Z59" s="127" t="s">
        <v>7851</v>
      </c>
      <c r="AA59" s="128" t="e">
        <f>VLOOKUP($M:$M,Data!$I:$J,2,FALSE)</f>
        <v>#N/A</v>
      </c>
      <c r="AB59" s="126"/>
    </row>
    <row r="60" ht="15.25" spans="2:28">
      <c r="B60" s="58"/>
      <c r="C60" s="59">
        <f>VLOOKUP("35/202/3",Data!$A$2:$E$1425,3,FALSE)</f>
        <v>0</v>
      </c>
      <c r="D60" s="56"/>
      <c r="E60" s="57"/>
      <c r="G60" s="58"/>
      <c r="H60" s="59">
        <f>VLOOKUP("35/219/3",Data!$A$2:$E$1425,3,FALSE)</f>
        <v>0</v>
      </c>
      <c r="I60" s="56"/>
      <c r="J60" s="57"/>
      <c r="L60" s="6">
        <f>COUNTA(G11)+L59</f>
        <v>52</v>
      </c>
      <c r="M60" s="79" t="str">
        <f>H11</f>
        <v>14002 THOMAS</v>
      </c>
      <c r="N60" s="80" t="s">
        <v>7430</v>
      </c>
      <c r="O60" s="81">
        <v>35</v>
      </c>
      <c r="P60" s="81">
        <v>119</v>
      </c>
      <c r="Q60" s="62" t="str">
        <f>_xlfn.IFS(COUNTA(G11:G13)=1,"Single",COUNTA(G11:G13)=2,"Double",COUNTA(G11:G13)=3,"Triple",COUNTA(G11:G13)=0,"Empty")</f>
        <v>Triple</v>
      </c>
      <c r="R60" s="62"/>
      <c r="S60" s="62"/>
      <c r="T60" s="62"/>
      <c r="U60" s="81">
        <f>G11</f>
        <v>1</v>
      </c>
      <c r="V60" s="100">
        <f>COUNT(G11:G13)</f>
        <v>3</v>
      </c>
      <c r="W60" s="101"/>
      <c r="X60" s="108" t="str">
        <f>IF(I11=0,"",I11)</f>
        <v/>
      </c>
      <c r="Y60" s="108" t="str">
        <f>IF(J11=0,"",J11)</f>
        <v/>
      </c>
      <c r="Z60" s="120" t="s">
        <v>7852</v>
      </c>
      <c r="AA60" s="121" t="e">
        <f>VLOOKUP($M:$M,Data!$I:$J,2,FALSE)</f>
        <v>#N/A</v>
      </c>
      <c r="AB60" s="122"/>
    </row>
    <row r="61" spans="2:28">
      <c r="B61" s="46">
        <v>203</v>
      </c>
      <c r="C61" s="47"/>
      <c r="D61" s="48" t="s">
        <v>6580</v>
      </c>
      <c r="E61" s="49" t="s">
        <v>6581</v>
      </c>
      <c r="G61" s="46">
        <v>218</v>
      </c>
      <c r="H61" s="47"/>
      <c r="I61" s="48" t="s">
        <v>6580</v>
      </c>
      <c r="J61" s="49" t="s">
        <v>6581</v>
      </c>
      <c r="L61" s="9">
        <f>COUNTA(G12)+L60</f>
        <v>53</v>
      </c>
      <c r="M61" s="31" t="str">
        <f>H12</f>
        <v>14205 RASMUS</v>
      </c>
      <c r="N61" s="82" t="s">
        <v>7430</v>
      </c>
      <c r="O61" s="36">
        <v>35</v>
      </c>
      <c r="P61" s="36">
        <v>119</v>
      </c>
      <c r="Q61" s="32"/>
      <c r="R61" s="32"/>
      <c r="S61" s="32"/>
      <c r="T61" s="32"/>
      <c r="U61" s="36">
        <f>G12</f>
        <v>2</v>
      </c>
      <c r="V61" s="103"/>
      <c r="W61" s="104"/>
      <c r="X61" s="109" t="str">
        <f t="shared" ref="X61:Y62" si="18">IF(I12=0,"",I12)</f>
        <v/>
      </c>
      <c r="Y61" s="109" t="str">
        <f t="shared" si="18"/>
        <v/>
      </c>
      <c r="Z61" s="123" t="s">
        <v>7853</v>
      </c>
      <c r="AA61" s="124" t="e">
        <f>VLOOKUP($M:$M,Data!$I:$J,2,FALSE)</f>
        <v>#N/A</v>
      </c>
      <c r="AB61" s="125"/>
    </row>
    <row r="62" ht="15.25" spans="2:28">
      <c r="B62" s="50">
        <v>1</v>
      </c>
      <c r="C62" s="51" t="str">
        <f>VLOOKUP("35/203/1",Data!$A$2:$E$1425,3,FALSE)</f>
        <v>11103 JACOB</v>
      </c>
      <c r="D62" s="52"/>
      <c r="E62" s="53"/>
      <c r="G62" s="50">
        <v>1</v>
      </c>
      <c r="H62" s="51" t="str">
        <f>VLOOKUP("35/218/1",Data!$A$2:$E$1425,3,FALSE)</f>
        <v>11111 LEO</v>
      </c>
      <c r="I62" s="52"/>
      <c r="J62" s="53"/>
      <c r="L62" s="14">
        <f>COUNTA(G13)+L61</f>
        <v>54</v>
      </c>
      <c r="M62" s="83">
        <f>H13</f>
        <v>0</v>
      </c>
      <c r="N62" s="84" t="s">
        <v>7430</v>
      </c>
      <c r="O62" s="85">
        <v>35</v>
      </c>
      <c r="P62" s="85">
        <v>119</v>
      </c>
      <c r="Q62" s="110"/>
      <c r="R62" s="110"/>
      <c r="S62" s="110"/>
      <c r="T62" s="110"/>
      <c r="U62" s="85">
        <f>G13</f>
        <v>3</v>
      </c>
      <c r="V62" s="105"/>
      <c r="W62" s="106"/>
      <c r="X62" s="111" t="str">
        <f t="shared" si="18"/>
        <v/>
      </c>
      <c r="Y62" s="111" t="str">
        <f t="shared" si="18"/>
        <v/>
      </c>
      <c r="Z62" s="127" t="s">
        <v>6778</v>
      </c>
      <c r="AA62" s="128" t="e">
        <f>VLOOKUP($M:$M,Data!$I:$J,2,FALSE)</f>
        <v>#N/A</v>
      </c>
      <c r="AB62" s="126"/>
    </row>
    <row r="63" spans="2:28">
      <c r="B63" s="50">
        <v>2</v>
      </c>
      <c r="C63" s="51">
        <f>VLOOKUP("35/203/2",Data!$A$2:$E$1425,3,FALSE)</f>
        <v>0</v>
      </c>
      <c r="D63" s="54"/>
      <c r="E63" s="55"/>
      <c r="G63" s="50">
        <v>2</v>
      </c>
      <c r="H63" s="51" t="str">
        <f>VLOOKUP("35/218/2",Data!$A$2:$E$1425,3,FALSE)</f>
        <v>11107 WILLIAM</v>
      </c>
      <c r="I63" s="54"/>
      <c r="J63" s="55"/>
      <c r="L63" s="6">
        <f>COUNTA(G7)+L62</f>
        <v>55</v>
      </c>
      <c r="M63" s="79" t="str">
        <f>H7</f>
        <v>14401 WILIAM</v>
      </c>
      <c r="N63" s="80" t="s">
        <v>7430</v>
      </c>
      <c r="O63" s="81">
        <v>35</v>
      </c>
      <c r="P63" s="81">
        <v>120</v>
      </c>
      <c r="Q63" s="62" t="str">
        <f>_xlfn.IFS(COUNTA(G7:G9)=1,"Single",COUNTA(G7:G9)=2,"Double",COUNTA(G7:G9)=3,"Triple",COUNTA(G7:G9)=0,"Empty")</f>
        <v>Triple</v>
      </c>
      <c r="R63" s="62"/>
      <c r="S63" s="62"/>
      <c r="T63" s="62"/>
      <c r="U63" s="81">
        <f>G7</f>
        <v>1</v>
      </c>
      <c r="V63" s="100">
        <f>COUNT(G7:G9)</f>
        <v>3</v>
      </c>
      <c r="W63" s="101"/>
      <c r="X63" s="108" t="str">
        <f>IF(I7=0,"",I7)</f>
        <v/>
      </c>
      <c r="Y63" s="108" t="str">
        <f>IF(J7=0,"",J7)</f>
        <v/>
      </c>
      <c r="Z63" s="120" t="s">
        <v>7346</v>
      </c>
      <c r="AA63" s="121" t="e">
        <f>VLOOKUP($M:$M,Data!$I:$J,2,FALSE)</f>
        <v>#N/A</v>
      </c>
      <c r="AB63" s="122"/>
    </row>
    <row r="64" ht="15.25" spans="2:28">
      <c r="B64" s="58"/>
      <c r="C64" s="59">
        <f>VLOOKUP("35/203/3",Data!$A$2:$E$1425,3,FALSE)</f>
        <v>0</v>
      </c>
      <c r="D64" s="56"/>
      <c r="E64" s="57"/>
      <c r="G64" s="58"/>
      <c r="H64" s="59">
        <f>VLOOKUP("35/218/3",Data!$A$2:$E$1425,3,FALSE)</f>
        <v>0</v>
      </c>
      <c r="I64" s="56"/>
      <c r="J64" s="57"/>
      <c r="L64" s="9">
        <f>COUNTA(G8)+L63</f>
        <v>56</v>
      </c>
      <c r="M64" s="31" t="str">
        <f>H8</f>
        <v>14402 ANTON</v>
      </c>
      <c r="N64" s="82" t="s">
        <v>7430</v>
      </c>
      <c r="O64" s="36">
        <v>35</v>
      </c>
      <c r="P64" s="36">
        <v>120</v>
      </c>
      <c r="Q64" s="32"/>
      <c r="R64" s="32"/>
      <c r="S64" s="32"/>
      <c r="T64" s="32"/>
      <c r="U64" s="36">
        <f>G8</f>
        <v>2</v>
      </c>
      <c r="V64" s="103"/>
      <c r="W64" s="104"/>
      <c r="X64" s="109" t="str">
        <f t="shared" ref="X64:Y65" si="19">IF(I8=0,"",I8)</f>
        <v/>
      </c>
      <c r="Y64" s="109" t="str">
        <f t="shared" si="19"/>
        <v/>
      </c>
      <c r="Z64" s="123" t="s">
        <v>6818</v>
      </c>
      <c r="AA64" s="124" t="e">
        <f>VLOOKUP($M:$M,Data!$I:$J,2,FALSE)</f>
        <v>#N/A</v>
      </c>
      <c r="AB64" s="125"/>
    </row>
    <row r="65" ht="15.25" spans="2:28">
      <c r="B65" s="46">
        <v>204</v>
      </c>
      <c r="C65" s="47"/>
      <c r="D65" s="48" t="s">
        <v>6580</v>
      </c>
      <c r="E65" s="49" t="s">
        <v>6581</v>
      </c>
      <c r="G65" s="46">
        <v>217</v>
      </c>
      <c r="H65" s="47"/>
      <c r="I65" s="48" t="s">
        <v>6580</v>
      </c>
      <c r="J65" s="49" t="s">
        <v>6581</v>
      </c>
      <c r="L65" s="14">
        <f>COUNTA(G9)+L64</f>
        <v>57</v>
      </c>
      <c r="M65" s="83">
        <f>H9</f>
        <v>0</v>
      </c>
      <c r="N65" s="84" t="s">
        <v>7430</v>
      </c>
      <c r="O65" s="85">
        <v>35</v>
      </c>
      <c r="P65" s="85">
        <v>120</v>
      </c>
      <c r="Q65" s="110"/>
      <c r="R65" s="110"/>
      <c r="S65" s="110"/>
      <c r="T65" s="110"/>
      <c r="U65" s="85">
        <f>G9</f>
        <v>3</v>
      </c>
      <c r="V65" s="105"/>
      <c r="W65" s="106"/>
      <c r="X65" s="111" t="str">
        <f t="shared" si="19"/>
        <v/>
      </c>
      <c r="Y65" s="111" t="str">
        <f t="shared" si="19"/>
        <v/>
      </c>
      <c r="Z65" s="127" t="s">
        <v>6836</v>
      </c>
      <c r="AA65" s="128" t="e">
        <f>VLOOKUP($M:$M,Data!$I:$J,2,FALSE)</f>
        <v>#N/A</v>
      </c>
      <c r="AB65" s="126"/>
    </row>
    <row r="66" spans="2:28">
      <c r="B66" s="50">
        <v>1</v>
      </c>
      <c r="C66" s="51" t="str">
        <f>VLOOKUP("35/204/1",Data!$A$2:$E$1425,3,FALSE)</f>
        <v>11108 MILLE</v>
      </c>
      <c r="D66" s="52"/>
      <c r="E66" s="53"/>
      <c r="G66" s="50">
        <v>1</v>
      </c>
      <c r="H66" s="51" t="str">
        <f>VLOOKUP("35/217/1",Data!$A$2:$E$1425,3,FALSE)</f>
        <v>11104  THEO</v>
      </c>
      <c r="I66" s="52"/>
      <c r="J66" s="53"/>
      <c r="L66" s="6">
        <f>COUNTA(B54)+L65</f>
        <v>58</v>
      </c>
      <c r="M66" s="79" t="str">
        <f>C54</f>
        <v>11001 VIKTOR</v>
      </c>
      <c r="N66" s="80" t="s">
        <v>7430</v>
      </c>
      <c r="O66" s="81">
        <v>35</v>
      </c>
      <c r="P66" s="81">
        <v>201</v>
      </c>
      <c r="Q66" s="62" t="str">
        <f>_xlfn.IFS(COUNTA(B54:B56)=1,"Single",COUNTA(B54:B56)=2,"Double",COUNTA(B54:B56)=3,"Triple",COUNTA(B54:B56)=0,"Empty")</f>
        <v>Double</v>
      </c>
      <c r="R66" s="62"/>
      <c r="S66" s="62"/>
      <c r="T66" s="62"/>
      <c r="U66" s="81">
        <f>B54</f>
        <v>1</v>
      </c>
      <c r="V66" s="100">
        <f>COUNT(B54:B56)</f>
        <v>2</v>
      </c>
      <c r="W66" s="101"/>
      <c r="X66" s="108" t="str">
        <f>IF(D54=0,"",D54)</f>
        <v/>
      </c>
      <c r="Y66" s="108" t="str">
        <f>IF(E54=0,"",E54)</f>
        <v/>
      </c>
      <c r="Z66" s="120" t="s">
        <v>7221</v>
      </c>
      <c r="AA66" s="121" t="e">
        <f>VLOOKUP($M:$M,Data!$I:$J,2,FALSE)</f>
        <v>#N/A</v>
      </c>
      <c r="AB66" s="122"/>
    </row>
    <row r="67" spans="2:28">
      <c r="B67" s="50">
        <v>2</v>
      </c>
      <c r="C67" s="51" t="str">
        <f>VLOOKUP("35/204/2",Data!$A$2:$E$1425,3,FALSE)</f>
        <v>11109 EDVIN</v>
      </c>
      <c r="D67" s="54"/>
      <c r="E67" s="55"/>
      <c r="G67" s="50">
        <v>2</v>
      </c>
      <c r="H67" s="51" t="str">
        <f>VLOOKUP("35/217/2",Data!$A$2:$E$1425,3,FALSE)</f>
        <v>11105 ANTON</v>
      </c>
      <c r="I67" s="54"/>
      <c r="J67" s="55"/>
      <c r="L67" s="9">
        <f>COUNTA(B55)+L66</f>
        <v>59</v>
      </c>
      <c r="M67" s="31">
        <f>C55</f>
        <v>0</v>
      </c>
      <c r="N67" s="82" t="s">
        <v>7430</v>
      </c>
      <c r="O67" s="36">
        <v>35</v>
      </c>
      <c r="P67" s="36">
        <v>201</v>
      </c>
      <c r="Q67" s="32"/>
      <c r="R67" s="32"/>
      <c r="S67" s="32"/>
      <c r="T67" s="32"/>
      <c r="U67" s="36">
        <f>B55</f>
        <v>2</v>
      </c>
      <c r="V67" s="103"/>
      <c r="W67" s="104"/>
      <c r="X67" s="109" t="str">
        <f t="shared" ref="X67:Y68" si="20">IF(D55=0,"",D55)</f>
        <v/>
      </c>
      <c r="Y67" s="109" t="str">
        <f t="shared" si="20"/>
        <v/>
      </c>
      <c r="Z67" s="123" t="s">
        <v>7179</v>
      </c>
      <c r="AA67" s="124" t="e">
        <f>VLOOKUP($M:$M,Data!$I:$J,2,FALSE)</f>
        <v>#N/A</v>
      </c>
      <c r="AB67" s="125"/>
    </row>
    <row r="68" ht="15.25" spans="2:28">
      <c r="B68" s="58"/>
      <c r="C68" s="59">
        <f>VLOOKUP("35/204/3",Data!$A$2:$E$1425,3,FALSE)</f>
        <v>0</v>
      </c>
      <c r="D68" s="56"/>
      <c r="E68" s="57"/>
      <c r="G68" s="58"/>
      <c r="H68" s="59">
        <f>VLOOKUP("35/217/3",Data!$A$2:$E$1425,3,FALSE)</f>
        <v>0</v>
      </c>
      <c r="I68" s="56"/>
      <c r="J68" s="57"/>
      <c r="L68" s="14">
        <f>COUNTA(B56)+L67</f>
        <v>59</v>
      </c>
      <c r="M68" s="83">
        <f>C56</f>
        <v>0</v>
      </c>
      <c r="N68" s="84" t="s">
        <v>7430</v>
      </c>
      <c r="O68" s="85">
        <v>35</v>
      </c>
      <c r="P68" s="85">
        <v>201</v>
      </c>
      <c r="Q68" s="110"/>
      <c r="R68" s="110"/>
      <c r="S68" s="110"/>
      <c r="T68" s="110"/>
      <c r="U68" s="85">
        <f>B56</f>
        <v>0</v>
      </c>
      <c r="V68" s="105"/>
      <c r="W68" s="106"/>
      <c r="X68" s="111" t="str">
        <f t="shared" si="20"/>
        <v/>
      </c>
      <c r="Y68" s="111" t="str">
        <f t="shared" si="20"/>
        <v/>
      </c>
      <c r="Z68" s="127"/>
      <c r="AA68" s="128" t="e">
        <f>VLOOKUP($M:$M,Data!$I:$J,2,FALSE)</f>
        <v>#N/A</v>
      </c>
      <c r="AB68" s="126"/>
    </row>
    <row r="69" spans="2:28">
      <c r="B69" s="46">
        <v>205</v>
      </c>
      <c r="C69" s="47"/>
      <c r="D69" s="48" t="s">
        <v>6580</v>
      </c>
      <c r="E69" s="49" t="s">
        <v>6581</v>
      </c>
      <c r="G69" s="46">
        <v>216</v>
      </c>
      <c r="H69" s="47"/>
      <c r="I69" s="48" t="s">
        <v>6580</v>
      </c>
      <c r="J69" s="49" t="s">
        <v>6581</v>
      </c>
      <c r="L69" s="6">
        <f>COUNTA(B58)+L68</f>
        <v>60</v>
      </c>
      <c r="M69" s="79" t="str">
        <f>C58</f>
        <v>11110 TOBIAS</v>
      </c>
      <c r="N69" s="80" t="s">
        <v>7430</v>
      </c>
      <c r="O69" s="81">
        <v>35</v>
      </c>
      <c r="P69" s="81">
        <v>202</v>
      </c>
      <c r="Q69" s="62" t="str">
        <f>_xlfn.IFS(COUNTA(B58:B60)=1,"Single",COUNTA(B58:B60)=2,"Double",COUNTA(B58:B60)=3,"Triple",COUNTA(B58:B60)=0,"Empty")</f>
        <v>Double</v>
      </c>
      <c r="R69" s="62"/>
      <c r="S69" s="62"/>
      <c r="T69" s="62"/>
      <c r="U69" s="81">
        <f>B58</f>
        <v>1</v>
      </c>
      <c r="V69" s="100">
        <f>COUNT(B58:B60)</f>
        <v>2</v>
      </c>
      <c r="W69" s="101"/>
      <c r="X69" s="108" t="str">
        <f>IF(D58=0,"",D58)</f>
        <v/>
      </c>
      <c r="Y69" s="108" t="str">
        <f>IF(E58=0,"",E58)</f>
        <v/>
      </c>
      <c r="Z69" s="120" t="s">
        <v>6645</v>
      </c>
      <c r="AA69" s="121" t="e">
        <f>VLOOKUP($M:$M,Data!$I:$J,2,FALSE)</f>
        <v>#N/A</v>
      </c>
      <c r="AB69" s="122"/>
    </row>
    <row r="70" spans="2:28">
      <c r="B70" s="50">
        <v>1</v>
      </c>
      <c r="C70" s="51" t="str">
        <f>VLOOKUP("35/205/1",Data!$A$2:$E$1425,3,FALSE)</f>
        <v>11201 ELIAS</v>
      </c>
      <c r="D70" s="52"/>
      <c r="E70" s="53"/>
      <c r="G70" s="50">
        <v>1</v>
      </c>
      <c r="H70" s="51" t="str">
        <f>VLOOKUP("35/216/1",Data!$A$2:$E$1425,3,FALSE)</f>
        <v>11203 LUKAS</v>
      </c>
      <c r="I70" s="52"/>
      <c r="J70" s="53"/>
      <c r="L70" s="9">
        <f>COUNTA(B59)+L69</f>
        <v>61</v>
      </c>
      <c r="M70" s="31" t="str">
        <f>C59</f>
        <v>11106 ANTON</v>
      </c>
      <c r="N70" s="82" t="s">
        <v>7430</v>
      </c>
      <c r="O70" s="36">
        <v>35</v>
      </c>
      <c r="P70" s="36">
        <v>202</v>
      </c>
      <c r="Q70" s="32"/>
      <c r="R70" s="32"/>
      <c r="S70" s="32"/>
      <c r="T70" s="32"/>
      <c r="U70" s="36">
        <f>B59</f>
        <v>2</v>
      </c>
      <c r="V70" s="103"/>
      <c r="W70" s="104"/>
      <c r="X70" s="109" t="str">
        <f t="shared" ref="X70:Y71" si="21">IF(D59=0,"",D59)</f>
        <v/>
      </c>
      <c r="Y70" s="109" t="str">
        <f t="shared" si="21"/>
        <v/>
      </c>
      <c r="Z70" s="123" t="s">
        <v>6840</v>
      </c>
      <c r="AA70" s="124" t="e">
        <f>VLOOKUP($M:$M,Data!$I:$J,2,FALSE)</f>
        <v>#N/A</v>
      </c>
      <c r="AB70" s="125"/>
    </row>
    <row r="71" ht="15.25" spans="2:28">
      <c r="B71" s="50">
        <v>2</v>
      </c>
      <c r="C71" s="51" t="str">
        <f>VLOOKUP("35/205/2",Data!$A$2:$E$1425,3,FALSE)</f>
        <v>11202 HUGO</v>
      </c>
      <c r="D71" s="54"/>
      <c r="E71" s="55"/>
      <c r="G71" s="50">
        <v>2</v>
      </c>
      <c r="H71" s="51" t="str">
        <f>VLOOKUP("35/216/2",Data!$A$2:$E$1425,3,FALSE)</f>
        <v>11210 VIKTOR</v>
      </c>
      <c r="I71" s="54"/>
      <c r="J71" s="55"/>
      <c r="L71" s="14">
        <f>COUNTA(B60)+L70</f>
        <v>61</v>
      </c>
      <c r="M71" s="83">
        <f>C60</f>
        <v>0</v>
      </c>
      <c r="N71" s="84" t="s">
        <v>7430</v>
      </c>
      <c r="O71" s="85">
        <v>35</v>
      </c>
      <c r="P71" s="85">
        <v>202</v>
      </c>
      <c r="Q71" s="110"/>
      <c r="R71" s="110"/>
      <c r="S71" s="110"/>
      <c r="T71" s="110"/>
      <c r="U71" s="85">
        <f>B60</f>
        <v>0</v>
      </c>
      <c r="V71" s="105"/>
      <c r="W71" s="106"/>
      <c r="X71" s="111" t="str">
        <f t="shared" si="21"/>
        <v/>
      </c>
      <c r="Y71" s="111" t="str">
        <f t="shared" si="21"/>
        <v/>
      </c>
      <c r="Z71" s="127"/>
      <c r="AA71" s="128" t="e">
        <f>VLOOKUP($M:$M,Data!$I:$J,2,FALSE)</f>
        <v>#N/A</v>
      </c>
      <c r="AB71" s="126"/>
    </row>
    <row r="72" ht="15.25" spans="2:28">
      <c r="B72" s="58"/>
      <c r="C72" s="59">
        <f>VLOOKUP("35/205/3",Data!$A$2:$E$1425,3,FALSE)</f>
        <v>0</v>
      </c>
      <c r="D72" s="56"/>
      <c r="E72" s="57"/>
      <c r="G72" s="58"/>
      <c r="H72" s="59">
        <f>VLOOKUP("35/216/3",Data!$A$2:$E$1425,3,FALSE)</f>
        <v>0</v>
      </c>
      <c r="I72" s="56"/>
      <c r="J72" s="57"/>
      <c r="L72" s="6">
        <f>COUNTA(B62)+L71</f>
        <v>62</v>
      </c>
      <c r="M72" s="79" t="str">
        <f>C62</f>
        <v>11103 JACOB</v>
      </c>
      <c r="N72" s="80" t="s">
        <v>7430</v>
      </c>
      <c r="O72" s="81">
        <v>35</v>
      </c>
      <c r="P72" s="81">
        <v>203</v>
      </c>
      <c r="Q72" s="62" t="str">
        <f>_xlfn.IFS(COUNTA(B62:B64)=1,"Single",COUNTA(B62:B64)=2,"Double",COUNTA(B62:B64)=3,"Triple",COUNTA(B62:B64)=0,"Empty")</f>
        <v>Double</v>
      </c>
      <c r="R72" s="62"/>
      <c r="S72" s="62"/>
      <c r="T72" s="62"/>
      <c r="U72" s="81">
        <f>B62</f>
        <v>1</v>
      </c>
      <c r="V72" s="100">
        <f>COUNT(B62:B64)</f>
        <v>2</v>
      </c>
      <c r="W72" s="101"/>
      <c r="X72" s="108" t="str">
        <f>IF(D62=0,"",D62)</f>
        <v/>
      </c>
      <c r="Y72" s="108" t="str">
        <f>IF(E62=0,"",E62)</f>
        <v/>
      </c>
      <c r="Z72" s="120" t="s">
        <v>6871</v>
      </c>
      <c r="AA72" s="121" t="e">
        <f>VLOOKUP($M:$M,Data!$I:$J,2,FALSE)</f>
        <v>#N/A</v>
      </c>
      <c r="AB72" s="122"/>
    </row>
    <row r="73" spans="2:28">
      <c r="B73" s="46">
        <v>206</v>
      </c>
      <c r="C73" s="47"/>
      <c r="D73" s="48" t="s">
        <v>6580</v>
      </c>
      <c r="E73" s="49" t="s">
        <v>6581</v>
      </c>
      <c r="G73" s="67" t="s">
        <v>7435</v>
      </c>
      <c r="H73" s="68"/>
      <c r="I73" s="68"/>
      <c r="J73" s="86"/>
      <c r="L73" s="9">
        <f>COUNTA(B63)+L72</f>
        <v>63</v>
      </c>
      <c r="M73" s="31">
        <f>C63</f>
        <v>0</v>
      </c>
      <c r="N73" s="82" t="s">
        <v>7430</v>
      </c>
      <c r="O73" s="36">
        <v>35</v>
      </c>
      <c r="P73" s="36">
        <v>203</v>
      </c>
      <c r="Q73" s="32"/>
      <c r="R73" s="32"/>
      <c r="S73" s="32"/>
      <c r="T73" s="32"/>
      <c r="U73" s="36">
        <f>B63</f>
        <v>2</v>
      </c>
      <c r="V73" s="103"/>
      <c r="W73" s="104"/>
      <c r="X73" s="109" t="str">
        <f t="shared" ref="X73:Y74" si="22">IF(D63=0,"",D63)</f>
        <v/>
      </c>
      <c r="Y73" s="109" t="str">
        <f t="shared" si="22"/>
        <v/>
      </c>
      <c r="Z73" s="123" t="s">
        <v>7149</v>
      </c>
      <c r="AA73" s="124" t="e">
        <f>VLOOKUP($M:$M,Data!$I:$J,2,FALSE)</f>
        <v>#N/A</v>
      </c>
      <c r="AB73" s="125"/>
    </row>
    <row r="74" ht="15.25" spans="2:28">
      <c r="B74" s="50">
        <v>1</v>
      </c>
      <c r="C74" s="51" t="str">
        <f>VLOOKUP("35/206/1",Data!$A$2:$E$1425,3,FALSE)</f>
        <v>11204 ISMAILA</v>
      </c>
      <c r="D74" s="52"/>
      <c r="E74" s="53"/>
      <c r="G74" s="69"/>
      <c r="H74" s="70"/>
      <c r="I74" s="70"/>
      <c r="J74" s="87"/>
      <c r="L74" s="14">
        <f>COUNTA(B64)+L73</f>
        <v>63</v>
      </c>
      <c r="M74" s="83">
        <f>C64</f>
        <v>0</v>
      </c>
      <c r="N74" s="84" t="s">
        <v>7430</v>
      </c>
      <c r="O74" s="85">
        <v>35</v>
      </c>
      <c r="P74" s="85">
        <v>203</v>
      </c>
      <c r="Q74" s="110"/>
      <c r="R74" s="110"/>
      <c r="S74" s="110"/>
      <c r="T74" s="110"/>
      <c r="U74" s="85">
        <f>B64</f>
        <v>0</v>
      </c>
      <c r="V74" s="105"/>
      <c r="W74" s="106"/>
      <c r="X74" s="111" t="str">
        <f t="shared" si="22"/>
        <v/>
      </c>
      <c r="Y74" s="111" t="str">
        <f t="shared" si="22"/>
        <v/>
      </c>
      <c r="Z74" s="127"/>
      <c r="AA74" s="128" t="e">
        <f>VLOOKUP($M:$M,Data!$I:$J,2,FALSE)</f>
        <v>#N/A</v>
      </c>
      <c r="AB74" s="126"/>
    </row>
    <row r="75" spans="2:28">
      <c r="B75" s="50">
        <v>2</v>
      </c>
      <c r="C75" s="51" t="str">
        <f>VLOOKUP("35/206/2",Data!$A$2:$E$1425,3,FALSE)</f>
        <v>11205 BENJAMIN</v>
      </c>
      <c r="D75" s="54"/>
      <c r="E75" s="55"/>
      <c r="G75" s="69"/>
      <c r="H75" s="70"/>
      <c r="I75" s="70"/>
      <c r="J75" s="87"/>
      <c r="L75" s="6">
        <f>COUNTA(B66)+L74</f>
        <v>64</v>
      </c>
      <c r="M75" s="79" t="str">
        <f>C66</f>
        <v>11108 MILLE</v>
      </c>
      <c r="N75" s="80" t="s">
        <v>7430</v>
      </c>
      <c r="O75" s="81">
        <v>35</v>
      </c>
      <c r="P75" s="81">
        <v>204</v>
      </c>
      <c r="Q75" s="62" t="str">
        <f>_xlfn.IFS(COUNTA(B66:B68)=1,"Single",COUNTA(B66:B68)=2,"Double",COUNTA(B66:B68)=3,"Triple",COUNTA(B66:B68)=0,"Empty")</f>
        <v>Double</v>
      </c>
      <c r="R75" s="62"/>
      <c r="S75" s="62"/>
      <c r="T75" s="62"/>
      <c r="U75" s="81">
        <f>B66</f>
        <v>1</v>
      </c>
      <c r="V75" s="100">
        <f>COUNT(B66:B68)</f>
        <v>2</v>
      </c>
      <c r="W75" s="101"/>
      <c r="X75" s="108" t="str">
        <f>IF(D66=0,"",D66)</f>
        <v/>
      </c>
      <c r="Y75" s="108" t="str">
        <f>IF(E66=0,"",E66)</f>
        <v/>
      </c>
      <c r="Z75" s="120" t="s">
        <v>6732</v>
      </c>
      <c r="AA75" s="121" t="e">
        <f>VLOOKUP($M:$M,Data!$I:$J,2,FALSE)</f>
        <v>#N/A</v>
      </c>
      <c r="AB75" s="122"/>
    </row>
    <row r="76" ht="15.25" spans="2:28">
      <c r="B76" s="58"/>
      <c r="C76" s="59">
        <f>VLOOKUP("35/206/3",Data!$A$2:$E$1425,3,FALSE)</f>
        <v>0</v>
      </c>
      <c r="D76" s="56"/>
      <c r="E76" s="57"/>
      <c r="G76" s="69"/>
      <c r="H76" s="70"/>
      <c r="I76" s="70"/>
      <c r="J76" s="87"/>
      <c r="L76" s="9">
        <f>COUNTA(B67)+L75</f>
        <v>65</v>
      </c>
      <c r="M76" s="31" t="str">
        <f>C67</f>
        <v>11109 EDVIN</v>
      </c>
      <c r="N76" s="82" t="s">
        <v>7430</v>
      </c>
      <c r="O76" s="36">
        <v>35</v>
      </c>
      <c r="P76" s="36">
        <v>204</v>
      </c>
      <c r="Q76" s="32"/>
      <c r="R76" s="32"/>
      <c r="S76" s="32"/>
      <c r="T76" s="32"/>
      <c r="U76" s="36">
        <f>B67</f>
        <v>2</v>
      </c>
      <c r="V76" s="103"/>
      <c r="W76" s="104"/>
      <c r="X76" s="109" t="str">
        <f t="shared" ref="X76:Y77" si="23">IF(D67=0,"",D67)</f>
        <v/>
      </c>
      <c r="Y76" s="109" t="str">
        <f t="shared" si="23"/>
        <v/>
      </c>
      <c r="Z76" s="123" t="s">
        <v>7854</v>
      </c>
      <c r="AA76" s="124" t="e">
        <f>VLOOKUP($M:$M,Data!$I:$J,2,FALSE)</f>
        <v>#N/A</v>
      </c>
      <c r="AB76" s="125"/>
    </row>
    <row r="77" ht="15.25" spans="2:28">
      <c r="B77" s="46">
        <v>207</v>
      </c>
      <c r="C77" s="47"/>
      <c r="D77" s="48" t="s">
        <v>6580</v>
      </c>
      <c r="E77" s="49" t="s">
        <v>6581</v>
      </c>
      <c r="G77" s="69"/>
      <c r="H77" s="70"/>
      <c r="I77" s="70"/>
      <c r="J77" s="87"/>
      <c r="L77" s="14">
        <f>COUNTA(B68)+L76</f>
        <v>65</v>
      </c>
      <c r="M77" s="83">
        <f>C68</f>
        <v>0</v>
      </c>
      <c r="N77" s="84" t="s">
        <v>7430</v>
      </c>
      <c r="O77" s="85">
        <v>35</v>
      </c>
      <c r="P77" s="85">
        <v>204</v>
      </c>
      <c r="Q77" s="110"/>
      <c r="R77" s="110"/>
      <c r="S77" s="110"/>
      <c r="T77" s="110"/>
      <c r="U77" s="85">
        <f>B68</f>
        <v>0</v>
      </c>
      <c r="V77" s="105"/>
      <c r="W77" s="106"/>
      <c r="X77" s="111" t="str">
        <f t="shared" si="23"/>
        <v/>
      </c>
      <c r="Y77" s="111" t="str">
        <f t="shared" si="23"/>
        <v/>
      </c>
      <c r="Z77" s="127"/>
      <c r="AA77" s="128" t="e">
        <f>VLOOKUP($M:$M,Data!$I:$J,2,FALSE)</f>
        <v>#N/A</v>
      </c>
      <c r="AB77" s="126"/>
    </row>
    <row r="78" spans="2:28">
      <c r="B78" s="50">
        <v>1</v>
      </c>
      <c r="C78" s="51" t="str">
        <f>VLOOKUP("35/207/1",Data!$A$2:$E$1425,3,FALSE)</f>
        <v>11208 JACOB</v>
      </c>
      <c r="D78" s="52"/>
      <c r="E78" s="53"/>
      <c r="G78" s="69"/>
      <c r="H78" s="70"/>
      <c r="I78" s="70"/>
      <c r="J78" s="87"/>
      <c r="L78" s="6">
        <f>COUNTA(B70)+L77</f>
        <v>66</v>
      </c>
      <c r="M78" s="79" t="str">
        <f>C70</f>
        <v>11201 ELIAS</v>
      </c>
      <c r="N78" s="80" t="s">
        <v>7430</v>
      </c>
      <c r="O78" s="81">
        <v>35</v>
      </c>
      <c r="P78" s="81">
        <v>205</v>
      </c>
      <c r="Q78" s="62" t="str">
        <f>_xlfn.IFS(COUNTA(B70:B72)=1,"Single",COUNTA(B70:B72)=2,"Double",COUNTA(B70:B72)=3,"Triple",COUNTA(B70:B72)=0,"Empty")</f>
        <v>Double</v>
      </c>
      <c r="R78" s="62"/>
      <c r="S78" s="62"/>
      <c r="T78" s="62"/>
      <c r="U78" s="81">
        <f>B70</f>
        <v>1</v>
      </c>
      <c r="V78" s="100">
        <f>COUNT(B70:B72)</f>
        <v>2</v>
      </c>
      <c r="W78" s="101"/>
      <c r="X78" s="108" t="str">
        <f>IF(D70=0,"",D70)</f>
        <v/>
      </c>
      <c r="Y78" s="108" t="str">
        <f>IF(E70=0,"",E70)</f>
        <v/>
      </c>
      <c r="Z78" s="120" t="s">
        <v>7855</v>
      </c>
      <c r="AA78" s="121" t="e">
        <f>VLOOKUP($M:$M,Data!$I:$J,2,FALSE)</f>
        <v>#N/A</v>
      </c>
      <c r="AB78" s="122"/>
    </row>
    <row r="79" spans="2:28">
      <c r="B79" s="50">
        <v>2</v>
      </c>
      <c r="C79" s="51" t="str">
        <f>VLOOKUP("35/207/2",Data!$A$2:$E$1425,3,FALSE)</f>
        <v>11207 DAVID</v>
      </c>
      <c r="D79" s="54"/>
      <c r="E79" s="55"/>
      <c r="G79" s="69"/>
      <c r="H79" s="70"/>
      <c r="I79" s="70"/>
      <c r="J79" s="87"/>
      <c r="L79" s="9">
        <f>COUNTA(B71)+L78</f>
        <v>67</v>
      </c>
      <c r="M79" s="31" t="str">
        <f>C71</f>
        <v>11202 HUGO</v>
      </c>
      <c r="N79" s="82" t="s">
        <v>7430</v>
      </c>
      <c r="O79" s="36">
        <v>35</v>
      </c>
      <c r="P79" s="36">
        <v>205</v>
      </c>
      <c r="Q79" s="32"/>
      <c r="R79" s="32"/>
      <c r="S79" s="32"/>
      <c r="T79" s="32"/>
      <c r="U79" s="36">
        <f>B71</f>
        <v>2</v>
      </c>
      <c r="V79" s="103"/>
      <c r="W79" s="104"/>
      <c r="X79" s="109" t="str">
        <f t="shared" ref="X79:Y80" si="24">IF(D71=0,"",D71)</f>
        <v/>
      </c>
      <c r="Y79" s="109" t="str">
        <f t="shared" si="24"/>
        <v/>
      </c>
      <c r="Z79" s="123" t="s">
        <v>6642</v>
      </c>
      <c r="AA79" s="124" t="e">
        <f>VLOOKUP($M:$M,Data!$I:$J,2,FALSE)</f>
        <v>#N/A</v>
      </c>
      <c r="AB79" s="125"/>
    </row>
    <row r="80" ht="15.25" spans="2:28">
      <c r="B80" s="58"/>
      <c r="C80" s="59">
        <f>VLOOKUP("35/207/3",Data!$A$2:$E$1425,3,FALSE)</f>
        <v>0</v>
      </c>
      <c r="D80" s="56"/>
      <c r="E80" s="57"/>
      <c r="G80" s="71"/>
      <c r="H80" s="72"/>
      <c r="I80" s="72"/>
      <c r="J80" s="88"/>
      <c r="L80" s="14">
        <f>COUNTA(B72)+L79</f>
        <v>67</v>
      </c>
      <c r="M80" s="83">
        <f>C72</f>
        <v>0</v>
      </c>
      <c r="N80" s="84" t="s">
        <v>7430</v>
      </c>
      <c r="O80" s="85">
        <v>35</v>
      </c>
      <c r="P80" s="85">
        <v>205</v>
      </c>
      <c r="Q80" s="110"/>
      <c r="R80" s="110"/>
      <c r="S80" s="110"/>
      <c r="T80" s="110"/>
      <c r="U80" s="85">
        <f>B72</f>
        <v>0</v>
      </c>
      <c r="V80" s="105"/>
      <c r="W80" s="106"/>
      <c r="X80" s="111" t="str">
        <f t="shared" si="24"/>
        <v/>
      </c>
      <c r="Y80" s="111" t="str">
        <f t="shared" si="24"/>
        <v/>
      </c>
      <c r="Z80" s="127"/>
      <c r="AA80" s="128" t="e">
        <f>VLOOKUP($M:$M,Data!$I:$J,2,FALSE)</f>
        <v>#N/A</v>
      </c>
      <c r="AB80" s="126"/>
    </row>
    <row r="81" spans="2:28">
      <c r="B81" s="46">
        <v>208</v>
      </c>
      <c r="C81" s="47"/>
      <c r="D81" s="48" t="s">
        <v>6580</v>
      </c>
      <c r="E81" s="49" t="s">
        <v>6581</v>
      </c>
      <c r="G81" s="46">
        <v>215</v>
      </c>
      <c r="H81" s="47"/>
      <c r="I81" s="48" t="s">
        <v>6580</v>
      </c>
      <c r="J81" s="49" t="s">
        <v>6581</v>
      </c>
      <c r="L81" s="6">
        <f>COUNTA(B74)+L80</f>
        <v>68</v>
      </c>
      <c r="M81" s="79" t="str">
        <f>C74</f>
        <v>11204 ISMAILA</v>
      </c>
      <c r="N81" s="80" t="s">
        <v>7430</v>
      </c>
      <c r="O81" s="81">
        <v>35</v>
      </c>
      <c r="P81" s="81">
        <v>206</v>
      </c>
      <c r="Q81" s="62" t="str">
        <f>_xlfn.IFS(COUNTA(B74:B76)=1,"Single",COUNTA(B74:B76)=2,"Double",COUNTA(B74:B76)=3,"Triple",COUNTA(B74:B76)=0,"Empty")</f>
        <v>Double</v>
      </c>
      <c r="R81" s="62"/>
      <c r="S81" s="62"/>
      <c r="T81" s="62"/>
      <c r="U81" s="81">
        <f>B74</f>
        <v>1</v>
      </c>
      <c r="V81" s="100">
        <f>COUNT(B74:B76)</f>
        <v>2</v>
      </c>
      <c r="W81" s="101"/>
      <c r="X81" s="108" t="str">
        <f>IF(D74=0,"",D74)</f>
        <v/>
      </c>
      <c r="Y81" s="108" t="str">
        <f>IF(E74=0,"",E74)</f>
        <v/>
      </c>
      <c r="Z81" s="120" t="s">
        <v>6922</v>
      </c>
      <c r="AA81" s="121" t="e">
        <f>VLOOKUP($M:$M,Data!$I:$J,2,FALSE)</f>
        <v>#N/A</v>
      </c>
      <c r="AB81" s="122"/>
    </row>
    <row r="82" spans="2:28">
      <c r="B82" s="50">
        <v>1</v>
      </c>
      <c r="C82" s="51" t="str">
        <f>VLOOKUP("35/208/1",Data!$A$2:$E$1425,3,FALSE)</f>
        <v>11209 ALBIN</v>
      </c>
      <c r="D82" s="52"/>
      <c r="E82" s="53"/>
      <c r="G82" s="50">
        <v>1</v>
      </c>
      <c r="H82" s="51" t="str">
        <f>VLOOKUP("35/215/1",Data!$A$2:$E$1425,3,FALSE)</f>
        <v>11310 LINUS</v>
      </c>
      <c r="I82" s="52"/>
      <c r="J82" s="53"/>
      <c r="L82" s="9">
        <f>COUNTA(B75)+L81</f>
        <v>69</v>
      </c>
      <c r="M82" s="31" t="str">
        <f>C75</f>
        <v>11205 BENJAMIN</v>
      </c>
      <c r="N82" s="82" t="s">
        <v>7430</v>
      </c>
      <c r="O82" s="36">
        <v>35</v>
      </c>
      <c r="P82" s="36">
        <v>206</v>
      </c>
      <c r="Q82" s="32"/>
      <c r="R82" s="32"/>
      <c r="S82" s="32"/>
      <c r="T82" s="32"/>
      <c r="U82" s="36">
        <f>B75</f>
        <v>2</v>
      </c>
      <c r="V82" s="103"/>
      <c r="W82" s="104"/>
      <c r="X82" s="109" t="str">
        <f t="shared" ref="X82:Y83" si="25">IF(D75=0,"",D75)</f>
        <v/>
      </c>
      <c r="Y82" s="109" t="str">
        <f t="shared" si="25"/>
        <v/>
      </c>
      <c r="Z82" s="123" t="s">
        <v>7856</v>
      </c>
      <c r="AA82" s="124" t="e">
        <f>VLOOKUP($M:$M,Data!$I:$J,2,FALSE)</f>
        <v>#N/A</v>
      </c>
      <c r="AB82" s="125"/>
    </row>
    <row r="83" ht="15.25" spans="2:28">
      <c r="B83" s="50">
        <v>2</v>
      </c>
      <c r="C83" s="51" t="str">
        <f>VLOOKUP("35/208/2",Data!$A$2:$E$1425,3,FALSE)</f>
        <v>11206 MATTIAS</v>
      </c>
      <c r="D83" s="54"/>
      <c r="E83" s="55"/>
      <c r="G83" s="50">
        <v>2</v>
      </c>
      <c r="H83" s="51" t="str">
        <f>VLOOKUP("35/215/2",Data!$A$2:$E$1425,3,FALSE)</f>
        <v>11306 MAX</v>
      </c>
      <c r="I83" s="54"/>
      <c r="J83" s="55"/>
      <c r="L83" s="14">
        <f>COUNTA(B76)+L82</f>
        <v>69</v>
      </c>
      <c r="M83" s="83">
        <f>C76</f>
        <v>0</v>
      </c>
      <c r="N83" s="84" t="s">
        <v>7430</v>
      </c>
      <c r="O83" s="85">
        <v>35</v>
      </c>
      <c r="P83" s="85">
        <v>206</v>
      </c>
      <c r="Q83" s="110"/>
      <c r="R83" s="110"/>
      <c r="S83" s="110"/>
      <c r="T83" s="110"/>
      <c r="U83" s="85">
        <f>B76</f>
        <v>0</v>
      </c>
      <c r="V83" s="105"/>
      <c r="W83" s="106"/>
      <c r="X83" s="111" t="str">
        <f t="shared" si="25"/>
        <v/>
      </c>
      <c r="Y83" s="111" t="str">
        <f t="shared" si="25"/>
        <v/>
      </c>
      <c r="Z83" s="127"/>
      <c r="AA83" s="128" t="e">
        <f>VLOOKUP($M:$M,Data!$I:$J,2,FALSE)</f>
        <v>#N/A</v>
      </c>
      <c r="AB83" s="126"/>
    </row>
    <row r="84" ht="15.25" spans="2:28">
      <c r="B84" s="58"/>
      <c r="C84" s="59">
        <f>VLOOKUP("35/208/3",Data!$A$2:$E$1425,3,FALSE)</f>
        <v>0</v>
      </c>
      <c r="D84" s="56"/>
      <c r="E84" s="57"/>
      <c r="G84" s="58">
        <v>3</v>
      </c>
      <c r="H84" s="59">
        <f>VLOOKUP("35/215/3",Data!$A$2:$E$1425,3,FALSE)</f>
        <v>0</v>
      </c>
      <c r="I84" s="56"/>
      <c r="J84" s="57"/>
      <c r="L84" s="6">
        <f>COUNTA(B78)+L83</f>
        <v>70</v>
      </c>
      <c r="M84" s="79" t="str">
        <f>C78</f>
        <v>11208 JACOB</v>
      </c>
      <c r="N84" s="80" t="s">
        <v>7430</v>
      </c>
      <c r="O84" s="81">
        <v>35</v>
      </c>
      <c r="P84" s="81">
        <v>207</v>
      </c>
      <c r="Q84" s="62" t="str">
        <f>_xlfn.IFS(COUNTA(B78:B80)=1,"Single",COUNTA(B78:B80)=2,"Double",COUNTA(B78:B80)=3,"Triple",COUNTA(B78:B80)=0,"Empty")</f>
        <v>Double</v>
      </c>
      <c r="R84" s="62"/>
      <c r="S84" s="62"/>
      <c r="T84" s="62"/>
      <c r="U84" s="81">
        <f>B78</f>
        <v>1</v>
      </c>
      <c r="V84" s="100">
        <f>COUNT(B78:B80)</f>
        <v>2</v>
      </c>
      <c r="W84" s="101"/>
      <c r="X84" s="108" t="str">
        <f>IF(D78=0,"",D78)</f>
        <v/>
      </c>
      <c r="Y84" s="108" t="str">
        <f>IF(E78=0,"",E78)</f>
        <v/>
      </c>
      <c r="Z84" s="318" t="s">
        <v>7857</v>
      </c>
      <c r="AA84" s="121" t="e">
        <f>VLOOKUP($M:$M,Data!$I:$J,2,FALSE)</f>
        <v>#N/A</v>
      </c>
      <c r="AB84" s="122"/>
    </row>
    <row r="85" spans="2:28">
      <c r="B85" s="46">
        <v>209</v>
      </c>
      <c r="C85" s="47"/>
      <c r="D85" s="48" t="s">
        <v>6580</v>
      </c>
      <c r="E85" s="49" t="s">
        <v>6581</v>
      </c>
      <c r="G85" s="46">
        <v>214</v>
      </c>
      <c r="H85" s="47"/>
      <c r="I85" s="48" t="s">
        <v>6580</v>
      </c>
      <c r="J85" s="49" t="s">
        <v>6581</v>
      </c>
      <c r="L85" s="9">
        <f>COUNTA(B79)+L84</f>
        <v>71</v>
      </c>
      <c r="M85" s="31" t="str">
        <f>C79</f>
        <v>11207 DAVID</v>
      </c>
      <c r="N85" s="82" t="s">
        <v>7430</v>
      </c>
      <c r="O85" s="36">
        <v>35</v>
      </c>
      <c r="P85" s="36">
        <v>207</v>
      </c>
      <c r="Q85" s="32"/>
      <c r="R85" s="32"/>
      <c r="S85" s="32"/>
      <c r="T85" s="32"/>
      <c r="U85" s="36">
        <f>B79</f>
        <v>2</v>
      </c>
      <c r="V85" s="103"/>
      <c r="W85" s="104"/>
      <c r="X85" s="109" t="str">
        <f t="shared" ref="X85:Y86" si="26">IF(D79=0,"",D79)</f>
        <v/>
      </c>
      <c r="Y85" s="109" t="str">
        <f t="shared" si="26"/>
        <v/>
      </c>
      <c r="Z85" s="123" t="s">
        <v>7858</v>
      </c>
      <c r="AA85" s="124" t="e">
        <f>VLOOKUP($M:$M,Data!$I:$J,2,FALSE)</f>
        <v>#N/A</v>
      </c>
      <c r="AB85" s="125"/>
    </row>
    <row r="86" ht="15.25" spans="2:28">
      <c r="B86" s="50">
        <v>1</v>
      </c>
      <c r="C86" s="51" t="str">
        <f>VLOOKUP("35/209/1",Data!$A$2:$E$1425,3,FALSE)</f>
        <v>11301 OLAUS</v>
      </c>
      <c r="D86" s="52"/>
      <c r="E86" s="53"/>
      <c r="G86" s="50">
        <v>1</v>
      </c>
      <c r="H86" s="51" t="str">
        <f>VLOOKUP("35/214/1",Data!$A$2:$E$1425,3,FALSE)</f>
        <v>11304 GUSTAV</v>
      </c>
      <c r="I86" s="52"/>
      <c r="J86" s="53"/>
      <c r="L86" s="14">
        <f>COUNTA(B80)+L85</f>
        <v>71</v>
      </c>
      <c r="M86" s="83">
        <f>C80</f>
        <v>0</v>
      </c>
      <c r="N86" s="84" t="s">
        <v>7430</v>
      </c>
      <c r="O86" s="85">
        <v>35</v>
      </c>
      <c r="P86" s="85">
        <v>207</v>
      </c>
      <c r="Q86" s="110"/>
      <c r="R86" s="110"/>
      <c r="S86" s="110"/>
      <c r="T86" s="110"/>
      <c r="U86" s="85">
        <f>B80</f>
        <v>0</v>
      </c>
      <c r="V86" s="105"/>
      <c r="W86" s="106"/>
      <c r="X86" s="111" t="str">
        <f t="shared" si="26"/>
        <v/>
      </c>
      <c r="Y86" s="111" t="str">
        <f t="shared" si="26"/>
        <v/>
      </c>
      <c r="Z86" s="127"/>
      <c r="AA86" s="128" t="e">
        <f>VLOOKUP($M:$M,Data!$I:$J,2,FALSE)</f>
        <v>#N/A</v>
      </c>
      <c r="AB86" s="126"/>
    </row>
    <row r="87" spans="2:28">
      <c r="B87" s="50">
        <v>2</v>
      </c>
      <c r="C87" s="51" t="str">
        <f>VLOOKUP("35/209/2",Data!$A$2:$E$1425,3,FALSE)</f>
        <v>11302 AUGUST</v>
      </c>
      <c r="D87" s="54"/>
      <c r="E87" s="55"/>
      <c r="G87" s="50">
        <v>2</v>
      </c>
      <c r="H87" s="51" t="str">
        <f>VLOOKUP("35/214/2",Data!$A$2:$E$1425,3,FALSE)</f>
        <v>11305 GUSTAV</v>
      </c>
      <c r="I87" s="54"/>
      <c r="J87" s="55"/>
      <c r="L87" s="6">
        <f>COUNTA(B82)+L86</f>
        <v>72</v>
      </c>
      <c r="M87" s="79" t="str">
        <f>C82</f>
        <v>11209 ALBIN</v>
      </c>
      <c r="N87" s="80" t="s">
        <v>7430</v>
      </c>
      <c r="O87" s="81">
        <v>35</v>
      </c>
      <c r="P87" s="81">
        <v>208</v>
      </c>
      <c r="Q87" s="62" t="str">
        <f>_xlfn.IFS(COUNTA(B82:B84)=1,"Single",COUNTA(B82:B84)=2,"Double",COUNTA(B82:B84)=3,"Triple",COUNTA(B82:B84)=0,"Empty")</f>
        <v>Double</v>
      </c>
      <c r="R87" s="62"/>
      <c r="S87" s="62"/>
      <c r="T87" s="62"/>
      <c r="U87" s="81">
        <f>B82</f>
        <v>1</v>
      </c>
      <c r="V87" s="100">
        <f>COUNT(B82:B84)</f>
        <v>2</v>
      </c>
      <c r="W87" s="101"/>
      <c r="X87" s="108" t="str">
        <f>IF(D82=0,"",D82)</f>
        <v/>
      </c>
      <c r="Y87" s="108" t="str">
        <f>IF(E82=0,"",E82)</f>
        <v/>
      </c>
      <c r="Z87" s="120" t="s">
        <v>6882</v>
      </c>
      <c r="AA87" s="121" t="e">
        <f>VLOOKUP($M:$M,Data!$I:$J,2,FALSE)</f>
        <v>#N/A</v>
      </c>
      <c r="AB87" s="122"/>
    </row>
    <row r="88" ht="15.25" spans="2:28">
      <c r="B88" s="58">
        <v>3</v>
      </c>
      <c r="C88" s="59">
        <f>VLOOKUP("35/209/3",Data!$A$2:$E$1425,3,FALSE)</f>
        <v>0</v>
      </c>
      <c r="D88" s="56"/>
      <c r="E88" s="57"/>
      <c r="G88" s="58">
        <v>3</v>
      </c>
      <c r="H88" s="59">
        <f>VLOOKUP("35/214/3",Data!$A$2:$E$1425,3,FALSE)</f>
        <v>0</v>
      </c>
      <c r="I88" s="56"/>
      <c r="J88" s="57"/>
      <c r="L88" s="9">
        <f>COUNTA(B83)+L87</f>
        <v>73</v>
      </c>
      <c r="M88" s="31" t="str">
        <f>C83</f>
        <v>11206 MATTIAS</v>
      </c>
      <c r="N88" s="82" t="s">
        <v>7430</v>
      </c>
      <c r="O88" s="36">
        <v>35</v>
      </c>
      <c r="P88" s="36">
        <v>208</v>
      </c>
      <c r="Q88" s="32"/>
      <c r="R88" s="32"/>
      <c r="S88" s="32"/>
      <c r="T88" s="32"/>
      <c r="U88" s="36">
        <f>B83</f>
        <v>2</v>
      </c>
      <c r="V88" s="103"/>
      <c r="W88" s="104"/>
      <c r="X88" s="109" t="str">
        <f t="shared" ref="X88:Y89" si="27">IF(D83=0,"",D83)</f>
        <v/>
      </c>
      <c r="Y88" s="109" t="str">
        <f t="shared" si="27"/>
        <v/>
      </c>
      <c r="Z88" s="123" t="s">
        <v>7859</v>
      </c>
      <c r="AA88" s="124" t="e">
        <f>VLOOKUP($M:$M,Data!$I:$J,2,FALSE)</f>
        <v>#N/A</v>
      </c>
      <c r="AB88" s="125"/>
    </row>
    <row r="89" ht="15.25" spans="2:28">
      <c r="B89" s="46">
        <v>210</v>
      </c>
      <c r="C89" s="47"/>
      <c r="D89" s="48" t="s">
        <v>6580</v>
      </c>
      <c r="E89" s="49" t="s">
        <v>6581</v>
      </c>
      <c r="G89" s="46">
        <v>213</v>
      </c>
      <c r="H89" s="47"/>
      <c r="I89" s="48" t="s">
        <v>6580</v>
      </c>
      <c r="J89" s="49" t="s">
        <v>6581</v>
      </c>
      <c r="L89" s="14">
        <f>COUNTA(B84)+L88</f>
        <v>73</v>
      </c>
      <c r="M89" s="83">
        <f>C84</f>
        <v>0</v>
      </c>
      <c r="N89" s="84" t="s">
        <v>7430</v>
      </c>
      <c r="O89" s="85">
        <v>35</v>
      </c>
      <c r="P89" s="85">
        <v>208</v>
      </c>
      <c r="Q89" s="110"/>
      <c r="R89" s="110"/>
      <c r="S89" s="110"/>
      <c r="T89" s="110"/>
      <c r="U89" s="85">
        <f>B84</f>
        <v>0</v>
      </c>
      <c r="V89" s="105"/>
      <c r="W89" s="106"/>
      <c r="X89" s="111" t="str">
        <f t="shared" si="27"/>
        <v/>
      </c>
      <c r="Y89" s="111" t="str">
        <f t="shared" si="27"/>
        <v/>
      </c>
      <c r="Z89" s="127"/>
      <c r="AA89" s="128" t="e">
        <f>VLOOKUP($M:$M,Data!$I:$J,2,FALSE)</f>
        <v>#N/A</v>
      </c>
      <c r="AB89" s="126"/>
    </row>
    <row r="90" spans="2:28">
      <c r="B90" s="50">
        <v>1</v>
      </c>
      <c r="C90" s="51" t="str">
        <f>VLOOKUP("35/210/1",Data!$A$2:$E$1425,3,FALSE)</f>
        <v>11308 ALEXANDER</v>
      </c>
      <c r="D90" s="52"/>
      <c r="E90" s="53"/>
      <c r="G90" s="50">
        <v>1</v>
      </c>
      <c r="H90" s="51" t="str">
        <f>VLOOKUP("35/213/1",Data!$A$2:$E$1425,3,FALSE)</f>
        <v>11303 EMIL</v>
      </c>
      <c r="I90" s="52"/>
      <c r="J90" s="53"/>
      <c r="L90" s="6">
        <f>COUNTA(B86)+L89</f>
        <v>74</v>
      </c>
      <c r="M90" s="79" t="str">
        <f>C86</f>
        <v>11301 OLAUS</v>
      </c>
      <c r="N90" s="80" t="s">
        <v>7430</v>
      </c>
      <c r="O90" s="81">
        <v>35</v>
      </c>
      <c r="P90" s="81">
        <v>209</v>
      </c>
      <c r="Q90" s="62" t="str">
        <f>_xlfn.IFS(COUNTA(B86:B88)=1,"Single",COUNTA(B86:B88)=2,"Double",COUNTA(B86:B88)=3,"Triple",COUNTA(B86:B88)=0,"Empty")</f>
        <v>Triple</v>
      </c>
      <c r="R90" s="62"/>
      <c r="S90" s="62"/>
      <c r="T90" s="62"/>
      <c r="U90" s="81">
        <f>B86</f>
        <v>1</v>
      </c>
      <c r="V90" s="100">
        <f>COUNT(B86:B88)</f>
        <v>3</v>
      </c>
      <c r="W90" s="101"/>
      <c r="X90" s="108" t="str">
        <f>IF(D86=0,"",D86)</f>
        <v/>
      </c>
      <c r="Y90" s="108" t="str">
        <f>IF(E86=0,"",E86)</f>
        <v/>
      </c>
      <c r="Z90" s="120" t="s">
        <v>6859</v>
      </c>
      <c r="AA90" s="121" t="e">
        <f>VLOOKUP($M:$M,Data!$I:$J,2,FALSE)</f>
        <v>#N/A</v>
      </c>
      <c r="AB90" s="122"/>
    </row>
    <row r="91" spans="2:28">
      <c r="B91" s="50">
        <v>2</v>
      </c>
      <c r="C91" s="51" t="str">
        <f>VLOOKUP("35/210/2",Data!$A$2:$E$1425,3,FALSE)</f>
        <v>11307 LUDVIG </v>
      </c>
      <c r="D91" s="54"/>
      <c r="E91" s="55"/>
      <c r="G91" s="50">
        <v>2</v>
      </c>
      <c r="H91" s="51" t="str">
        <f>VLOOKUP("35/213/2",Data!$A$2:$E$1425,3,FALSE)</f>
        <v>11309 JONATHAN</v>
      </c>
      <c r="I91" s="54"/>
      <c r="J91" s="55"/>
      <c r="L91" s="9">
        <f>COUNTA(B87)+L90</f>
        <v>75</v>
      </c>
      <c r="M91" s="31" t="str">
        <f>C87</f>
        <v>11302 AUGUST</v>
      </c>
      <c r="N91" s="82" t="s">
        <v>7430</v>
      </c>
      <c r="O91" s="36">
        <v>35</v>
      </c>
      <c r="P91" s="36">
        <v>209</v>
      </c>
      <c r="Q91" s="32"/>
      <c r="R91" s="32"/>
      <c r="S91" s="32"/>
      <c r="T91" s="32"/>
      <c r="U91" s="36">
        <f>B87</f>
        <v>2</v>
      </c>
      <c r="V91" s="103"/>
      <c r="W91" s="104"/>
      <c r="X91" s="109" t="str">
        <f t="shared" ref="X91:Y92" si="28">IF(D87=0,"",D87)</f>
        <v/>
      </c>
      <c r="Y91" s="109" t="str">
        <f t="shared" si="28"/>
        <v/>
      </c>
      <c r="Z91" s="123" t="s">
        <v>7211</v>
      </c>
      <c r="AA91" s="124" t="e">
        <f>VLOOKUP($M:$M,Data!$I:$J,2,FALSE)</f>
        <v>#N/A</v>
      </c>
      <c r="AB91" s="125"/>
    </row>
    <row r="92" ht="15.25" spans="2:28">
      <c r="B92" s="58">
        <v>3</v>
      </c>
      <c r="C92" s="59">
        <f>VLOOKUP("35/210/3",Data!$A$2:$E$1425,3,FALSE)</f>
        <v>0</v>
      </c>
      <c r="D92" s="56"/>
      <c r="E92" s="57"/>
      <c r="G92" s="58">
        <v>3</v>
      </c>
      <c r="H92" s="59">
        <f>VLOOKUP("35/213/3",Data!$A$2:$E$1425,3,FALSE)</f>
        <v>0</v>
      </c>
      <c r="I92" s="56"/>
      <c r="J92" s="57"/>
      <c r="L92" s="14">
        <f>COUNTA(B88)+L91</f>
        <v>76</v>
      </c>
      <c r="M92" s="83">
        <f>C88</f>
        <v>0</v>
      </c>
      <c r="N92" s="84" t="s">
        <v>7430</v>
      </c>
      <c r="O92" s="85">
        <v>35</v>
      </c>
      <c r="P92" s="85">
        <v>209</v>
      </c>
      <c r="Q92" s="110"/>
      <c r="R92" s="110"/>
      <c r="S92" s="110"/>
      <c r="T92" s="110"/>
      <c r="U92" s="85">
        <f>B88</f>
        <v>3</v>
      </c>
      <c r="V92" s="105"/>
      <c r="W92" s="106"/>
      <c r="X92" s="111" t="str">
        <f t="shared" si="28"/>
        <v/>
      </c>
      <c r="Y92" s="111" t="str">
        <f t="shared" si="28"/>
        <v/>
      </c>
      <c r="Z92" s="127" t="s">
        <v>6850</v>
      </c>
      <c r="AA92" s="128" t="e">
        <f>VLOOKUP($M:$M,Data!$I:$J,2,FALSE)</f>
        <v>#N/A</v>
      </c>
      <c r="AB92" s="126"/>
    </row>
    <row r="93" spans="2:28">
      <c r="B93" s="46">
        <v>211</v>
      </c>
      <c r="C93" s="47"/>
      <c r="D93" s="48" t="s">
        <v>6580</v>
      </c>
      <c r="E93" s="49" t="s">
        <v>6581</v>
      </c>
      <c r="G93" s="46">
        <v>212</v>
      </c>
      <c r="H93" s="47"/>
      <c r="I93" s="48" t="s">
        <v>6580</v>
      </c>
      <c r="J93" s="49" t="s">
        <v>6581</v>
      </c>
      <c r="L93" s="6">
        <f>COUNTA(B90)+L92</f>
        <v>77</v>
      </c>
      <c r="M93" s="79" t="str">
        <f>C90</f>
        <v>11308 ALEXANDER</v>
      </c>
      <c r="N93" s="80" t="s">
        <v>7430</v>
      </c>
      <c r="O93" s="81">
        <v>35</v>
      </c>
      <c r="P93" s="81">
        <v>210</v>
      </c>
      <c r="Q93" s="62" t="str">
        <f>_xlfn.IFS(COUNTA(B90:B92)=1,"Single",COUNTA(B90:B92)=2,"Double",COUNTA(B90:B92)=3,"Triple",COUNTA(B90:B92)=0,"Empty")</f>
        <v>Triple</v>
      </c>
      <c r="R93" s="62"/>
      <c r="S93" s="62"/>
      <c r="T93" s="62"/>
      <c r="U93" s="81">
        <f>B90</f>
        <v>1</v>
      </c>
      <c r="V93" s="100">
        <f>COUNT(B90:B92)</f>
        <v>3</v>
      </c>
      <c r="W93" s="101"/>
      <c r="X93" s="108" t="str">
        <f>IF(D90=0,"",D90)</f>
        <v/>
      </c>
      <c r="Y93" s="108" t="str">
        <f>IF(E90=0,"",E90)</f>
        <v/>
      </c>
      <c r="Z93" s="120" t="s">
        <v>7288</v>
      </c>
      <c r="AA93" s="121" t="e">
        <f>VLOOKUP($M:$M,Data!$I:$J,2,FALSE)</f>
        <v>#N/A</v>
      </c>
      <c r="AB93" s="122"/>
    </row>
    <row r="94" spans="2:28">
      <c r="B94" s="50">
        <v>1</v>
      </c>
      <c r="C94" s="51" t="str">
        <f>VLOOKUP("35/211/1",Data!$A$2:$E$1425,3,FALSE)</f>
        <v>11002 FELIX</v>
      </c>
      <c r="D94" s="52"/>
      <c r="E94" s="53"/>
      <c r="G94" s="50">
        <v>1</v>
      </c>
      <c r="H94" s="51" t="str">
        <f>VLOOKUP("35/212/1",Data!$A$2:$E$1425,3,FALSE)</f>
        <v>14407 VICTOR</v>
      </c>
      <c r="I94" s="52"/>
      <c r="J94" s="53"/>
      <c r="L94" s="9">
        <f>COUNTA(B91)+L93</f>
        <v>78</v>
      </c>
      <c r="M94" s="31" t="str">
        <f>C91</f>
        <v>11307 LUDVIG </v>
      </c>
      <c r="N94" s="82" t="s">
        <v>7430</v>
      </c>
      <c r="O94" s="36">
        <v>35</v>
      </c>
      <c r="P94" s="36">
        <v>210</v>
      </c>
      <c r="Q94" s="32"/>
      <c r="R94" s="32"/>
      <c r="S94" s="32"/>
      <c r="T94" s="32"/>
      <c r="U94" s="36">
        <f>B91</f>
        <v>2</v>
      </c>
      <c r="V94" s="103"/>
      <c r="W94" s="104"/>
      <c r="X94" s="109" t="str">
        <f t="shared" ref="X94:Y95" si="29">IF(D91=0,"",D91)</f>
        <v/>
      </c>
      <c r="Y94" s="109" t="str">
        <f t="shared" si="29"/>
        <v/>
      </c>
      <c r="Z94" s="123" t="s">
        <v>6790</v>
      </c>
      <c r="AA94" s="124" t="e">
        <f>VLOOKUP($M:$M,Data!$I:$J,2,FALSE)</f>
        <v>#N/A</v>
      </c>
      <c r="AB94" s="125"/>
    </row>
    <row r="95" ht="15.25" spans="2:28">
      <c r="B95" s="50">
        <v>2</v>
      </c>
      <c r="C95" s="51">
        <f>VLOOKUP("35/211/2",Data!$A$2:$E$1425,3,FALSE)</f>
        <v>0</v>
      </c>
      <c r="D95" s="54"/>
      <c r="E95" s="55"/>
      <c r="G95" s="50">
        <v>2</v>
      </c>
      <c r="H95" s="51" t="str">
        <f>VLOOKUP("35/212/2",Data!$A$2:$E$1425,3,FALSE)</f>
        <v>14405 LINUS</v>
      </c>
      <c r="I95" s="54"/>
      <c r="J95" s="55"/>
      <c r="L95" s="14">
        <f>COUNTA(B92)+L94</f>
        <v>79</v>
      </c>
      <c r="M95" s="83">
        <f>C92</f>
        <v>0</v>
      </c>
      <c r="N95" s="84" t="s">
        <v>7430</v>
      </c>
      <c r="O95" s="85">
        <v>35</v>
      </c>
      <c r="P95" s="85">
        <v>210</v>
      </c>
      <c r="Q95" s="110"/>
      <c r="R95" s="110"/>
      <c r="S95" s="110"/>
      <c r="T95" s="110"/>
      <c r="U95" s="85">
        <f>B92</f>
        <v>3</v>
      </c>
      <c r="V95" s="105"/>
      <c r="W95" s="106"/>
      <c r="X95" s="111" t="str">
        <f t="shared" si="29"/>
        <v/>
      </c>
      <c r="Y95" s="111" t="str">
        <f t="shared" si="29"/>
        <v/>
      </c>
      <c r="Z95" s="127" t="s">
        <v>7860</v>
      </c>
      <c r="AA95" s="128" t="e">
        <f>VLOOKUP($M:$M,Data!$I:$J,2,FALSE)</f>
        <v>#N/A</v>
      </c>
      <c r="AB95" s="126"/>
    </row>
    <row r="96" ht="15.25" spans="2:28">
      <c r="B96" s="58">
        <v>3</v>
      </c>
      <c r="C96" s="59">
        <f>VLOOKUP("35/211/3",Data!$A$2:$E$1425,3,FALSE)</f>
        <v>0</v>
      </c>
      <c r="D96" s="56"/>
      <c r="E96" s="57"/>
      <c r="G96" s="58">
        <v>3</v>
      </c>
      <c r="H96" s="59">
        <f>VLOOKUP("35/212/3",Data!$A$2:$E$1425,3,FALSE)</f>
        <v>0</v>
      </c>
      <c r="I96" s="56"/>
      <c r="J96" s="57"/>
      <c r="L96" s="6">
        <f>COUNTA(B94)+L95</f>
        <v>80</v>
      </c>
      <c r="M96" s="79" t="str">
        <f>C94</f>
        <v>11002 FELIX</v>
      </c>
      <c r="N96" s="80" t="s">
        <v>7430</v>
      </c>
      <c r="O96" s="81">
        <v>35</v>
      </c>
      <c r="P96" s="81">
        <v>211</v>
      </c>
      <c r="Q96" s="62" t="str">
        <f>_xlfn.IFS(COUNTA(B94:B96)=1,"Single",COUNTA(B94:B96)=2,"Double",COUNTA(B94:B96)=3,"Triple",COUNTA(B94:B96)=0,"Empty")</f>
        <v>Triple</v>
      </c>
      <c r="R96" s="62"/>
      <c r="S96" s="62"/>
      <c r="T96" s="62"/>
      <c r="U96" s="81">
        <f>B94</f>
        <v>1</v>
      </c>
      <c r="V96" s="100">
        <f>COUNT(B94:B96)</f>
        <v>3</v>
      </c>
      <c r="W96" s="101"/>
      <c r="X96" s="108" t="str">
        <f>IF(D94=0,"",D94)</f>
        <v/>
      </c>
      <c r="Y96" s="108" t="str">
        <f>IF(E94=0,"",E94)</f>
        <v/>
      </c>
      <c r="Z96" s="120" t="s">
        <v>6838</v>
      </c>
      <c r="AA96" s="121" t="e">
        <f>VLOOKUP($M:$M,Data!$I:$J,2,FALSE)</f>
        <v>#N/A</v>
      </c>
      <c r="AB96" s="122"/>
    </row>
    <row r="97" spans="12:28">
      <c r="L97" s="9">
        <f>COUNTA(B95)+L96</f>
        <v>81</v>
      </c>
      <c r="M97" s="31">
        <f>C95</f>
        <v>0</v>
      </c>
      <c r="N97" s="82" t="s">
        <v>7430</v>
      </c>
      <c r="O97" s="36">
        <v>35</v>
      </c>
      <c r="P97" s="36">
        <v>211</v>
      </c>
      <c r="Q97" s="32"/>
      <c r="R97" s="32"/>
      <c r="S97" s="32"/>
      <c r="T97" s="32"/>
      <c r="U97" s="36">
        <f>B95</f>
        <v>2</v>
      </c>
      <c r="V97" s="103"/>
      <c r="W97" s="104"/>
      <c r="X97" s="109" t="str">
        <f t="shared" ref="X97:Y98" si="30">IF(D95=0,"",D95)</f>
        <v/>
      </c>
      <c r="Y97" s="109" t="str">
        <f t="shared" si="30"/>
        <v/>
      </c>
      <c r="Z97" s="123" t="s">
        <v>7202</v>
      </c>
      <c r="AA97" s="124" t="e">
        <f>VLOOKUP($M:$M,Data!$I:$J,2,FALSE)</f>
        <v>#N/A</v>
      </c>
      <c r="AB97" s="125"/>
    </row>
    <row r="98" ht="15.25" spans="12:28">
      <c r="L98" s="14">
        <f>COUNTA(B96)+L97</f>
        <v>82</v>
      </c>
      <c r="M98" s="83">
        <f>C96</f>
        <v>0</v>
      </c>
      <c r="N98" s="84" t="s">
        <v>7430</v>
      </c>
      <c r="O98" s="85">
        <v>35</v>
      </c>
      <c r="P98" s="85">
        <v>211</v>
      </c>
      <c r="Q98" s="110"/>
      <c r="R98" s="110"/>
      <c r="S98" s="110"/>
      <c r="T98" s="110"/>
      <c r="U98" s="85">
        <f>B96</f>
        <v>3</v>
      </c>
      <c r="V98" s="105"/>
      <c r="W98" s="106"/>
      <c r="X98" s="111" t="str">
        <f t="shared" si="30"/>
        <v/>
      </c>
      <c r="Y98" s="111" t="str">
        <f t="shared" si="30"/>
        <v/>
      </c>
      <c r="Z98" s="127" t="s">
        <v>7009</v>
      </c>
      <c r="AA98" s="128" t="e">
        <f>VLOOKUP($M:$M,Data!$I:$J,2,FALSE)</f>
        <v>#N/A</v>
      </c>
      <c r="AB98" s="126"/>
    </row>
    <row r="99" spans="12:28">
      <c r="L99" s="6">
        <f>COUNTA(G94)+L98</f>
        <v>83</v>
      </c>
      <c r="M99" s="79" t="str">
        <f>H94</f>
        <v>14407 VICTOR</v>
      </c>
      <c r="N99" s="80" t="s">
        <v>7430</v>
      </c>
      <c r="O99" s="81">
        <v>35</v>
      </c>
      <c r="P99" s="81">
        <v>212</v>
      </c>
      <c r="Q99" s="62" t="str">
        <f>_xlfn.IFS(COUNTA(G94:G96)=1,"Single",COUNTA(G94:G96)=2,"Double",COUNTA(G94:G96)=3,"Triple",COUNTA(G94:G96)=0,"Empty")</f>
        <v>Triple</v>
      </c>
      <c r="R99" s="62"/>
      <c r="S99" s="62"/>
      <c r="T99" s="62"/>
      <c r="U99" s="81">
        <f>G94</f>
        <v>1</v>
      </c>
      <c r="V99" s="100">
        <f>COUNT(G94:G96)</f>
        <v>3</v>
      </c>
      <c r="W99" s="101"/>
      <c r="X99" s="108" t="str">
        <f>IF(I94=0,"",I94)</f>
        <v/>
      </c>
      <c r="Y99" s="108" t="str">
        <f>IF(J94=0,"",J94)</f>
        <v/>
      </c>
      <c r="Z99" s="120" t="s">
        <v>7002</v>
      </c>
      <c r="AA99" s="121" t="e">
        <f>VLOOKUP($M:$M,Data!$I:$J,2,FALSE)</f>
        <v>#N/A</v>
      </c>
      <c r="AB99" s="122"/>
    </row>
    <row r="100" spans="12:28">
      <c r="L100" s="9">
        <f>COUNTA(G95)+L99</f>
        <v>84</v>
      </c>
      <c r="M100" s="31" t="str">
        <f>H95</f>
        <v>14405 LINUS</v>
      </c>
      <c r="N100" s="82" t="s">
        <v>7430</v>
      </c>
      <c r="O100" s="36">
        <v>35</v>
      </c>
      <c r="P100" s="36">
        <v>212</v>
      </c>
      <c r="Q100" s="32"/>
      <c r="R100" s="32"/>
      <c r="S100" s="32"/>
      <c r="T100" s="32"/>
      <c r="U100" s="36">
        <f>G95</f>
        <v>2</v>
      </c>
      <c r="V100" s="103"/>
      <c r="W100" s="104"/>
      <c r="X100" s="109" t="str">
        <f t="shared" ref="X100:Y101" si="31">IF(I95=0,"",I95)</f>
        <v/>
      </c>
      <c r="Y100" s="109" t="str">
        <f t="shared" si="31"/>
        <v/>
      </c>
      <c r="Z100" s="123" t="s">
        <v>7028</v>
      </c>
      <c r="AA100" s="124" t="e">
        <f>VLOOKUP($M:$M,Data!$I:$J,2,FALSE)</f>
        <v>#N/A</v>
      </c>
      <c r="AB100" s="125"/>
    </row>
    <row r="101" ht="15.25" spans="12:28">
      <c r="L101" s="14">
        <f>COUNTA(G96)+L100</f>
        <v>85</v>
      </c>
      <c r="M101" s="83">
        <f>H96</f>
        <v>0</v>
      </c>
      <c r="N101" s="84" t="s">
        <v>7430</v>
      </c>
      <c r="O101" s="85">
        <v>35</v>
      </c>
      <c r="P101" s="85">
        <v>212</v>
      </c>
      <c r="Q101" s="110"/>
      <c r="R101" s="110"/>
      <c r="S101" s="110"/>
      <c r="T101" s="110"/>
      <c r="U101" s="85">
        <f>G96</f>
        <v>3</v>
      </c>
      <c r="V101" s="105"/>
      <c r="W101" s="106"/>
      <c r="X101" s="111" t="str">
        <f t="shared" si="31"/>
        <v/>
      </c>
      <c r="Y101" s="111" t="str">
        <f t="shared" si="31"/>
        <v/>
      </c>
      <c r="Z101" s="127" t="s">
        <v>7861</v>
      </c>
      <c r="AA101" s="128" t="e">
        <f>VLOOKUP($M:$M,Data!$I:$J,2,FALSE)</f>
        <v>#N/A</v>
      </c>
      <c r="AB101" s="126"/>
    </row>
    <row r="102" spans="12:28">
      <c r="L102" s="6">
        <f>COUNTA(G90)+L101</f>
        <v>86</v>
      </c>
      <c r="M102" s="79" t="str">
        <f>H90</f>
        <v>11303 EMIL</v>
      </c>
      <c r="N102" s="80" t="s">
        <v>7430</v>
      </c>
      <c r="O102" s="81">
        <v>35</v>
      </c>
      <c r="P102" s="81">
        <v>213</v>
      </c>
      <c r="Q102" s="62" t="str">
        <f>_xlfn.IFS(COUNTA(G90:G92)=1,"Single",COUNTA(G90:G92)=2,"Double",COUNTA(G90:G92)=3,"Triple",COUNTA(G90:G92)=0,"Empty")</f>
        <v>Triple</v>
      </c>
      <c r="R102" s="62"/>
      <c r="S102" s="62"/>
      <c r="T102" s="62"/>
      <c r="U102" s="81">
        <f>G90</f>
        <v>1</v>
      </c>
      <c r="V102" s="100">
        <f>COUNT(G90:G92)</f>
        <v>3</v>
      </c>
      <c r="W102" s="101"/>
      <c r="X102" s="108" t="str">
        <f>IF(I90=0,"",I90)</f>
        <v/>
      </c>
      <c r="Y102" s="108" t="str">
        <f>IF(J90=0,"",J90)</f>
        <v/>
      </c>
      <c r="Z102" s="120" t="s">
        <v>7862</v>
      </c>
      <c r="AA102" s="121" t="e">
        <f>VLOOKUP($M:$M,Data!$I:$J,2,FALSE)</f>
        <v>#N/A</v>
      </c>
      <c r="AB102" s="122"/>
    </row>
    <row r="103" spans="12:28">
      <c r="L103" s="9">
        <f>COUNTA(G91)+L102</f>
        <v>87</v>
      </c>
      <c r="M103" s="31" t="str">
        <f>H91</f>
        <v>11309 JONATHAN</v>
      </c>
      <c r="N103" s="82" t="s">
        <v>7430</v>
      </c>
      <c r="O103" s="36">
        <v>35</v>
      </c>
      <c r="P103" s="36">
        <v>213</v>
      </c>
      <c r="Q103" s="32"/>
      <c r="R103" s="32"/>
      <c r="S103" s="32"/>
      <c r="T103" s="32"/>
      <c r="U103" s="36">
        <f>G91</f>
        <v>2</v>
      </c>
      <c r="V103" s="103"/>
      <c r="W103" s="104"/>
      <c r="X103" s="109" t="str">
        <f t="shared" ref="X103:Y104" si="32">IF(I91=0,"",I91)</f>
        <v/>
      </c>
      <c r="Y103" s="109" t="str">
        <f t="shared" si="32"/>
        <v/>
      </c>
      <c r="Z103" s="123" t="s">
        <v>7863</v>
      </c>
      <c r="AA103" s="124" t="e">
        <f>VLOOKUP($M:$M,Data!$I:$J,2,FALSE)</f>
        <v>#N/A</v>
      </c>
      <c r="AB103" s="125"/>
    </row>
    <row r="104" ht="15.25" spans="12:28">
      <c r="L104" s="14">
        <f>COUNTA(G92)+L103</f>
        <v>88</v>
      </c>
      <c r="M104" s="83">
        <f>H92</f>
        <v>0</v>
      </c>
      <c r="N104" s="84" t="s">
        <v>7430</v>
      </c>
      <c r="O104" s="85">
        <v>35</v>
      </c>
      <c r="P104" s="85">
        <v>213</v>
      </c>
      <c r="Q104" s="110"/>
      <c r="R104" s="110"/>
      <c r="S104" s="110"/>
      <c r="T104" s="110"/>
      <c r="U104" s="85">
        <f>G92</f>
        <v>3</v>
      </c>
      <c r="V104" s="105"/>
      <c r="W104" s="106"/>
      <c r="X104" s="111" t="str">
        <f t="shared" si="32"/>
        <v/>
      </c>
      <c r="Y104" s="111" t="str">
        <f t="shared" si="32"/>
        <v/>
      </c>
      <c r="Z104" s="127" t="s">
        <v>7864</v>
      </c>
      <c r="AA104" s="128" t="e">
        <f>VLOOKUP($M:$M,Data!$I:$J,2,FALSE)</f>
        <v>#N/A</v>
      </c>
      <c r="AB104" s="126"/>
    </row>
    <row r="105" spans="12:28">
      <c r="L105" s="6">
        <f>COUNTA(G86)+L104</f>
        <v>89</v>
      </c>
      <c r="M105" s="79" t="str">
        <f>H86</f>
        <v>11304 GUSTAV</v>
      </c>
      <c r="N105" s="80" t="s">
        <v>7430</v>
      </c>
      <c r="O105" s="81">
        <v>35</v>
      </c>
      <c r="P105" s="81">
        <v>214</v>
      </c>
      <c r="Q105" s="62" t="str">
        <f>_xlfn.IFS(COUNTA(G86:G88)=1,"Single",COUNTA(G86:G88)=2,"Double",COUNTA(G86:G88)=3,"Triple",COUNTA(G86:G88)=0,"Empty")</f>
        <v>Triple</v>
      </c>
      <c r="R105" s="62"/>
      <c r="S105" s="62"/>
      <c r="T105" s="62"/>
      <c r="U105" s="81">
        <f>G86</f>
        <v>1</v>
      </c>
      <c r="V105" s="100">
        <f>COUNT(G86:G88)</f>
        <v>3</v>
      </c>
      <c r="W105" s="101"/>
      <c r="X105" s="108" t="str">
        <f>IF(I86=0,"",I86)</f>
        <v/>
      </c>
      <c r="Y105" s="108" t="str">
        <f>IF(J86=0,"",J86)</f>
        <v/>
      </c>
      <c r="Z105" s="120" t="s">
        <v>7865</v>
      </c>
      <c r="AA105" s="121" t="e">
        <f>VLOOKUP($M:$M,Data!$I:$J,2,FALSE)</f>
        <v>#N/A</v>
      </c>
      <c r="AB105" s="122"/>
    </row>
    <row r="106" spans="12:28">
      <c r="L106" s="9">
        <f>COUNTA(G87)+L105</f>
        <v>90</v>
      </c>
      <c r="M106" s="31" t="str">
        <f>H87</f>
        <v>11305 GUSTAV</v>
      </c>
      <c r="N106" s="82" t="s">
        <v>7430</v>
      </c>
      <c r="O106" s="36">
        <v>35</v>
      </c>
      <c r="P106" s="36">
        <v>214</v>
      </c>
      <c r="Q106" s="32"/>
      <c r="R106" s="32"/>
      <c r="S106" s="32"/>
      <c r="T106" s="32"/>
      <c r="U106" s="36">
        <f>G87</f>
        <v>2</v>
      </c>
      <c r="V106" s="103"/>
      <c r="W106" s="104"/>
      <c r="X106" s="109" t="str">
        <f t="shared" ref="X106:Y107" si="33">IF(I87=0,"",I87)</f>
        <v/>
      </c>
      <c r="Y106" s="109" t="str">
        <f t="shared" si="33"/>
        <v/>
      </c>
      <c r="Z106" s="123" t="s">
        <v>7866</v>
      </c>
      <c r="AA106" s="124" t="e">
        <f>VLOOKUP($M:$M,Data!$I:$J,2,FALSE)</f>
        <v>#N/A</v>
      </c>
      <c r="AB106" s="125"/>
    </row>
    <row r="107" ht="15.25" spans="12:28">
      <c r="L107" s="14">
        <f>COUNTA(G88)+L106</f>
        <v>91</v>
      </c>
      <c r="M107" s="83">
        <f>H88</f>
        <v>0</v>
      </c>
      <c r="N107" s="84" t="s">
        <v>7430</v>
      </c>
      <c r="O107" s="85">
        <v>35</v>
      </c>
      <c r="P107" s="85">
        <v>214</v>
      </c>
      <c r="Q107" s="110"/>
      <c r="R107" s="110"/>
      <c r="S107" s="110"/>
      <c r="T107" s="110"/>
      <c r="U107" s="85">
        <f>G88</f>
        <v>3</v>
      </c>
      <c r="V107" s="105"/>
      <c r="W107" s="106"/>
      <c r="X107" s="111" t="str">
        <f t="shared" si="33"/>
        <v/>
      </c>
      <c r="Y107" s="111" t="str">
        <f t="shared" si="33"/>
        <v/>
      </c>
      <c r="Z107" s="127" t="s">
        <v>7867</v>
      </c>
      <c r="AA107" s="128" t="e">
        <f>VLOOKUP($M:$M,Data!$I:$J,2,FALSE)</f>
        <v>#N/A</v>
      </c>
      <c r="AB107" s="126"/>
    </row>
    <row r="108" spans="12:28">
      <c r="L108" s="6">
        <f>COUNTA(G82)+L107</f>
        <v>92</v>
      </c>
      <c r="M108" s="79" t="str">
        <f>H82</f>
        <v>11310 LINUS</v>
      </c>
      <c r="N108" s="80" t="s">
        <v>7430</v>
      </c>
      <c r="O108" s="81">
        <v>35</v>
      </c>
      <c r="P108" s="81">
        <v>215</v>
      </c>
      <c r="Q108" s="62" t="str">
        <f>_xlfn.IFS(COUNTA(G82:G84)=1,"Single",COUNTA(G82:G84)=2,"Double",COUNTA(G82:G84)=3,"Triple",COUNTA(G82:G84)=0,"Empty")</f>
        <v>Triple</v>
      </c>
      <c r="R108" s="62"/>
      <c r="S108" s="62"/>
      <c r="T108" s="62"/>
      <c r="U108" s="81">
        <f>G82</f>
        <v>1</v>
      </c>
      <c r="V108" s="100">
        <f>COUNT(G82:G84)</f>
        <v>3</v>
      </c>
      <c r="W108" s="101"/>
      <c r="X108" s="108" t="str">
        <f>IF(I82=0,"",I82)</f>
        <v/>
      </c>
      <c r="Y108" s="108" t="str">
        <f>IF(J82=0,"",J82)</f>
        <v/>
      </c>
      <c r="Z108" s="120" t="s">
        <v>7868</v>
      </c>
      <c r="AA108" s="121" t="e">
        <f>VLOOKUP($M:$M,Data!$I:$J,2,FALSE)</f>
        <v>#N/A</v>
      </c>
      <c r="AB108" s="122"/>
    </row>
    <row r="109" spans="12:28">
      <c r="L109" s="9">
        <f>COUNTA(G83)+L108</f>
        <v>93</v>
      </c>
      <c r="M109" s="31" t="str">
        <f>H83</f>
        <v>11306 MAX</v>
      </c>
      <c r="N109" s="82" t="s">
        <v>7430</v>
      </c>
      <c r="O109" s="36">
        <v>35</v>
      </c>
      <c r="P109" s="36">
        <v>215</v>
      </c>
      <c r="Q109" s="32"/>
      <c r="R109" s="32"/>
      <c r="S109" s="32"/>
      <c r="T109" s="32"/>
      <c r="U109" s="36">
        <f>G83</f>
        <v>2</v>
      </c>
      <c r="V109" s="103"/>
      <c r="W109" s="104"/>
      <c r="X109" s="109" t="str">
        <f t="shared" ref="X109:Y110" si="34">IF(I83=0,"",I83)</f>
        <v/>
      </c>
      <c r="Y109" s="109" t="str">
        <f t="shared" si="34"/>
        <v/>
      </c>
      <c r="Z109" s="123" t="s">
        <v>7869</v>
      </c>
      <c r="AA109" s="124" t="e">
        <f>VLOOKUP($M:$M,Data!$I:$J,2,FALSE)</f>
        <v>#N/A</v>
      </c>
      <c r="AB109" s="125"/>
    </row>
    <row r="110" ht="15.25" spans="12:28">
      <c r="L110" s="14">
        <f>COUNTA(G84)+L109</f>
        <v>94</v>
      </c>
      <c r="M110" s="83">
        <f>H84</f>
        <v>0</v>
      </c>
      <c r="N110" s="84" t="s">
        <v>7430</v>
      </c>
      <c r="O110" s="85">
        <v>35</v>
      </c>
      <c r="P110" s="85">
        <v>215</v>
      </c>
      <c r="Q110" s="110"/>
      <c r="R110" s="110"/>
      <c r="S110" s="110"/>
      <c r="T110" s="110"/>
      <c r="U110" s="85">
        <f>G84</f>
        <v>3</v>
      </c>
      <c r="V110" s="105"/>
      <c r="W110" s="106"/>
      <c r="X110" s="111" t="str">
        <f t="shared" si="34"/>
        <v/>
      </c>
      <c r="Y110" s="111" t="str">
        <f t="shared" si="34"/>
        <v/>
      </c>
      <c r="Z110" s="127" t="s">
        <v>7870</v>
      </c>
      <c r="AA110" s="128" t="e">
        <f>VLOOKUP($M:$M,Data!$I:$J,2,FALSE)</f>
        <v>#N/A</v>
      </c>
      <c r="AB110" s="126"/>
    </row>
    <row r="111" spans="12:28">
      <c r="L111" s="6">
        <f>COUNTA(G70)+L110</f>
        <v>95</v>
      </c>
      <c r="M111" s="79" t="str">
        <f>H70</f>
        <v>11203 LUKAS</v>
      </c>
      <c r="N111" s="80" t="s">
        <v>7430</v>
      </c>
      <c r="O111" s="81">
        <v>35</v>
      </c>
      <c r="P111" s="81">
        <v>216</v>
      </c>
      <c r="Q111" s="62" t="str">
        <f>_xlfn.IFS(COUNTA(G70:G72)=1,"Single",COUNTA(G70:G72)=2,"Double",COUNTA(G70:G72)=3,"Triple",COUNTA(G70:G72)=0,"Empty")</f>
        <v>Double</v>
      </c>
      <c r="R111" s="62"/>
      <c r="S111" s="62"/>
      <c r="T111" s="62"/>
      <c r="U111" s="81">
        <f>G70</f>
        <v>1</v>
      </c>
      <c r="V111" s="100">
        <f>COUNT(G70:G72)</f>
        <v>2</v>
      </c>
      <c r="W111" s="101"/>
      <c r="X111" s="108" t="str">
        <f>IF(I70=0,"",I70)</f>
        <v/>
      </c>
      <c r="Y111" s="108" t="str">
        <f>IF(J70=0,"",J70)</f>
        <v/>
      </c>
      <c r="Z111" s="120" t="s">
        <v>7871</v>
      </c>
      <c r="AA111" s="121" t="e">
        <f>VLOOKUP($M:$M,Data!$I:$J,2,FALSE)</f>
        <v>#N/A</v>
      </c>
      <c r="AB111" s="122"/>
    </row>
    <row r="112" spans="12:28">
      <c r="L112" s="9">
        <f>COUNTA(G71)+L111</f>
        <v>96</v>
      </c>
      <c r="M112" s="31" t="str">
        <f>H71</f>
        <v>11210 VIKTOR</v>
      </c>
      <c r="N112" s="82" t="s">
        <v>7430</v>
      </c>
      <c r="O112" s="36">
        <v>35</v>
      </c>
      <c r="P112" s="36">
        <v>216</v>
      </c>
      <c r="Q112" s="32"/>
      <c r="R112" s="32"/>
      <c r="S112" s="32"/>
      <c r="T112" s="32"/>
      <c r="U112" s="36">
        <f>G71</f>
        <v>2</v>
      </c>
      <c r="V112" s="103"/>
      <c r="W112" s="104"/>
      <c r="X112" s="109" t="str">
        <f t="shared" ref="X112:Y113" si="35">IF(I71=0,"",I71)</f>
        <v/>
      </c>
      <c r="Y112" s="109" t="str">
        <f t="shared" si="35"/>
        <v/>
      </c>
      <c r="Z112" s="123" t="s">
        <v>7872</v>
      </c>
      <c r="AA112" s="124" t="e">
        <f>VLOOKUP($M:$M,Data!$I:$J,2,FALSE)</f>
        <v>#N/A</v>
      </c>
      <c r="AB112" s="125"/>
    </row>
    <row r="113" ht="15.25" spans="12:28">
      <c r="L113" s="14">
        <f>COUNTA(G72)+L112</f>
        <v>96</v>
      </c>
      <c r="M113" s="83">
        <f>H72</f>
        <v>0</v>
      </c>
      <c r="N113" s="84" t="s">
        <v>7430</v>
      </c>
      <c r="O113" s="85">
        <v>35</v>
      </c>
      <c r="P113" s="85">
        <v>216</v>
      </c>
      <c r="Q113" s="110"/>
      <c r="R113" s="110"/>
      <c r="S113" s="110"/>
      <c r="T113" s="110"/>
      <c r="U113" s="85">
        <f>G72</f>
        <v>0</v>
      </c>
      <c r="V113" s="105"/>
      <c r="W113" s="106"/>
      <c r="X113" s="111" t="str">
        <f t="shared" si="35"/>
        <v/>
      </c>
      <c r="Y113" s="111" t="str">
        <f t="shared" si="35"/>
        <v/>
      </c>
      <c r="Z113" s="127"/>
      <c r="AA113" s="128" t="e">
        <f>VLOOKUP($M:$M,Data!$I:$J,2,FALSE)</f>
        <v>#N/A</v>
      </c>
      <c r="AB113" s="126"/>
    </row>
    <row r="114" spans="12:28">
      <c r="L114" s="6">
        <f>COUNTA(G66)+L113</f>
        <v>97</v>
      </c>
      <c r="M114" s="79" t="str">
        <f>H66</f>
        <v>11104  THEO</v>
      </c>
      <c r="N114" s="80" t="s">
        <v>7430</v>
      </c>
      <c r="O114" s="81">
        <v>35</v>
      </c>
      <c r="P114" s="81">
        <v>217</v>
      </c>
      <c r="Q114" s="62" t="str">
        <f>_xlfn.IFS(COUNTA(G66:G68)=1,"Single",COUNTA(G66:G68)=2,"Double",COUNTA(G66:G68)=3,"Triple",COUNTA(G66:G68)=0,"Empty")</f>
        <v>Double</v>
      </c>
      <c r="R114" s="62"/>
      <c r="S114" s="62"/>
      <c r="T114" s="62"/>
      <c r="U114" s="81">
        <f>G66</f>
        <v>1</v>
      </c>
      <c r="V114" s="100">
        <f>COUNT(G66:G68)</f>
        <v>2</v>
      </c>
      <c r="W114" s="101"/>
      <c r="X114" s="108" t="str">
        <f>IF(I66=0,"",I66)</f>
        <v/>
      </c>
      <c r="Y114" s="108" t="str">
        <f>IF(J66=0,"",J66)</f>
        <v/>
      </c>
      <c r="Z114" s="120" t="s">
        <v>7873</v>
      </c>
      <c r="AA114" s="121" t="e">
        <f>VLOOKUP($M:$M,Data!$I:$J,2,FALSE)</f>
        <v>#N/A</v>
      </c>
      <c r="AB114" s="122"/>
    </row>
    <row r="115" spans="12:28">
      <c r="L115" s="9">
        <f>COUNTA(G67)+L114</f>
        <v>98</v>
      </c>
      <c r="M115" s="31" t="str">
        <f>H67</f>
        <v>11105 ANTON</v>
      </c>
      <c r="N115" s="82" t="s">
        <v>7430</v>
      </c>
      <c r="O115" s="36">
        <v>35</v>
      </c>
      <c r="P115" s="36">
        <v>217</v>
      </c>
      <c r="Q115" s="32"/>
      <c r="R115" s="32"/>
      <c r="S115" s="32"/>
      <c r="T115" s="32"/>
      <c r="U115" s="36">
        <f>G67</f>
        <v>2</v>
      </c>
      <c r="V115" s="103"/>
      <c r="W115" s="104"/>
      <c r="X115" s="109" t="str">
        <f t="shared" ref="X115:Y116" si="36">IF(I67=0,"",I67)</f>
        <v/>
      </c>
      <c r="Y115" s="109" t="str">
        <f t="shared" si="36"/>
        <v/>
      </c>
      <c r="Z115" s="123" t="s">
        <v>7874</v>
      </c>
      <c r="AA115" s="124" t="e">
        <f>VLOOKUP($M:$M,Data!$I:$J,2,FALSE)</f>
        <v>#N/A</v>
      </c>
      <c r="AB115" s="125"/>
    </row>
    <row r="116" ht="15.25" spans="12:28">
      <c r="L116" s="14">
        <f>COUNTA(G68)+L115</f>
        <v>98</v>
      </c>
      <c r="M116" s="83">
        <f>H68</f>
        <v>0</v>
      </c>
      <c r="N116" s="84" t="s">
        <v>7430</v>
      </c>
      <c r="O116" s="85">
        <v>35</v>
      </c>
      <c r="P116" s="85">
        <v>217</v>
      </c>
      <c r="Q116" s="110"/>
      <c r="R116" s="110"/>
      <c r="S116" s="110"/>
      <c r="T116" s="110"/>
      <c r="U116" s="85">
        <f>G68</f>
        <v>0</v>
      </c>
      <c r="V116" s="105"/>
      <c r="W116" s="106"/>
      <c r="X116" s="111" t="str">
        <f t="shared" si="36"/>
        <v/>
      </c>
      <c r="Y116" s="111" t="str">
        <f t="shared" si="36"/>
        <v/>
      </c>
      <c r="Z116" s="127"/>
      <c r="AA116" s="128" t="e">
        <f>VLOOKUP($M:$M,Data!$I:$J,2,FALSE)</f>
        <v>#N/A</v>
      </c>
      <c r="AB116" s="126"/>
    </row>
    <row r="117" spans="12:28">
      <c r="L117" s="6">
        <f>COUNTA(G62)+L116</f>
        <v>99</v>
      </c>
      <c r="M117" s="79" t="str">
        <f>H62</f>
        <v>11111 LEO</v>
      </c>
      <c r="N117" s="80" t="s">
        <v>7430</v>
      </c>
      <c r="O117" s="81">
        <v>35</v>
      </c>
      <c r="P117" s="81">
        <v>218</v>
      </c>
      <c r="Q117" s="62" t="str">
        <f>_xlfn.IFS(COUNTA(G62:G64)=1,"Single",COUNTA(G62:G64)=2,"Double",COUNTA(G62:G64)=3,"Triple",COUNTA(G62:G64)=0,"Empty")</f>
        <v>Double</v>
      </c>
      <c r="R117" s="62"/>
      <c r="S117" s="62"/>
      <c r="T117" s="62"/>
      <c r="U117" s="81">
        <f>G62</f>
        <v>1</v>
      </c>
      <c r="V117" s="100">
        <f>COUNT(G62:G64)</f>
        <v>2</v>
      </c>
      <c r="W117" s="101"/>
      <c r="X117" s="108" t="str">
        <f>IF(I62=0,"",I62)</f>
        <v/>
      </c>
      <c r="Y117" s="108" t="str">
        <f>IF(J62=0,"",J62)</f>
        <v/>
      </c>
      <c r="Z117" s="120" t="s">
        <v>7875</v>
      </c>
      <c r="AA117" s="121" t="e">
        <f>VLOOKUP($M:$M,Data!$I:$J,2,FALSE)</f>
        <v>#N/A</v>
      </c>
      <c r="AB117" s="122"/>
    </row>
    <row r="118" spans="12:28">
      <c r="L118" s="9">
        <f>COUNTA(G63)+L117</f>
        <v>100</v>
      </c>
      <c r="M118" s="31" t="str">
        <f>H63</f>
        <v>11107 WILLIAM</v>
      </c>
      <c r="N118" s="82" t="s">
        <v>7430</v>
      </c>
      <c r="O118" s="36">
        <v>35</v>
      </c>
      <c r="P118" s="36">
        <v>218</v>
      </c>
      <c r="Q118" s="32"/>
      <c r="R118" s="32"/>
      <c r="S118" s="32"/>
      <c r="T118" s="32"/>
      <c r="U118" s="36">
        <f>G63</f>
        <v>2</v>
      </c>
      <c r="V118" s="103"/>
      <c r="W118" s="104"/>
      <c r="X118" s="109" t="str">
        <f t="shared" ref="X118:Y119" si="37">IF(I63=0,"",I63)</f>
        <v/>
      </c>
      <c r="Y118" s="109" t="str">
        <f t="shared" si="37"/>
        <v/>
      </c>
      <c r="Z118" s="123" t="s">
        <v>6963</v>
      </c>
      <c r="AA118" s="124" t="e">
        <f>VLOOKUP($M:$M,Data!$I:$J,2,FALSE)</f>
        <v>#N/A</v>
      </c>
      <c r="AB118" s="125"/>
    </row>
    <row r="119" ht="15.25" spans="12:28">
      <c r="L119" s="14">
        <f>COUNTA(G64)+L118</f>
        <v>100</v>
      </c>
      <c r="M119" s="83">
        <f>H64</f>
        <v>0</v>
      </c>
      <c r="N119" s="84" t="s">
        <v>7430</v>
      </c>
      <c r="O119" s="85">
        <v>35</v>
      </c>
      <c r="P119" s="85">
        <v>218</v>
      </c>
      <c r="Q119" s="110"/>
      <c r="R119" s="110"/>
      <c r="S119" s="110"/>
      <c r="T119" s="110"/>
      <c r="U119" s="85">
        <f>G64</f>
        <v>0</v>
      </c>
      <c r="V119" s="105"/>
      <c r="W119" s="106"/>
      <c r="X119" s="111" t="str">
        <f t="shared" si="37"/>
        <v/>
      </c>
      <c r="Y119" s="111" t="str">
        <f t="shared" si="37"/>
        <v/>
      </c>
      <c r="Z119" s="127"/>
      <c r="AA119" s="128" t="e">
        <f>VLOOKUP($M:$M,Data!$I:$J,2,FALSE)</f>
        <v>#N/A</v>
      </c>
      <c r="AB119" s="126"/>
    </row>
    <row r="120" spans="12:28">
      <c r="L120" s="6">
        <f>COUNTA(G58)+L119</f>
        <v>100</v>
      </c>
      <c r="M120" s="79" t="str">
        <f>H58</f>
        <v>11101 KENNY </v>
      </c>
      <c r="N120" s="80" t="s">
        <v>7430</v>
      </c>
      <c r="O120" s="81">
        <v>35</v>
      </c>
      <c r="P120" s="81">
        <v>219</v>
      </c>
      <c r="Q120" s="62" t="str">
        <f>_xlfn.IFS(COUNTA(G58:G60)=1,"Single",COUNTA(G58:G60)=2,"Double",COUNTA(G58:G60)=3,"Triple",COUNTA(G58:G60)=0,"Empty")</f>
        <v>Empty</v>
      </c>
      <c r="R120" s="62"/>
      <c r="S120" s="62"/>
      <c r="T120" s="62"/>
      <c r="U120" s="81">
        <f>G58</f>
        <v>0</v>
      </c>
      <c r="V120" s="100">
        <f>COUNT(G58:G60)</f>
        <v>0</v>
      </c>
      <c r="W120" s="101"/>
      <c r="X120" s="108" t="str">
        <f>IF(I58=0,"",I58)</f>
        <v/>
      </c>
      <c r="Y120" s="108" t="str">
        <f>IF(J58=0,"",J58)</f>
        <v/>
      </c>
      <c r="Z120" s="120"/>
      <c r="AA120" s="121" t="e">
        <f>VLOOKUP($M:$M,Data!$I:$J,2,FALSE)</f>
        <v>#N/A</v>
      </c>
      <c r="AB120" s="122"/>
    </row>
    <row r="121" spans="12:28">
      <c r="L121" s="9">
        <f>COUNTA(G59)+L120</f>
        <v>100</v>
      </c>
      <c r="M121" s="31" t="str">
        <f>H59</f>
        <v>11102 JOSHUA</v>
      </c>
      <c r="N121" s="82" t="s">
        <v>7430</v>
      </c>
      <c r="O121" s="36">
        <v>35</v>
      </c>
      <c r="P121" s="36">
        <v>219</v>
      </c>
      <c r="Q121" s="32"/>
      <c r="R121" s="32"/>
      <c r="S121" s="32"/>
      <c r="T121" s="32"/>
      <c r="U121" s="36">
        <f>G59</f>
        <v>0</v>
      </c>
      <c r="V121" s="103"/>
      <c r="W121" s="104"/>
      <c r="X121" s="109" t="str">
        <f t="shared" ref="X121:Y122" si="38">IF(I59=0,"",I59)</f>
        <v/>
      </c>
      <c r="Y121" s="109" t="str">
        <f t="shared" si="38"/>
        <v/>
      </c>
      <c r="Z121" s="123"/>
      <c r="AA121" s="124" t="e">
        <f>VLOOKUP($M:$M,Data!$I:$J,2,FALSE)</f>
        <v>#N/A</v>
      </c>
      <c r="AB121" s="125"/>
    </row>
    <row r="122" ht="15.25" spans="12:28">
      <c r="L122" s="14">
        <f>COUNTA(G60)+L121</f>
        <v>100</v>
      </c>
      <c r="M122" s="83">
        <f>H60</f>
        <v>0</v>
      </c>
      <c r="N122" s="84" t="s">
        <v>7430</v>
      </c>
      <c r="O122" s="85">
        <v>35</v>
      </c>
      <c r="P122" s="85">
        <v>219</v>
      </c>
      <c r="Q122" s="110"/>
      <c r="R122" s="110"/>
      <c r="S122" s="110"/>
      <c r="T122" s="110"/>
      <c r="U122" s="85">
        <f>G60</f>
        <v>0</v>
      </c>
      <c r="V122" s="105"/>
      <c r="W122" s="106"/>
      <c r="X122" s="111" t="str">
        <f t="shared" si="38"/>
        <v/>
      </c>
      <c r="Y122" s="111" t="str">
        <f t="shared" si="38"/>
        <v/>
      </c>
      <c r="Z122" s="127"/>
      <c r="AA122" s="128" t="e">
        <f>VLOOKUP($M:$M,Data!$I:$J,2,FALSE)</f>
        <v>#N/A</v>
      </c>
      <c r="AB122" s="126"/>
    </row>
    <row r="123" spans="12:28">
      <c r="L123" s="6">
        <f>COUNTA(G54)+L122</f>
        <v>101</v>
      </c>
      <c r="M123" s="79" t="str">
        <f>H54</f>
        <v>10001 JOHAN</v>
      </c>
      <c r="N123" s="80" t="s">
        <v>7430</v>
      </c>
      <c r="O123" s="81">
        <v>35</v>
      </c>
      <c r="P123" s="81">
        <v>220</v>
      </c>
      <c r="Q123" s="62" t="str">
        <f>_xlfn.IFS(COUNTA(G54:G56)=1,"Single",COUNTA(G54:G56)=2,"Double",COUNTA(G54:G56)=3,"Triple",COUNTA(G54:G56)=0,"Empty")</f>
        <v>Double</v>
      </c>
      <c r="R123" s="62"/>
      <c r="S123" s="62"/>
      <c r="T123" s="62"/>
      <c r="U123" s="81">
        <f>G54</f>
        <v>1</v>
      </c>
      <c r="V123" s="100">
        <f>COUNT(G54:G56)</f>
        <v>2</v>
      </c>
      <c r="W123" s="101"/>
      <c r="X123" s="108" t="str">
        <f>IF(I54=0,"",I54)</f>
        <v/>
      </c>
      <c r="Y123" s="108" t="str">
        <f>IF(J54=0,"",J54)</f>
        <v/>
      </c>
      <c r="Z123" s="120" t="s">
        <v>7385</v>
      </c>
      <c r="AA123" s="121" t="e">
        <f>VLOOKUP($M:$M,Data!$I:$J,2,FALSE)</f>
        <v>#N/A</v>
      </c>
      <c r="AB123" s="122"/>
    </row>
    <row r="124" spans="12:28">
      <c r="L124" s="9">
        <f>COUNTA(G55)+L123</f>
        <v>102</v>
      </c>
      <c r="M124" s="31">
        <f t="shared" ref="M124:M125" si="39">H55</f>
        <v>0</v>
      </c>
      <c r="N124" s="82" t="s">
        <v>7430</v>
      </c>
      <c r="O124" s="36">
        <v>35</v>
      </c>
      <c r="P124" s="36">
        <v>220</v>
      </c>
      <c r="Q124" s="32"/>
      <c r="R124" s="32"/>
      <c r="S124" s="32"/>
      <c r="T124" s="32"/>
      <c r="U124" s="36">
        <f t="shared" ref="U124:U125" si="40">G55</f>
        <v>2</v>
      </c>
      <c r="V124" s="103"/>
      <c r="W124" s="104"/>
      <c r="X124" s="109" t="str">
        <f t="shared" ref="X124:Y125" si="41">IF(I55=0,"",I55)</f>
        <v/>
      </c>
      <c r="Y124" s="109" t="str">
        <f t="shared" si="41"/>
        <v/>
      </c>
      <c r="Z124" s="123" t="s">
        <v>7876</v>
      </c>
      <c r="AA124" s="124" t="e">
        <f>VLOOKUP($M:$M,Data!$I:$J,2,FALSE)</f>
        <v>#N/A</v>
      </c>
      <c r="AB124" s="125"/>
    </row>
    <row r="125" ht="15.25" spans="12:28">
      <c r="L125" s="14">
        <f>COUNTA(G56)+L124</f>
        <v>102</v>
      </c>
      <c r="M125" s="83">
        <f t="shared" si="39"/>
        <v>0</v>
      </c>
      <c r="N125" s="84" t="s">
        <v>7430</v>
      </c>
      <c r="O125" s="85">
        <v>35</v>
      </c>
      <c r="P125" s="85">
        <v>220</v>
      </c>
      <c r="Q125" s="110"/>
      <c r="R125" s="110"/>
      <c r="S125" s="110"/>
      <c r="T125" s="110"/>
      <c r="U125" s="85">
        <f t="shared" si="40"/>
        <v>0</v>
      </c>
      <c r="V125" s="105"/>
      <c r="W125" s="106"/>
      <c r="X125" s="111" t="str">
        <f t="shared" si="41"/>
        <v/>
      </c>
      <c r="Y125" s="111" t="str">
        <f t="shared" si="41"/>
        <v/>
      </c>
      <c r="Z125" s="127"/>
      <c r="AA125" s="128" t="e">
        <f>VLOOKUP($M:$M,Data!$I:$J,2,FALSE)</f>
        <v>#N/A</v>
      </c>
      <c r="AB125" s="126"/>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6:T8"/>
    <mergeCell ref="V6:W8"/>
    <mergeCell ref="Q15:T17"/>
    <mergeCell ref="V15:W17"/>
    <mergeCell ref="Q18:T20"/>
    <mergeCell ref="V18:W20"/>
    <mergeCell ref="Q9:T11"/>
    <mergeCell ref="V9:W11"/>
    <mergeCell ref="Q12:T14"/>
    <mergeCell ref="V12:W14"/>
    <mergeCell ref="Q30:T32"/>
    <mergeCell ref="V30:W32"/>
    <mergeCell ref="Q33:T35"/>
    <mergeCell ref="V33:W35"/>
    <mergeCell ref="Q21:T23"/>
    <mergeCell ref="V21:W23"/>
    <mergeCell ref="Q24:T26"/>
    <mergeCell ref="V24:W26"/>
    <mergeCell ref="G26:J33"/>
    <mergeCell ref="Q27:T29"/>
    <mergeCell ref="V27:W29"/>
    <mergeCell ref="Q42:T44"/>
    <mergeCell ref="V42:W44"/>
    <mergeCell ref="Q45:T47"/>
    <mergeCell ref="V45:W47"/>
    <mergeCell ref="Q36:T38"/>
    <mergeCell ref="V36:W38"/>
    <mergeCell ref="Q39:T41"/>
    <mergeCell ref="V39:W41"/>
    <mergeCell ref="Q54:T56"/>
    <mergeCell ref="V54:W56"/>
    <mergeCell ref="Q57:T59"/>
    <mergeCell ref="V57:W59"/>
    <mergeCell ref="Q48:T50"/>
    <mergeCell ref="V48:W50"/>
    <mergeCell ref="Q51:T53"/>
    <mergeCell ref="V51:W53"/>
    <mergeCell ref="Q66:T68"/>
    <mergeCell ref="V66:W68"/>
    <mergeCell ref="Q69:T71"/>
    <mergeCell ref="V69:W71"/>
    <mergeCell ref="Q60:T62"/>
    <mergeCell ref="V60:W62"/>
    <mergeCell ref="Q63:T65"/>
    <mergeCell ref="V63:W65"/>
    <mergeCell ref="Q72:T74"/>
    <mergeCell ref="V72:W74"/>
    <mergeCell ref="G73:J80"/>
    <mergeCell ref="Q75:T77"/>
    <mergeCell ref="V75:W77"/>
    <mergeCell ref="Q78:T80"/>
    <mergeCell ref="V78:W80"/>
    <mergeCell ref="Q87:T89"/>
    <mergeCell ref="V87:W89"/>
    <mergeCell ref="Q90:T92"/>
    <mergeCell ref="V90:W92"/>
    <mergeCell ref="Q81:T83"/>
    <mergeCell ref="V81:W83"/>
    <mergeCell ref="Q84:T86"/>
    <mergeCell ref="V84:W86"/>
    <mergeCell ref="Q99:T101"/>
    <mergeCell ref="V99:W101"/>
    <mergeCell ref="Q102:T104"/>
    <mergeCell ref="V102:W104"/>
    <mergeCell ref="Q105:T107"/>
    <mergeCell ref="V105:W107"/>
    <mergeCell ref="Q93:T95"/>
    <mergeCell ref="V93:W95"/>
    <mergeCell ref="Q96:T98"/>
    <mergeCell ref="V96:W98"/>
    <mergeCell ref="Q117:T119"/>
    <mergeCell ref="V117:W119"/>
    <mergeCell ref="Q120:T122"/>
    <mergeCell ref="V120:W122"/>
    <mergeCell ref="Q123:T125"/>
    <mergeCell ref="V123:W125"/>
    <mergeCell ref="Q108:T110"/>
    <mergeCell ref="V108:W110"/>
    <mergeCell ref="Q111:T113"/>
    <mergeCell ref="V111:W113"/>
    <mergeCell ref="Q114:T116"/>
    <mergeCell ref="V114:W116"/>
  </mergeCells>
  <conditionalFormatting sqref="L6">
    <cfRule type="cellIs" dxfId="12" priority="532" operator="equal">
      <formula>0</formula>
    </cfRule>
  </conditionalFormatting>
  <conditionalFormatting sqref="B7:B9">
    <cfRule type="cellIs" dxfId="27" priority="515" operator="notEqual">
      <formula>0</formula>
    </cfRule>
    <cfRule type="expression" dxfId="28" priority="516">
      <formula>COUNTA(C7)&lt;&gt;0</formula>
    </cfRule>
  </conditionalFormatting>
  <conditionalFormatting sqref="B11:B13">
    <cfRule type="cellIs" dxfId="27" priority="513" operator="notEqual">
      <formula>0</formula>
    </cfRule>
    <cfRule type="expression" dxfId="28" priority="514">
      <formula>COUNTA(C11)&lt;&gt;0</formula>
    </cfRule>
  </conditionalFormatting>
  <conditionalFormatting sqref="B15:B17">
    <cfRule type="cellIs" dxfId="27" priority="507" operator="notEqual">
      <formula>0</formula>
    </cfRule>
    <cfRule type="expression" dxfId="28" priority="508">
      <formula>COUNTA(C15)&lt;&gt;0</formula>
    </cfRule>
  </conditionalFormatting>
  <conditionalFormatting sqref="B19:B21">
    <cfRule type="cellIs" dxfId="27" priority="505" operator="notEqual">
      <formula>0</formula>
    </cfRule>
    <cfRule type="expression" dxfId="28" priority="506">
      <formula>COUNTA(C19)&lt;&gt;0</formula>
    </cfRule>
  </conditionalFormatting>
  <conditionalFormatting sqref="B23:B25">
    <cfRule type="cellIs" dxfId="27" priority="499" operator="notEqual">
      <formula>0</formula>
    </cfRule>
    <cfRule type="expression" dxfId="28" priority="500">
      <formula>COUNTA(C23)&lt;&gt;0</formula>
    </cfRule>
  </conditionalFormatting>
  <conditionalFormatting sqref="B27:B29">
    <cfRule type="cellIs" dxfId="27" priority="497" operator="notEqual">
      <formula>0</formula>
    </cfRule>
    <cfRule type="expression" dxfId="28" priority="498">
      <formula>COUNTA(C27)&lt;&gt;0</formula>
    </cfRule>
  </conditionalFormatting>
  <conditionalFormatting sqref="B31:B33">
    <cfRule type="cellIs" dxfId="27" priority="495" operator="notEqual">
      <formula>0</formula>
    </cfRule>
    <cfRule type="expression" dxfId="28" priority="496">
      <formula>COUNTA(C31)&lt;&gt;0</formula>
    </cfRule>
  </conditionalFormatting>
  <conditionalFormatting sqref="B35:B37">
    <cfRule type="cellIs" dxfId="27" priority="493" operator="notEqual">
      <formula>0</formula>
    </cfRule>
    <cfRule type="expression" dxfId="28" priority="494">
      <formula>COUNTA(C35)&lt;&gt;0</formula>
    </cfRule>
  </conditionalFormatting>
  <conditionalFormatting sqref="B39:B41">
    <cfRule type="cellIs" dxfId="27" priority="487" operator="notEqual">
      <formula>0</formula>
    </cfRule>
    <cfRule type="expression" dxfId="28" priority="488">
      <formula>COUNTA(C39)&lt;&gt;0</formula>
    </cfRule>
  </conditionalFormatting>
  <conditionalFormatting sqref="B43:B45">
    <cfRule type="cellIs" dxfId="27" priority="485" operator="notEqual">
      <formula>0</formula>
    </cfRule>
    <cfRule type="expression" dxfId="28" priority="486">
      <formula>COUNTA(C43)&lt;&gt;0</formula>
    </cfRule>
  </conditionalFormatting>
  <conditionalFormatting sqref="B47:B49">
    <cfRule type="cellIs" dxfId="27" priority="479" operator="notEqual">
      <formula>0</formula>
    </cfRule>
    <cfRule type="expression" dxfId="28" priority="480">
      <formula>COUNTA(C47)&lt;&gt;0</formula>
    </cfRule>
  </conditionalFormatting>
  <conditionalFormatting sqref="B54:B56">
    <cfRule type="cellIs" dxfId="27" priority="455" operator="notEqual">
      <formula>0</formula>
    </cfRule>
    <cfRule type="expression" dxfId="28" priority="456">
      <formula>COUNTA(C54)&lt;&gt;0</formula>
    </cfRule>
  </conditionalFormatting>
  <conditionalFormatting sqref="B58:B60">
    <cfRule type="cellIs" dxfId="27" priority="453" operator="notEqual">
      <formula>0</formula>
    </cfRule>
    <cfRule type="expression" dxfId="28" priority="454">
      <formula>COUNTA(C58)&lt;&gt;0</formula>
    </cfRule>
  </conditionalFormatting>
  <conditionalFormatting sqref="B62:B64">
    <cfRule type="cellIs" dxfId="27" priority="447" operator="notEqual">
      <formula>0</formula>
    </cfRule>
    <cfRule type="expression" dxfId="28" priority="448">
      <formula>COUNTA(C62)&lt;&gt;0</formula>
    </cfRule>
  </conditionalFormatting>
  <conditionalFormatting sqref="B66:B68">
    <cfRule type="cellIs" dxfId="27" priority="445" operator="notEqual">
      <formula>0</formula>
    </cfRule>
    <cfRule type="expression" dxfId="28" priority="446">
      <formula>COUNTA(C66)&lt;&gt;0</formula>
    </cfRule>
  </conditionalFormatting>
  <conditionalFormatting sqref="B70:B72">
    <cfRule type="cellIs" dxfId="27" priority="439" operator="notEqual">
      <formula>0</formula>
    </cfRule>
    <cfRule type="expression" dxfId="28" priority="440">
      <formula>COUNTA(C70)&lt;&gt;0</formula>
    </cfRule>
  </conditionalFormatting>
  <conditionalFormatting sqref="B74:B76">
    <cfRule type="cellIs" dxfId="27" priority="437" operator="notEqual">
      <formula>0</formula>
    </cfRule>
    <cfRule type="expression" dxfId="28" priority="438">
      <formula>COUNTA(C74)&lt;&gt;0</formula>
    </cfRule>
  </conditionalFormatting>
  <conditionalFormatting sqref="B78:B80">
    <cfRule type="cellIs" dxfId="27" priority="435" operator="notEqual">
      <formula>0</formula>
    </cfRule>
    <cfRule type="expression" dxfId="28" priority="436">
      <formula>COUNTA(C78)&lt;&gt;0</formula>
    </cfRule>
  </conditionalFormatting>
  <conditionalFormatting sqref="B82:B84">
    <cfRule type="cellIs" dxfId="27" priority="433" operator="notEqual">
      <formula>0</formula>
    </cfRule>
    <cfRule type="expression" dxfId="28" priority="434">
      <formula>COUNTA(C82)&lt;&gt;0</formula>
    </cfRule>
  </conditionalFormatting>
  <conditionalFormatting sqref="B86:B88">
    <cfRule type="cellIs" dxfId="27" priority="427" operator="notEqual">
      <formula>0</formula>
    </cfRule>
    <cfRule type="expression" dxfId="28" priority="428">
      <formula>COUNTA(C86)&lt;&gt;0</formula>
    </cfRule>
  </conditionalFormatting>
  <conditionalFormatting sqref="B90:B92">
    <cfRule type="cellIs" dxfId="27" priority="425" operator="notEqual">
      <formula>0</formula>
    </cfRule>
    <cfRule type="expression" dxfId="28" priority="426">
      <formula>COUNTA(C90)&lt;&gt;0</formula>
    </cfRule>
  </conditionalFormatting>
  <conditionalFormatting sqref="B94:B96">
    <cfRule type="cellIs" dxfId="27" priority="419" operator="notEqual">
      <formula>0</formula>
    </cfRule>
    <cfRule type="expression" dxfId="28" priority="420">
      <formula>COUNTA(C94)&lt;&gt;0</formula>
    </cfRule>
  </conditionalFormatting>
  <conditionalFormatting sqref="C7:C9">
    <cfRule type="cellIs" dxfId="2" priority="519" operator="notEqual">
      <formula>0</formula>
    </cfRule>
  </conditionalFormatting>
  <conditionalFormatting sqref="C11:C13">
    <cfRule type="cellIs" dxfId="2" priority="520" operator="notEqual">
      <formula>0</formula>
    </cfRule>
  </conditionalFormatting>
  <conditionalFormatting sqref="C15:C17">
    <cfRule type="cellIs" dxfId="2" priority="521" operator="notEqual">
      <formula>0</formula>
    </cfRule>
  </conditionalFormatting>
  <conditionalFormatting sqref="C19:C21">
    <cfRule type="cellIs" dxfId="2" priority="522" operator="notEqual">
      <formula>0</formula>
    </cfRule>
  </conditionalFormatting>
  <conditionalFormatting sqref="C23:C25">
    <cfRule type="cellIs" dxfId="2" priority="523" operator="notEqual">
      <formula>0</formula>
    </cfRule>
  </conditionalFormatting>
  <conditionalFormatting sqref="C27:C29">
    <cfRule type="cellIs" dxfId="2" priority="524" operator="notEqual">
      <formula>0</formula>
    </cfRule>
  </conditionalFormatting>
  <conditionalFormatting sqref="C31:C33">
    <cfRule type="cellIs" dxfId="2" priority="525" operator="notEqual">
      <formula>0</formula>
    </cfRule>
  </conditionalFormatting>
  <conditionalFormatting sqref="C35:C37">
    <cfRule type="cellIs" dxfId="2" priority="526" operator="notEqual">
      <formula>0</formula>
    </cfRule>
  </conditionalFormatting>
  <conditionalFormatting sqref="C39:C41">
    <cfRule type="cellIs" dxfId="2" priority="527" operator="notEqual">
      <formula>0</formula>
    </cfRule>
  </conditionalFormatting>
  <conditionalFormatting sqref="C43:C45">
    <cfRule type="cellIs" dxfId="2" priority="528" operator="notEqual">
      <formula>0</formula>
    </cfRule>
  </conditionalFormatting>
  <conditionalFormatting sqref="C47:C49">
    <cfRule type="cellIs" dxfId="2" priority="529" operator="notEqual">
      <formula>0</formula>
    </cfRule>
  </conditionalFormatting>
  <conditionalFormatting sqref="C54:C56">
    <cfRule type="cellIs" dxfId="2" priority="459" operator="notEqual">
      <formula>0</formula>
    </cfRule>
  </conditionalFormatting>
  <conditionalFormatting sqref="C58:C60">
    <cfRule type="cellIs" dxfId="2" priority="460" operator="notEqual">
      <formula>0</formula>
    </cfRule>
  </conditionalFormatting>
  <conditionalFormatting sqref="C62:C64">
    <cfRule type="cellIs" dxfId="2" priority="461" operator="notEqual">
      <formula>0</formula>
    </cfRule>
  </conditionalFormatting>
  <conditionalFormatting sqref="C66:C68">
    <cfRule type="cellIs" dxfId="2" priority="462" operator="notEqual">
      <formula>0</formula>
    </cfRule>
  </conditionalFormatting>
  <conditionalFormatting sqref="C70:C72">
    <cfRule type="cellIs" dxfId="2" priority="463" operator="notEqual">
      <formula>0</formula>
    </cfRule>
  </conditionalFormatting>
  <conditionalFormatting sqref="C74:C76">
    <cfRule type="cellIs" dxfId="2" priority="464" operator="notEqual">
      <formula>0</formula>
    </cfRule>
  </conditionalFormatting>
  <conditionalFormatting sqref="C78:C80">
    <cfRule type="cellIs" dxfId="2" priority="465" operator="notEqual">
      <formula>0</formula>
    </cfRule>
  </conditionalFormatting>
  <conditionalFormatting sqref="C82:C84">
    <cfRule type="cellIs" dxfId="2" priority="466" operator="notEqual">
      <formula>0</formula>
    </cfRule>
  </conditionalFormatting>
  <conditionalFormatting sqref="C86:C88">
    <cfRule type="cellIs" dxfId="2" priority="467" operator="notEqual">
      <formula>0</formula>
    </cfRule>
  </conditionalFormatting>
  <conditionalFormatting sqref="C90:C92">
    <cfRule type="cellIs" dxfId="2" priority="468" operator="notEqual">
      <formula>0</formula>
    </cfRule>
  </conditionalFormatting>
  <conditionalFormatting sqref="C94:C96">
    <cfRule type="cellIs" dxfId="2" priority="469" operator="notEqual">
      <formula>0</formula>
    </cfRule>
  </conditionalFormatting>
  <conditionalFormatting sqref="D7:D9">
    <cfRule type="cellIs" dxfId="22" priority="394" operator="equal">
      <formula>""</formula>
    </cfRule>
    <cfRule type="cellIs" dxfId="22" priority="395" operator="greaterThan">
      <formula>TODAY()</formula>
    </cfRule>
    <cfRule type="expression" dxfId="14" priority="405">
      <formula>AND(D7&lt;TODAY(),E7="")</formula>
    </cfRule>
    <cfRule type="expression" dxfId="13" priority="406">
      <formula>E7&lt;TODAY()</formula>
    </cfRule>
    <cfRule type="expression" dxfId="14" priority="407">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401" operator="equal">
      <formula>0</formula>
    </cfRule>
    <cfRule type="cellIs" dxfId="29" priority="402" operator="lessThan">
      <formula>D7</formula>
    </cfRule>
    <cfRule type="expression" dxfId="13" priority="403">
      <formula>E7&lt;TODAY()</formula>
    </cfRule>
    <cfRule type="expression" dxfId="14" priority="404">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517" operator="notEqual">
      <formula>0</formula>
    </cfRule>
    <cfRule type="expression" dxfId="28" priority="518">
      <formula>COUNTA(H7)&lt;&gt;0</formula>
    </cfRule>
  </conditionalFormatting>
  <conditionalFormatting sqref="G11:G13">
    <cfRule type="cellIs" dxfId="27" priority="511" operator="notEqual">
      <formula>0</formula>
    </cfRule>
    <cfRule type="expression" dxfId="28" priority="512">
      <formula>COUNTA(H11)&lt;&gt;0</formula>
    </cfRule>
  </conditionalFormatting>
  <conditionalFormatting sqref="G15:G17">
    <cfRule type="cellIs" dxfId="27" priority="509" operator="notEqual">
      <formula>0</formula>
    </cfRule>
    <cfRule type="expression" dxfId="28" priority="510">
      <formula>COUNTA(H15)&lt;&gt;0</formula>
    </cfRule>
  </conditionalFormatting>
  <conditionalFormatting sqref="G19:G21">
    <cfRule type="cellIs" dxfId="27" priority="503" operator="notEqual">
      <formula>0</formula>
    </cfRule>
    <cfRule type="expression" dxfId="28" priority="504">
      <formula>COUNTA(H19)&lt;&gt;0</formula>
    </cfRule>
  </conditionalFormatting>
  <conditionalFormatting sqref="G23:G25">
    <cfRule type="cellIs" dxfId="27" priority="501" operator="notEqual">
      <formula>0</formula>
    </cfRule>
    <cfRule type="expression" dxfId="28" priority="502">
      <formula>COUNTA(H23)&lt;&gt;0</formula>
    </cfRule>
  </conditionalFormatting>
  <conditionalFormatting sqref="G35:G37">
    <cfRule type="cellIs" dxfId="27" priority="491" operator="notEqual">
      <formula>0</formula>
    </cfRule>
    <cfRule type="expression" dxfId="28" priority="492">
      <formula>COUNTA(H35)&lt;&gt;0</formula>
    </cfRule>
  </conditionalFormatting>
  <conditionalFormatting sqref="G39:G41">
    <cfRule type="cellIs" dxfId="27" priority="489" operator="notEqual">
      <formula>0</formula>
    </cfRule>
    <cfRule type="expression" dxfId="28" priority="490">
      <formula>COUNTA(H39)&lt;&gt;0</formula>
    </cfRule>
  </conditionalFormatting>
  <conditionalFormatting sqref="G43:G45">
    <cfRule type="cellIs" dxfId="27" priority="483" operator="notEqual">
      <formula>0</formula>
    </cfRule>
    <cfRule type="expression" dxfId="28" priority="484">
      <formula>COUNTA(H43)&lt;&gt;0</formula>
    </cfRule>
  </conditionalFormatting>
  <conditionalFormatting sqref="G47:G49">
    <cfRule type="cellIs" dxfId="27" priority="481" operator="notEqual">
      <formula>0</formula>
    </cfRule>
    <cfRule type="expression" dxfId="28" priority="482">
      <formula>COUNTA(H47)&lt;&gt;0</formula>
    </cfRule>
  </conditionalFormatting>
  <conditionalFormatting sqref="G54:G56">
    <cfRule type="cellIs" dxfId="27" priority="457" operator="notEqual">
      <formula>0</formula>
    </cfRule>
    <cfRule type="expression" dxfId="28" priority="458">
      <formula>COUNTA(H54)&lt;&gt;0</formula>
    </cfRule>
  </conditionalFormatting>
  <conditionalFormatting sqref="G58:G60">
    <cfRule type="cellIs" dxfId="27" priority="451" operator="notEqual">
      <formula>0</formula>
    </cfRule>
    <cfRule type="expression" dxfId="28" priority="452">
      <formula>COUNTA(H58)&lt;&gt;0</formula>
    </cfRule>
  </conditionalFormatting>
  <conditionalFormatting sqref="G62:G64">
    <cfRule type="cellIs" dxfId="27" priority="449" operator="notEqual">
      <formula>0</formula>
    </cfRule>
    <cfRule type="expression" dxfId="28" priority="450">
      <formula>COUNTA(H62)&lt;&gt;0</formula>
    </cfRule>
  </conditionalFormatting>
  <conditionalFormatting sqref="G66:G68">
    <cfRule type="cellIs" dxfId="27" priority="443" operator="notEqual">
      <formula>0</formula>
    </cfRule>
    <cfRule type="expression" dxfId="28" priority="444">
      <formula>COUNTA(H66)&lt;&gt;0</formula>
    </cfRule>
  </conditionalFormatting>
  <conditionalFormatting sqref="G70:G72">
    <cfRule type="cellIs" dxfId="27" priority="441" operator="notEqual">
      <formula>0</formula>
    </cfRule>
    <cfRule type="expression" dxfId="28" priority="442">
      <formula>COUNTA(H70)&lt;&gt;0</formula>
    </cfRule>
  </conditionalFormatting>
  <conditionalFormatting sqref="G82:G84">
    <cfRule type="cellIs" dxfId="27" priority="431" operator="notEqual">
      <formula>0</formula>
    </cfRule>
    <cfRule type="expression" dxfId="28" priority="432">
      <formula>COUNTA(H82)&lt;&gt;0</formula>
    </cfRule>
  </conditionalFormatting>
  <conditionalFormatting sqref="G86:G88">
    <cfRule type="cellIs" dxfId="27" priority="429" operator="notEqual">
      <formula>0</formula>
    </cfRule>
    <cfRule type="expression" dxfId="28" priority="430">
      <formula>COUNTA(H86)&lt;&gt;0</formula>
    </cfRule>
  </conditionalFormatting>
  <conditionalFormatting sqref="G90:G92">
    <cfRule type="cellIs" dxfId="27" priority="423" operator="notEqual">
      <formula>0</formula>
    </cfRule>
    <cfRule type="expression" dxfId="28" priority="424">
      <formula>COUNTA(H90)&lt;&gt;0</formula>
    </cfRule>
  </conditionalFormatting>
  <conditionalFormatting sqref="G94:G96">
    <cfRule type="cellIs" dxfId="27" priority="421" operator="notEqual">
      <formula>0</formula>
    </cfRule>
    <cfRule type="expression" dxfId="28" priority="422">
      <formula>COUNTA(H94)&lt;&gt;0</formula>
    </cfRule>
  </conditionalFormatting>
  <conditionalFormatting sqref="H7:H9">
    <cfRule type="cellIs" dxfId="2" priority="470" operator="notEqual">
      <formula>0</formula>
    </cfRule>
  </conditionalFormatting>
  <conditionalFormatting sqref="H11:H13">
    <cfRule type="cellIs" dxfId="2" priority="471" operator="notEqual">
      <formula>0</formula>
    </cfRule>
  </conditionalFormatting>
  <conditionalFormatting sqref="H15:H17">
    <cfRule type="cellIs" dxfId="2" priority="472" operator="notEqual">
      <formula>0</formula>
    </cfRule>
  </conditionalFormatting>
  <conditionalFormatting sqref="H19:H21">
    <cfRule type="cellIs" dxfId="2" priority="473" operator="notEqual">
      <formula>0</formula>
    </cfRule>
  </conditionalFormatting>
  <conditionalFormatting sqref="H23:H25">
    <cfRule type="cellIs" dxfId="2" priority="474" operator="notEqual">
      <formula>0</formula>
    </cfRule>
  </conditionalFormatting>
  <conditionalFormatting sqref="H35:H37">
    <cfRule type="cellIs" dxfId="2" priority="475" operator="notEqual">
      <formula>0</formula>
    </cfRule>
  </conditionalFormatting>
  <conditionalFormatting sqref="H39:H41">
    <cfRule type="cellIs" dxfId="2" priority="476" operator="notEqual">
      <formula>0</formula>
    </cfRule>
  </conditionalFormatting>
  <conditionalFormatting sqref="H43:H45">
    <cfRule type="cellIs" dxfId="2" priority="477" operator="notEqual">
      <formula>0</formula>
    </cfRule>
  </conditionalFormatting>
  <conditionalFormatting sqref="H47:H49">
    <cfRule type="cellIs" dxfId="2" priority="478" operator="notEqual">
      <formula>0</formula>
    </cfRule>
  </conditionalFormatting>
  <conditionalFormatting sqref="H54:H56">
    <cfRule type="cellIs" dxfId="2" priority="410" operator="notEqual">
      <formula>0</formula>
    </cfRule>
  </conditionalFormatting>
  <conditionalFormatting sqref="H58:H60">
    <cfRule type="cellIs" dxfId="2" priority="411" operator="notEqual">
      <formula>0</formula>
    </cfRule>
  </conditionalFormatting>
  <conditionalFormatting sqref="H62:H64">
    <cfRule type="cellIs" dxfId="2" priority="412" operator="notEqual">
      <formula>0</formula>
    </cfRule>
  </conditionalFormatting>
  <conditionalFormatting sqref="H66:H68">
    <cfRule type="cellIs" dxfId="2" priority="413" operator="notEqual">
      <formula>0</formula>
    </cfRule>
  </conditionalFormatting>
  <conditionalFormatting sqref="H70:H72">
    <cfRule type="cellIs" dxfId="2" priority="414" operator="notEqual">
      <formula>0</formula>
    </cfRule>
  </conditionalFormatting>
  <conditionalFormatting sqref="H82:H84">
    <cfRule type="cellIs" dxfId="2" priority="415" operator="notEqual">
      <formula>0</formula>
    </cfRule>
  </conditionalFormatting>
  <conditionalFormatting sqref="H86:H88">
    <cfRule type="cellIs" dxfId="2" priority="416" operator="notEqual">
      <formula>0</formula>
    </cfRule>
  </conditionalFormatting>
  <conditionalFormatting sqref="H90:H92">
    <cfRule type="cellIs" dxfId="2" priority="417" operator="notEqual">
      <formula>0</formula>
    </cfRule>
  </conditionalFormatting>
  <conditionalFormatting sqref="H94:H96">
    <cfRule type="cellIs" dxfId="2" priority="418"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533" operator="equal">
      <formula>L6</formula>
    </cfRule>
  </conditionalFormatting>
  <conditionalFormatting sqref="M$1:M$1048576">
    <cfRule type="cellIs" dxfId="12" priority="530" operator="equal">
      <formula>0</formula>
    </cfRule>
  </conditionalFormatting>
  <conditionalFormatting sqref="U6:U125">
    <cfRule type="cellIs" dxfId="12" priority="531" operator="equal">
      <formula>0</formula>
    </cfRule>
  </conditionalFormatting>
  <conditionalFormatting sqref="X6:X125">
    <cfRule type="expression" dxfId="13" priority="399">
      <formula>Y6&lt;TODAY()</formula>
    </cfRule>
    <cfRule type="expression" dxfId="14" priority="400">
      <formula>X6&lt;TODAY()</formula>
    </cfRule>
  </conditionalFormatting>
  <conditionalFormatting sqref="Y6:Y125">
    <cfRule type="expression" dxfId="15" priority="393">
      <formula>AND(Y6&lt;X6,X6&lt;&gt;"")</formula>
    </cfRule>
    <cfRule type="expression" dxfId="13" priority="396">
      <formula>Y6&lt;TODAY()</formula>
    </cfRule>
    <cfRule type="expression" dxfId="14" priority="397">
      <formula>AND(Y6&gt;TODAY(),X6="")</formula>
    </cfRule>
    <cfRule type="expression" dxfId="14" priority="398">
      <formula>X6&lt;TODAY()</formula>
    </cfRule>
  </conditionalFormatting>
  <conditionalFormatting sqref="AB6:AB125">
    <cfRule type="cellIs" dxfId="30" priority="409"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392" operator="equal">
      <formula>""</formula>
    </cfRule>
  </conditionalFormatting>
  <conditionalFormatting sqref="D8:E9">
    <cfRule type="cellIs" dxfId="2" priority="408"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B125"/>
  <sheetViews>
    <sheetView zoomScale="70" zoomScaleNormal="70" workbookViewId="0">
      <pane ySplit="5" topLeftCell="A55" activePane="bottomLeft" state="frozen"/>
      <selection/>
      <selection pane="bottomLeft" activeCell="H70" sqref="H70"/>
    </sheetView>
  </sheetViews>
  <sheetFormatPr defaultColWidth="8.70909090909091" defaultRowHeight="14.5"/>
  <cols>
    <col min="1" max="1" width="0.709090909090909" style="18" customWidth="1"/>
    <col min="2" max="2" width="3.70909090909091" style="18" customWidth="1"/>
    <col min="3" max="3" width="30.7090909090909" style="18" customWidth="1"/>
    <col min="4" max="5" width="13.7090909090909" style="39" customWidth="1"/>
    <col min="6" max="6" width="6.57272727272727" style="18" customWidth="1"/>
    <col min="7" max="7" width="3.70909090909091" style="18" customWidth="1"/>
    <col min="8" max="8" width="30.7090909090909" style="18" customWidth="1"/>
    <col min="9" max="10" width="13.7090909090909" style="39" customWidth="1"/>
    <col min="11" max="12" width="5.70909090909091" style="18" customWidth="1"/>
    <col min="13" max="13" width="35.7090909090909" style="18" customWidth="1"/>
    <col min="14" max="14" width="8.70909090909091" style="18" customWidth="1"/>
    <col min="15" max="15" width="8.70909090909091" style="18"/>
    <col min="16" max="16" width="5.70909090909091" style="18" customWidth="1"/>
    <col min="17" max="23" width="6.70909090909091" style="2" customWidth="1"/>
    <col min="24" max="25" width="13.7090909090909" style="40" customWidth="1"/>
    <col min="26" max="26" width="7.70909090909091" style="41" customWidth="1"/>
    <col min="27" max="27" width="9.42727272727273" style="2" customWidth="1"/>
    <col min="28" max="28" width="35.2818181818182" style="42" customWidth="1"/>
    <col min="29" max="16384" width="8.70909090909091" style="18"/>
  </cols>
  <sheetData>
    <row r="1" ht="15.25"/>
    <row r="2" ht="15.25" spans="12:28">
      <c r="L2" s="73" t="s">
        <v>6565</v>
      </c>
      <c r="M2" s="73" t="s">
        <v>6566</v>
      </c>
      <c r="N2" s="73" t="s">
        <v>6567</v>
      </c>
      <c r="O2" s="73" t="s">
        <v>7424</v>
      </c>
      <c r="P2" s="74" t="s">
        <v>6569</v>
      </c>
      <c r="Q2" s="90"/>
      <c r="R2" s="90"/>
      <c r="S2" s="90"/>
      <c r="T2" s="91"/>
      <c r="U2" s="74" t="s">
        <v>6570</v>
      </c>
      <c r="V2" s="90"/>
      <c r="W2" s="91"/>
      <c r="X2" s="92" t="s">
        <v>6571</v>
      </c>
      <c r="Y2" s="112"/>
      <c r="Z2" s="113"/>
      <c r="AA2" s="73"/>
      <c r="AB2" s="73" t="s">
        <v>6572</v>
      </c>
    </row>
    <row r="3" ht="15" customHeight="1" spans="3:28">
      <c r="C3" s="42" t="s">
        <v>7425</v>
      </c>
      <c r="D3" s="43"/>
      <c r="E3" s="43"/>
      <c r="I3" s="43"/>
      <c r="J3" s="43"/>
      <c r="L3" s="73"/>
      <c r="M3" s="73"/>
      <c r="N3" s="73"/>
      <c r="O3" s="73"/>
      <c r="P3" s="73" t="s">
        <v>6574</v>
      </c>
      <c r="Q3" s="93" t="s">
        <v>6575</v>
      </c>
      <c r="R3" s="93" t="s">
        <v>6576</v>
      </c>
      <c r="S3" s="93" t="s">
        <v>6577</v>
      </c>
      <c r="T3" s="93" t="s">
        <v>6579</v>
      </c>
      <c r="U3" s="94">
        <v>1</v>
      </c>
      <c r="V3" s="94">
        <v>2</v>
      </c>
      <c r="W3" s="94">
        <v>3</v>
      </c>
      <c r="X3" s="95" t="s">
        <v>6580</v>
      </c>
      <c r="Y3" s="95" t="s">
        <v>6581</v>
      </c>
      <c r="Z3" s="114" t="s">
        <v>6</v>
      </c>
      <c r="AA3" s="115" t="s">
        <v>6582</v>
      </c>
      <c r="AB3" s="116"/>
    </row>
    <row r="4" ht="19.25" spans="3:28">
      <c r="C4" s="44" t="s">
        <v>7877</v>
      </c>
      <c r="D4" s="44"/>
      <c r="E4" s="44"/>
      <c r="F4" s="44"/>
      <c r="G4" s="44"/>
      <c r="H4" s="44"/>
      <c r="I4" s="44"/>
      <c r="J4" s="75"/>
      <c r="L4" s="73"/>
      <c r="M4" s="73">
        <f>Q4+R4*2+S4*3</f>
        <v>88</v>
      </c>
      <c r="N4" s="76"/>
      <c r="O4" s="73"/>
      <c r="P4" s="73">
        <f>SUM(Q4:S4)</f>
        <v>40</v>
      </c>
      <c r="Q4" s="96">
        <f>COUNTIFS(Q6:T125,"=Single")</f>
        <v>4</v>
      </c>
      <c r="R4" s="96">
        <f>COUNTIFS(Q6:T125,"=Double")</f>
        <v>24</v>
      </c>
      <c r="S4" s="96">
        <f>COUNTIFS(Q6:T125,"=Triple")</f>
        <v>12</v>
      </c>
      <c r="T4" s="96">
        <f>COUNTIFS(Q6:T125,"=Empty")</f>
        <v>0</v>
      </c>
      <c r="U4" s="73">
        <f>COUNTIFS(V6:W125,"=1")</f>
        <v>4</v>
      </c>
      <c r="V4" s="73">
        <f>COUNTIFS(V6:W125,"=2")</f>
        <v>24</v>
      </c>
      <c r="W4" s="73">
        <f>COUNTIFS(V6:W125,"=3")</f>
        <v>12</v>
      </c>
      <c r="X4" s="97"/>
      <c r="Y4" s="97"/>
      <c r="Z4" s="115">
        <f>COUNTA(Z6:Z130)</f>
        <v>87</v>
      </c>
      <c r="AA4" s="115">
        <f>COUNTA(AA6:AA130)-SUM(COUNTIF(AA6:AA130,{"#N/A"}))</f>
        <v>0</v>
      </c>
      <c r="AB4" s="116"/>
    </row>
    <row r="5" ht="15.25" spans="2:28">
      <c r="B5" s="45" t="s">
        <v>7427</v>
      </c>
      <c r="C5" s="45"/>
      <c r="D5" s="45"/>
      <c r="E5" s="45"/>
      <c r="G5" s="45" t="s">
        <v>7427</v>
      </c>
      <c r="H5" s="45"/>
      <c r="I5" s="45"/>
      <c r="J5" s="45"/>
      <c r="L5" s="77"/>
      <c r="M5" s="78"/>
      <c r="N5" s="77"/>
      <c r="O5" s="77"/>
      <c r="P5" s="77"/>
      <c r="Q5" s="96"/>
      <c r="R5" s="96"/>
      <c r="S5" s="96"/>
      <c r="T5" s="96"/>
      <c r="U5" s="98">
        <f>SUM(V6:W125)</f>
        <v>88</v>
      </c>
      <c r="V5" s="73" t="s">
        <v>7428</v>
      </c>
      <c r="W5" s="98">
        <f>U4+V4+W4</f>
        <v>40</v>
      </c>
      <c r="X5" s="99"/>
      <c r="Y5" s="99"/>
      <c r="Z5" s="117"/>
      <c r="AA5" s="118"/>
      <c r="AB5" s="119"/>
    </row>
    <row r="6" spans="2:28">
      <c r="B6" s="46">
        <v>101</v>
      </c>
      <c r="C6" s="47"/>
      <c r="D6" s="48" t="s">
        <v>6580</v>
      </c>
      <c r="E6" s="49" t="s">
        <v>6581</v>
      </c>
      <c r="G6" s="46">
        <v>120</v>
      </c>
      <c r="H6" s="47"/>
      <c r="I6" s="48" t="s">
        <v>6580</v>
      </c>
      <c r="J6" s="49" t="s">
        <v>6581</v>
      </c>
      <c r="L6" s="6">
        <f>COUNTA(B7)</f>
        <v>1</v>
      </c>
      <c r="M6" s="79" t="str">
        <f>C7</f>
        <v>71001 Henrik</v>
      </c>
      <c r="N6" s="80" t="s">
        <v>7430</v>
      </c>
      <c r="O6" s="81">
        <v>36</v>
      </c>
      <c r="P6" s="81">
        <v>101</v>
      </c>
      <c r="Q6" s="81" t="str">
        <f>_xlfn.IFS(COUNTA(B7:B9)=1,"Single",COUNTA(B7:B9)=2,"Double",COUNTA(B7:B9)=3,"Triple",COUNTA(B7:B9)=0,"Empty")</f>
        <v>Single</v>
      </c>
      <c r="R6" s="81"/>
      <c r="S6" s="81"/>
      <c r="T6" s="81"/>
      <c r="U6" s="81">
        <f>B7</f>
        <v>1</v>
      </c>
      <c r="V6" s="100">
        <f>COUNT(B7:B9)</f>
        <v>1</v>
      </c>
      <c r="W6" s="101"/>
      <c r="X6" s="102" t="str">
        <f>IF(D7=0,"",D7)</f>
        <v/>
      </c>
      <c r="Y6" s="108" t="str">
        <f t="shared" ref="X6:Y8" si="0">IF(E7=0,"",E7)</f>
        <v/>
      </c>
      <c r="Z6" s="120" t="s">
        <v>7878</v>
      </c>
      <c r="AA6" s="121" t="e">
        <f>VLOOKUP($M:$M,Data!$I:$J,2,FALSE)</f>
        <v>#N/A</v>
      </c>
      <c r="AB6" s="122"/>
    </row>
    <row r="7" spans="2:28">
      <c r="B7" s="50">
        <v>1</v>
      </c>
      <c r="C7" s="51" t="str">
        <f>VLOOKUP("36/101/1",Data!$A$2:$E$1425,3,FALSE)</f>
        <v>71001 Henrik</v>
      </c>
      <c r="D7" s="52"/>
      <c r="E7" s="53"/>
      <c r="G7" s="50">
        <v>1</v>
      </c>
      <c r="H7" s="51" t="str">
        <f>VLOOKUP("36/120/1",Data!$A$2:$E$1425,3,FALSE)</f>
        <v>71002 Magnus</v>
      </c>
      <c r="I7" s="52"/>
      <c r="J7" s="53"/>
      <c r="L7" s="9">
        <f>COUNTA(B8)+L6</f>
        <v>1</v>
      </c>
      <c r="M7" s="31">
        <f>C8</f>
        <v>0</v>
      </c>
      <c r="N7" s="82" t="s">
        <v>7430</v>
      </c>
      <c r="O7" s="36">
        <v>36</v>
      </c>
      <c r="P7" s="36">
        <v>101</v>
      </c>
      <c r="Q7" s="36"/>
      <c r="R7" s="36"/>
      <c r="S7" s="36"/>
      <c r="T7" s="36"/>
      <c r="U7" s="36">
        <f>B8</f>
        <v>0</v>
      </c>
      <c r="V7" s="103"/>
      <c r="W7" s="104"/>
      <c r="X7" s="52" t="str">
        <f t="shared" si="0"/>
        <v/>
      </c>
      <c r="Y7" s="109" t="str">
        <f t="shared" si="0"/>
        <v/>
      </c>
      <c r="Z7" s="123"/>
      <c r="AA7" s="124" t="e">
        <f>VLOOKUP($M:$M,Data!$I:$J,2,FALSE)</f>
        <v>#N/A</v>
      </c>
      <c r="AB7" s="125"/>
    </row>
    <row r="8" ht="15.25" spans="2:28">
      <c r="B8" s="50"/>
      <c r="C8" s="51">
        <f>VLOOKUP("36/101/2",Data!$A$2:$E$1425,3,FALSE)</f>
        <v>0</v>
      </c>
      <c r="D8" s="54"/>
      <c r="E8" s="55"/>
      <c r="G8" s="50">
        <v>2</v>
      </c>
      <c r="H8" s="51">
        <f>VLOOKUP("36/120/2",Data!$A$2:$E$1425,3,FALSE)</f>
        <v>0</v>
      </c>
      <c r="I8" s="54"/>
      <c r="J8" s="55"/>
      <c r="L8" s="14">
        <f>COUNTA(B9)+L7</f>
        <v>1</v>
      </c>
      <c r="M8" s="83">
        <f>C9</f>
        <v>0</v>
      </c>
      <c r="N8" s="84" t="s">
        <v>7430</v>
      </c>
      <c r="O8" s="85">
        <v>36</v>
      </c>
      <c r="P8" s="85">
        <v>101</v>
      </c>
      <c r="Q8" s="85"/>
      <c r="R8" s="85"/>
      <c r="S8" s="85"/>
      <c r="T8" s="85"/>
      <c r="U8" s="85">
        <f>B9</f>
        <v>0</v>
      </c>
      <c r="V8" s="105"/>
      <c r="W8" s="106"/>
      <c r="X8" s="107" t="str">
        <f t="shared" si="0"/>
        <v/>
      </c>
      <c r="Y8" s="111" t="str">
        <f t="shared" si="0"/>
        <v/>
      </c>
      <c r="Z8" s="123"/>
      <c r="AA8" s="124" t="e">
        <f>VLOOKUP($M:$M,Data!$I:$J,2,FALSE)</f>
        <v>#N/A</v>
      </c>
      <c r="AB8" s="126"/>
    </row>
    <row r="9" ht="15.25" spans="2:28">
      <c r="B9" s="50"/>
      <c r="C9" s="51">
        <f>VLOOKUP("36/101/3",Data!$A$2:$E$1425,3,FALSE)</f>
        <v>0</v>
      </c>
      <c r="D9" s="56"/>
      <c r="E9" s="57"/>
      <c r="G9" s="58"/>
      <c r="H9" s="59">
        <f>VLOOKUP("36/120/3",Data!$A$2:$E$1425,3,FALSE)</f>
        <v>0</v>
      </c>
      <c r="I9" s="56"/>
      <c r="J9" s="57"/>
      <c r="L9" s="6">
        <f>COUNTA(B11)+L8</f>
        <v>1</v>
      </c>
      <c r="M9" s="79" t="str">
        <f>C11</f>
        <v>71003 Sven</v>
      </c>
      <c r="N9" s="80" t="s">
        <v>7430</v>
      </c>
      <c r="O9" s="81">
        <v>36</v>
      </c>
      <c r="P9" s="81">
        <v>102</v>
      </c>
      <c r="Q9" s="62" t="str">
        <f>_xlfn.IFS(COUNTA(B11:B13)=1,"Single",COUNTA(B11:B13)=2,"Double",COUNTA(B11:B13)=3,"Triple",COUNTA(B11:B13)=0,"Empty")</f>
        <v>Single</v>
      </c>
      <c r="R9" s="62"/>
      <c r="S9" s="62"/>
      <c r="T9" s="62"/>
      <c r="U9" s="81">
        <f>B11</f>
        <v>0</v>
      </c>
      <c r="V9" s="100">
        <f>COUNT(B11:B13)</f>
        <v>1</v>
      </c>
      <c r="W9" s="101"/>
      <c r="X9" s="108" t="str">
        <f t="shared" ref="X9:Y11" si="1">IF(D11=0,"",D11)</f>
        <v/>
      </c>
      <c r="Y9" s="108" t="str">
        <f t="shared" si="1"/>
        <v/>
      </c>
      <c r="Z9" s="120" t="s">
        <v>7879</v>
      </c>
      <c r="AA9" s="121" t="e">
        <f>VLOOKUP($M:$M,Data!$I:$J,2,FALSE)</f>
        <v>#N/A</v>
      </c>
      <c r="AB9" s="122"/>
    </row>
    <row r="10" spans="2:28">
      <c r="B10" s="60">
        <v>102</v>
      </c>
      <c r="C10" s="61"/>
      <c r="D10" s="62" t="s">
        <v>6580</v>
      </c>
      <c r="E10" s="8" t="s">
        <v>6581</v>
      </c>
      <c r="G10" s="46">
        <v>119</v>
      </c>
      <c r="H10" s="47"/>
      <c r="I10" s="48" t="s">
        <v>6580</v>
      </c>
      <c r="J10" s="49" t="s">
        <v>6581</v>
      </c>
      <c r="L10" s="9">
        <f>COUNTA(B12)+L9</f>
        <v>2</v>
      </c>
      <c r="M10" s="31">
        <f>C12</f>
        <v>0</v>
      </c>
      <c r="N10" s="82" t="s">
        <v>7430</v>
      </c>
      <c r="O10" s="36">
        <v>36</v>
      </c>
      <c r="P10" s="36">
        <v>102</v>
      </c>
      <c r="Q10" s="32"/>
      <c r="R10" s="32"/>
      <c r="S10" s="32"/>
      <c r="T10" s="32"/>
      <c r="U10" s="36">
        <f>B12</f>
        <v>2</v>
      </c>
      <c r="V10" s="103"/>
      <c r="W10" s="104"/>
      <c r="X10" s="109" t="str">
        <f t="shared" si="1"/>
        <v/>
      </c>
      <c r="Y10" s="109" t="str">
        <f t="shared" si="1"/>
        <v/>
      </c>
      <c r="Z10" s="123"/>
      <c r="AA10" s="124" t="e">
        <f>VLOOKUP($M:$M,Data!$I:$J,2,FALSE)</f>
        <v>#N/A</v>
      </c>
      <c r="AB10" s="125"/>
    </row>
    <row r="11" ht="15.25" spans="2:28">
      <c r="B11" s="50"/>
      <c r="C11" s="51" t="str">
        <f>VLOOKUP("36/102/1",Data!$A$2:$E$1425,3,FALSE)</f>
        <v>71003 Sven</v>
      </c>
      <c r="D11" s="52"/>
      <c r="E11" s="53"/>
      <c r="G11" s="50">
        <v>1</v>
      </c>
      <c r="H11" s="51" t="str">
        <f>VLOOKUP("36/119/1",Data!$A$2:$E$1425,3,FALSE)</f>
        <v>71031 Daniel</v>
      </c>
      <c r="I11" s="52"/>
      <c r="J11" s="53"/>
      <c r="L11" s="14">
        <f>COUNTA(B13)+L10</f>
        <v>2</v>
      </c>
      <c r="M11" s="83">
        <f>C13</f>
        <v>0</v>
      </c>
      <c r="N11" s="84" t="s">
        <v>7430</v>
      </c>
      <c r="O11" s="85">
        <v>36</v>
      </c>
      <c r="P11" s="85">
        <v>102</v>
      </c>
      <c r="Q11" s="110"/>
      <c r="R11" s="110"/>
      <c r="S11" s="110"/>
      <c r="T11" s="110"/>
      <c r="U11" s="85">
        <f>B13</f>
        <v>0</v>
      </c>
      <c r="V11" s="105"/>
      <c r="W11" s="106"/>
      <c r="X11" s="111" t="str">
        <f t="shared" si="1"/>
        <v/>
      </c>
      <c r="Y11" s="111" t="str">
        <f t="shared" si="1"/>
        <v/>
      </c>
      <c r="Z11" s="127"/>
      <c r="AA11" s="128" t="e">
        <f>VLOOKUP($M:$M,Data!$I:$J,2,FALSE)</f>
        <v>#N/A</v>
      </c>
      <c r="AB11" s="126"/>
    </row>
    <row r="12" spans="2:28">
      <c r="B12" s="50">
        <v>2</v>
      </c>
      <c r="C12" s="51">
        <f>VLOOKUP("36/102/2",Data!$A$2:$E$1425,3,FALSE)</f>
        <v>0</v>
      </c>
      <c r="D12" s="54"/>
      <c r="E12" s="55"/>
      <c r="G12" s="50">
        <v>2</v>
      </c>
      <c r="H12" s="51">
        <f>VLOOKUP("36/119/2",Data!$A$2:$E$1425,3,FALSE)</f>
        <v>0</v>
      </c>
      <c r="I12" s="54"/>
      <c r="J12" s="55"/>
      <c r="L12" s="6">
        <f>COUNTA(B15)+L11</f>
        <v>3</v>
      </c>
      <c r="M12" s="79" t="str">
        <f>C15</f>
        <v>71004 Per </v>
      </c>
      <c r="N12" s="80" t="s">
        <v>7430</v>
      </c>
      <c r="O12" s="81">
        <v>36</v>
      </c>
      <c r="P12" s="81">
        <v>103</v>
      </c>
      <c r="Q12" s="62" t="str">
        <f>_xlfn.IFS(COUNTA(B15:B17)=1,"Single",COUNTA(B15:B17)=2,"Double",COUNTA(B15:B17)=3,"Triple",COUNTA(B15:B17)=0,"Empty")</f>
        <v>Double</v>
      </c>
      <c r="R12" s="62"/>
      <c r="S12" s="62"/>
      <c r="T12" s="62"/>
      <c r="U12" s="81">
        <f>B15</f>
        <v>1</v>
      </c>
      <c r="V12" s="100">
        <f>COUNT(B15:B17)</f>
        <v>2</v>
      </c>
      <c r="W12" s="101"/>
      <c r="X12" s="108" t="str">
        <f t="shared" ref="X12:Y14" si="2">IF(D15=0,"",D15)</f>
        <v/>
      </c>
      <c r="Y12" s="108" t="str">
        <f t="shared" si="2"/>
        <v/>
      </c>
      <c r="Z12" s="120" t="s">
        <v>7420</v>
      </c>
      <c r="AA12" s="121" t="e">
        <f>VLOOKUP($M:$M,Data!$I:$J,2,FALSE)</f>
        <v>#N/A</v>
      </c>
      <c r="AB12" s="122"/>
    </row>
    <row r="13" ht="15.25" spans="2:28">
      <c r="B13" s="58"/>
      <c r="C13" s="59">
        <f>VLOOKUP("36/102/3",Data!$A$2:$E$1425,3,FALSE)</f>
        <v>0</v>
      </c>
      <c r="D13" s="56"/>
      <c r="E13" s="57"/>
      <c r="G13" s="58">
        <v>3</v>
      </c>
      <c r="H13" s="59">
        <f>VLOOKUP("36/119/3",Data!$A$2:$E$1425,3,FALSE)</f>
        <v>0</v>
      </c>
      <c r="I13" s="56"/>
      <c r="J13" s="57"/>
      <c r="L13" s="9">
        <f>COUNTA(B16)+L12</f>
        <v>3</v>
      </c>
      <c r="M13" s="31">
        <f>C16</f>
        <v>0</v>
      </c>
      <c r="N13" s="82" t="s">
        <v>7430</v>
      </c>
      <c r="O13" s="36">
        <v>36</v>
      </c>
      <c r="P13" s="36">
        <v>103</v>
      </c>
      <c r="Q13" s="32"/>
      <c r="R13" s="32"/>
      <c r="S13" s="32"/>
      <c r="T13" s="32"/>
      <c r="U13" s="36">
        <f>B16</f>
        <v>0</v>
      </c>
      <c r="V13" s="103"/>
      <c r="W13" s="104"/>
      <c r="X13" s="109" t="str">
        <f t="shared" si="2"/>
        <v/>
      </c>
      <c r="Y13" s="109" t="str">
        <f t="shared" si="2"/>
        <v/>
      </c>
      <c r="Z13" s="123" t="s">
        <v>6930</v>
      </c>
      <c r="AA13" s="124" t="e">
        <f>VLOOKUP($M:$M,Data!$I:$J,2,FALSE)</f>
        <v>#N/A</v>
      </c>
      <c r="AB13" s="125"/>
    </row>
    <row r="14" ht="15.25" spans="2:28">
      <c r="B14" s="63">
        <v>103</v>
      </c>
      <c r="C14" s="64"/>
      <c r="D14" s="65" t="s">
        <v>6580</v>
      </c>
      <c r="E14" s="66" t="s">
        <v>6581</v>
      </c>
      <c r="G14" s="46">
        <v>118</v>
      </c>
      <c r="H14" s="47"/>
      <c r="I14" s="48" t="s">
        <v>6580</v>
      </c>
      <c r="J14" s="49" t="s">
        <v>6581</v>
      </c>
      <c r="L14" s="14">
        <f>COUNTA(B17)+L13</f>
        <v>4</v>
      </c>
      <c r="M14" s="83">
        <f>C17</f>
        <v>0</v>
      </c>
      <c r="N14" s="84" t="s">
        <v>7430</v>
      </c>
      <c r="O14" s="85">
        <v>36</v>
      </c>
      <c r="P14" s="85">
        <v>103</v>
      </c>
      <c r="Q14" s="110"/>
      <c r="R14" s="110"/>
      <c r="S14" s="110"/>
      <c r="T14" s="110"/>
      <c r="U14" s="85">
        <f>B17</f>
        <v>3</v>
      </c>
      <c r="V14" s="105"/>
      <c r="W14" s="106"/>
      <c r="X14" s="111" t="str">
        <f t="shared" si="2"/>
        <v/>
      </c>
      <c r="Y14" s="111" t="str">
        <f t="shared" si="2"/>
        <v/>
      </c>
      <c r="Z14" s="127"/>
      <c r="AA14" s="128" t="e">
        <f>VLOOKUP($M:$M,Data!$I:$J,2,FALSE)</f>
        <v>#N/A</v>
      </c>
      <c r="AB14" s="126"/>
    </row>
    <row r="15" spans="2:28">
      <c r="B15" s="50">
        <v>1</v>
      </c>
      <c r="C15" s="51" t="str">
        <f>VLOOKUP("36/103/1",Data!$A$2:$E$1425,3,FALSE)</f>
        <v>71004 Per </v>
      </c>
      <c r="D15" s="52"/>
      <c r="E15" s="53"/>
      <c r="G15" s="50"/>
      <c r="H15" s="51" t="str">
        <f>VLOOKUP("36/118/1",Data!$A$2:$E$1425,3,FALSE)</f>
        <v>71032 Oskar</v>
      </c>
      <c r="I15" s="52"/>
      <c r="J15" s="53"/>
      <c r="L15" s="6">
        <f>COUNTA(B19)+L14</f>
        <v>5</v>
      </c>
      <c r="M15" s="79" t="str">
        <f>C19</f>
        <v>71036 Sabrina</v>
      </c>
      <c r="N15" s="80" t="s">
        <v>7430</v>
      </c>
      <c r="O15" s="81">
        <v>36</v>
      </c>
      <c r="P15" s="81">
        <v>104</v>
      </c>
      <c r="Q15" s="62" t="str">
        <f>_xlfn.IFS(COUNTA(B19:B21)=1,"Single",COUNTA(B19:B21)=2,"Double",COUNTA(B19:B21)=3,"Triple",COUNTA(B19:B21)=0,"Empty")</f>
        <v>Single</v>
      </c>
      <c r="R15" s="62"/>
      <c r="S15" s="62"/>
      <c r="T15" s="62"/>
      <c r="U15" s="81">
        <f>B19</f>
        <v>1</v>
      </c>
      <c r="V15" s="100">
        <f>COUNT(B19:B21)</f>
        <v>1</v>
      </c>
      <c r="W15" s="101"/>
      <c r="X15" s="108" t="str">
        <f>IF(D19=0,"",D19)</f>
        <v/>
      </c>
      <c r="Y15" s="108" t="str">
        <f>IF(E19=0,"",E19)</f>
        <v/>
      </c>
      <c r="Z15" s="120" t="s">
        <v>7391</v>
      </c>
      <c r="AA15" s="121" t="e">
        <f>VLOOKUP($M:$M,Data!$I:$J,2,FALSE)</f>
        <v>#N/A</v>
      </c>
      <c r="AB15" s="122"/>
    </row>
    <row r="16" spans="2:28">
      <c r="B16" s="50"/>
      <c r="C16" s="51">
        <f>VLOOKUP("36/103/2",Data!$A$2:$E$1425,3,FALSE)</f>
        <v>0</v>
      </c>
      <c r="D16" s="54"/>
      <c r="E16" s="55"/>
      <c r="G16" s="50">
        <v>2</v>
      </c>
      <c r="H16" s="51">
        <f>VLOOKUP("36/118/2",Data!$A$2:$E$1425,3,FALSE)</f>
        <v>0</v>
      </c>
      <c r="I16" s="54"/>
      <c r="J16" s="55"/>
      <c r="L16" s="9">
        <f>COUNTA(B20)+L15</f>
        <v>5</v>
      </c>
      <c r="M16" s="31">
        <f>C20</f>
        <v>0</v>
      </c>
      <c r="N16" s="82" t="s">
        <v>7430</v>
      </c>
      <c r="O16" s="36">
        <v>36</v>
      </c>
      <c r="P16" s="36">
        <v>104</v>
      </c>
      <c r="Q16" s="32"/>
      <c r="R16" s="32"/>
      <c r="S16" s="32"/>
      <c r="T16" s="32"/>
      <c r="U16" s="36">
        <f>B20</f>
        <v>0</v>
      </c>
      <c r="V16" s="103"/>
      <c r="W16" s="104"/>
      <c r="X16" s="109" t="str">
        <f t="shared" ref="X16:Y17" si="3">IF(D20=0,"",D20)</f>
        <v/>
      </c>
      <c r="Y16" s="109" t="str">
        <f t="shared" si="3"/>
        <v/>
      </c>
      <c r="Z16" s="123"/>
      <c r="AA16" s="124" t="e">
        <f>VLOOKUP($M:$M,Data!$I:$J,2,FALSE)</f>
        <v>#N/A</v>
      </c>
      <c r="AB16" s="125"/>
    </row>
    <row r="17" ht="15.25" spans="2:28">
      <c r="B17" s="58">
        <v>3</v>
      </c>
      <c r="C17" s="59">
        <f>VLOOKUP("36/103/3",Data!$A$2:$E$1425,3,FALSE)</f>
        <v>0</v>
      </c>
      <c r="D17" s="56"/>
      <c r="E17" s="57"/>
      <c r="G17" s="58">
        <v>3</v>
      </c>
      <c r="H17" s="59">
        <f>VLOOKUP("36/118/3",Data!$A$2:$E$1425,3,FALSE)</f>
        <v>0</v>
      </c>
      <c r="I17" s="56"/>
      <c r="J17" s="57"/>
      <c r="L17" s="14">
        <f>COUNTA(B21)+L16</f>
        <v>5</v>
      </c>
      <c r="M17" s="83">
        <f>C21</f>
        <v>0</v>
      </c>
      <c r="N17" s="84" t="s">
        <v>7430</v>
      </c>
      <c r="O17" s="85">
        <v>36</v>
      </c>
      <c r="P17" s="85">
        <v>104</v>
      </c>
      <c r="Q17" s="110"/>
      <c r="R17" s="110"/>
      <c r="S17" s="110"/>
      <c r="T17" s="110"/>
      <c r="U17" s="85">
        <f>B21</f>
        <v>0</v>
      </c>
      <c r="V17" s="105"/>
      <c r="W17" s="106"/>
      <c r="X17" s="111" t="str">
        <f t="shared" si="3"/>
        <v/>
      </c>
      <c r="Y17" s="111" t="str">
        <f t="shared" si="3"/>
        <v/>
      </c>
      <c r="Z17" s="127"/>
      <c r="AA17" s="128" t="e">
        <f>VLOOKUP($M:$M,Data!$I:$J,2,FALSE)</f>
        <v>#N/A</v>
      </c>
      <c r="AB17" s="126"/>
    </row>
    <row r="18" spans="2:28">
      <c r="B18" s="46">
        <v>104</v>
      </c>
      <c r="C18" s="47"/>
      <c r="D18" s="48" t="s">
        <v>6580</v>
      </c>
      <c r="E18" s="49" t="s">
        <v>6581</v>
      </c>
      <c r="G18" s="46">
        <v>117</v>
      </c>
      <c r="H18" s="47"/>
      <c r="I18" s="48" t="s">
        <v>6580</v>
      </c>
      <c r="J18" s="49" t="s">
        <v>6581</v>
      </c>
      <c r="L18" s="6">
        <f>COUNTA(B23)+L17</f>
        <v>6</v>
      </c>
      <c r="M18" s="79" t="str">
        <f>C23</f>
        <v>71037 Sebastian</v>
      </c>
      <c r="N18" s="80" t="s">
        <v>7430</v>
      </c>
      <c r="O18" s="81">
        <v>36</v>
      </c>
      <c r="P18" s="81">
        <v>105</v>
      </c>
      <c r="Q18" s="62" t="str">
        <f>_xlfn.IFS(COUNTA(B23:B25)=1,"Single",COUNTA(B23:B25)=2,"Double",COUNTA(B23:B25)=3,"Triple",COUNTA(B23:B25)=0,"Empty")</f>
        <v>Double</v>
      </c>
      <c r="R18" s="62"/>
      <c r="S18" s="62"/>
      <c r="T18" s="62"/>
      <c r="U18" s="81">
        <f>B23</f>
        <v>1</v>
      </c>
      <c r="V18" s="100">
        <f>COUNT(B23:B25)</f>
        <v>2</v>
      </c>
      <c r="W18" s="101"/>
      <c r="X18" s="108" t="str">
        <f>IF(D23=0,"",D23)</f>
        <v/>
      </c>
      <c r="Y18" s="108" t="str">
        <f>IF(E23=0,"",E23)</f>
        <v/>
      </c>
      <c r="Z18" s="120" t="s">
        <v>7880</v>
      </c>
      <c r="AA18" s="121" t="e">
        <f>VLOOKUP($M:$M,Data!$I:$J,2,FALSE)</f>
        <v>#N/A</v>
      </c>
      <c r="AB18" s="122"/>
    </row>
    <row r="19" spans="2:28">
      <c r="B19" s="50">
        <v>1</v>
      </c>
      <c r="C19" s="51" t="str">
        <f>VLOOKUP("36/104/1",Data!$A$2:$E$1425,3,FALSE)</f>
        <v>71036 Sabrina</v>
      </c>
      <c r="D19" s="52"/>
      <c r="E19" s="53"/>
      <c r="G19" s="50">
        <v>1</v>
      </c>
      <c r="H19" s="51" t="str">
        <f>VLOOKUP("36/117/1",Data!$A$2:$E$1425,3,FALSE)</f>
        <v>71033 Arvid</v>
      </c>
      <c r="I19" s="52"/>
      <c r="J19" s="53"/>
      <c r="L19" s="9">
        <f>COUNTA(B24)+L18</f>
        <v>7</v>
      </c>
      <c r="M19" s="31">
        <f>C24</f>
        <v>0</v>
      </c>
      <c r="N19" s="82" t="s">
        <v>7430</v>
      </c>
      <c r="O19" s="36">
        <v>36</v>
      </c>
      <c r="P19" s="36">
        <v>105</v>
      </c>
      <c r="Q19" s="32"/>
      <c r="R19" s="32"/>
      <c r="S19" s="32"/>
      <c r="T19" s="32"/>
      <c r="U19" s="36">
        <f>B24</f>
        <v>2</v>
      </c>
      <c r="V19" s="103"/>
      <c r="W19" s="104"/>
      <c r="X19" s="109" t="str">
        <f t="shared" ref="X19:Y20" si="4">IF(D24=0,"",D24)</f>
        <v/>
      </c>
      <c r="Y19" s="109" t="str">
        <f t="shared" si="4"/>
        <v/>
      </c>
      <c r="Z19" s="123" t="s">
        <v>7012</v>
      </c>
      <c r="AA19" s="124" t="e">
        <f>VLOOKUP($M:$M,Data!$I:$J,2,FALSE)</f>
        <v>#N/A</v>
      </c>
      <c r="AB19" s="125"/>
    </row>
    <row r="20" ht="15.25" spans="2:28">
      <c r="B20" s="50"/>
      <c r="C20" s="51">
        <f>VLOOKUP("36/104/2",Data!$A$2:$E$1425,3,FALSE)</f>
        <v>0</v>
      </c>
      <c r="D20" s="54"/>
      <c r="E20" s="55"/>
      <c r="G20" s="50">
        <v>2</v>
      </c>
      <c r="H20" s="51">
        <f>VLOOKUP("36/117/2",Data!$A$2:$E$1425,3,FALSE)</f>
        <v>0</v>
      </c>
      <c r="I20" s="54"/>
      <c r="J20" s="55"/>
      <c r="L20" s="14">
        <f>COUNTA(B25)+L19</f>
        <v>7</v>
      </c>
      <c r="M20" s="83">
        <f>C25</f>
        <v>0</v>
      </c>
      <c r="N20" s="84" t="s">
        <v>7430</v>
      </c>
      <c r="O20" s="85">
        <v>36</v>
      </c>
      <c r="P20" s="85">
        <v>105</v>
      </c>
      <c r="Q20" s="110"/>
      <c r="R20" s="110"/>
      <c r="S20" s="110"/>
      <c r="T20" s="110"/>
      <c r="U20" s="85">
        <f>B25</f>
        <v>0</v>
      </c>
      <c r="V20" s="105"/>
      <c r="W20" s="106"/>
      <c r="X20" s="111" t="str">
        <f t="shared" si="4"/>
        <v/>
      </c>
      <c r="Y20" s="111" t="str">
        <f t="shared" si="4"/>
        <v/>
      </c>
      <c r="Z20" s="127"/>
      <c r="AA20" s="128" t="e">
        <f>VLOOKUP($M:$M,Data!$I:$J,2,FALSE)</f>
        <v>#N/A</v>
      </c>
      <c r="AB20" s="126"/>
    </row>
    <row r="21" ht="15.25" spans="2:28">
      <c r="B21" s="58"/>
      <c r="C21" s="59">
        <f>VLOOKUP("36/104/3",Data!$A$2:$E$1425,3,FALSE)</f>
        <v>0</v>
      </c>
      <c r="D21" s="56"/>
      <c r="E21" s="57"/>
      <c r="G21" s="58"/>
      <c r="H21" s="59">
        <f>VLOOKUP("36/117/3",Data!$A$2:$E$1425,3,FALSE)</f>
        <v>0</v>
      </c>
      <c r="I21" s="56"/>
      <c r="J21" s="57"/>
      <c r="L21" s="6">
        <f>COUNTA(B27)+L20</f>
        <v>8</v>
      </c>
      <c r="M21" s="79" t="str">
        <f>C27</f>
        <v>71038 Johan</v>
      </c>
      <c r="N21" s="80" t="s">
        <v>7430</v>
      </c>
      <c r="O21" s="81">
        <v>36</v>
      </c>
      <c r="P21" s="81">
        <v>106</v>
      </c>
      <c r="Q21" s="62" t="str">
        <f>_xlfn.IFS(COUNTA(B27:B29)=1,"Single",COUNTA(B27:B29)=2,"Double",COUNTA(B27:B29)=3,"Triple",COUNTA(B27:B29)=0,"Empty")</f>
        <v>Double</v>
      </c>
      <c r="R21" s="62"/>
      <c r="S21" s="62"/>
      <c r="T21" s="62"/>
      <c r="U21" s="81">
        <f>B27</f>
        <v>1</v>
      </c>
      <c r="V21" s="100">
        <f>COUNT(B27:B29)</f>
        <v>2</v>
      </c>
      <c r="W21" s="101"/>
      <c r="X21" s="108" t="str">
        <f>IF(D27=0,"",D27)</f>
        <v/>
      </c>
      <c r="Y21" s="108" t="str">
        <f>IF(E27=0,"",E27)</f>
        <v/>
      </c>
      <c r="Z21" s="120" t="s">
        <v>7393</v>
      </c>
      <c r="AA21" s="121" t="e">
        <f>VLOOKUP($M:$M,Data!$I:$J,2,FALSE)</f>
        <v>#N/A</v>
      </c>
      <c r="AB21" s="122"/>
    </row>
    <row r="22" spans="2:28">
      <c r="B22" s="46">
        <v>105</v>
      </c>
      <c r="C22" s="47"/>
      <c r="D22" s="48" t="s">
        <v>6580</v>
      </c>
      <c r="E22" s="49" t="s">
        <v>6581</v>
      </c>
      <c r="G22" s="46">
        <v>116</v>
      </c>
      <c r="H22" s="47"/>
      <c r="I22" s="48" t="s">
        <v>6580</v>
      </c>
      <c r="J22" s="49" t="s">
        <v>6581</v>
      </c>
      <c r="L22" s="9">
        <f>COUNTA(B28)+L21</f>
        <v>8</v>
      </c>
      <c r="M22" s="31">
        <f>C28</f>
        <v>0</v>
      </c>
      <c r="N22" s="82" t="s">
        <v>7430</v>
      </c>
      <c r="O22" s="36">
        <v>36</v>
      </c>
      <c r="P22" s="36">
        <v>106</v>
      </c>
      <c r="Q22" s="32"/>
      <c r="R22" s="32"/>
      <c r="S22" s="32"/>
      <c r="T22" s="32"/>
      <c r="U22" s="36">
        <f>B28</f>
        <v>0</v>
      </c>
      <c r="V22" s="103"/>
      <c r="W22" s="104"/>
      <c r="X22" s="109" t="str">
        <f t="shared" ref="X22:Y23" si="5">IF(D28=0,"",D28)</f>
        <v/>
      </c>
      <c r="Y22" s="109" t="str">
        <f t="shared" si="5"/>
        <v/>
      </c>
      <c r="Z22" s="123" t="s">
        <v>7360</v>
      </c>
      <c r="AA22" s="124" t="e">
        <f>VLOOKUP($M:$M,Data!$I:$J,2,FALSE)</f>
        <v>#N/A</v>
      </c>
      <c r="AB22" s="125"/>
    </row>
    <row r="23" ht="15.25" spans="2:28">
      <c r="B23" s="50">
        <v>1</v>
      </c>
      <c r="C23" s="51" t="str">
        <f>VLOOKUP("36/105/1",Data!$A$2:$E$1425,3,FALSE)</f>
        <v>71037 Sebastian</v>
      </c>
      <c r="D23" s="52"/>
      <c r="E23" s="53"/>
      <c r="G23" s="50">
        <v>1</v>
      </c>
      <c r="H23" s="51" t="str">
        <f>VLOOKUP("36/116/1",Data!$A$2:$E$1425,3,FALSE)</f>
        <v>71034 Truls</v>
      </c>
      <c r="I23" s="52"/>
      <c r="J23" s="53"/>
      <c r="L23" s="14">
        <f>COUNTA(B29)+L22</f>
        <v>9</v>
      </c>
      <c r="M23" s="83">
        <f>C29</f>
        <v>0</v>
      </c>
      <c r="N23" s="84" t="s">
        <v>7430</v>
      </c>
      <c r="O23" s="85">
        <v>36</v>
      </c>
      <c r="P23" s="85">
        <v>106</v>
      </c>
      <c r="Q23" s="110"/>
      <c r="R23" s="110"/>
      <c r="S23" s="110"/>
      <c r="T23" s="110"/>
      <c r="U23" s="85">
        <f>B29</f>
        <v>3</v>
      </c>
      <c r="V23" s="105"/>
      <c r="W23" s="106"/>
      <c r="X23" s="111" t="str">
        <f t="shared" si="5"/>
        <v/>
      </c>
      <c r="Y23" s="111" t="str">
        <f t="shared" si="5"/>
        <v/>
      </c>
      <c r="Z23" s="127"/>
      <c r="AA23" s="128" t="e">
        <f>VLOOKUP($M:$M,Data!$I:$J,2,FALSE)</f>
        <v>#N/A</v>
      </c>
      <c r="AB23" s="126"/>
    </row>
    <row r="24" spans="2:28">
      <c r="B24" s="50">
        <v>2</v>
      </c>
      <c r="C24" s="51">
        <f>VLOOKUP("36/105/2",Data!$A$2:$E$1425,3,FALSE)</f>
        <v>0</v>
      </c>
      <c r="D24" s="54"/>
      <c r="E24" s="55"/>
      <c r="G24" s="50">
        <v>2</v>
      </c>
      <c r="H24" s="51">
        <f>VLOOKUP("36/116/2",Data!$A$2:$E$1425,3,FALSE)</f>
        <v>0</v>
      </c>
      <c r="I24" s="54"/>
      <c r="J24" s="55"/>
      <c r="L24" s="6">
        <f>COUNTA(B31)+L23</f>
        <v>10</v>
      </c>
      <c r="M24" s="79" t="str">
        <f>C31</f>
        <v>71043 Adam</v>
      </c>
      <c r="N24" s="80" t="s">
        <v>7430</v>
      </c>
      <c r="O24" s="81">
        <v>36</v>
      </c>
      <c r="P24" s="81">
        <v>107</v>
      </c>
      <c r="Q24" s="62" t="str">
        <f>_xlfn.IFS(COUNTA(B31:B33)=1,"Single",COUNTA(B31:B33)=2,"Double",COUNTA(B31:B33)=3,"Triple",COUNTA(B31:B33)=0,"Empty")</f>
        <v>Triple</v>
      </c>
      <c r="R24" s="62"/>
      <c r="S24" s="62"/>
      <c r="T24" s="62"/>
      <c r="U24" s="81">
        <f>B31</f>
        <v>1</v>
      </c>
      <c r="V24" s="100">
        <f>COUNT(B31:B33)</f>
        <v>3</v>
      </c>
      <c r="W24" s="101"/>
      <c r="X24" s="108" t="str">
        <f>IF(D31=0,"",D31)</f>
        <v/>
      </c>
      <c r="Y24" s="108" t="str">
        <f>IF(E31=0,"",E31)</f>
        <v/>
      </c>
      <c r="Z24" s="120" t="s">
        <v>7881</v>
      </c>
      <c r="AA24" s="121" t="e">
        <f>VLOOKUP($M:$M,Data!$I:$J,2,FALSE)</f>
        <v>#N/A</v>
      </c>
      <c r="AB24" s="122"/>
    </row>
    <row r="25" ht="15.25" spans="2:28">
      <c r="B25" s="58"/>
      <c r="C25" s="59">
        <f>VLOOKUP("36/105/3",Data!$A$2:$E$1425,3,FALSE)</f>
        <v>0</v>
      </c>
      <c r="D25" s="56"/>
      <c r="E25" s="57"/>
      <c r="G25" s="58">
        <v>3</v>
      </c>
      <c r="H25" s="59">
        <f>VLOOKUP("36/116/3",Data!$A$2:$E$1425,3,FALSE)</f>
        <v>0</v>
      </c>
      <c r="I25" s="56"/>
      <c r="J25" s="57"/>
      <c r="L25" s="9">
        <f>COUNTA(B32)+L24</f>
        <v>11</v>
      </c>
      <c r="M25" s="31">
        <f>C32</f>
        <v>0</v>
      </c>
      <c r="N25" s="82" t="s">
        <v>7430</v>
      </c>
      <c r="O25" s="36">
        <v>36</v>
      </c>
      <c r="P25" s="36">
        <v>107</v>
      </c>
      <c r="Q25" s="32"/>
      <c r="R25" s="32"/>
      <c r="S25" s="32"/>
      <c r="T25" s="32"/>
      <c r="U25" s="36">
        <f>B32</f>
        <v>2</v>
      </c>
      <c r="V25" s="103"/>
      <c r="W25" s="104"/>
      <c r="X25" s="109" t="str">
        <f t="shared" ref="X25:Y26" si="6">IF(D32=0,"",D32)</f>
        <v/>
      </c>
      <c r="Y25" s="109" t="str">
        <f t="shared" si="6"/>
        <v/>
      </c>
      <c r="Z25" s="123" t="s">
        <v>7882</v>
      </c>
      <c r="AA25" s="124" t="e">
        <f>VLOOKUP($M:$M,Data!$I:$J,2,FALSE)</f>
        <v>#N/A</v>
      </c>
      <c r="AB25" s="125"/>
    </row>
    <row r="26" ht="15.25" spans="2:28">
      <c r="B26" s="46">
        <v>106</v>
      </c>
      <c r="C26" s="47"/>
      <c r="D26" s="48" t="s">
        <v>6580</v>
      </c>
      <c r="E26" s="49" t="s">
        <v>6581</v>
      </c>
      <c r="G26" s="67" t="s">
        <v>7435</v>
      </c>
      <c r="H26" s="68"/>
      <c r="I26" s="68"/>
      <c r="J26" s="86"/>
      <c r="L26" s="14">
        <f>COUNTA(B33)+L25</f>
        <v>12</v>
      </c>
      <c r="M26" s="83">
        <f>C33</f>
        <v>0</v>
      </c>
      <c r="N26" s="84" t="s">
        <v>7430</v>
      </c>
      <c r="O26" s="85">
        <v>36</v>
      </c>
      <c r="P26" s="85">
        <v>107</v>
      </c>
      <c r="Q26" s="110"/>
      <c r="R26" s="110"/>
      <c r="S26" s="110"/>
      <c r="T26" s="110"/>
      <c r="U26" s="85">
        <f>B33</f>
        <v>3</v>
      </c>
      <c r="V26" s="105"/>
      <c r="W26" s="106"/>
      <c r="X26" s="111" t="str">
        <f t="shared" si="6"/>
        <v/>
      </c>
      <c r="Y26" s="111" t="str">
        <f t="shared" si="6"/>
        <v/>
      </c>
      <c r="Z26" s="127" t="s">
        <v>7883</v>
      </c>
      <c r="AA26" s="128" t="e">
        <f>VLOOKUP($M:$M,Data!$I:$J,2,FALSE)</f>
        <v>#N/A</v>
      </c>
      <c r="AB26" s="126"/>
    </row>
    <row r="27" spans="2:28">
      <c r="B27" s="50">
        <v>1</v>
      </c>
      <c r="C27" s="51" t="str">
        <f>VLOOKUP("36/106/1",Data!$A$2:$E$1425,3,FALSE)</f>
        <v>71038 Johan</v>
      </c>
      <c r="D27" s="52"/>
      <c r="E27" s="53"/>
      <c r="G27" s="69"/>
      <c r="H27" s="70"/>
      <c r="I27" s="70"/>
      <c r="J27" s="87"/>
      <c r="L27" s="6">
        <f>COUNTA(B35)+L26</f>
        <v>13</v>
      </c>
      <c r="M27" s="79" t="str">
        <f>C35</f>
        <v>71041 Kim </v>
      </c>
      <c r="N27" s="80" t="s">
        <v>7430</v>
      </c>
      <c r="O27" s="81">
        <v>36</v>
      </c>
      <c r="P27" s="81">
        <v>108</v>
      </c>
      <c r="Q27" s="62" t="str">
        <f>_xlfn.IFS(COUNTA(B35:B37)=1,"Single",COUNTA(B35:B37)=2,"Double",COUNTA(B35:B37)=3,"Triple",COUNTA(B35:B37)=0,"Empty")</f>
        <v>Double</v>
      </c>
      <c r="R27" s="62"/>
      <c r="S27" s="62"/>
      <c r="T27" s="62"/>
      <c r="U27" s="81">
        <f>B35</f>
        <v>1</v>
      </c>
      <c r="V27" s="100">
        <f>COUNT(B35:B37)</f>
        <v>2</v>
      </c>
      <c r="W27" s="101"/>
      <c r="X27" s="108" t="str">
        <f>IF(D35=0,"",D35)</f>
        <v/>
      </c>
      <c r="Y27" s="108" t="str">
        <f>IF(E35=0,"",E35)</f>
        <v/>
      </c>
      <c r="Z27" s="120" t="s">
        <v>7884</v>
      </c>
      <c r="AA27" s="121" t="e">
        <f>VLOOKUP($M:$M,Data!$I:$J,2,FALSE)</f>
        <v>#N/A</v>
      </c>
      <c r="AB27" s="122"/>
    </row>
    <row r="28" spans="2:28">
      <c r="B28" s="50"/>
      <c r="C28" s="51">
        <f>VLOOKUP("36/106/2",Data!$A$2:$E$1425,3,FALSE)</f>
        <v>0</v>
      </c>
      <c r="D28" s="54"/>
      <c r="E28" s="55"/>
      <c r="G28" s="69"/>
      <c r="H28" s="70"/>
      <c r="I28" s="70"/>
      <c r="J28" s="87"/>
      <c r="L28" s="9">
        <f>COUNTA(B36)+L27</f>
        <v>14</v>
      </c>
      <c r="M28" s="31">
        <f>C36</f>
        <v>0</v>
      </c>
      <c r="N28" s="82" t="s">
        <v>7430</v>
      </c>
      <c r="O28" s="36">
        <v>36</v>
      </c>
      <c r="P28" s="36">
        <v>108</v>
      </c>
      <c r="Q28" s="32"/>
      <c r="R28" s="32"/>
      <c r="S28" s="32"/>
      <c r="T28" s="32"/>
      <c r="U28" s="36">
        <f>B36</f>
        <v>2</v>
      </c>
      <c r="V28" s="103"/>
      <c r="W28" s="104"/>
      <c r="X28" s="109" t="str">
        <f t="shared" ref="X28:Y29" si="7">IF(D36=0,"",D36)</f>
        <v/>
      </c>
      <c r="Y28" s="109" t="str">
        <f t="shared" si="7"/>
        <v/>
      </c>
      <c r="Z28" s="123" t="s">
        <v>7885</v>
      </c>
      <c r="AA28" s="124" t="e">
        <f>VLOOKUP($M:$M,Data!$I:$J,2,FALSE)</f>
        <v>#N/A</v>
      </c>
      <c r="AB28" s="125"/>
    </row>
    <row r="29" ht="15.25" spans="2:28">
      <c r="B29" s="58">
        <v>3</v>
      </c>
      <c r="C29" s="59">
        <f>VLOOKUP("36/106/3",Data!$A$2:$E$1425,3,FALSE)</f>
        <v>0</v>
      </c>
      <c r="D29" s="56"/>
      <c r="E29" s="57"/>
      <c r="G29" s="69"/>
      <c r="H29" s="70"/>
      <c r="I29" s="70"/>
      <c r="J29" s="87"/>
      <c r="L29" s="14">
        <f>COUNTA(B37)+L28</f>
        <v>14</v>
      </c>
      <c r="M29" s="83">
        <f>C37</f>
        <v>0</v>
      </c>
      <c r="N29" s="84" t="s">
        <v>7430</v>
      </c>
      <c r="O29" s="85">
        <v>36</v>
      </c>
      <c r="P29" s="85">
        <v>108</v>
      </c>
      <c r="Q29" s="110"/>
      <c r="R29" s="110"/>
      <c r="S29" s="110"/>
      <c r="T29" s="110"/>
      <c r="U29" s="85">
        <f>B37</f>
        <v>0</v>
      </c>
      <c r="V29" s="105"/>
      <c r="W29" s="106"/>
      <c r="X29" s="111" t="str">
        <f t="shared" si="7"/>
        <v/>
      </c>
      <c r="Y29" s="111" t="str">
        <f t="shared" si="7"/>
        <v/>
      </c>
      <c r="Z29" s="127"/>
      <c r="AA29" s="128" t="e">
        <f>VLOOKUP($M:$M,Data!$I:$J,2,FALSE)</f>
        <v>#N/A</v>
      </c>
      <c r="AB29" s="126"/>
    </row>
    <row r="30" spans="2:28">
      <c r="B30" s="46">
        <v>107</v>
      </c>
      <c r="C30" s="47"/>
      <c r="D30" s="48" t="s">
        <v>6580</v>
      </c>
      <c r="E30" s="49" t="s">
        <v>6581</v>
      </c>
      <c r="G30" s="69"/>
      <c r="H30" s="70"/>
      <c r="I30" s="70"/>
      <c r="J30" s="87"/>
      <c r="L30" s="6">
        <f>COUNTA(B39)+L29</f>
        <v>15</v>
      </c>
      <c r="M30" s="79" t="str">
        <f>C39</f>
        <v>71042 Erik</v>
      </c>
      <c r="N30" s="80" t="s">
        <v>7430</v>
      </c>
      <c r="O30" s="81">
        <v>36</v>
      </c>
      <c r="P30" s="81">
        <v>109</v>
      </c>
      <c r="Q30" s="62" t="str">
        <f>_xlfn.IFS(COUNTA(B39:B41)=1,"Single",COUNTA(B39:B41)=2,"Double",COUNTA(B39:B41)=3,"Triple",COUNTA(B39:B41)=0,"Empty")</f>
        <v>Double</v>
      </c>
      <c r="R30" s="62"/>
      <c r="S30" s="62"/>
      <c r="T30" s="62"/>
      <c r="U30" s="81">
        <f>B39</f>
        <v>1</v>
      </c>
      <c r="V30" s="100">
        <f>COUNT(B39:B41)</f>
        <v>2</v>
      </c>
      <c r="W30" s="101"/>
      <c r="X30" s="108" t="str">
        <f>IF(D39=0,"",D39)</f>
        <v/>
      </c>
      <c r="Y30" s="108" t="str">
        <f>IF(E39=0,"",E39)</f>
        <v/>
      </c>
      <c r="Z30" s="120" t="s">
        <v>7886</v>
      </c>
      <c r="AA30" s="121" t="e">
        <f>VLOOKUP($M:$M,Data!$I:$J,2,FALSE)</f>
        <v>#N/A</v>
      </c>
      <c r="AB30" s="122"/>
    </row>
    <row r="31" spans="2:28">
      <c r="B31" s="50">
        <v>1</v>
      </c>
      <c r="C31" s="51" t="str">
        <f>VLOOKUP("36/107/1",Data!$A$2:$E$1425,3,FALSE)</f>
        <v>71043 Adam</v>
      </c>
      <c r="D31" s="52"/>
      <c r="E31" s="53"/>
      <c r="G31" s="69"/>
      <c r="H31" s="70"/>
      <c r="I31" s="70"/>
      <c r="J31" s="87"/>
      <c r="L31" s="9">
        <f>COUNTA(B40)+L30</f>
        <v>16</v>
      </c>
      <c r="M31" s="31">
        <f>C40</f>
        <v>0</v>
      </c>
      <c r="N31" s="82" t="s">
        <v>7430</v>
      </c>
      <c r="O31" s="36">
        <v>36</v>
      </c>
      <c r="P31" s="36">
        <v>109</v>
      </c>
      <c r="Q31" s="32"/>
      <c r="R31" s="32"/>
      <c r="S31" s="32"/>
      <c r="T31" s="32"/>
      <c r="U31" s="36">
        <f>B40</f>
        <v>2</v>
      </c>
      <c r="V31" s="103"/>
      <c r="W31" s="104"/>
      <c r="X31" s="109" t="str">
        <f t="shared" ref="X31:Y32" si="8">IF(D40=0,"",D40)</f>
        <v/>
      </c>
      <c r="Y31" s="109" t="str">
        <f t="shared" si="8"/>
        <v/>
      </c>
      <c r="Z31" s="123" t="s">
        <v>7887</v>
      </c>
      <c r="AA31" s="124" t="e">
        <f>VLOOKUP($M:$M,Data!$I:$J,2,FALSE)</f>
        <v>#N/A</v>
      </c>
      <c r="AB31" s="125"/>
    </row>
    <row r="32" ht="15.25" spans="2:28">
      <c r="B32" s="50">
        <v>2</v>
      </c>
      <c r="C32" s="51">
        <f>VLOOKUP("36/107/2",Data!$A$2:$E$1425,3,FALSE)</f>
        <v>0</v>
      </c>
      <c r="D32" s="54"/>
      <c r="E32" s="55"/>
      <c r="G32" s="69"/>
      <c r="H32" s="70"/>
      <c r="I32" s="70"/>
      <c r="J32" s="87"/>
      <c r="L32" s="14">
        <f>COUNTA(B41)+L31</f>
        <v>16</v>
      </c>
      <c r="M32" s="83">
        <f>C41</f>
        <v>0</v>
      </c>
      <c r="N32" s="84" t="s">
        <v>7430</v>
      </c>
      <c r="O32" s="85">
        <v>36</v>
      </c>
      <c r="P32" s="85">
        <v>109</v>
      </c>
      <c r="Q32" s="110"/>
      <c r="R32" s="110"/>
      <c r="S32" s="110"/>
      <c r="T32" s="110"/>
      <c r="U32" s="85">
        <f>B41</f>
        <v>0</v>
      </c>
      <c r="V32" s="105"/>
      <c r="W32" s="106"/>
      <c r="X32" s="111" t="str">
        <f t="shared" si="8"/>
        <v/>
      </c>
      <c r="Y32" s="111" t="str">
        <f t="shared" si="8"/>
        <v/>
      </c>
      <c r="Z32" s="127"/>
      <c r="AA32" s="128" t="e">
        <f>VLOOKUP($M:$M,Data!$I:$J,2,FALSE)</f>
        <v>#N/A</v>
      </c>
      <c r="AB32" s="126"/>
    </row>
    <row r="33" ht="15.25" spans="2:28">
      <c r="B33" s="58">
        <v>3</v>
      </c>
      <c r="C33" s="59">
        <f>VLOOKUP("36/107/3",Data!$A$2:$E$1425,3,FALSE)</f>
        <v>0</v>
      </c>
      <c r="D33" s="56"/>
      <c r="E33" s="57"/>
      <c r="G33" s="71"/>
      <c r="H33" s="72"/>
      <c r="I33" s="72"/>
      <c r="J33" s="88"/>
      <c r="L33" s="6">
        <f>COUNTA(B43)+L32</f>
        <v>16</v>
      </c>
      <c r="M33" s="79" t="str">
        <f>C43</f>
        <v>71046 Anders</v>
      </c>
      <c r="N33" s="80" t="s">
        <v>7430</v>
      </c>
      <c r="O33" s="81">
        <v>36</v>
      </c>
      <c r="P33" s="81">
        <v>110</v>
      </c>
      <c r="Q33" s="62" t="str">
        <f>_xlfn.IFS(COUNTA(B43:B45)=1,"Single",COUNTA(B43:B45)=2,"Double",COUNTA(B43:B45)=3,"Triple",COUNTA(B43:B45)=0,"Empty")</f>
        <v>Double</v>
      </c>
      <c r="R33" s="62"/>
      <c r="S33" s="62"/>
      <c r="T33" s="62"/>
      <c r="U33" s="81">
        <f>B43</f>
        <v>0</v>
      </c>
      <c r="V33" s="100">
        <f>COUNT(B43:B45)</f>
        <v>2</v>
      </c>
      <c r="W33" s="101"/>
      <c r="X33" s="108" t="str">
        <f>IF(D43=0,"",D43)</f>
        <v/>
      </c>
      <c r="Y33" s="108" t="str">
        <f>IF(E43=0,"",E43)</f>
        <v/>
      </c>
      <c r="Z33" s="120" t="s">
        <v>7682</v>
      </c>
      <c r="AA33" s="121" t="e">
        <f>VLOOKUP($M:$M,Data!$I:$J,2,FALSE)</f>
        <v>#N/A</v>
      </c>
      <c r="AB33" s="122"/>
    </row>
    <row r="34" spans="2:28">
      <c r="B34" s="46">
        <v>108</v>
      </c>
      <c r="C34" s="47"/>
      <c r="D34" s="48" t="s">
        <v>6580</v>
      </c>
      <c r="E34" s="49" t="s">
        <v>6581</v>
      </c>
      <c r="G34" s="46">
        <v>115</v>
      </c>
      <c r="H34" s="47"/>
      <c r="I34" s="48" t="s">
        <v>6580</v>
      </c>
      <c r="J34" s="49" t="s">
        <v>6581</v>
      </c>
      <c r="L34" s="9">
        <f>COUNTA(B44)+L33</f>
        <v>17</v>
      </c>
      <c r="M34" s="31">
        <f>C44</f>
        <v>0</v>
      </c>
      <c r="N34" s="82" t="s">
        <v>7430</v>
      </c>
      <c r="O34" s="36">
        <v>36</v>
      </c>
      <c r="P34" s="36">
        <v>110</v>
      </c>
      <c r="Q34" s="32"/>
      <c r="R34" s="32"/>
      <c r="S34" s="32"/>
      <c r="T34" s="32"/>
      <c r="U34" s="36">
        <f>B44</f>
        <v>2</v>
      </c>
      <c r="V34" s="103"/>
      <c r="W34" s="104"/>
      <c r="X34" s="109" t="str">
        <f t="shared" ref="X34:Y35" si="9">IF(D44=0,"",D44)</f>
        <v/>
      </c>
      <c r="Y34" s="109" t="str">
        <f t="shared" si="9"/>
        <v/>
      </c>
      <c r="Z34" s="123" t="s">
        <v>7888</v>
      </c>
      <c r="AA34" s="124" t="e">
        <f>VLOOKUP($M:$M,Data!$I:$J,2,FALSE)</f>
        <v>#N/A</v>
      </c>
      <c r="AB34" s="125"/>
    </row>
    <row r="35" ht="15.25" spans="2:28">
      <c r="B35" s="50">
        <v>1</v>
      </c>
      <c r="C35" s="51" t="str">
        <f>VLOOKUP("36/108/1",Data!$A$2:$E$1425,3,FALSE)</f>
        <v>71041 Kim </v>
      </c>
      <c r="D35" s="52"/>
      <c r="E35" s="53"/>
      <c r="G35" s="50">
        <v>1</v>
      </c>
      <c r="H35" s="51" t="str">
        <f>VLOOKUP("36/115/1",Data!$A$2:$E$1425,3,FALSE)</f>
        <v>71021 Alex</v>
      </c>
      <c r="I35" s="52"/>
      <c r="J35" s="53"/>
      <c r="L35" s="14">
        <f>COUNTA(B45)+L34</f>
        <v>18</v>
      </c>
      <c r="M35" s="83">
        <f>C45</f>
        <v>0</v>
      </c>
      <c r="N35" s="84" t="s">
        <v>7430</v>
      </c>
      <c r="O35" s="85">
        <v>36</v>
      </c>
      <c r="P35" s="85">
        <v>110</v>
      </c>
      <c r="Q35" s="110"/>
      <c r="R35" s="110"/>
      <c r="S35" s="110"/>
      <c r="T35" s="110"/>
      <c r="U35" s="85">
        <f>B45</f>
        <v>3</v>
      </c>
      <c r="V35" s="105"/>
      <c r="W35" s="106"/>
      <c r="X35" s="111" t="str">
        <f t="shared" si="9"/>
        <v/>
      </c>
      <c r="Y35" s="111" t="str">
        <f t="shared" si="9"/>
        <v/>
      </c>
      <c r="Z35" s="127"/>
      <c r="AA35" s="128" t="e">
        <f>VLOOKUP($M:$M,Data!$I:$J,2,FALSE)</f>
        <v>#N/A</v>
      </c>
      <c r="AB35" s="126"/>
    </row>
    <row r="36" spans="2:28">
      <c r="B36" s="50">
        <v>2</v>
      </c>
      <c r="C36" s="51">
        <f>VLOOKUP("36/108/2",Data!$A$2:$E$1425,3,FALSE)</f>
        <v>0</v>
      </c>
      <c r="D36" s="54"/>
      <c r="E36" s="55"/>
      <c r="G36" s="50">
        <v>2</v>
      </c>
      <c r="H36" s="51">
        <f>VLOOKUP("36/115/2",Data!$A$2:$E$1425,3,FALSE)</f>
        <v>0</v>
      </c>
      <c r="I36" s="54"/>
      <c r="J36" s="55"/>
      <c r="L36" s="6">
        <f>COUNTA(B47)+L35</f>
        <v>19</v>
      </c>
      <c r="M36" s="79" t="str">
        <f>C47</f>
        <v>71048 Tony </v>
      </c>
      <c r="N36" s="80" t="s">
        <v>7430</v>
      </c>
      <c r="O36" s="81">
        <v>36</v>
      </c>
      <c r="P36" s="81">
        <v>111</v>
      </c>
      <c r="Q36" s="62" t="str">
        <f>_xlfn.IFS(COUNTA(B47:B49)=1,"Single",COUNTA(B47:B49)=2,"Double",COUNTA(B47:B49)=3,"Triple",COUNTA(B47:B49)=0,"Empty")</f>
        <v>Double</v>
      </c>
      <c r="R36" s="62"/>
      <c r="S36" s="62"/>
      <c r="T36" s="62"/>
      <c r="U36" s="81">
        <f>B47</f>
        <v>1</v>
      </c>
      <c r="V36" s="100">
        <f>COUNT(B47:B49)</f>
        <v>2</v>
      </c>
      <c r="W36" s="101"/>
      <c r="X36" s="108" t="str">
        <f>IF(D47=0,"",D47)</f>
        <v/>
      </c>
      <c r="Y36" s="108" t="str">
        <f>IF(E47=0,"",E47)</f>
        <v/>
      </c>
      <c r="Z36" s="120" t="s">
        <v>7889</v>
      </c>
      <c r="AA36" s="121" t="e">
        <f>VLOOKUP($M:$M,Data!$I:$J,2,FALSE)</f>
        <v>#N/A</v>
      </c>
      <c r="AB36" s="122"/>
    </row>
    <row r="37" ht="15.25" spans="2:28">
      <c r="B37" s="58"/>
      <c r="C37" s="59">
        <f>VLOOKUP("36/108/3",Data!$A$2:$E$1425,3,FALSE)</f>
        <v>0</v>
      </c>
      <c r="D37" s="56"/>
      <c r="E37" s="57"/>
      <c r="G37" s="58"/>
      <c r="H37" s="59">
        <f>VLOOKUP("36/115/3",Data!$A$2:$E$1425,3,FALSE)</f>
        <v>0</v>
      </c>
      <c r="I37" s="56"/>
      <c r="J37" s="57"/>
      <c r="L37" s="9">
        <f>COUNTA(B48)+L36</f>
        <v>20</v>
      </c>
      <c r="M37" s="31">
        <f>C48</f>
        <v>0</v>
      </c>
      <c r="N37" s="82" t="s">
        <v>7430</v>
      </c>
      <c r="O37" s="36">
        <v>36</v>
      </c>
      <c r="P37" s="36">
        <v>111</v>
      </c>
      <c r="Q37" s="32"/>
      <c r="R37" s="32"/>
      <c r="S37" s="32"/>
      <c r="T37" s="32"/>
      <c r="U37" s="36">
        <f>B48</f>
        <v>2</v>
      </c>
      <c r="V37" s="103"/>
      <c r="W37" s="104"/>
      <c r="X37" s="109" t="str">
        <f t="shared" ref="X37:Y38" si="10">IF(D48=0,"",D48)</f>
        <v/>
      </c>
      <c r="Y37" s="109" t="str">
        <f t="shared" si="10"/>
        <v/>
      </c>
      <c r="Z37" s="123" t="s">
        <v>6653</v>
      </c>
      <c r="AA37" s="124" t="e">
        <f>VLOOKUP($M:$M,Data!$I:$J,2,FALSE)</f>
        <v>#N/A</v>
      </c>
      <c r="AB37" s="125"/>
    </row>
    <row r="38" ht="15.25" spans="2:28">
      <c r="B38" s="46">
        <v>109</v>
      </c>
      <c r="C38" s="47"/>
      <c r="D38" s="48" t="s">
        <v>6580</v>
      </c>
      <c r="E38" s="49" t="s">
        <v>6581</v>
      </c>
      <c r="G38" s="46">
        <v>114</v>
      </c>
      <c r="H38" s="47"/>
      <c r="I38" s="48" t="s">
        <v>6580</v>
      </c>
      <c r="J38" s="49" t="s">
        <v>6581</v>
      </c>
      <c r="L38" s="14">
        <f>COUNTA(B49)+L37</f>
        <v>20</v>
      </c>
      <c r="M38" s="83">
        <f>C49</f>
        <v>0</v>
      </c>
      <c r="N38" s="84" t="s">
        <v>7430</v>
      </c>
      <c r="O38" s="85">
        <v>36</v>
      </c>
      <c r="P38" s="85">
        <v>111</v>
      </c>
      <c r="Q38" s="110"/>
      <c r="R38" s="110"/>
      <c r="S38" s="110"/>
      <c r="T38" s="110"/>
      <c r="U38" s="85">
        <f>B49</f>
        <v>0</v>
      </c>
      <c r="V38" s="105"/>
      <c r="W38" s="106"/>
      <c r="X38" s="111" t="str">
        <f t="shared" si="10"/>
        <v/>
      </c>
      <c r="Y38" s="111" t="str">
        <f t="shared" si="10"/>
        <v/>
      </c>
      <c r="Z38" s="127"/>
      <c r="AA38" s="128" t="e">
        <f>VLOOKUP($M:$M,Data!$I:$J,2,FALSE)</f>
        <v>#N/A</v>
      </c>
      <c r="AB38" s="126"/>
    </row>
    <row r="39" spans="2:28">
      <c r="B39" s="50">
        <v>1</v>
      </c>
      <c r="C39" s="51" t="str">
        <f>VLOOKUP("36/109/1",Data!$A$2:$E$1425,3,FALSE)</f>
        <v>71042 Erik</v>
      </c>
      <c r="D39" s="52"/>
      <c r="E39" s="53"/>
      <c r="G39" s="50">
        <v>1</v>
      </c>
      <c r="H39" s="51" t="str">
        <f>VLOOKUP("36/114/1",Data!$A$2:$E$1425,3,FALSE)</f>
        <v>71023 Oscar</v>
      </c>
      <c r="I39" s="52"/>
      <c r="J39" s="53"/>
      <c r="L39" s="6">
        <f>COUNTA(G47)+L38</f>
        <v>21</v>
      </c>
      <c r="M39" s="79" t="str">
        <f>H47</f>
        <v>71026 Jessica</v>
      </c>
      <c r="N39" s="80" t="s">
        <v>7430</v>
      </c>
      <c r="O39" s="81">
        <v>36</v>
      </c>
      <c r="P39" s="81">
        <v>112</v>
      </c>
      <c r="Q39" s="62" t="str">
        <f>_xlfn.IFS(COUNTA(G47:G49)=1,"Single",COUNTA(G47:G49)=2,"Double",COUNTA(G47:G49)=3,"Triple",COUNTA(G47:G49)=0,"Empty")</f>
        <v>Double</v>
      </c>
      <c r="R39" s="62"/>
      <c r="S39" s="62"/>
      <c r="T39" s="62"/>
      <c r="U39" s="81">
        <f>G47</f>
        <v>1</v>
      </c>
      <c r="V39" s="100">
        <f>COUNT(G47:G49)</f>
        <v>2</v>
      </c>
      <c r="W39" s="101"/>
      <c r="X39" s="108" t="str">
        <f>IF(I47=0,"",I47)</f>
        <v/>
      </c>
      <c r="Y39" s="108" t="str">
        <f>IF(J47=0,"",J47)</f>
        <v/>
      </c>
      <c r="Z39" s="120"/>
      <c r="AA39" s="121" t="e">
        <f>VLOOKUP($M:$M,Data!$I:$J,2,FALSE)</f>
        <v>#N/A</v>
      </c>
      <c r="AB39" s="122" t="s">
        <v>7890</v>
      </c>
    </row>
    <row r="40" spans="2:28">
      <c r="B40" s="50">
        <v>2</v>
      </c>
      <c r="C40" s="51">
        <f>VLOOKUP("36/109/2",Data!$A$2:$E$1425,3,FALSE)</f>
        <v>0</v>
      </c>
      <c r="D40" s="54"/>
      <c r="E40" s="55"/>
      <c r="G40" s="50">
        <v>2</v>
      </c>
      <c r="H40" s="51">
        <f>VLOOKUP("36/114/2",Data!$A$2:$E$1425,3,FALSE)</f>
        <v>0</v>
      </c>
      <c r="I40" s="54"/>
      <c r="J40" s="55"/>
      <c r="L40" s="9">
        <f>COUNTA(G48)+L39</f>
        <v>21</v>
      </c>
      <c r="M40" s="31">
        <f>H48</f>
        <v>0</v>
      </c>
      <c r="N40" s="82" t="s">
        <v>7430</v>
      </c>
      <c r="O40" s="36">
        <v>36</v>
      </c>
      <c r="P40" s="36">
        <v>112</v>
      </c>
      <c r="Q40" s="32"/>
      <c r="R40" s="32"/>
      <c r="S40" s="32"/>
      <c r="T40" s="32"/>
      <c r="U40" s="36">
        <f>G48</f>
        <v>0</v>
      </c>
      <c r="V40" s="103"/>
      <c r="W40" s="104"/>
      <c r="X40" s="109" t="str">
        <f t="shared" ref="X40:Y41" si="11">IF(I48=0,"",I48)</f>
        <v/>
      </c>
      <c r="Y40" s="109" t="str">
        <f t="shared" si="11"/>
        <v/>
      </c>
      <c r="Z40" s="123"/>
      <c r="AA40" s="124" t="e">
        <f>VLOOKUP($M:$M,Data!$I:$J,2,FALSE)</f>
        <v>#N/A</v>
      </c>
      <c r="AB40" s="125" t="s">
        <v>7890</v>
      </c>
    </row>
    <row r="41" ht="15.25" spans="2:28">
      <c r="B41" s="58"/>
      <c r="C41" s="59">
        <f>VLOOKUP("36/109/3",Data!$A$2:$E$1425,3,FALSE)</f>
        <v>0</v>
      </c>
      <c r="D41" s="56"/>
      <c r="E41" s="57"/>
      <c r="G41" s="58">
        <v>3</v>
      </c>
      <c r="H41" s="59">
        <f>VLOOKUP("36/114/3",Data!$A$2:$E$1425,3,FALSE)</f>
        <v>0</v>
      </c>
      <c r="I41" s="56"/>
      <c r="J41" s="57"/>
      <c r="L41" s="14">
        <f>COUNTA(G49)+L40</f>
        <v>22</v>
      </c>
      <c r="M41" s="83">
        <f>H49</f>
        <v>0</v>
      </c>
      <c r="N41" s="84" t="s">
        <v>7430</v>
      </c>
      <c r="O41" s="85">
        <v>36</v>
      </c>
      <c r="P41" s="85">
        <v>112</v>
      </c>
      <c r="Q41" s="110"/>
      <c r="R41" s="110"/>
      <c r="S41" s="110"/>
      <c r="T41" s="110"/>
      <c r="U41" s="85">
        <f>G49</f>
        <v>3</v>
      </c>
      <c r="V41" s="105"/>
      <c r="W41" s="106"/>
      <c r="X41" s="111" t="str">
        <f t="shared" si="11"/>
        <v/>
      </c>
      <c r="Y41" s="111" t="str">
        <f t="shared" si="11"/>
        <v/>
      </c>
      <c r="Z41" s="127"/>
      <c r="AA41" s="128" t="e">
        <f>VLOOKUP($M:$M,Data!$I:$J,2,FALSE)</f>
        <v>#N/A</v>
      </c>
      <c r="AB41" s="126"/>
    </row>
    <row r="42" spans="2:28">
      <c r="B42" s="46">
        <v>110</v>
      </c>
      <c r="C42" s="47"/>
      <c r="D42" s="48" t="s">
        <v>6580</v>
      </c>
      <c r="E42" s="49" t="s">
        <v>6581</v>
      </c>
      <c r="G42" s="46">
        <v>113</v>
      </c>
      <c r="H42" s="47"/>
      <c r="I42" s="48" t="s">
        <v>6580</v>
      </c>
      <c r="J42" s="49" t="s">
        <v>6581</v>
      </c>
      <c r="L42" s="6">
        <f>COUNTA(G43)+L41</f>
        <v>23</v>
      </c>
      <c r="M42" s="79" t="str">
        <f>H43</f>
        <v>71022 Danny</v>
      </c>
      <c r="N42" s="80" t="s">
        <v>7430</v>
      </c>
      <c r="O42" s="81">
        <v>36</v>
      </c>
      <c r="P42" s="81">
        <v>113</v>
      </c>
      <c r="Q42" s="62" t="str">
        <f>_xlfn.IFS(COUNTA(G43:G45)=1,"Single",COUNTA(G43:G45)=2,"Double",COUNTA(G43:G45)=3,"Triple",COUNTA(G43:G45)=0,"Empty")</f>
        <v>Double</v>
      </c>
      <c r="R42" s="62"/>
      <c r="S42" s="62"/>
      <c r="T42" s="62"/>
      <c r="U42" s="81">
        <f>G43</f>
        <v>1</v>
      </c>
      <c r="V42" s="100">
        <f>COUNT(G43:G45)</f>
        <v>2</v>
      </c>
      <c r="W42" s="101"/>
      <c r="X42" s="108" t="str">
        <f>IF(I43=0,"",I43)</f>
        <v/>
      </c>
      <c r="Y42" s="108" t="str">
        <f>IF(J43=0,"",J43)</f>
        <v/>
      </c>
      <c r="Z42" s="120" t="s">
        <v>7891</v>
      </c>
      <c r="AA42" s="121" t="e">
        <f>VLOOKUP($M:$M,Data!$I:$J,2,FALSE)</f>
        <v>#N/A</v>
      </c>
      <c r="AB42" s="122"/>
    </row>
    <row r="43" spans="2:28">
      <c r="B43" s="50"/>
      <c r="C43" s="51" t="str">
        <f>VLOOKUP("36/110/1",Data!$A$2:$E$1425,3,FALSE)</f>
        <v>71046 Anders</v>
      </c>
      <c r="D43" s="52"/>
      <c r="E43" s="53"/>
      <c r="G43" s="50">
        <v>1</v>
      </c>
      <c r="H43" s="51" t="str">
        <f>VLOOKUP("36/113/1",Data!$A$2:$E$1425,3,FALSE)</f>
        <v>71022 Danny</v>
      </c>
      <c r="I43" s="52"/>
      <c r="J43" s="53"/>
      <c r="L43" s="9">
        <f>COUNTA(G44)+L42</f>
        <v>24</v>
      </c>
      <c r="M43" s="31">
        <f>H44</f>
        <v>0</v>
      </c>
      <c r="N43" s="82" t="s">
        <v>7430</v>
      </c>
      <c r="O43" s="36">
        <v>36</v>
      </c>
      <c r="P43" s="36">
        <v>113</v>
      </c>
      <c r="Q43" s="32"/>
      <c r="R43" s="32"/>
      <c r="S43" s="32"/>
      <c r="T43" s="32"/>
      <c r="U43" s="36">
        <f>G44</f>
        <v>2</v>
      </c>
      <c r="V43" s="103"/>
      <c r="W43" s="104"/>
      <c r="X43" s="109" t="str">
        <f t="shared" ref="X43:Y44" si="12">IF(I44=0,"",I44)</f>
        <v/>
      </c>
      <c r="Y43" s="109" t="str">
        <f t="shared" si="12"/>
        <v/>
      </c>
      <c r="Z43" s="123" t="s">
        <v>7037</v>
      </c>
      <c r="AA43" s="124" t="e">
        <f>VLOOKUP($M:$M,Data!$I:$J,2,FALSE)</f>
        <v>#N/A</v>
      </c>
      <c r="AB43" s="125"/>
    </row>
    <row r="44" ht="15.25" spans="2:28">
      <c r="B44" s="50">
        <v>2</v>
      </c>
      <c r="C44" s="51">
        <f>VLOOKUP("36/110/2",Data!$A$2:$E$1425,3,FALSE)</f>
        <v>0</v>
      </c>
      <c r="D44" s="54"/>
      <c r="E44" s="55"/>
      <c r="G44" s="50">
        <v>2</v>
      </c>
      <c r="H44" s="51">
        <f>VLOOKUP("36/113/2",Data!$A$2:$E$1425,3,FALSE)</f>
        <v>0</v>
      </c>
      <c r="I44" s="54"/>
      <c r="J44" s="55"/>
      <c r="L44" s="14">
        <f>COUNTA(G45)+L43</f>
        <v>24</v>
      </c>
      <c r="M44" s="83">
        <f>H45</f>
        <v>0</v>
      </c>
      <c r="N44" s="84" t="s">
        <v>7430</v>
      </c>
      <c r="O44" s="85">
        <v>36</v>
      </c>
      <c r="P44" s="85">
        <v>113</v>
      </c>
      <c r="Q44" s="110"/>
      <c r="R44" s="110"/>
      <c r="S44" s="110"/>
      <c r="T44" s="110"/>
      <c r="U44" s="85">
        <f>G45</f>
        <v>0</v>
      </c>
      <c r="V44" s="105"/>
      <c r="W44" s="106"/>
      <c r="X44" s="111" t="str">
        <f t="shared" si="12"/>
        <v/>
      </c>
      <c r="Y44" s="111" t="str">
        <f t="shared" si="12"/>
        <v/>
      </c>
      <c r="Z44" s="127"/>
      <c r="AA44" s="128" t="e">
        <f>VLOOKUP($M:$M,Data!$I:$J,2,FALSE)</f>
        <v>#N/A</v>
      </c>
      <c r="AB44" s="126"/>
    </row>
    <row r="45" ht="15.25" spans="2:28">
      <c r="B45" s="58">
        <v>3</v>
      </c>
      <c r="C45" s="59">
        <f>VLOOKUP("36/110/3",Data!$A$2:$E$1425,3,FALSE)</f>
        <v>0</v>
      </c>
      <c r="D45" s="56"/>
      <c r="E45" s="57"/>
      <c r="G45" s="58"/>
      <c r="H45" s="59">
        <f>VLOOKUP("36/113/3",Data!$A$2:$E$1425,3,FALSE)</f>
        <v>0</v>
      </c>
      <c r="I45" s="56"/>
      <c r="J45" s="57"/>
      <c r="L45" s="6">
        <f>COUNTA(G39)+L44</f>
        <v>25</v>
      </c>
      <c r="M45" s="79" t="str">
        <f>H39</f>
        <v>71023 Oscar</v>
      </c>
      <c r="N45" s="80" t="s">
        <v>7430</v>
      </c>
      <c r="O45" s="81">
        <v>36</v>
      </c>
      <c r="P45" s="81">
        <v>114</v>
      </c>
      <c r="Q45" s="62" t="str">
        <f>_xlfn.IFS(COUNTA(G39:G41)=1,"Single",COUNTA(G39:G41)=2,"Double",COUNTA(G39:G41)=3,"Triple",COUNTA(G39:G41)=0,"Empty")</f>
        <v>Triple</v>
      </c>
      <c r="R45" s="62"/>
      <c r="S45" s="62"/>
      <c r="T45" s="62"/>
      <c r="U45" s="81">
        <f>G39</f>
        <v>1</v>
      </c>
      <c r="V45" s="100">
        <f>COUNT(G39:G41)</f>
        <v>3</v>
      </c>
      <c r="W45" s="101"/>
      <c r="X45" s="108" t="str">
        <f>IF(I39=0,"",I39)</f>
        <v/>
      </c>
      <c r="Y45" s="108" t="str">
        <f>IF(J39=0,"",J39)</f>
        <v/>
      </c>
      <c r="Z45" s="120" t="s">
        <v>7000</v>
      </c>
      <c r="AA45" s="121" t="e">
        <f>VLOOKUP($M:$M,Data!$I:$J,2,FALSE)</f>
        <v>#N/A</v>
      </c>
      <c r="AB45" s="122"/>
    </row>
    <row r="46" spans="2:28">
      <c r="B46" s="46">
        <v>111</v>
      </c>
      <c r="C46" s="47"/>
      <c r="D46" s="48" t="s">
        <v>6580</v>
      </c>
      <c r="E46" s="49" t="s">
        <v>6581</v>
      </c>
      <c r="G46" s="46">
        <v>112</v>
      </c>
      <c r="H46" s="47"/>
      <c r="I46" s="48" t="s">
        <v>6580</v>
      </c>
      <c r="J46" s="49" t="s">
        <v>6581</v>
      </c>
      <c r="L46" s="9">
        <f>COUNTA(G40)+L45</f>
        <v>26</v>
      </c>
      <c r="M46" s="31">
        <f>H40</f>
        <v>0</v>
      </c>
      <c r="N46" s="82" t="s">
        <v>7430</v>
      </c>
      <c r="O46" s="36">
        <v>36</v>
      </c>
      <c r="P46" s="36">
        <v>114</v>
      </c>
      <c r="Q46" s="32"/>
      <c r="R46" s="32"/>
      <c r="S46" s="32"/>
      <c r="T46" s="32"/>
      <c r="U46" s="36">
        <f>G40</f>
        <v>2</v>
      </c>
      <c r="V46" s="103"/>
      <c r="W46" s="104"/>
      <c r="X46" s="109" t="str">
        <f t="shared" ref="X46:Y47" si="13">IF(I40=0,"",I40)</f>
        <v/>
      </c>
      <c r="Y46" s="109" t="str">
        <f t="shared" si="13"/>
        <v/>
      </c>
      <c r="Z46" s="123" t="s">
        <v>7892</v>
      </c>
      <c r="AA46" s="124" t="e">
        <f>VLOOKUP($M:$M,Data!$I:$J,2,FALSE)</f>
        <v>#N/A</v>
      </c>
      <c r="AB46" s="125"/>
    </row>
    <row r="47" ht="15.25" spans="2:28">
      <c r="B47" s="50">
        <v>1</v>
      </c>
      <c r="C47" s="51" t="str">
        <f>VLOOKUP("36/111/1",Data!$A$2:$E$1425,3,FALSE)</f>
        <v>71048 Tony </v>
      </c>
      <c r="D47" s="52"/>
      <c r="E47" s="53"/>
      <c r="G47" s="50">
        <v>1</v>
      </c>
      <c r="H47" s="51" t="str">
        <f>VLOOKUP("36/112/1",Data!$A$2:$E$1425,3,FALSE)</f>
        <v>71026 Jessica</v>
      </c>
      <c r="I47" s="52"/>
      <c r="J47" s="53"/>
      <c r="L47" s="14">
        <f>COUNTA(G41)+L46</f>
        <v>27</v>
      </c>
      <c r="M47" s="83">
        <f>H41</f>
        <v>0</v>
      </c>
      <c r="N47" s="84" t="s">
        <v>7430</v>
      </c>
      <c r="O47" s="85">
        <v>36</v>
      </c>
      <c r="P47" s="85">
        <v>114</v>
      </c>
      <c r="Q47" s="110"/>
      <c r="R47" s="110"/>
      <c r="S47" s="110"/>
      <c r="T47" s="110"/>
      <c r="U47" s="85">
        <f>G41</f>
        <v>3</v>
      </c>
      <c r="V47" s="105"/>
      <c r="W47" s="106"/>
      <c r="X47" s="111" t="str">
        <f t="shared" si="13"/>
        <v/>
      </c>
      <c r="Y47" s="111" t="str">
        <f t="shared" si="13"/>
        <v/>
      </c>
      <c r="Z47" s="127" t="s">
        <v>7893</v>
      </c>
      <c r="AA47" s="128" t="e">
        <f>VLOOKUP($M:$M,Data!$I:$J,2,FALSE)</f>
        <v>#N/A</v>
      </c>
      <c r="AB47" s="126"/>
    </row>
    <row r="48" spans="2:28">
      <c r="B48" s="50">
        <v>2</v>
      </c>
      <c r="C48" s="51">
        <f>VLOOKUP("36/111/2",Data!$A$2:$E$1425,3,FALSE)</f>
        <v>0</v>
      </c>
      <c r="D48" s="54"/>
      <c r="E48" s="55"/>
      <c r="G48" s="50"/>
      <c r="H48" s="51">
        <f>VLOOKUP("36/112/2",Data!$A$2:$E$1425,3,FALSE)</f>
        <v>0</v>
      </c>
      <c r="I48" s="54"/>
      <c r="J48" s="55"/>
      <c r="L48" s="6">
        <f>COUNTA(G35)+L47</f>
        <v>28</v>
      </c>
      <c r="M48" s="79" t="str">
        <f>H35</f>
        <v>71021 Alex</v>
      </c>
      <c r="N48" s="80" t="s">
        <v>7430</v>
      </c>
      <c r="O48" s="81">
        <v>36</v>
      </c>
      <c r="P48" s="81">
        <v>115</v>
      </c>
      <c r="Q48" s="62" t="str">
        <f>_xlfn.IFS(COUNTA(G35:G37)=1,"Single",COUNTA(G35:G37)=2,"Double",COUNTA(G35:G37)=3,"Triple",COUNTA(G35:G37)=0,"Empty")</f>
        <v>Double</v>
      </c>
      <c r="R48" s="62"/>
      <c r="S48" s="62"/>
      <c r="T48" s="62"/>
      <c r="U48" s="81">
        <f>G35</f>
        <v>1</v>
      </c>
      <c r="V48" s="100">
        <f>COUNT(G35:G37)</f>
        <v>2</v>
      </c>
      <c r="W48" s="101"/>
      <c r="X48" s="108" t="str">
        <f>IF(I35=0,"",I35)</f>
        <v/>
      </c>
      <c r="Y48" s="108" t="str">
        <f>IF(J35=0,"",J35)</f>
        <v/>
      </c>
      <c r="Z48" s="120" t="s">
        <v>7026</v>
      </c>
      <c r="AA48" s="121" t="e">
        <f>VLOOKUP($M:$M,Data!$I:$J,2,FALSE)</f>
        <v>#N/A</v>
      </c>
      <c r="AB48" s="122"/>
    </row>
    <row r="49" ht="15.25" spans="2:28">
      <c r="B49" s="58"/>
      <c r="C49" s="59">
        <f>VLOOKUP("36/111/3",Data!$A$2:$E$1425,3,FALSE)</f>
        <v>0</v>
      </c>
      <c r="D49" s="56"/>
      <c r="E49" s="57"/>
      <c r="G49" s="58">
        <v>3</v>
      </c>
      <c r="H49" s="59">
        <f>VLOOKUP("36/112/3",Data!$A$2:$E$1425,3,FALSE)</f>
        <v>0</v>
      </c>
      <c r="I49" s="56"/>
      <c r="J49" s="57"/>
      <c r="L49" s="9">
        <f>COUNTA(G36)+L48</f>
        <v>29</v>
      </c>
      <c r="M49" s="31">
        <f>H36</f>
        <v>0</v>
      </c>
      <c r="N49" s="82" t="s">
        <v>7430</v>
      </c>
      <c r="O49" s="36">
        <v>36</v>
      </c>
      <c r="P49" s="36">
        <v>115</v>
      </c>
      <c r="Q49" s="32"/>
      <c r="R49" s="32"/>
      <c r="S49" s="32"/>
      <c r="T49" s="32"/>
      <c r="U49" s="36">
        <f>G36</f>
        <v>2</v>
      </c>
      <c r="V49" s="103"/>
      <c r="W49" s="104"/>
      <c r="X49" s="109" t="str">
        <f t="shared" ref="X49:Y50" si="14">IF(I36=0,"",I36)</f>
        <v/>
      </c>
      <c r="Y49" s="109" t="str">
        <f t="shared" si="14"/>
        <v/>
      </c>
      <c r="Z49" s="123" t="s">
        <v>7353</v>
      </c>
      <c r="AA49" s="124" t="e">
        <f>VLOOKUP($M:$M,Data!$I:$J,2,FALSE)</f>
        <v>#N/A</v>
      </c>
      <c r="AB49" s="125"/>
    </row>
    <row r="50" ht="15.25" spans="12:28">
      <c r="L50" s="14">
        <f>COUNTA(G37)+L49</f>
        <v>29</v>
      </c>
      <c r="M50" s="83">
        <f>H37</f>
        <v>0</v>
      </c>
      <c r="N50" s="84" t="s">
        <v>7430</v>
      </c>
      <c r="O50" s="85">
        <v>36</v>
      </c>
      <c r="P50" s="85">
        <v>115</v>
      </c>
      <c r="Q50" s="110"/>
      <c r="R50" s="110"/>
      <c r="S50" s="110"/>
      <c r="T50" s="110"/>
      <c r="U50" s="85">
        <f>G37</f>
        <v>0</v>
      </c>
      <c r="V50" s="105"/>
      <c r="W50" s="106"/>
      <c r="X50" s="111" t="str">
        <f t="shared" si="14"/>
        <v/>
      </c>
      <c r="Y50" s="111" t="str">
        <f t="shared" si="14"/>
        <v/>
      </c>
      <c r="Z50" s="127"/>
      <c r="AA50" s="128" t="e">
        <f>VLOOKUP($M:$M,Data!$I:$J,2,FALSE)</f>
        <v>#N/A</v>
      </c>
      <c r="AB50" s="126"/>
    </row>
    <row r="51" spans="3:28">
      <c r="C51" s="1" t="s">
        <v>7894</v>
      </c>
      <c r="D51" s="1"/>
      <c r="E51" s="1"/>
      <c r="F51" s="1"/>
      <c r="G51" s="1"/>
      <c r="H51" s="1"/>
      <c r="I51" s="1"/>
      <c r="J51" s="89"/>
      <c r="L51" s="6">
        <f>COUNTA(G23)+L50</f>
        <v>30</v>
      </c>
      <c r="M51" s="79" t="str">
        <f>H23</f>
        <v>71034 Truls</v>
      </c>
      <c r="N51" s="80" t="s">
        <v>7430</v>
      </c>
      <c r="O51" s="81">
        <v>36</v>
      </c>
      <c r="P51" s="81">
        <v>116</v>
      </c>
      <c r="Q51" s="62" t="str">
        <f>_xlfn.IFS(COUNTA(G23:G25)=1,"Single",COUNTA(G23:G25)=2,"Double",COUNTA(G23:G25)=3,"Triple",COUNTA(G23:G25)=0,"Empty")</f>
        <v>Triple</v>
      </c>
      <c r="R51" s="62"/>
      <c r="S51" s="62"/>
      <c r="T51" s="62"/>
      <c r="U51" s="81">
        <f>G23</f>
        <v>1</v>
      </c>
      <c r="V51" s="100">
        <f>COUNT(G23:G25)</f>
        <v>3</v>
      </c>
      <c r="W51" s="101"/>
      <c r="X51" s="108" t="str">
        <f>IF(I23=0,"",I23)</f>
        <v/>
      </c>
      <c r="Y51" s="108" t="str">
        <f>IF(J23=0,"",J23)</f>
        <v/>
      </c>
      <c r="Z51" s="120" t="s">
        <v>7895</v>
      </c>
      <c r="AA51" s="121" t="e">
        <f>VLOOKUP($M:$M,Data!$I:$J,2,FALSE)</f>
        <v>#N/A</v>
      </c>
      <c r="AB51" s="122"/>
    </row>
    <row r="52" ht="15.25" spans="2:28">
      <c r="B52" s="45" t="s">
        <v>7427</v>
      </c>
      <c r="C52" s="45"/>
      <c r="D52" s="45"/>
      <c r="E52" s="45"/>
      <c r="G52" s="45" t="s">
        <v>7427</v>
      </c>
      <c r="H52" s="45"/>
      <c r="I52" s="45"/>
      <c r="J52" s="45"/>
      <c r="L52" s="9">
        <f>COUNTA(G24)+L51</f>
        <v>31</v>
      </c>
      <c r="M52" s="31">
        <f>H24</f>
        <v>0</v>
      </c>
      <c r="N52" s="82" t="s">
        <v>7430</v>
      </c>
      <c r="O52" s="36">
        <v>36</v>
      </c>
      <c r="P52" s="36">
        <v>116</v>
      </c>
      <c r="Q52" s="32"/>
      <c r="R52" s="32"/>
      <c r="S52" s="32"/>
      <c r="T52" s="32"/>
      <c r="U52" s="36">
        <f>G24</f>
        <v>2</v>
      </c>
      <c r="V52" s="103"/>
      <c r="W52" s="104"/>
      <c r="X52" s="109" t="str">
        <f t="shared" ref="X52:Y53" si="15">IF(I24=0,"",I24)</f>
        <v/>
      </c>
      <c r="Y52" s="109" t="str">
        <f t="shared" si="15"/>
        <v/>
      </c>
      <c r="Z52" s="123" t="s">
        <v>7896</v>
      </c>
      <c r="AA52" s="124" t="e">
        <f>VLOOKUP($M:$M,Data!$I:$J,2,FALSE)</f>
        <v>#N/A</v>
      </c>
      <c r="AB52" s="125"/>
    </row>
    <row r="53" ht="15.25" spans="2:28">
      <c r="B53" s="46">
        <v>201</v>
      </c>
      <c r="C53" s="47"/>
      <c r="D53" s="48" t="s">
        <v>6580</v>
      </c>
      <c r="E53" s="49" t="s">
        <v>6581</v>
      </c>
      <c r="G53" s="46">
        <v>220</v>
      </c>
      <c r="H53" s="47"/>
      <c r="I53" s="48" t="s">
        <v>6580</v>
      </c>
      <c r="J53" s="49" t="s">
        <v>6581</v>
      </c>
      <c r="L53" s="14">
        <f>COUNTA(G25)+L52</f>
        <v>32</v>
      </c>
      <c r="M53" s="83">
        <f>H25</f>
        <v>0</v>
      </c>
      <c r="N53" s="82" t="s">
        <v>7430</v>
      </c>
      <c r="O53" s="85">
        <v>36</v>
      </c>
      <c r="P53" s="85">
        <v>116</v>
      </c>
      <c r="Q53" s="110"/>
      <c r="R53" s="110"/>
      <c r="S53" s="110"/>
      <c r="T53" s="110"/>
      <c r="U53" s="85">
        <f>G25</f>
        <v>3</v>
      </c>
      <c r="V53" s="105"/>
      <c r="W53" s="106"/>
      <c r="X53" s="111" t="str">
        <f t="shared" si="15"/>
        <v/>
      </c>
      <c r="Y53" s="111" t="str">
        <f t="shared" si="15"/>
        <v/>
      </c>
      <c r="Z53" s="127" t="s">
        <v>7897</v>
      </c>
      <c r="AA53" s="128" t="e">
        <f>VLOOKUP($M:$M,Data!$I:$J,2,FALSE)</f>
        <v>#N/A</v>
      </c>
      <c r="AB53" s="126"/>
    </row>
    <row r="54" spans="2:28">
      <c r="B54" s="50">
        <v>1</v>
      </c>
      <c r="C54" s="51" t="str">
        <f>VLOOKUP("36/201/1",Data!$A$2:$E$1425,3,FALSE)</f>
        <v>71061 Anders</v>
      </c>
      <c r="D54" s="52"/>
      <c r="E54" s="53"/>
      <c r="G54" s="50">
        <v>1</v>
      </c>
      <c r="H54" s="51" t="str">
        <f>VLOOKUP("36/220/1",Data!$A$2:$E$1425,3,FALSE)</f>
        <v>71011 Alvaro</v>
      </c>
      <c r="I54" s="52"/>
      <c r="J54" s="53"/>
      <c r="L54" s="6">
        <f>COUNTA(G19)+L53</f>
        <v>33</v>
      </c>
      <c r="M54" s="79" t="str">
        <f>H19</f>
        <v>71033 Arvid</v>
      </c>
      <c r="N54" s="80" t="s">
        <v>7430</v>
      </c>
      <c r="O54" s="81">
        <v>36</v>
      </c>
      <c r="P54" s="81">
        <v>117</v>
      </c>
      <c r="Q54" s="62" t="str">
        <f>_xlfn.IFS(COUNTA(G19:G21)=1,"Single",COUNTA(G19:G21)=2,"Double",COUNTA(G19:G21)=3,"Triple",COUNTA(G19:G21)=0,"Empty")</f>
        <v>Double</v>
      </c>
      <c r="R54" s="62"/>
      <c r="S54" s="62"/>
      <c r="T54" s="62"/>
      <c r="U54" s="81">
        <f>G19</f>
        <v>1</v>
      </c>
      <c r="V54" s="100">
        <f>COUNT(G19:G21)</f>
        <v>2</v>
      </c>
      <c r="W54" s="101"/>
      <c r="X54" s="108" t="str">
        <f>IF(I19=0,"",I19)</f>
        <v/>
      </c>
      <c r="Y54" s="108" t="str">
        <f>IF(J19=0,"",J19)</f>
        <v/>
      </c>
      <c r="Z54" s="120" t="s">
        <v>7898</v>
      </c>
      <c r="AA54" s="121" t="e">
        <f>VLOOKUP($M:$M,Data!$I:$J,2,FALSE)</f>
        <v>#N/A</v>
      </c>
      <c r="AB54" s="122"/>
    </row>
    <row r="55" spans="2:28">
      <c r="B55" s="50">
        <v>2</v>
      </c>
      <c r="C55" s="51">
        <f>VLOOKUP("36/201/2",Data!$A$2:$E$1425,3,FALSE)</f>
        <v>0</v>
      </c>
      <c r="D55" s="54"/>
      <c r="E55" s="55"/>
      <c r="G55" s="50"/>
      <c r="H55" s="51">
        <f>VLOOKUP("36/220/2",Data!$A$2:$E$1425,3,FALSE)</f>
        <v>0</v>
      </c>
      <c r="I55" s="54"/>
      <c r="J55" s="55"/>
      <c r="L55" s="9">
        <f>COUNTA(G20)+L54</f>
        <v>34</v>
      </c>
      <c r="M55" s="31">
        <f>H20</f>
        <v>0</v>
      </c>
      <c r="N55" s="82" t="s">
        <v>7430</v>
      </c>
      <c r="O55" s="36">
        <v>36</v>
      </c>
      <c r="P55" s="36">
        <v>117</v>
      </c>
      <c r="Q55" s="32"/>
      <c r="R55" s="32"/>
      <c r="S55" s="32"/>
      <c r="T55" s="32"/>
      <c r="U55" s="36">
        <f>G20</f>
        <v>2</v>
      </c>
      <c r="V55" s="103"/>
      <c r="W55" s="104"/>
      <c r="X55" s="109" t="str">
        <f t="shared" ref="X55:Y56" si="16">IF(I20=0,"",I20)</f>
        <v/>
      </c>
      <c r="Y55" s="109" t="str">
        <f t="shared" si="16"/>
        <v/>
      </c>
      <c r="Z55" s="123" t="s">
        <v>7899</v>
      </c>
      <c r="AA55" s="124" t="e">
        <f>VLOOKUP($M:$M,Data!$I:$J,2,FALSE)</f>
        <v>#N/A</v>
      </c>
      <c r="AB55" s="125"/>
    </row>
    <row r="56" ht="15.25" spans="2:28">
      <c r="B56" s="58">
        <v>3</v>
      </c>
      <c r="C56" s="59">
        <f>VLOOKUP("36/201/3",Data!$A$2:$E$1425,3,FALSE)</f>
        <v>0</v>
      </c>
      <c r="D56" s="56"/>
      <c r="E56" s="57"/>
      <c r="G56" s="58">
        <v>3</v>
      </c>
      <c r="H56" s="59">
        <f>VLOOKUP("36/220/3",Data!$A$2:$E$1425,3,FALSE)</f>
        <v>0</v>
      </c>
      <c r="I56" s="56"/>
      <c r="J56" s="57"/>
      <c r="L56" s="14">
        <f>COUNTA(G21)+L55</f>
        <v>34</v>
      </c>
      <c r="M56" s="83">
        <f>H21</f>
        <v>0</v>
      </c>
      <c r="N56" s="84" t="s">
        <v>7430</v>
      </c>
      <c r="O56" s="85">
        <v>36</v>
      </c>
      <c r="P56" s="85">
        <v>117</v>
      </c>
      <c r="Q56" s="110"/>
      <c r="R56" s="110"/>
      <c r="S56" s="110"/>
      <c r="T56" s="110"/>
      <c r="U56" s="85">
        <f>G21</f>
        <v>0</v>
      </c>
      <c r="V56" s="105"/>
      <c r="W56" s="106"/>
      <c r="X56" s="111" t="str">
        <f t="shared" si="16"/>
        <v/>
      </c>
      <c r="Y56" s="111" t="str">
        <f t="shared" si="16"/>
        <v/>
      </c>
      <c r="Z56" s="127"/>
      <c r="AA56" s="128" t="e">
        <f>VLOOKUP($M:$M,Data!$I:$J,2,FALSE)</f>
        <v>#N/A</v>
      </c>
      <c r="AB56" s="126"/>
    </row>
    <row r="57" spans="2:28">
      <c r="B57" s="46">
        <v>202</v>
      </c>
      <c r="C57" s="47"/>
      <c r="D57" s="48" t="s">
        <v>6580</v>
      </c>
      <c r="E57" s="49" t="s">
        <v>6581</v>
      </c>
      <c r="G57" s="46">
        <v>219</v>
      </c>
      <c r="H57" s="47"/>
      <c r="I57" s="48" t="s">
        <v>6580</v>
      </c>
      <c r="J57" s="49" t="s">
        <v>6581</v>
      </c>
      <c r="L57" s="6">
        <f>COUNTA(G15)+L56</f>
        <v>34</v>
      </c>
      <c r="M57" s="79" t="str">
        <f>H15</f>
        <v>71032 Oskar</v>
      </c>
      <c r="N57" s="80" t="s">
        <v>7430</v>
      </c>
      <c r="O57" s="81">
        <v>36</v>
      </c>
      <c r="P57" s="81">
        <v>118</v>
      </c>
      <c r="Q57" s="62" t="str">
        <f>_xlfn.IFS(COUNTA(G15:G17)=1,"Single",COUNTA(G15:G17)=2,"Double",COUNTA(G15:G17)=3,"Triple",COUNTA(G15:G17)=0,"Empty")</f>
        <v>Double</v>
      </c>
      <c r="R57" s="62"/>
      <c r="S57" s="62"/>
      <c r="T57" s="62"/>
      <c r="U57" s="81">
        <f>G15</f>
        <v>0</v>
      </c>
      <c r="V57" s="100">
        <f>COUNT(G15:G17)</f>
        <v>2</v>
      </c>
      <c r="W57" s="101"/>
      <c r="X57" s="108" t="str">
        <f>IF(I15=0,"",I15)</f>
        <v/>
      </c>
      <c r="Y57" s="108" t="str">
        <f>IF(J15=0,"",J15)</f>
        <v/>
      </c>
      <c r="Z57" s="120"/>
      <c r="AA57" s="121" t="e">
        <f>VLOOKUP($M:$M,Data!$I:$J,2,FALSE)</f>
        <v>#N/A</v>
      </c>
      <c r="AB57" s="122"/>
    </row>
    <row r="58" spans="2:28">
      <c r="B58" s="50">
        <v>1</v>
      </c>
      <c r="C58" s="51" t="str">
        <f>VLOOKUP("36/202/1",Data!$A$2:$E$1425,3,FALSE)</f>
        <v>71062 Pia</v>
      </c>
      <c r="D58" s="52"/>
      <c r="E58" s="53"/>
      <c r="G58" s="50">
        <v>1</v>
      </c>
      <c r="H58" s="51" t="str">
        <f>VLOOKUP("36/219/1",Data!$A$2:$E$1425,3,FALSE)</f>
        <v>710012 Martina</v>
      </c>
      <c r="I58" s="52"/>
      <c r="J58" s="53"/>
      <c r="L58" s="9">
        <f>COUNTA(G16)+L57</f>
        <v>35</v>
      </c>
      <c r="M58" s="31">
        <f>H16</f>
        <v>0</v>
      </c>
      <c r="N58" s="82" t="s">
        <v>7430</v>
      </c>
      <c r="O58" s="36">
        <v>36</v>
      </c>
      <c r="P58" s="36">
        <v>118</v>
      </c>
      <c r="Q58" s="32"/>
      <c r="R58" s="32"/>
      <c r="S58" s="32"/>
      <c r="T58" s="32"/>
      <c r="U58" s="36">
        <f>G16</f>
        <v>2</v>
      </c>
      <c r="V58" s="103"/>
      <c r="W58" s="104"/>
      <c r="X58" s="109" t="str">
        <f t="shared" ref="X58:Y59" si="17">IF(I16=0,"",I16)</f>
        <v/>
      </c>
      <c r="Y58" s="109" t="str">
        <f t="shared" si="17"/>
        <v/>
      </c>
      <c r="Z58" s="123" t="s">
        <v>7900</v>
      </c>
      <c r="AA58" s="124" t="e">
        <f>VLOOKUP($M:$M,Data!$I:$J,2,FALSE)</f>
        <v>#N/A</v>
      </c>
      <c r="AB58" s="125"/>
    </row>
    <row r="59" ht="15.25" spans="2:28">
      <c r="B59" s="50"/>
      <c r="C59" s="51">
        <f>VLOOKUP("36/202/2",Data!$A$2:$E$1425,3,FALSE)</f>
        <v>0</v>
      </c>
      <c r="D59" s="54"/>
      <c r="E59" s="55"/>
      <c r="G59" s="50">
        <v>2</v>
      </c>
      <c r="H59" s="51">
        <f>VLOOKUP("36/219/2",Data!$A$2:$E$1425,3,FALSE)</f>
        <v>0</v>
      </c>
      <c r="I59" s="54"/>
      <c r="J59" s="55"/>
      <c r="L59" s="14">
        <f>COUNTA(G17)+L58</f>
        <v>36</v>
      </c>
      <c r="M59" s="83">
        <f>H17</f>
        <v>0</v>
      </c>
      <c r="N59" s="84" t="s">
        <v>7430</v>
      </c>
      <c r="O59" s="85">
        <v>36</v>
      </c>
      <c r="P59" s="85">
        <v>118</v>
      </c>
      <c r="Q59" s="110"/>
      <c r="R59" s="110"/>
      <c r="S59" s="110"/>
      <c r="T59" s="110"/>
      <c r="U59" s="85">
        <f>G17</f>
        <v>3</v>
      </c>
      <c r="V59" s="105"/>
      <c r="W59" s="106"/>
      <c r="X59" s="111" t="str">
        <f t="shared" si="17"/>
        <v/>
      </c>
      <c r="Y59" s="111" t="str">
        <f t="shared" si="17"/>
        <v/>
      </c>
      <c r="Z59" s="127" t="s">
        <v>7901</v>
      </c>
      <c r="AA59" s="128" t="e">
        <f>VLOOKUP($M:$M,Data!$I:$J,2,FALSE)</f>
        <v>#N/A</v>
      </c>
      <c r="AB59" s="126"/>
    </row>
    <row r="60" ht="15.25" spans="2:28">
      <c r="B60" s="58">
        <v>3</v>
      </c>
      <c r="C60" s="59">
        <f>VLOOKUP("36/202/3",Data!$A$2:$E$1425,3,FALSE)</f>
        <v>0</v>
      </c>
      <c r="D60" s="56"/>
      <c r="E60" s="57"/>
      <c r="G60" s="58">
        <v>3</v>
      </c>
      <c r="H60" s="59">
        <f>VLOOKUP("36/219/3",Data!$A$2:$E$1425,3,FALSE)</f>
        <v>0</v>
      </c>
      <c r="I60" s="56"/>
      <c r="J60" s="57"/>
      <c r="L60" s="6">
        <f>COUNTA(G11)+L59</f>
        <v>37</v>
      </c>
      <c r="M60" s="79" t="str">
        <f>H11</f>
        <v>71031 Daniel</v>
      </c>
      <c r="N60" s="80" t="s">
        <v>7430</v>
      </c>
      <c r="O60" s="81">
        <v>36</v>
      </c>
      <c r="P60" s="81">
        <v>119</v>
      </c>
      <c r="Q60" s="62" t="str">
        <f>_xlfn.IFS(COUNTA(G11:G13)=1,"Single",COUNTA(G11:G13)=2,"Double",COUNTA(G11:G13)=3,"Triple",COUNTA(G11:G13)=0,"Empty")</f>
        <v>Triple</v>
      </c>
      <c r="R60" s="62"/>
      <c r="S60" s="62"/>
      <c r="T60" s="62"/>
      <c r="U60" s="81">
        <f>G11</f>
        <v>1</v>
      </c>
      <c r="V60" s="100">
        <f>COUNT(G11:G13)</f>
        <v>3</v>
      </c>
      <c r="W60" s="101"/>
      <c r="X60" s="108" t="str">
        <f>IF(I11=0,"",I11)</f>
        <v/>
      </c>
      <c r="Y60" s="108" t="str">
        <f>IF(J11=0,"",J11)</f>
        <v/>
      </c>
      <c r="Z60" s="120" t="s">
        <v>7902</v>
      </c>
      <c r="AA60" s="121" t="e">
        <f>VLOOKUP($M:$M,Data!$I:$J,2,FALSE)</f>
        <v>#N/A</v>
      </c>
      <c r="AB60" s="122"/>
    </row>
    <row r="61" spans="2:28">
      <c r="B61" s="46">
        <v>203</v>
      </c>
      <c r="C61" s="47"/>
      <c r="D61" s="48" t="s">
        <v>6580</v>
      </c>
      <c r="E61" s="49" t="s">
        <v>6581</v>
      </c>
      <c r="G61" s="46">
        <v>218</v>
      </c>
      <c r="H61" s="47"/>
      <c r="I61" s="48" t="s">
        <v>6580</v>
      </c>
      <c r="J61" s="49" t="s">
        <v>6581</v>
      </c>
      <c r="L61" s="9">
        <f>COUNTA(G12)+L60</f>
        <v>38</v>
      </c>
      <c r="M61" s="31">
        <f>H12</f>
        <v>0</v>
      </c>
      <c r="N61" s="82" t="s">
        <v>7430</v>
      </c>
      <c r="O61" s="36">
        <v>36</v>
      </c>
      <c r="P61" s="36">
        <v>119</v>
      </c>
      <c r="Q61" s="32"/>
      <c r="R61" s="32"/>
      <c r="S61" s="32"/>
      <c r="T61" s="32"/>
      <c r="U61" s="36">
        <f>G12</f>
        <v>2</v>
      </c>
      <c r="V61" s="103"/>
      <c r="W61" s="104"/>
      <c r="X61" s="109" t="str">
        <f t="shared" ref="X61:Y62" si="18">IF(I12=0,"",I12)</f>
        <v/>
      </c>
      <c r="Y61" s="109" t="str">
        <f t="shared" si="18"/>
        <v/>
      </c>
      <c r="Z61" s="123" t="s">
        <v>7903</v>
      </c>
      <c r="AA61" s="124" t="e">
        <f>VLOOKUP($M:$M,Data!$I:$J,2,FALSE)</f>
        <v>#N/A</v>
      </c>
      <c r="AB61" s="125"/>
    </row>
    <row r="62" ht="15.25" spans="2:28">
      <c r="B62" s="50">
        <v>1</v>
      </c>
      <c r="C62" s="51" t="str">
        <f>VLOOKUP("36/203/1",Data!$A$2:$E$1425,3,FALSE)</f>
        <v>71063 Frederik</v>
      </c>
      <c r="D62" s="52"/>
      <c r="E62" s="53"/>
      <c r="G62" s="50">
        <v>1</v>
      </c>
      <c r="H62" s="51" t="str">
        <f>VLOOKUP("36/218/1",Data!$A$2:$E$1425,3,FALSE)</f>
        <v>71013 Magnus</v>
      </c>
      <c r="I62" s="52"/>
      <c r="J62" s="53"/>
      <c r="L62" s="14">
        <f>COUNTA(G13)+L61</f>
        <v>39</v>
      </c>
      <c r="M62" s="83">
        <f>H13</f>
        <v>0</v>
      </c>
      <c r="N62" s="84" t="s">
        <v>7430</v>
      </c>
      <c r="O62" s="85">
        <v>36</v>
      </c>
      <c r="P62" s="85">
        <v>119</v>
      </c>
      <c r="Q62" s="110"/>
      <c r="R62" s="110"/>
      <c r="S62" s="110"/>
      <c r="T62" s="110"/>
      <c r="U62" s="85">
        <f>G13</f>
        <v>3</v>
      </c>
      <c r="V62" s="105"/>
      <c r="W62" s="106"/>
      <c r="X62" s="111" t="str">
        <f t="shared" si="18"/>
        <v/>
      </c>
      <c r="Y62" s="111" t="str">
        <f t="shared" si="18"/>
        <v/>
      </c>
      <c r="Z62" s="127" t="s">
        <v>7904</v>
      </c>
      <c r="AA62" s="128" t="e">
        <f>VLOOKUP($M:$M,Data!$I:$J,2,FALSE)</f>
        <v>#N/A</v>
      </c>
      <c r="AB62" s="126"/>
    </row>
    <row r="63" spans="2:28">
      <c r="B63" s="50">
        <v>2</v>
      </c>
      <c r="C63" s="51">
        <f>VLOOKUP("36/203/2",Data!$A$2:$E$1425,3,FALSE)</f>
        <v>0</v>
      </c>
      <c r="D63" s="54"/>
      <c r="E63" s="55"/>
      <c r="G63" s="50">
        <v>2</v>
      </c>
      <c r="H63" s="51">
        <f>VLOOKUP("36/218/2",Data!$A$2:$E$1425,3,FALSE)</f>
        <v>0</v>
      </c>
      <c r="I63" s="54"/>
      <c r="J63" s="55"/>
      <c r="L63" s="6">
        <f>COUNTA(G7)+L62</f>
        <v>40</v>
      </c>
      <c r="M63" s="79" t="str">
        <f>H7</f>
        <v>71002 Magnus</v>
      </c>
      <c r="N63" s="80" t="s">
        <v>7430</v>
      </c>
      <c r="O63" s="81">
        <v>36</v>
      </c>
      <c r="P63" s="81">
        <v>120</v>
      </c>
      <c r="Q63" s="62" t="str">
        <f>_xlfn.IFS(COUNTA(G7:G9)=1,"Single",COUNTA(G7:G9)=2,"Double",COUNTA(G7:G9)=3,"Triple",COUNTA(G7:G9)=0,"Empty")</f>
        <v>Double</v>
      </c>
      <c r="R63" s="62"/>
      <c r="S63" s="62"/>
      <c r="T63" s="62"/>
      <c r="U63" s="81">
        <f>G7</f>
        <v>1</v>
      </c>
      <c r="V63" s="100">
        <f>COUNT(G7:G9)</f>
        <v>2</v>
      </c>
      <c r="W63" s="101"/>
      <c r="X63" s="108" t="str">
        <f>IF(I7=0,"",I7)</f>
        <v/>
      </c>
      <c r="Y63" s="108" t="str">
        <f>IF(J7=0,"",J7)</f>
        <v/>
      </c>
      <c r="Z63" s="120" t="s">
        <v>7905</v>
      </c>
      <c r="AA63" s="121" t="e">
        <f>VLOOKUP($M:$M,Data!$I:$J,2,FALSE)</f>
        <v>#N/A</v>
      </c>
      <c r="AB63" s="122"/>
    </row>
    <row r="64" ht="15.25" spans="2:28">
      <c r="B64" s="58">
        <v>3</v>
      </c>
      <c r="C64" s="59">
        <f>VLOOKUP("36/203/3",Data!$A$2:$E$1425,3,FALSE)</f>
        <v>0</v>
      </c>
      <c r="D64" s="56"/>
      <c r="E64" s="57"/>
      <c r="G64" s="58"/>
      <c r="H64" s="59">
        <f>VLOOKUP("36/218/3",Data!$A$2:$E$1425,3,FALSE)</f>
        <v>0</v>
      </c>
      <c r="I64" s="56"/>
      <c r="J64" s="57"/>
      <c r="L64" s="9">
        <f>COUNTA(G8)+L63</f>
        <v>41</v>
      </c>
      <c r="M64" s="31">
        <f>H8</f>
        <v>0</v>
      </c>
      <c r="N64" s="82" t="s">
        <v>7430</v>
      </c>
      <c r="O64" s="36">
        <v>36</v>
      </c>
      <c r="P64" s="36">
        <v>120</v>
      </c>
      <c r="Q64" s="32"/>
      <c r="R64" s="32"/>
      <c r="S64" s="32"/>
      <c r="T64" s="32"/>
      <c r="U64" s="36">
        <f>G8</f>
        <v>2</v>
      </c>
      <c r="V64" s="103"/>
      <c r="W64" s="104"/>
      <c r="X64" s="109" t="str">
        <f t="shared" ref="X64:Y65" si="19">IF(I8=0,"",I8)</f>
        <v/>
      </c>
      <c r="Y64" s="109" t="str">
        <f t="shared" si="19"/>
        <v/>
      </c>
      <c r="Z64" s="123" t="s">
        <v>7906</v>
      </c>
      <c r="AA64" s="124" t="e">
        <f>VLOOKUP($M:$M,Data!$I:$J,2,FALSE)</f>
        <v>#N/A</v>
      </c>
      <c r="AB64" s="125"/>
    </row>
    <row r="65" ht="15.25" spans="2:28">
      <c r="B65" s="46">
        <v>204</v>
      </c>
      <c r="C65" s="47"/>
      <c r="D65" s="48" t="s">
        <v>6580</v>
      </c>
      <c r="E65" s="49" t="s">
        <v>6581</v>
      </c>
      <c r="G65" s="46">
        <v>217</v>
      </c>
      <c r="H65" s="47"/>
      <c r="I65" s="48" t="s">
        <v>6580</v>
      </c>
      <c r="J65" s="49" t="s">
        <v>6581</v>
      </c>
      <c r="L65" s="14">
        <f>COUNTA(G9)+L64</f>
        <v>41</v>
      </c>
      <c r="M65" s="83">
        <f>H9</f>
        <v>0</v>
      </c>
      <c r="N65" s="84" t="s">
        <v>7430</v>
      </c>
      <c r="O65" s="85">
        <v>36</v>
      </c>
      <c r="P65" s="85">
        <v>120</v>
      </c>
      <c r="Q65" s="110"/>
      <c r="R65" s="110"/>
      <c r="S65" s="110"/>
      <c r="T65" s="110"/>
      <c r="U65" s="85">
        <f>G9</f>
        <v>0</v>
      </c>
      <c r="V65" s="105"/>
      <c r="W65" s="106"/>
      <c r="X65" s="111" t="str">
        <f t="shared" si="19"/>
        <v/>
      </c>
      <c r="Y65" s="111" t="str">
        <f t="shared" si="19"/>
        <v/>
      </c>
      <c r="Z65" s="127"/>
      <c r="AA65" s="128" t="e">
        <f>VLOOKUP($M:$M,Data!$I:$J,2,FALSE)</f>
        <v>#N/A</v>
      </c>
      <c r="AB65" s="126"/>
    </row>
    <row r="66" spans="2:28">
      <c r="B66" s="50">
        <v>1</v>
      </c>
      <c r="C66" s="51" t="str">
        <f>VLOOKUP("36/204/1",Data!$A$2:$E$1425,3,FALSE)</f>
        <v>80001 NIKLAS</v>
      </c>
      <c r="D66" s="52"/>
      <c r="E66" s="53"/>
      <c r="G66" s="50">
        <v>1</v>
      </c>
      <c r="H66" s="51" t="str">
        <f>VLOOKUP("36/217/1",Data!$A$2:$E$1425,3,FALSE)</f>
        <v>71076 Niklas</v>
      </c>
      <c r="I66" s="52"/>
      <c r="J66" s="53"/>
      <c r="L66" s="6">
        <f>COUNTA(B54)+L65</f>
        <v>42</v>
      </c>
      <c r="M66" s="79" t="str">
        <f>C54</f>
        <v>71061 Anders</v>
      </c>
      <c r="N66" s="80" t="s">
        <v>7430</v>
      </c>
      <c r="O66" s="81">
        <v>36</v>
      </c>
      <c r="P66" s="81">
        <v>201</v>
      </c>
      <c r="Q66" s="62" t="str">
        <f>_xlfn.IFS(COUNTA(B54:B56)=1,"Single",COUNTA(B54:B56)=2,"Double",COUNTA(B54:B56)=3,"Triple",COUNTA(B54:B56)=0,"Empty")</f>
        <v>Triple</v>
      </c>
      <c r="R66" s="62"/>
      <c r="S66" s="62"/>
      <c r="T66" s="62"/>
      <c r="U66" s="81">
        <f>B54</f>
        <v>1</v>
      </c>
      <c r="V66" s="100">
        <f>COUNT(B54:B56)</f>
        <v>3</v>
      </c>
      <c r="W66" s="101"/>
      <c r="X66" s="108" t="str">
        <f>IF(D54=0,"",D54)</f>
        <v/>
      </c>
      <c r="Y66" s="108" t="str">
        <f>IF(E54=0,"",E54)</f>
        <v/>
      </c>
      <c r="Z66" s="120" t="s">
        <v>7907</v>
      </c>
      <c r="AA66" s="121" t="e">
        <f>VLOOKUP($M:$M,Data!$I:$J,2,FALSE)</f>
        <v>#N/A</v>
      </c>
      <c r="AB66" s="122"/>
    </row>
    <row r="67" spans="2:28">
      <c r="B67" s="50">
        <v>2</v>
      </c>
      <c r="C67" s="51">
        <f>VLOOKUP("36/204/2",Data!$A$2:$E$1425,3,FALSE)</f>
        <v>0</v>
      </c>
      <c r="D67" s="54"/>
      <c r="E67" s="55"/>
      <c r="G67" s="50">
        <v>2</v>
      </c>
      <c r="H67" s="51">
        <f>VLOOKUP("36/217/2",Data!$A$2:$E$1425,3,FALSE)</f>
        <v>0</v>
      </c>
      <c r="I67" s="54"/>
      <c r="J67" s="55"/>
      <c r="L67" s="9">
        <f>COUNTA(B55)+L66</f>
        <v>43</v>
      </c>
      <c r="M67" s="31">
        <f>C55</f>
        <v>0</v>
      </c>
      <c r="N67" s="82" t="s">
        <v>7430</v>
      </c>
      <c r="O67" s="36">
        <v>36</v>
      </c>
      <c r="P67" s="36">
        <v>201</v>
      </c>
      <c r="Q67" s="32"/>
      <c r="R67" s="32"/>
      <c r="S67" s="32"/>
      <c r="T67" s="32"/>
      <c r="U67" s="36">
        <f>B55</f>
        <v>2</v>
      </c>
      <c r="V67" s="103"/>
      <c r="W67" s="104"/>
      <c r="X67" s="109" t="str">
        <f t="shared" ref="X67:Y68" si="20">IF(D55=0,"",D55)</f>
        <v/>
      </c>
      <c r="Y67" s="109" t="str">
        <f t="shared" si="20"/>
        <v/>
      </c>
      <c r="Z67" s="123" t="s">
        <v>7908</v>
      </c>
      <c r="AA67" s="124" t="e">
        <f>VLOOKUP($M:$M,Data!$I:$J,2,FALSE)</f>
        <v>#N/A</v>
      </c>
      <c r="AB67" s="125"/>
    </row>
    <row r="68" ht="15.25" spans="2:28">
      <c r="B68" s="58">
        <v>3</v>
      </c>
      <c r="C68" s="59">
        <f>VLOOKUP("36/204/3",Data!$A$2:$E$1425,3,FALSE)</f>
        <v>0</v>
      </c>
      <c r="D68" s="56"/>
      <c r="E68" s="57"/>
      <c r="G68" s="58"/>
      <c r="H68" s="59">
        <f>VLOOKUP("36/217/3",Data!$A$2:$E$1425,3,FALSE)</f>
        <v>0</v>
      </c>
      <c r="I68" s="56"/>
      <c r="J68" s="57"/>
      <c r="L68" s="14">
        <f>COUNTA(B56)+L67</f>
        <v>44</v>
      </c>
      <c r="M68" s="83">
        <f>C56</f>
        <v>0</v>
      </c>
      <c r="N68" s="84" t="s">
        <v>7430</v>
      </c>
      <c r="O68" s="85">
        <v>36</v>
      </c>
      <c r="P68" s="85">
        <v>201</v>
      </c>
      <c r="Q68" s="110"/>
      <c r="R68" s="110"/>
      <c r="S68" s="110"/>
      <c r="T68" s="110"/>
      <c r="U68" s="85">
        <f>B56</f>
        <v>3</v>
      </c>
      <c r="V68" s="105"/>
      <c r="W68" s="106"/>
      <c r="X68" s="111" t="str">
        <f t="shared" si="20"/>
        <v/>
      </c>
      <c r="Y68" s="111" t="str">
        <f t="shared" si="20"/>
        <v/>
      </c>
      <c r="Z68" s="127" t="s">
        <v>7909</v>
      </c>
      <c r="AA68" s="128" t="e">
        <f>VLOOKUP($M:$M,Data!$I:$J,2,FALSE)</f>
        <v>#N/A</v>
      </c>
      <c r="AB68" s="126"/>
    </row>
    <row r="69" spans="2:28">
      <c r="B69" s="46">
        <v>205</v>
      </c>
      <c r="C69" s="47"/>
      <c r="D69" s="48" t="s">
        <v>6580</v>
      </c>
      <c r="E69" s="49" t="s">
        <v>6581</v>
      </c>
      <c r="G69" s="46">
        <v>216</v>
      </c>
      <c r="H69" s="47"/>
      <c r="I69" s="48" t="s">
        <v>6580</v>
      </c>
      <c r="J69" s="49" t="s">
        <v>6581</v>
      </c>
      <c r="L69" s="6">
        <f>COUNTA(B58)+L68</f>
        <v>45</v>
      </c>
      <c r="M69" s="79" t="str">
        <f>C58</f>
        <v>71062 Pia</v>
      </c>
      <c r="N69" s="80" t="s">
        <v>7430</v>
      </c>
      <c r="O69" s="81">
        <v>36</v>
      </c>
      <c r="P69" s="81">
        <v>202</v>
      </c>
      <c r="Q69" s="62" t="str">
        <f>_xlfn.IFS(COUNTA(B58:B60)=1,"Single",COUNTA(B58:B60)=2,"Double",COUNTA(B58:B60)=3,"Triple",COUNTA(B58:B60)=0,"Empty")</f>
        <v>Double</v>
      </c>
      <c r="R69" s="62"/>
      <c r="S69" s="62"/>
      <c r="T69" s="62"/>
      <c r="U69" s="81">
        <f>B58</f>
        <v>1</v>
      </c>
      <c r="V69" s="100">
        <f>COUNT(B58:B60)</f>
        <v>2</v>
      </c>
      <c r="W69" s="101"/>
      <c r="X69" s="108" t="str">
        <f>IF(D58=0,"",D58)</f>
        <v/>
      </c>
      <c r="Y69" s="108" t="str">
        <f>IF(E58=0,"",E58)</f>
        <v/>
      </c>
      <c r="Z69" s="120" t="s">
        <v>7910</v>
      </c>
      <c r="AA69" s="121" t="e">
        <f>VLOOKUP($M:$M,Data!$I:$J,2,FALSE)</f>
        <v>#N/A</v>
      </c>
      <c r="AB69" s="122"/>
    </row>
    <row r="70" spans="2:28">
      <c r="B70" s="50">
        <v>1</v>
      </c>
      <c r="C70" s="51">
        <f>VLOOKUP("36/205/1",Data!$A$2:$E$1425,3,FALSE)</f>
        <v>0</v>
      </c>
      <c r="D70" s="52"/>
      <c r="E70" s="53"/>
      <c r="G70" s="50">
        <v>1</v>
      </c>
      <c r="H70" s="51" t="str">
        <f>VLOOKUP("36/216/1",Data!$A$2:$E$1425,3,FALSE)</f>
        <v>71072 Michael</v>
      </c>
      <c r="I70" s="52"/>
      <c r="J70" s="53"/>
      <c r="L70" s="9">
        <f>COUNTA(B59)+L69</f>
        <v>45</v>
      </c>
      <c r="M70" s="31">
        <f>C59</f>
        <v>0</v>
      </c>
      <c r="N70" s="82" t="s">
        <v>7430</v>
      </c>
      <c r="O70" s="36">
        <v>36</v>
      </c>
      <c r="P70" s="36">
        <v>202</v>
      </c>
      <c r="Q70" s="32"/>
      <c r="R70" s="32"/>
      <c r="S70" s="32"/>
      <c r="T70" s="32"/>
      <c r="U70" s="36">
        <f>B59</f>
        <v>0</v>
      </c>
      <c r="V70" s="103"/>
      <c r="W70" s="104"/>
      <c r="X70" s="109" t="str">
        <f t="shared" ref="X70:Y71" si="21">IF(D59=0,"",D59)</f>
        <v/>
      </c>
      <c r="Y70" s="109" t="str">
        <f t="shared" si="21"/>
        <v/>
      </c>
      <c r="Z70" s="123" t="s">
        <v>7488</v>
      </c>
      <c r="AA70" s="124" t="e">
        <f>VLOOKUP($M:$M,Data!$I:$J,2,FALSE)</f>
        <v>#N/A</v>
      </c>
      <c r="AB70" s="125"/>
    </row>
    <row r="71" ht="15.25" spans="2:28">
      <c r="B71" s="50">
        <v>2</v>
      </c>
      <c r="C71" s="51">
        <f>VLOOKUP("36/205/2",Data!$A$2:$E$1425,3,FALSE)</f>
        <v>0</v>
      </c>
      <c r="D71" s="54"/>
      <c r="E71" s="55"/>
      <c r="G71" s="50">
        <v>2</v>
      </c>
      <c r="H71" s="51">
        <f>VLOOKUP("36/216/2",Data!$A$2:$E$1425,3,FALSE)</f>
        <v>0</v>
      </c>
      <c r="I71" s="54"/>
      <c r="J71" s="55"/>
      <c r="L71" s="14">
        <f>COUNTA(B60)+L70</f>
        <v>46</v>
      </c>
      <c r="M71" s="83">
        <f>C60</f>
        <v>0</v>
      </c>
      <c r="N71" s="84" t="s">
        <v>7430</v>
      </c>
      <c r="O71" s="85">
        <v>36</v>
      </c>
      <c r="P71" s="85">
        <v>202</v>
      </c>
      <c r="Q71" s="110"/>
      <c r="R71" s="110"/>
      <c r="S71" s="110"/>
      <c r="T71" s="110"/>
      <c r="U71" s="85">
        <f>B60</f>
        <v>3</v>
      </c>
      <c r="V71" s="105"/>
      <c r="W71" s="106"/>
      <c r="X71" s="111" t="str">
        <f t="shared" si="21"/>
        <v/>
      </c>
      <c r="Y71" s="111" t="str">
        <f t="shared" si="21"/>
        <v/>
      </c>
      <c r="Z71" s="127" t="s">
        <v>7911</v>
      </c>
      <c r="AA71" s="128" t="e">
        <f>VLOOKUP($M:$M,Data!$I:$J,2,FALSE)</f>
        <v>#N/A</v>
      </c>
      <c r="AB71" s="126"/>
    </row>
    <row r="72" ht="15.25" spans="2:28">
      <c r="B72" s="58">
        <v>3</v>
      </c>
      <c r="C72" s="59">
        <f>VLOOKUP("36/205/3",Data!$A$2:$E$1425,3,FALSE)</f>
        <v>0</v>
      </c>
      <c r="D72" s="56"/>
      <c r="E72" s="57"/>
      <c r="G72" s="58"/>
      <c r="H72" s="59">
        <f>VLOOKUP("36/216/3",Data!$A$2:$E$1425,3,FALSE)</f>
        <v>0</v>
      </c>
      <c r="I72" s="56"/>
      <c r="J72" s="57"/>
      <c r="L72" s="6">
        <f>COUNTA(B62)+L71</f>
        <v>47</v>
      </c>
      <c r="M72" s="79" t="str">
        <f>C62</f>
        <v>71063 Frederik</v>
      </c>
      <c r="N72" s="80" t="s">
        <v>7430</v>
      </c>
      <c r="O72" s="81">
        <v>36</v>
      </c>
      <c r="P72" s="81">
        <v>203</v>
      </c>
      <c r="Q72" s="62" t="str">
        <f>_xlfn.IFS(COUNTA(B62:B64)=1,"Single",COUNTA(B62:B64)=2,"Double",COUNTA(B62:B64)=3,"Triple",COUNTA(B62:B64)=0,"Empty")</f>
        <v>Triple</v>
      </c>
      <c r="R72" s="62"/>
      <c r="S72" s="62"/>
      <c r="T72" s="62"/>
      <c r="U72" s="81">
        <f>B62</f>
        <v>1</v>
      </c>
      <c r="V72" s="100">
        <f>COUNT(B62:B64)</f>
        <v>3</v>
      </c>
      <c r="W72" s="101"/>
      <c r="X72" s="108" t="str">
        <f>IF(D62=0,"",D62)</f>
        <v/>
      </c>
      <c r="Y72" s="108" t="str">
        <f>IF(E62=0,"",E62)</f>
        <v/>
      </c>
      <c r="Z72" s="120" t="s">
        <v>7912</v>
      </c>
      <c r="AA72" s="121" t="e">
        <f>VLOOKUP($M:$M,Data!$I:$J,2,FALSE)</f>
        <v>#N/A</v>
      </c>
      <c r="AB72" s="122"/>
    </row>
    <row r="73" spans="2:28">
      <c r="B73" s="46">
        <v>206</v>
      </c>
      <c r="C73" s="47"/>
      <c r="D73" s="48" t="s">
        <v>6580</v>
      </c>
      <c r="E73" s="49" t="s">
        <v>6581</v>
      </c>
      <c r="G73" s="67" t="s">
        <v>7435</v>
      </c>
      <c r="H73" s="68"/>
      <c r="I73" s="68"/>
      <c r="J73" s="86"/>
      <c r="L73" s="9">
        <f>COUNTA(B63)+L72</f>
        <v>48</v>
      </c>
      <c r="M73" s="31">
        <f>C63</f>
        <v>0</v>
      </c>
      <c r="N73" s="82" t="s">
        <v>7430</v>
      </c>
      <c r="O73" s="36">
        <v>36</v>
      </c>
      <c r="P73" s="36">
        <v>203</v>
      </c>
      <c r="Q73" s="32"/>
      <c r="R73" s="32"/>
      <c r="S73" s="32"/>
      <c r="T73" s="32"/>
      <c r="U73" s="36">
        <f>B63</f>
        <v>2</v>
      </c>
      <c r="V73" s="103"/>
      <c r="W73" s="104"/>
      <c r="X73" s="109" t="str">
        <f t="shared" ref="X73:Y74" si="22">IF(D63=0,"",D63)</f>
        <v/>
      </c>
      <c r="Y73" s="109" t="str">
        <f t="shared" si="22"/>
        <v/>
      </c>
      <c r="Z73" s="123" t="s">
        <v>7913</v>
      </c>
      <c r="AA73" s="124" t="e">
        <f>VLOOKUP($M:$M,Data!$I:$J,2,FALSE)</f>
        <v>#N/A</v>
      </c>
      <c r="AB73" s="125"/>
    </row>
    <row r="74" ht="15.25" spans="2:28">
      <c r="B74" s="50">
        <v>1</v>
      </c>
      <c r="C74" s="51">
        <f>VLOOKUP("36/206/1",Data!$A$2:$E$1425,3,FALSE)</f>
        <v>0</v>
      </c>
      <c r="D74" s="52"/>
      <c r="E74" s="53"/>
      <c r="G74" s="69"/>
      <c r="H74" s="70"/>
      <c r="I74" s="70"/>
      <c r="J74" s="87"/>
      <c r="L74" s="14">
        <f>COUNTA(B64)+L73</f>
        <v>49</v>
      </c>
      <c r="M74" s="83">
        <f>C64</f>
        <v>0</v>
      </c>
      <c r="N74" s="84" t="s">
        <v>7430</v>
      </c>
      <c r="O74" s="85">
        <v>36</v>
      </c>
      <c r="P74" s="85">
        <v>203</v>
      </c>
      <c r="Q74" s="110"/>
      <c r="R74" s="110"/>
      <c r="S74" s="110"/>
      <c r="T74" s="110"/>
      <c r="U74" s="85">
        <f>B64</f>
        <v>3</v>
      </c>
      <c r="V74" s="105"/>
      <c r="W74" s="106"/>
      <c r="X74" s="111" t="str">
        <f t="shared" si="22"/>
        <v/>
      </c>
      <c r="Y74" s="111" t="str">
        <f t="shared" si="22"/>
        <v/>
      </c>
      <c r="Z74" s="127" t="s">
        <v>7914</v>
      </c>
      <c r="AA74" s="128" t="e">
        <f>VLOOKUP($M:$M,Data!$I:$J,2,FALSE)</f>
        <v>#N/A</v>
      </c>
      <c r="AB74" s="126"/>
    </row>
    <row r="75" spans="2:28">
      <c r="B75" s="50">
        <v>2</v>
      </c>
      <c r="C75" s="51">
        <f>VLOOKUP("36/206/2",Data!$A$2:$E$1425,3,FALSE)</f>
        <v>0</v>
      </c>
      <c r="D75" s="54"/>
      <c r="E75" s="55"/>
      <c r="G75" s="69"/>
      <c r="H75" s="70"/>
      <c r="I75" s="70"/>
      <c r="J75" s="87"/>
      <c r="L75" s="6">
        <f>COUNTA(B66)+L74</f>
        <v>50</v>
      </c>
      <c r="M75" s="79" t="str">
        <f>C66</f>
        <v>80001 NIKLAS</v>
      </c>
      <c r="N75" s="80" t="s">
        <v>7430</v>
      </c>
      <c r="O75" s="81">
        <v>36</v>
      </c>
      <c r="P75" s="81">
        <v>204</v>
      </c>
      <c r="Q75" s="62" t="str">
        <f>_xlfn.IFS(COUNTA(B66:B68)=1,"Single",COUNTA(B66:B68)=2,"Double",COUNTA(B66:B68)=3,"Triple",COUNTA(B66:B68)=0,"Empty")</f>
        <v>Triple</v>
      </c>
      <c r="R75" s="62"/>
      <c r="S75" s="62"/>
      <c r="T75" s="62"/>
      <c r="U75" s="81">
        <f>B66</f>
        <v>1</v>
      </c>
      <c r="V75" s="100">
        <f>COUNT(B66:B68)</f>
        <v>3</v>
      </c>
      <c r="W75" s="101"/>
      <c r="X75" s="108" t="str">
        <f>IF(D66=0,"",D66)</f>
        <v/>
      </c>
      <c r="Y75" s="108" t="str">
        <f>IF(E66=0,"",E66)</f>
        <v/>
      </c>
      <c r="Z75" s="120" t="s">
        <v>7915</v>
      </c>
      <c r="AA75" s="121" t="e">
        <f>VLOOKUP($M:$M,Data!$I:$J,2,FALSE)</f>
        <v>#N/A</v>
      </c>
      <c r="AB75" s="122"/>
    </row>
    <row r="76" ht="15.25" spans="2:28">
      <c r="B76" s="58">
        <v>3</v>
      </c>
      <c r="C76" s="59">
        <f>VLOOKUP("36/206/3",Data!$A$2:$E$1425,3,FALSE)</f>
        <v>0</v>
      </c>
      <c r="D76" s="56"/>
      <c r="E76" s="57"/>
      <c r="G76" s="69"/>
      <c r="H76" s="70"/>
      <c r="I76" s="70"/>
      <c r="J76" s="87"/>
      <c r="L76" s="9">
        <f>COUNTA(B67)+L75</f>
        <v>51</v>
      </c>
      <c r="M76" s="31">
        <f>C67</f>
        <v>0</v>
      </c>
      <c r="N76" s="82" t="s">
        <v>7430</v>
      </c>
      <c r="O76" s="36">
        <v>36</v>
      </c>
      <c r="P76" s="36">
        <v>204</v>
      </c>
      <c r="Q76" s="32"/>
      <c r="R76" s="32"/>
      <c r="S76" s="32"/>
      <c r="T76" s="32"/>
      <c r="U76" s="36">
        <f>B67</f>
        <v>2</v>
      </c>
      <c r="V76" s="103"/>
      <c r="W76" s="104"/>
      <c r="X76" s="109" t="str">
        <f t="shared" ref="X76:Y77" si="23">IF(D67=0,"",D67)</f>
        <v/>
      </c>
      <c r="Y76" s="109" t="str">
        <f t="shared" si="23"/>
        <v/>
      </c>
      <c r="Z76" s="123" t="s">
        <v>7916</v>
      </c>
      <c r="AA76" s="124" t="e">
        <f>VLOOKUP($M:$M,Data!$I:$J,2,FALSE)</f>
        <v>#N/A</v>
      </c>
      <c r="AB76" s="125"/>
    </row>
    <row r="77" ht="15.25" spans="2:28">
      <c r="B77" s="46">
        <v>207</v>
      </c>
      <c r="C77" s="47"/>
      <c r="D77" s="48" t="s">
        <v>6580</v>
      </c>
      <c r="E77" s="49" t="s">
        <v>6581</v>
      </c>
      <c r="G77" s="69"/>
      <c r="H77" s="70"/>
      <c r="I77" s="70"/>
      <c r="J77" s="87"/>
      <c r="L77" s="14">
        <f>COUNTA(B68)+L76</f>
        <v>52</v>
      </c>
      <c r="M77" s="83">
        <f>C68</f>
        <v>0</v>
      </c>
      <c r="N77" s="84" t="s">
        <v>7430</v>
      </c>
      <c r="O77" s="85">
        <v>36</v>
      </c>
      <c r="P77" s="85">
        <v>204</v>
      </c>
      <c r="Q77" s="110"/>
      <c r="R77" s="110"/>
      <c r="S77" s="110"/>
      <c r="T77" s="110"/>
      <c r="U77" s="85">
        <f>B68</f>
        <v>3</v>
      </c>
      <c r="V77" s="105"/>
      <c r="W77" s="106"/>
      <c r="X77" s="111" t="str">
        <f t="shared" si="23"/>
        <v/>
      </c>
      <c r="Y77" s="111" t="str">
        <f t="shared" si="23"/>
        <v/>
      </c>
      <c r="Z77" s="127" t="s">
        <v>7917</v>
      </c>
      <c r="AA77" s="128" t="e">
        <f>VLOOKUP($M:$M,Data!$I:$J,2,FALSE)</f>
        <v>#N/A</v>
      </c>
      <c r="AB77" s="126"/>
    </row>
    <row r="78" spans="2:28">
      <c r="B78" s="50">
        <v>1</v>
      </c>
      <c r="C78" s="51">
        <f>VLOOKUP("36/207/1",Data!$A$2:$E$1425,3,FALSE)</f>
        <v>0</v>
      </c>
      <c r="D78" s="52"/>
      <c r="E78" s="53"/>
      <c r="G78" s="69"/>
      <c r="H78" s="70"/>
      <c r="I78" s="70"/>
      <c r="J78" s="87"/>
      <c r="L78" s="6">
        <f>COUNTA(B70)+L77</f>
        <v>53</v>
      </c>
      <c r="M78" s="79">
        <f>C70</f>
        <v>0</v>
      </c>
      <c r="N78" s="80" t="s">
        <v>7430</v>
      </c>
      <c r="O78" s="81">
        <v>36</v>
      </c>
      <c r="P78" s="81">
        <v>205</v>
      </c>
      <c r="Q78" s="62" t="str">
        <f>_xlfn.IFS(COUNTA(B70:B72)=1,"Single",COUNTA(B70:B72)=2,"Double",COUNTA(B70:B72)=3,"Triple",COUNTA(B70:B72)=0,"Empty")</f>
        <v>Triple</v>
      </c>
      <c r="R78" s="62"/>
      <c r="S78" s="62"/>
      <c r="T78" s="62"/>
      <c r="U78" s="81">
        <f>B70</f>
        <v>1</v>
      </c>
      <c r="V78" s="100">
        <f>COUNT(B70:B72)</f>
        <v>3</v>
      </c>
      <c r="W78" s="101"/>
      <c r="X78" s="108" t="str">
        <f>IF(D70=0,"",D70)</f>
        <v/>
      </c>
      <c r="Y78" s="108" t="str">
        <f>IF(E70=0,"",E70)</f>
        <v/>
      </c>
      <c r="Z78" s="120" t="s">
        <v>7918</v>
      </c>
      <c r="AA78" s="121" t="e">
        <f>VLOOKUP($M:$M,Data!$I:$J,2,FALSE)</f>
        <v>#N/A</v>
      </c>
      <c r="AB78" s="122"/>
    </row>
    <row r="79" spans="2:28">
      <c r="B79" s="50">
        <v>2</v>
      </c>
      <c r="C79" s="51">
        <f>VLOOKUP("36/207/2",Data!$A$2:$E$1425,3,FALSE)</f>
        <v>0</v>
      </c>
      <c r="D79" s="54"/>
      <c r="E79" s="55"/>
      <c r="G79" s="69"/>
      <c r="H79" s="70"/>
      <c r="I79" s="70"/>
      <c r="J79" s="87"/>
      <c r="L79" s="9">
        <f>COUNTA(B71)+L78</f>
        <v>54</v>
      </c>
      <c r="M79" s="31">
        <f>C71</f>
        <v>0</v>
      </c>
      <c r="N79" s="82" t="s">
        <v>7430</v>
      </c>
      <c r="O79" s="36">
        <v>36</v>
      </c>
      <c r="P79" s="36">
        <v>205</v>
      </c>
      <c r="Q79" s="32"/>
      <c r="R79" s="32"/>
      <c r="S79" s="32"/>
      <c r="T79" s="32"/>
      <c r="U79" s="36">
        <f>B71</f>
        <v>2</v>
      </c>
      <c r="V79" s="103"/>
      <c r="W79" s="104"/>
      <c r="X79" s="109" t="str">
        <f t="shared" ref="X79:Y80" si="24">IF(D71=0,"",D71)</f>
        <v/>
      </c>
      <c r="Y79" s="109" t="str">
        <f t="shared" si="24"/>
        <v/>
      </c>
      <c r="Z79" s="123" t="s">
        <v>7919</v>
      </c>
      <c r="AA79" s="124" t="e">
        <f>VLOOKUP($M:$M,Data!$I:$J,2,FALSE)</f>
        <v>#N/A</v>
      </c>
      <c r="AB79" s="125"/>
    </row>
    <row r="80" ht="15.25" spans="2:28">
      <c r="B80" s="58"/>
      <c r="C80" s="59">
        <f>VLOOKUP("36/207/3",Data!$A$2:$E$1425,3,FALSE)</f>
        <v>0</v>
      </c>
      <c r="D80" s="56"/>
      <c r="E80" s="57"/>
      <c r="G80" s="71"/>
      <c r="H80" s="72"/>
      <c r="I80" s="72"/>
      <c r="J80" s="88"/>
      <c r="L80" s="14">
        <f>COUNTA(B72)+L79</f>
        <v>55</v>
      </c>
      <c r="M80" s="83">
        <f>C72</f>
        <v>0</v>
      </c>
      <c r="N80" s="84" t="s">
        <v>7430</v>
      </c>
      <c r="O80" s="85">
        <v>36</v>
      </c>
      <c r="P80" s="85">
        <v>205</v>
      </c>
      <c r="Q80" s="110"/>
      <c r="R80" s="110"/>
      <c r="S80" s="110"/>
      <c r="T80" s="110"/>
      <c r="U80" s="85">
        <f>B72</f>
        <v>3</v>
      </c>
      <c r="V80" s="105"/>
      <c r="W80" s="106"/>
      <c r="X80" s="111" t="str">
        <f t="shared" si="24"/>
        <v/>
      </c>
      <c r="Y80" s="111" t="str">
        <f t="shared" si="24"/>
        <v/>
      </c>
      <c r="Z80" s="127" t="s">
        <v>7920</v>
      </c>
      <c r="AA80" s="128" t="e">
        <f>VLOOKUP($M:$M,Data!$I:$J,2,FALSE)</f>
        <v>#N/A</v>
      </c>
      <c r="AB80" s="126"/>
    </row>
    <row r="81" spans="2:28">
      <c r="B81" s="46">
        <v>208</v>
      </c>
      <c r="C81" s="47"/>
      <c r="D81" s="48" t="s">
        <v>6580</v>
      </c>
      <c r="E81" s="49" t="s">
        <v>6581</v>
      </c>
      <c r="G81" s="46">
        <v>215</v>
      </c>
      <c r="H81" s="47"/>
      <c r="I81" s="48" t="s">
        <v>6580</v>
      </c>
      <c r="J81" s="49" t="s">
        <v>6581</v>
      </c>
      <c r="L81" s="6">
        <f>COUNTA(B74)+L80</f>
        <v>56</v>
      </c>
      <c r="M81" s="79">
        <f>C74</f>
        <v>0</v>
      </c>
      <c r="N81" s="80" t="s">
        <v>7430</v>
      </c>
      <c r="O81" s="81">
        <v>36</v>
      </c>
      <c r="P81" s="81">
        <v>206</v>
      </c>
      <c r="Q81" s="62" t="str">
        <f>_xlfn.IFS(COUNTA(B74:B76)=1,"Single",COUNTA(B74:B76)=2,"Double",COUNTA(B74:B76)=3,"Triple",COUNTA(B74:B76)=0,"Empty")</f>
        <v>Triple</v>
      </c>
      <c r="R81" s="62"/>
      <c r="S81" s="62"/>
      <c r="T81" s="62"/>
      <c r="U81" s="81">
        <f>B74</f>
        <v>1</v>
      </c>
      <c r="V81" s="100">
        <f>COUNT(B74:B76)</f>
        <v>3</v>
      </c>
      <c r="W81" s="101"/>
      <c r="X81" s="108" t="str">
        <f>IF(D74=0,"",D74)</f>
        <v/>
      </c>
      <c r="Y81" s="108" t="str">
        <f>IF(E74=0,"",E74)</f>
        <v/>
      </c>
      <c r="Z81" s="120" t="s">
        <v>7921</v>
      </c>
      <c r="AA81" s="121" t="e">
        <f>VLOOKUP($M:$M,Data!$I:$J,2,FALSE)</f>
        <v>#N/A</v>
      </c>
      <c r="AB81" s="122"/>
    </row>
    <row r="82" spans="2:28">
      <c r="B82" s="50">
        <v>1</v>
      </c>
      <c r="C82" s="51">
        <f>VLOOKUP("36/208/1",Data!$A$2:$E$1425,3,FALSE)</f>
        <v>0</v>
      </c>
      <c r="D82" s="52"/>
      <c r="E82" s="53"/>
      <c r="G82" s="50">
        <v>1</v>
      </c>
      <c r="H82" s="51">
        <f>VLOOKUP("36/215/1",Data!$A$2:$E$1425,3,FALSE)</f>
        <v>0</v>
      </c>
      <c r="I82" s="52"/>
      <c r="J82" s="53"/>
      <c r="L82" s="9">
        <f>COUNTA(B75)+L81</f>
        <v>57</v>
      </c>
      <c r="M82" s="31">
        <f>C75</f>
        <v>0</v>
      </c>
      <c r="N82" s="82" t="s">
        <v>7430</v>
      </c>
      <c r="O82" s="36">
        <v>36</v>
      </c>
      <c r="P82" s="36">
        <v>206</v>
      </c>
      <c r="Q82" s="32"/>
      <c r="R82" s="32"/>
      <c r="S82" s="32"/>
      <c r="T82" s="32"/>
      <c r="U82" s="36">
        <f>B75</f>
        <v>2</v>
      </c>
      <c r="V82" s="103"/>
      <c r="W82" s="104"/>
      <c r="X82" s="109" t="str">
        <f t="shared" ref="X82:Y83" si="25">IF(D75=0,"",D75)</f>
        <v/>
      </c>
      <c r="Y82" s="109" t="str">
        <f t="shared" si="25"/>
        <v/>
      </c>
      <c r="Z82" s="123" t="s">
        <v>6979</v>
      </c>
      <c r="AA82" s="124" t="e">
        <f>VLOOKUP($M:$M,Data!$I:$J,2,FALSE)</f>
        <v>#N/A</v>
      </c>
      <c r="AB82" s="125"/>
    </row>
    <row r="83" ht="15.25" spans="2:28">
      <c r="B83" s="50">
        <v>2</v>
      </c>
      <c r="C83" s="51">
        <f>VLOOKUP("36/208/2",Data!$A$2:$E$1425,3,FALSE)</f>
        <v>0</v>
      </c>
      <c r="D83" s="54"/>
      <c r="E83" s="55"/>
      <c r="G83" s="50">
        <v>2</v>
      </c>
      <c r="H83" s="51">
        <f>VLOOKUP("36/215/2",Data!$A$2:$E$1425,3,FALSE)</f>
        <v>0</v>
      </c>
      <c r="I83" s="54"/>
      <c r="J83" s="55"/>
      <c r="L83" s="14">
        <f>COUNTA(B76)+L82</f>
        <v>58</v>
      </c>
      <c r="M83" s="83">
        <f>C76</f>
        <v>0</v>
      </c>
      <c r="N83" s="84" t="s">
        <v>7430</v>
      </c>
      <c r="O83" s="85">
        <v>36</v>
      </c>
      <c r="P83" s="85">
        <v>206</v>
      </c>
      <c r="Q83" s="110"/>
      <c r="R83" s="110"/>
      <c r="S83" s="110"/>
      <c r="T83" s="110"/>
      <c r="U83" s="85">
        <f>B76</f>
        <v>3</v>
      </c>
      <c r="V83" s="105"/>
      <c r="W83" s="106"/>
      <c r="X83" s="111" t="str">
        <f t="shared" si="25"/>
        <v/>
      </c>
      <c r="Y83" s="111" t="str">
        <f t="shared" si="25"/>
        <v/>
      </c>
      <c r="Z83" s="127" t="s">
        <v>6996</v>
      </c>
      <c r="AA83" s="128" t="e">
        <f>VLOOKUP($M:$M,Data!$I:$J,2,FALSE)</f>
        <v>#N/A</v>
      </c>
      <c r="AB83" s="126"/>
    </row>
    <row r="84" ht="15.25" spans="2:28">
      <c r="B84" s="58"/>
      <c r="C84" s="59">
        <f>VLOOKUP("36/208/3",Data!$A$2:$E$1425,3,FALSE)</f>
        <v>0</v>
      </c>
      <c r="D84" s="56"/>
      <c r="E84" s="57"/>
      <c r="G84" s="58">
        <v>3</v>
      </c>
      <c r="H84" s="59">
        <f>VLOOKUP("36/215/3",Data!$A$2:$E$1425,3,FALSE)</f>
        <v>0</v>
      </c>
      <c r="I84" s="56"/>
      <c r="J84" s="57"/>
      <c r="L84" s="6">
        <f>COUNTA(B78)+L83</f>
        <v>59</v>
      </c>
      <c r="M84" s="79">
        <f>C78</f>
        <v>0</v>
      </c>
      <c r="N84" s="80" t="s">
        <v>7430</v>
      </c>
      <c r="O84" s="81">
        <v>36</v>
      </c>
      <c r="P84" s="81">
        <v>207</v>
      </c>
      <c r="Q84" s="62" t="str">
        <f>_xlfn.IFS(COUNTA(B78:B80)=1,"Single",COUNTA(B78:B80)=2,"Double",COUNTA(B78:B80)=3,"Triple",COUNTA(B78:B80)=0,"Empty")</f>
        <v>Double</v>
      </c>
      <c r="R84" s="62"/>
      <c r="S84" s="62"/>
      <c r="T84" s="62"/>
      <c r="U84" s="81">
        <f>B78</f>
        <v>1</v>
      </c>
      <c r="V84" s="100">
        <f>COUNT(B78:B80)</f>
        <v>2</v>
      </c>
      <c r="W84" s="101"/>
      <c r="X84" s="108" t="str">
        <f>IF(D78=0,"",D78)</f>
        <v/>
      </c>
      <c r="Y84" s="108" t="str">
        <f>IF(E78=0,"",E78)</f>
        <v/>
      </c>
      <c r="Z84" s="318" t="s">
        <v>6648</v>
      </c>
      <c r="AA84" s="121" t="e">
        <f>VLOOKUP($M:$M,Data!$I:$J,2,FALSE)</f>
        <v>#N/A</v>
      </c>
      <c r="AB84" s="122"/>
    </row>
    <row r="85" spans="2:28">
      <c r="B85" s="46">
        <v>209</v>
      </c>
      <c r="C85" s="47"/>
      <c r="D85" s="48" t="s">
        <v>6580</v>
      </c>
      <c r="E85" s="49" t="s">
        <v>6581</v>
      </c>
      <c r="G85" s="46">
        <v>214</v>
      </c>
      <c r="H85" s="47"/>
      <c r="I85" s="48" t="s">
        <v>6580</v>
      </c>
      <c r="J85" s="49" t="s">
        <v>6581</v>
      </c>
      <c r="L85" s="9">
        <f>COUNTA(B79)+L84</f>
        <v>60</v>
      </c>
      <c r="M85" s="31">
        <f>C79</f>
        <v>0</v>
      </c>
      <c r="N85" s="82" t="s">
        <v>7430</v>
      </c>
      <c r="O85" s="36">
        <v>36</v>
      </c>
      <c r="P85" s="36">
        <v>207</v>
      </c>
      <c r="Q85" s="32"/>
      <c r="R85" s="32"/>
      <c r="S85" s="32"/>
      <c r="T85" s="32"/>
      <c r="U85" s="36">
        <f>B79</f>
        <v>2</v>
      </c>
      <c r="V85" s="103"/>
      <c r="W85" s="104"/>
      <c r="X85" s="109" t="str">
        <f t="shared" ref="X85:Y86" si="26">IF(D79=0,"",D79)</f>
        <v/>
      </c>
      <c r="Y85" s="109" t="str">
        <f t="shared" si="26"/>
        <v/>
      </c>
      <c r="Z85" s="123" t="s">
        <v>6752</v>
      </c>
      <c r="AA85" s="124" t="e">
        <f>VLOOKUP($M:$M,Data!$I:$J,2,FALSE)</f>
        <v>#N/A</v>
      </c>
      <c r="AB85" s="125"/>
    </row>
    <row r="86" ht="15.25" spans="2:28">
      <c r="B86" s="50"/>
      <c r="C86" s="51">
        <f>VLOOKUP("36/209/1",Data!$A$2:$E$1425,3,FALSE)</f>
        <v>0</v>
      </c>
      <c r="D86" s="52"/>
      <c r="E86" s="53"/>
      <c r="G86" s="50">
        <v>1</v>
      </c>
      <c r="H86" s="51">
        <f>VLOOKUP("36/214/1",Data!$A$2:$E$1425,3,FALSE)</f>
        <v>0</v>
      </c>
      <c r="I86" s="52"/>
      <c r="J86" s="53"/>
      <c r="L86" s="14">
        <f>COUNTA(B80)+L85</f>
        <v>60</v>
      </c>
      <c r="M86" s="83">
        <f>C80</f>
        <v>0</v>
      </c>
      <c r="N86" s="84" t="s">
        <v>7430</v>
      </c>
      <c r="O86" s="85">
        <v>36</v>
      </c>
      <c r="P86" s="85">
        <v>207</v>
      </c>
      <c r="Q86" s="110"/>
      <c r="R86" s="110"/>
      <c r="S86" s="110"/>
      <c r="T86" s="110"/>
      <c r="U86" s="85">
        <f>B80</f>
        <v>0</v>
      </c>
      <c r="V86" s="105"/>
      <c r="W86" s="106"/>
      <c r="X86" s="111" t="str">
        <f t="shared" si="26"/>
        <v/>
      </c>
      <c r="Y86" s="111" t="str">
        <f t="shared" si="26"/>
        <v/>
      </c>
      <c r="Z86" s="127"/>
      <c r="AA86" s="128" t="e">
        <f>VLOOKUP($M:$M,Data!$I:$J,2,FALSE)</f>
        <v>#N/A</v>
      </c>
      <c r="AB86" s="126"/>
    </row>
    <row r="87" spans="2:28">
      <c r="B87" s="50">
        <v>2</v>
      </c>
      <c r="C87" s="51">
        <f>VLOOKUP("36/209/2",Data!$A$2:$E$1425,3,FALSE)</f>
        <v>0</v>
      </c>
      <c r="D87" s="54"/>
      <c r="E87" s="55"/>
      <c r="G87" s="50">
        <v>2</v>
      </c>
      <c r="H87" s="51">
        <f>VLOOKUP("36/214/2",Data!$A$2:$E$1425,3,FALSE)</f>
        <v>0</v>
      </c>
      <c r="I87" s="54"/>
      <c r="J87" s="55"/>
      <c r="L87" s="6">
        <f>COUNTA(B82)+L86</f>
        <v>61</v>
      </c>
      <c r="M87" s="79">
        <f>C82</f>
        <v>0</v>
      </c>
      <c r="N87" s="80" t="s">
        <v>7430</v>
      </c>
      <c r="O87" s="81">
        <v>36</v>
      </c>
      <c r="P87" s="81">
        <v>208</v>
      </c>
      <c r="Q87" s="62" t="str">
        <f>_xlfn.IFS(COUNTA(B82:B84)=1,"Single",COUNTA(B82:B84)=2,"Double",COUNTA(B82:B84)=3,"Triple",COUNTA(B82:B84)=0,"Empty")</f>
        <v>Double</v>
      </c>
      <c r="R87" s="62"/>
      <c r="S87" s="62"/>
      <c r="T87" s="62"/>
      <c r="U87" s="81">
        <f>B82</f>
        <v>1</v>
      </c>
      <c r="V87" s="100">
        <f>COUNT(B82:B84)</f>
        <v>2</v>
      </c>
      <c r="W87" s="101"/>
      <c r="X87" s="108" t="str">
        <f>IF(D82=0,"",D82)</f>
        <v/>
      </c>
      <c r="Y87" s="108" t="str">
        <f>IF(E82=0,"",E82)</f>
        <v/>
      </c>
      <c r="Z87" s="120" t="s">
        <v>7922</v>
      </c>
      <c r="AA87" s="121" t="e">
        <f>VLOOKUP($M:$M,Data!$I:$J,2,FALSE)</f>
        <v>#N/A</v>
      </c>
      <c r="AB87" s="122"/>
    </row>
    <row r="88" ht="15.25" spans="2:28">
      <c r="B88" s="58">
        <v>3</v>
      </c>
      <c r="C88" s="59">
        <f>VLOOKUP("36/209/3",Data!$A$2:$E$1425,3,FALSE)</f>
        <v>0</v>
      </c>
      <c r="D88" s="56"/>
      <c r="E88" s="57"/>
      <c r="G88" s="58">
        <v>3</v>
      </c>
      <c r="H88" s="59">
        <f>VLOOKUP("36/214/3",Data!$A$2:$E$1425,3,FALSE)</f>
        <v>0</v>
      </c>
      <c r="I88" s="56"/>
      <c r="J88" s="57"/>
      <c r="L88" s="9">
        <f>COUNTA(B83)+L87</f>
        <v>62</v>
      </c>
      <c r="M88" s="31">
        <f>C83</f>
        <v>0</v>
      </c>
      <c r="N88" s="82" t="s">
        <v>7430</v>
      </c>
      <c r="O88" s="36">
        <v>36</v>
      </c>
      <c r="P88" s="36">
        <v>208</v>
      </c>
      <c r="Q88" s="32"/>
      <c r="R88" s="32"/>
      <c r="S88" s="32"/>
      <c r="T88" s="32"/>
      <c r="U88" s="36">
        <f>B83</f>
        <v>2</v>
      </c>
      <c r="V88" s="103"/>
      <c r="W88" s="104"/>
      <c r="X88" s="109" t="str">
        <f t="shared" ref="X88:Y89" si="27">IF(D83=0,"",D83)</f>
        <v/>
      </c>
      <c r="Y88" s="109" t="str">
        <f t="shared" si="27"/>
        <v/>
      </c>
      <c r="Z88" s="123" t="s">
        <v>7923</v>
      </c>
      <c r="AA88" s="124" t="e">
        <f>VLOOKUP($M:$M,Data!$I:$J,2,FALSE)</f>
        <v>#N/A</v>
      </c>
      <c r="AB88" s="125"/>
    </row>
    <row r="89" ht="15.25" spans="2:28">
      <c r="B89" s="46">
        <v>210</v>
      </c>
      <c r="C89" s="47"/>
      <c r="D89" s="48" t="s">
        <v>6580</v>
      </c>
      <c r="E89" s="49" t="s">
        <v>6581</v>
      </c>
      <c r="G89" s="46">
        <v>213</v>
      </c>
      <c r="H89" s="47"/>
      <c r="I89" s="48" t="s">
        <v>6580</v>
      </c>
      <c r="J89" s="49" t="s">
        <v>6581</v>
      </c>
      <c r="L89" s="14">
        <f>COUNTA(B84)+L88</f>
        <v>62</v>
      </c>
      <c r="M89" s="83">
        <f>C84</f>
        <v>0</v>
      </c>
      <c r="N89" s="84" t="s">
        <v>7430</v>
      </c>
      <c r="O89" s="85">
        <v>36</v>
      </c>
      <c r="P89" s="85">
        <v>208</v>
      </c>
      <c r="Q89" s="110"/>
      <c r="R89" s="110"/>
      <c r="S89" s="110"/>
      <c r="T89" s="110"/>
      <c r="U89" s="85">
        <f>B84</f>
        <v>0</v>
      </c>
      <c r="V89" s="105"/>
      <c r="W89" s="106"/>
      <c r="X89" s="111" t="str">
        <f t="shared" si="27"/>
        <v/>
      </c>
      <c r="Y89" s="111" t="str">
        <f t="shared" si="27"/>
        <v/>
      </c>
      <c r="Z89" s="127"/>
      <c r="AA89" s="128" t="e">
        <f>VLOOKUP($M:$M,Data!$I:$J,2,FALSE)</f>
        <v>#N/A</v>
      </c>
      <c r="AB89" s="126"/>
    </row>
    <row r="90" spans="2:28">
      <c r="B90" s="50">
        <v>1</v>
      </c>
      <c r="C90" s="51">
        <f>VLOOKUP("36/210/1",Data!$A$2:$E$1425,3,FALSE)</f>
        <v>0</v>
      </c>
      <c r="D90" s="52"/>
      <c r="E90" s="53"/>
      <c r="G90" s="50">
        <v>1</v>
      </c>
      <c r="H90" s="51">
        <f>VLOOKUP("36/213/1",Data!$A$2:$E$1425,3,FALSE)</f>
        <v>0</v>
      </c>
      <c r="I90" s="52"/>
      <c r="J90" s="53"/>
      <c r="L90" s="6">
        <f>COUNTA(B86)+L89</f>
        <v>62</v>
      </c>
      <c r="M90" s="79">
        <f>C86</f>
        <v>0</v>
      </c>
      <c r="N90" s="80" t="s">
        <v>7430</v>
      </c>
      <c r="O90" s="81">
        <v>36</v>
      </c>
      <c r="P90" s="81">
        <v>209</v>
      </c>
      <c r="Q90" s="62" t="str">
        <f>_xlfn.IFS(COUNTA(B86:B88)=1,"Single",COUNTA(B86:B88)=2,"Double",COUNTA(B86:B88)=3,"Triple",COUNTA(B86:B88)=0,"Empty")</f>
        <v>Double</v>
      </c>
      <c r="R90" s="62"/>
      <c r="S90" s="62"/>
      <c r="T90" s="62"/>
      <c r="U90" s="81">
        <f>B86</f>
        <v>0</v>
      </c>
      <c r="V90" s="100">
        <f>COUNT(B86:B88)</f>
        <v>2</v>
      </c>
      <c r="W90" s="101"/>
      <c r="X90" s="108" t="str">
        <f>IF(D86=0,"",D86)</f>
        <v/>
      </c>
      <c r="Y90" s="108" t="str">
        <f>IF(E86=0,"",E86)</f>
        <v/>
      </c>
      <c r="Z90" s="120" t="s">
        <v>7007</v>
      </c>
      <c r="AA90" s="121" t="e">
        <f>VLOOKUP($M:$M,Data!$I:$J,2,FALSE)</f>
        <v>#N/A</v>
      </c>
      <c r="AB90" s="122"/>
    </row>
    <row r="91" spans="2:28">
      <c r="B91" s="50">
        <v>2</v>
      </c>
      <c r="C91" s="51">
        <f>VLOOKUP("36/210/2",Data!$A$2:$E$1425,3,FALSE)</f>
        <v>0</v>
      </c>
      <c r="D91" s="54"/>
      <c r="E91" s="55"/>
      <c r="G91" s="50">
        <v>2</v>
      </c>
      <c r="H91" s="51">
        <f>VLOOKUP("36/213/2",Data!$A$2:$E$1425,3,FALSE)</f>
        <v>0</v>
      </c>
      <c r="I91" s="54"/>
      <c r="J91" s="55"/>
      <c r="L91" s="9">
        <f>COUNTA(B87)+L90</f>
        <v>63</v>
      </c>
      <c r="M91" s="31">
        <f>C87</f>
        <v>0</v>
      </c>
      <c r="N91" s="82" t="s">
        <v>7430</v>
      </c>
      <c r="O91" s="36">
        <v>36</v>
      </c>
      <c r="P91" s="36">
        <v>209</v>
      </c>
      <c r="Q91" s="32"/>
      <c r="R91" s="32"/>
      <c r="S91" s="32"/>
      <c r="T91" s="32"/>
      <c r="U91" s="36">
        <f>B87</f>
        <v>2</v>
      </c>
      <c r="V91" s="103"/>
      <c r="W91" s="104"/>
      <c r="X91" s="109" t="str">
        <f t="shared" ref="X91:Y92" si="28">IF(D87=0,"",D87)</f>
        <v/>
      </c>
      <c r="Y91" s="109" t="str">
        <f t="shared" si="28"/>
        <v/>
      </c>
      <c r="Z91" s="123" t="s">
        <v>7582</v>
      </c>
      <c r="AA91" s="124" t="e">
        <f>VLOOKUP($M:$M,Data!$I:$J,2,FALSE)</f>
        <v>#N/A</v>
      </c>
      <c r="AB91" s="125"/>
    </row>
    <row r="92" ht="15.25" spans="2:28">
      <c r="B92" s="58"/>
      <c r="C92" s="59">
        <f>VLOOKUP("36/210/3",Data!$A$2:$E$1425,3,FALSE)</f>
        <v>0</v>
      </c>
      <c r="D92" s="56"/>
      <c r="E92" s="57"/>
      <c r="G92" s="58"/>
      <c r="H92" s="59">
        <f>VLOOKUP("36/213/3",Data!$A$2:$E$1425,3,FALSE)</f>
        <v>0</v>
      </c>
      <c r="I92" s="56"/>
      <c r="J92" s="57"/>
      <c r="L92" s="14">
        <f>COUNTA(B88)+L91</f>
        <v>64</v>
      </c>
      <c r="M92" s="83">
        <f>C88</f>
        <v>0</v>
      </c>
      <c r="N92" s="84" t="s">
        <v>7430</v>
      </c>
      <c r="O92" s="85">
        <v>36</v>
      </c>
      <c r="P92" s="85">
        <v>209</v>
      </c>
      <c r="Q92" s="110"/>
      <c r="R92" s="110"/>
      <c r="S92" s="110"/>
      <c r="T92" s="110"/>
      <c r="U92" s="85">
        <f>B88</f>
        <v>3</v>
      </c>
      <c r="V92" s="105"/>
      <c r="W92" s="106"/>
      <c r="X92" s="111" t="str">
        <f t="shared" si="28"/>
        <v/>
      </c>
      <c r="Y92" s="111" t="str">
        <f t="shared" si="28"/>
        <v/>
      </c>
      <c r="Z92" s="127"/>
      <c r="AA92" s="128" t="e">
        <f>VLOOKUP($M:$M,Data!$I:$J,2,FALSE)</f>
        <v>#N/A</v>
      </c>
      <c r="AB92" s="126"/>
    </row>
    <row r="93" spans="2:28">
      <c r="B93" s="46">
        <v>211</v>
      </c>
      <c r="C93" s="47"/>
      <c r="D93" s="48" t="s">
        <v>6580</v>
      </c>
      <c r="E93" s="49" t="s">
        <v>6581</v>
      </c>
      <c r="G93" s="46">
        <v>212</v>
      </c>
      <c r="H93" s="47"/>
      <c r="I93" s="48" t="s">
        <v>6580</v>
      </c>
      <c r="J93" s="49" t="s">
        <v>6581</v>
      </c>
      <c r="L93" s="6">
        <f>COUNTA(B90)+L92</f>
        <v>65</v>
      </c>
      <c r="M93" s="79">
        <f>C90</f>
        <v>0</v>
      </c>
      <c r="N93" s="80" t="s">
        <v>7430</v>
      </c>
      <c r="O93" s="81">
        <v>36</v>
      </c>
      <c r="P93" s="81">
        <v>210</v>
      </c>
      <c r="Q93" s="62" t="str">
        <f>_xlfn.IFS(COUNTA(B90:B92)=1,"Single",COUNTA(B90:B92)=2,"Double",COUNTA(B90:B92)=3,"Triple",COUNTA(B90:B92)=0,"Empty")</f>
        <v>Double</v>
      </c>
      <c r="R93" s="62"/>
      <c r="S93" s="62"/>
      <c r="T93" s="62"/>
      <c r="U93" s="81">
        <f>B90</f>
        <v>1</v>
      </c>
      <c r="V93" s="100">
        <f>COUNT(B90:B92)</f>
        <v>2</v>
      </c>
      <c r="W93" s="101"/>
      <c r="X93" s="108" t="str">
        <f>IF(D90=0,"",D90)</f>
        <v/>
      </c>
      <c r="Y93" s="108" t="str">
        <f>IF(E90=0,"",E90)</f>
        <v/>
      </c>
      <c r="Z93" s="120" t="s">
        <v>7924</v>
      </c>
      <c r="AA93" s="121" t="e">
        <f>VLOOKUP($M:$M,Data!$I:$J,2,FALSE)</f>
        <v>#N/A</v>
      </c>
      <c r="AB93" s="122"/>
    </row>
    <row r="94" spans="2:28">
      <c r="B94" s="50">
        <v>1</v>
      </c>
      <c r="C94" s="51">
        <f>VLOOKUP("36/211/1",Data!$A$2:$E$1425,3,FALSE)</f>
        <v>0</v>
      </c>
      <c r="D94" s="52"/>
      <c r="E94" s="53"/>
      <c r="G94" s="50">
        <v>1</v>
      </c>
      <c r="H94" s="51">
        <f>VLOOKUP("36/212/1",Data!$A$2:$E$1425,3,FALSE)</f>
        <v>0</v>
      </c>
      <c r="I94" s="52"/>
      <c r="J94" s="53"/>
      <c r="L94" s="9">
        <f>COUNTA(B91)+L93</f>
        <v>66</v>
      </c>
      <c r="M94" s="31">
        <f>C91</f>
        <v>0</v>
      </c>
      <c r="N94" s="82" t="s">
        <v>7430</v>
      </c>
      <c r="O94" s="36">
        <v>36</v>
      </c>
      <c r="P94" s="36">
        <v>210</v>
      </c>
      <c r="Q94" s="32"/>
      <c r="R94" s="32"/>
      <c r="S94" s="32"/>
      <c r="T94" s="32"/>
      <c r="U94" s="36">
        <f>B91</f>
        <v>2</v>
      </c>
      <c r="V94" s="103"/>
      <c r="W94" s="104"/>
      <c r="X94" s="109" t="str">
        <f t="shared" ref="X94:Y95" si="29">IF(D91=0,"",D91)</f>
        <v/>
      </c>
      <c r="Y94" s="109" t="str">
        <f t="shared" si="29"/>
        <v/>
      </c>
      <c r="Z94" s="123" t="s">
        <v>7925</v>
      </c>
      <c r="AA94" s="124" t="e">
        <f>VLOOKUP($M:$M,Data!$I:$J,2,FALSE)</f>
        <v>#N/A</v>
      </c>
      <c r="AB94" s="125"/>
    </row>
    <row r="95" ht="15.25" spans="2:28">
      <c r="B95" s="50"/>
      <c r="C95" s="51">
        <f>VLOOKUP("36/211/2",Data!$A$2:$E$1425,3,FALSE)</f>
        <v>0</v>
      </c>
      <c r="D95" s="54"/>
      <c r="E95" s="55"/>
      <c r="G95" s="50">
        <v>2</v>
      </c>
      <c r="H95" s="51">
        <f>VLOOKUP("36/212/2",Data!$A$2:$E$1425,3,FALSE)</f>
        <v>0</v>
      </c>
      <c r="I95" s="54"/>
      <c r="J95" s="55"/>
      <c r="L95" s="14">
        <f>COUNTA(B92)+L94</f>
        <v>66</v>
      </c>
      <c r="M95" s="83">
        <f>C92</f>
        <v>0</v>
      </c>
      <c r="N95" s="84" t="s">
        <v>7430</v>
      </c>
      <c r="O95" s="85">
        <v>36</v>
      </c>
      <c r="P95" s="85">
        <v>210</v>
      </c>
      <c r="Q95" s="110"/>
      <c r="R95" s="110"/>
      <c r="S95" s="110"/>
      <c r="T95" s="110"/>
      <c r="U95" s="85">
        <f>B92</f>
        <v>0</v>
      </c>
      <c r="V95" s="105"/>
      <c r="W95" s="106"/>
      <c r="X95" s="111" t="str">
        <f t="shared" si="29"/>
        <v/>
      </c>
      <c r="Y95" s="111" t="str">
        <f t="shared" si="29"/>
        <v/>
      </c>
      <c r="Z95" s="127"/>
      <c r="AA95" s="128" t="e">
        <f>VLOOKUP($M:$M,Data!$I:$J,2,FALSE)</f>
        <v>#N/A</v>
      </c>
      <c r="AB95" s="126"/>
    </row>
    <row r="96" ht="15.25" spans="2:28">
      <c r="B96" s="58"/>
      <c r="C96" s="59">
        <f>VLOOKUP("36/211/3",Data!$A$2:$E$1425,3,FALSE)</f>
        <v>0</v>
      </c>
      <c r="D96" s="56"/>
      <c r="E96" s="57"/>
      <c r="G96" s="58"/>
      <c r="H96" s="59">
        <f>VLOOKUP("36/212/3",Data!$A$2:$E$1425,3,FALSE)</f>
        <v>0</v>
      </c>
      <c r="I96" s="56"/>
      <c r="J96" s="57"/>
      <c r="L96" s="6">
        <f>COUNTA(B94)+L95</f>
        <v>67</v>
      </c>
      <c r="M96" s="79">
        <f>C94</f>
        <v>0</v>
      </c>
      <c r="N96" s="80" t="s">
        <v>7430</v>
      </c>
      <c r="O96" s="81">
        <v>36</v>
      </c>
      <c r="P96" s="81">
        <v>211</v>
      </c>
      <c r="Q96" s="62" t="str">
        <f>_xlfn.IFS(COUNTA(B94:B96)=1,"Single",COUNTA(B94:B96)=2,"Double",COUNTA(B94:B96)=3,"Triple",COUNTA(B94:B96)=0,"Empty")</f>
        <v>Single</v>
      </c>
      <c r="R96" s="62"/>
      <c r="S96" s="62"/>
      <c r="T96" s="62"/>
      <c r="U96" s="81">
        <f>B94</f>
        <v>1</v>
      </c>
      <c r="V96" s="100">
        <f>COUNT(B94:B96)</f>
        <v>1</v>
      </c>
      <c r="W96" s="101"/>
      <c r="X96" s="108" t="str">
        <f>IF(D94=0,"",D94)</f>
        <v/>
      </c>
      <c r="Y96" s="108" t="str">
        <f>IF(E94=0,"",E94)</f>
        <v/>
      </c>
      <c r="Z96" s="120" t="s">
        <v>7926</v>
      </c>
      <c r="AA96" s="121" t="e">
        <f>VLOOKUP($M:$M,Data!$I:$J,2,FALSE)</f>
        <v>#N/A</v>
      </c>
      <c r="AB96" s="122"/>
    </row>
    <row r="97" spans="12:28">
      <c r="L97" s="9">
        <f>COUNTA(B95)+L96</f>
        <v>67</v>
      </c>
      <c r="M97" s="31">
        <f>C95</f>
        <v>0</v>
      </c>
      <c r="N97" s="82" t="s">
        <v>7430</v>
      </c>
      <c r="O97" s="36">
        <v>36</v>
      </c>
      <c r="P97" s="36">
        <v>211</v>
      </c>
      <c r="Q97" s="32"/>
      <c r="R97" s="32"/>
      <c r="S97" s="32"/>
      <c r="T97" s="32"/>
      <c r="U97" s="36">
        <f>B95</f>
        <v>0</v>
      </c>
      <c r="V97" s="103"/>
      <c r="W97" s="104"/>
      <c r="X97" s="109" t="str">
        <f t="shared" ref="X97:Y98" si="30">IF(D95=0,"",D95)</f>
        <v/>
      </c>
      <c r="Y97" s="109" t="str">
        <f t="shared" si="30"/>
        <v/>
      </c>
      <c r="Z97" s="123"/>
      <c r="AA97" s="124" t="e">
        <f>VLOOKUP($M:$M,Data!$I:$J,2,FALSE)</f>
        <v>#N/A</v>
      </c>
      <c r="AB97" s="125"/>
    </row>
    <row r="98" ht="15.25" spans="12:28">
      <c r="L98" s="14">
        <f>COUNTA(B96)+L97</f>
        <v>67</v>
      </c>
      <c r="M98" s="83">
        <f>C96</f>
        <v>0</v>
      </c>
      <c r="N98" s="84" t="s">
        <v>7430</v>
      </c>
      <c r="O98" s="85">
        <v>36</v>
      </c>
      <c r="P98" s="85">
        <v>211</v>
      </c>
      <c r="Q98" s="110"/>
      <c r="R98" s="110"/>
      <c r="S98" s="110"/>
      <c r="T98" s="110"/>
      <c r="U98" s="85">
        <f>B96</f>
        <v>0</v>
      </c>
      <c r="V98" s="105"/>
      <c r="W98" s="106"/>
      <c r="X98" s="111" t="str">
        <f t="shared" si="30"/>
        <v/>
      </c>
      <c r="Y98" s="111" t="str">
        <f t="shared" si="30"/>
        <v/>
      </c>
      <c r="Z98" s="127"/>
      <c r="AA98" s="128" t="e">
        <f>VLOOKUP($M:$M,Data!$I:$J,2,FALSE)</f>
        <v>#N/A</v>
      </c>
      <c r="AB98" s="126"/>
    </row>
    <row r="99" spans="12:28">
      <c r="L99" s="6">
        <f>COUNTA(G94)+L98</f>
        <v>68</v>
      </c>
      <c r="M99" s="79">
        <f>H94</f>
        <v>0</v>
      </c>
      <c r="N99" s="80" t="s">
        <v>7430</v>
      </c>
      <c r="O99" s="81">
        <v>36</v>
      </c>
      <c r="P99" s="81">
        <v>212</v>
      </c>
      <c r="Q99" s="62" t="str">
        <f>_xlfn.IFS(COUNTA(G94:G96)=1,"Single",COUNTA(G94:G96)=2,"Double",COUNTA(G94:G96)=3,"Triple",COUNTA(G94:G96)=0,"Empty")</f>
        <v>Double</v>
      </c>
      <c r="R99" s="62"/>
      <c r="S99" s="62"/>
      <c r="T99" s="62"/>
      <c r="U99" s="81">
        <f>G94</f>
        <v>1</v>
      </c>
      <c r="V99" s="100">
        <f>COUNT(G94:G96)</f>
        <v>2</v>
      </c>
      <c r="W99" s="101"/>
      <c r="X99" s="108" t="str">
        <f>IF(I94=0,"",I94)</f>
        <v/>
      </c>
      <c r="Y99" s="108" t="str">
        <f>IF(J94=0,"",J94)</f>
        <v/>
      </c>
      <c r="Z99" s="120" t="s">
        <v>7546</v>
      </c>
      <c r="AA99" s="121" t="e">
        <f>VLOOKUP($M:$M,Data!$I:$J,2,FALSE)</f>
        <v>#N/A</v>
      </c>
      <c r="AB99" s="122"/>
    </row>
    <row r="100" spans="12:28">
      <c r="L100" s="9">
        <f>COUNTA(G95)+L99</f>
        <v>69</v>
      </c>
      <c r="M100" s="31">
        <f>H95</f>
        <v>0</v>
      </c>
      <c r="N100" s="82" t="s">
        <v>7430</v>
      </c>
      <c r="O100" s="36">
        <v>36</v>
      </c>
      <c r="P100" s="36">
        <v>212</v>
      </c>
      <c r="Q100" s="32"/>
      <c r="R100" s="32"/>
      <c r="S100" s="32"/>
      <c r="T100" s="32"/>
      <c r="U100" s="36">
        <f>G95</f>
        <v>2</v>
      </c>
      <c r="V100" s="103"/>
      <c r="W100" s="104"/>
      <c r="X100" s="109" t="str">
        <f t="shared" ref="X100:Y101" si="31">IF(I95=0,"",I95)</f>
        <v/>
      </c>
      <c r="Y100" s="109" t="str">
        <f t="shared" si="31"/>
        <v/>
      </c>
      <c r="Z100" s="123" t="s">
        <v>7753</v>
      </c>
      <c r="AA100" s="124" t="e">
        <f>VLOOKUP($M:$M,Data!$I:$J,2,FALSE)</f>
        <v>#N/A</v>
      </c>
      <c r="AB100" s="125"/>
    </row>
    <row r="101" ht="15.25" spans="12:28">
      <c r="L101" s="14">
        <f>COUNTA(G96)+L100</f>
        <v>69</v>
      </c>
      <c r="M101" s="83">
        <f>H96</f>
        <v>0</v>
      </c>
      <c r="N101" s="84" t="s">
        <v>7430</v>
      </c>
      <c r="O101" s="85">
        <v>36</v>
      </c>
      <c r="P101" s="85">
        <v>212</v>
      </c>
      <c r="Q101" s="110"/>
      <c r="R101" s="110"/>
      <c r="S101" s="110"/>
      <c r="T101" s="110"/>
      <c r="U101" s="85">
        <f>G96</f>
        <v>0</v>
      </c>
      <c r="V101" s="105"/>
      <c r="W101" s="106"/>
      <c r="X101" s="111" t="str">
        <f t="shared" si="31"/>
        <v/>
      </c>
      <c r="Y101" s="111" t="str">
        <f t="shared" si="31"/>
        <v/>
      </c>
      <c r="Z101" s="127"/>
      <c r="AA101" s="128" t="e">
        <f>VLOOKUP($M:$M,Data!$I:$J,2,FALSE)</f>
        <v>#N/A</v>
      </c>
      <c r="AB101" s="126"/>
    </row>
    <row r="102" spans="12:28">
      <c r="L102" s="6">
        <f>COUNTA(G90)+L101</f>
        <v>70</v>
      </c>
      <c r="M102" s="79">
        <f>H90</f>
        <v>0</v>
      </c>
      <c r="N102" s="80" t="s">
        <v>7430</v>
      </c>
      <c r="O102" s="81">
        <v>36</v>
      </c>
      <c r="P102" s="81">
        <v>213</v>
      </c>
      <c r="Q102" s="62" t="str">
        <f>_xlfn.IFS(COUNTA(G90:G92)=1,"Single",COUNTA(G90:G92)=2,"Double",COUNTA(G90:G92)=3,"Triple",COUNTA(G90:G92)=0,"Empty")</f>
        <v>Double</v>
      </c>
      <c r="R102" s="62"/>
      <c r="S102" s="62"/>
      <c r="T102" s="62"/>
      <c r="U102" s="81">
        <f>G90</f>
        <v>1</v>
      </c>
      <c r="V102" s="100">
        <f>COUNT(G90:G92)</f>
        <v>2</v>
      </c>
      <c r="W102" s="101"/>
      <c r="X102" s="108" t="str">
        <f>IF(I90=0,"",I90)</f>
        <v/>
      </c>
      <c r="Y102" s="108" t="str">
        <f>IF(J90=0,"",J90)</f>
        <v/>
      </c>
      <c r="Z102" s="120" t="s">
        <v>7267</v>
      </c>
      <c r="AA102" s="121" t="e">
        <f>VLOOKUP($M:$M,Data!$I:$J,2,FALSE)</f>
        <v>#N/A</v>
      </c>
      <c r="AB102" s="122"/>
    </row>
    <row r="103" spans="12:28">
      <c r="L103" s="9">
        <f>COUNTA(G91)+L102</f>
        <v>71</v>
      </c>
      <c r="M103" s="31">
        <f>H91</f>
        <v>0</v>
      </c>
      <c r="N103" s="82" t="s">
        <v>7430</v>
      </c>
      <c r="O103" s="36">
        <v>36</v>
      </c>
      <c r="P103" s="36">
        <v>213</v>
      </c>
      <c r="Q103" s="32"/>
      <c r="R103" s="32"/>
      <c r="S103" s="32"/>
      <c r="T103" s="32"/>
      <c r="U103" s="36">
        <f>G91</f>
        <v>2</v>
      </c>
      <c r="V103" s="103"/>
      <c r="W103" s="104"/>
      <c r="X103" s="109" t="str">
        <f t="shared" ref="X103:Y104" si="32">IF(I91=0,"",I91)</f>
        <v/>
      </c>
      <c r="Y103" s="109" t="str">
        <f t="shared" si="32"/>
        <v/>
      </c>
      <c r="Z103" s="123" t="s">
        <v>7683</v>
      </c>
      <c r="AA103" s="124" t="e">
        <f>VLOOKUP($M:$M,Data!$I:$J,2,FALSE)</f>
        <v>#N/A</v>
      </c>
      <c r="AB103" s="125"/>
    </row>
    <row r="104" ht="15.25" spans="12:28">
      <c r="L104" s="14">
        <f>COUNTA(G92)+L103</f>
        <v>71</v>
      </c>
      <c r="M104" s="83">
        <f>H92</f>
        <v>0</v>
      </c>
      <c r="N104" s="84" t="s">
        <v>7430</v>
      </c>
      <c r="O104" s="85">
        <v>36</v>
      </c>
      <c r="P104" s="85">
        <v>213</v>
      </c>
      <c r="Q104" s="110"/>
      <c r="R104" s="110"/>
      <c r="S104" s="110"/>
      <c r="T104" s="110"/>
      <c r="U104" s="85">
        <f>G92</f>
        <v>0</v>
      </c>
      <c r="V104" s="105"/>
      <c r="W104" s="106"/>
      <c r="X104" s="111" t="str">
        <f t="shared" si="32"/>
        <v/>
      </c>
      <c r="Y104" s="111" t="str">
        <f t="shared" si="32"/>
        <v/>
      </c>
      <c r="Z104" s="127"/>
      <c r="AA104" s="128" t="e">
        <f>VLOOKUP($M:$M,Data!$I:$J,2,FALSE)</f>
        <v>#N/A</v>
      </c>
      <c r="AB104" s="126"/>
    </row>
    <row r="105" spans="12:28">
      <c r="L105" s="6">
        <f>COUNTA(G86)+L104</f>
        <v>72</v>
      </c>
      <c r="M105" s="79">
        <f>H86</f>
        <v>0</v>
      </c>
      <c r="N105" s="80" t="s">
        <v>7430</v>
      </c>
      <c r="O105" s="81">
        <v>36</v>
      </c>
      <c r="P105" s="81">
        <v>214</v>
      </c>
      <c r="Q105" s="62" t="str">
        <f>_xlfn.IFS(COUNTA(G86:G88)=1,"Single",COUNTA(G86:G88)=2,"Double",COUNTA(G86:G88)=3,"Triple",COUNTA(G86:G88)=0,"Empty")</f>
        <v>Triple</v>
      </c>
      <c r="R105" s="62"/>
      <c r="S105" s="62"/>
      <c r="T105" s="62"/>
      <c r="U105" s="81">
        <f>G86</f>
        <v>1</v>
      </c>
      <c r="V105" s="100">
        <f>COUNT(G86:G88)</f>
        <v>3</v>
      </c>
      <c r="W105" s="101"/>
      <c r="X105" s="108" t="str">
        <f>IF(I86=0,"",I86)</f>
        <v/>
      </c>
      <c r="Y105" s="108" t="str">
        <f>IF(J86=0,"",J86)</f>
        <v/>
      </c>
      <c r="Z105" s="120" t="s">
        <v>7927</v>
      </c>
      <c r="AA105" s="121" t="e">
        <f>VLOOKUP($M:$M,Data!$I:$J,2,FALSE)</f>
        <v>#N/A</v>
      </c>
      <c r="AB105" s="122"/>
    </row>
    <row r="106" spans="12:28">
      <c r="L106" s="9">
        <f>COUNTA(G87)+L105</f>
        <v>73</v>
      </c>
      <c r="M106" s="31">
        <f>H87</f>
        <v>0</v>
      </c>
      <c r="N106" s="82" t="s">
        <v>7430</v>
      </c>
      <c r="O106" s="36">
        <v>36</v>
      </c>
      <c r="P106" s="36">
        <v>214</v>
      </c>
      <c r="Q106" s="32"/>
      <c r="R106" s="32"/>
      <c r="S106" s="32"/>
      <c r="T106" s="32"/>
      <c r="U106" s="36">
        <f>G87</f>
        <v>2</v>
      </c>
      <c r="V106" s="103"/>
      <c r="W106" s="104"/>
      <c r="X106" s="109" t="str">
        <f t="shared" ref="X106:Y107" si="33">IF(I87=0,"",I87)</f>
        <v/>
      </c>
      <c r="Y106" s="109" t="str">
        <f t="shared" si="33"/>
        <v/>
      </c>
      <c r="Z106" s="123" t="s">
        <v>7334</v>
      </c>
      <c r="AA106" s="124" t="e">
        <f>VLOOKUP($M:$M,Data!$I:$J,2,FALSE)</f>
        <v>#N/A</v>
      </c>
      <c r="AB106" s="125"/>
    </row>
    <row r="107" ht="15.25" spans="12:28">
      <c r="L107" s="14">
        <f>COUNTA(G88)+L106</f>
        <v>74</v>
      </c>
      <c r="M107" s="83">
        <f>H88</f>
        <v>0</v>
      </c>
      <c r="N107" s="84" t="s">
        <v>7430</v>
      </c>
      <c r="O107" s="85">
        <v>36</v>
      </c>
      <c r="P107" s="85">
        <v>214</v>
      </c>
      <c r="Q107" s="110"/>
      <c r="R107" s="110"/>
      <c r="S107" s="110"/>
      <c r="T107" s="110"/>
      <c r="U107" s="85">
        <f>G88</f>
        <v>3</v>
      </c>
      <c r="V107" s="105"/>
      <c r="W107" s="106"/>
      <c r="X107" s="111" t="str">
        <f t="shared" si="33"/>
        <v/>
      </c>
      <c r="Y107" s="111" t="str">
        <f t="shared" si="33"/>
        <v/>
      </c>
      <c r="Z107" s="127" t="s">
        <v>6969</v>
      </c>
      <c r="AA107" s="128" t="e">
        <f>VLOOKUP($M:$M,Data!$I:$J,2,FALSE)</f>
        <v>#N/A</v>
      </c>
      <c r="AB107" s="126"/>
    </row>
    <row r="108" spans="12:28">
      <c r="L108" s="6">
        <f>COUNTA(G82)+L107</f>
        <v>75</v>
      </c>
      <c r="M108" s="79">
        <f>H82</f>
        <v>0</v>
      </c>
      <c r="N108" s="80" t="s">
        <v>7430</v>
      </c>
      <c r="O108" s="81">
        <v>36</v>
      </c>
      <c r="P108" s="81">
        <v>215</v>
      </c>
      <c r="Q108" s="62" t="str">
        <f>_xlfn.IFS(COUNTA(G82:G84)=1,"Single",COUNTA(G82:G84)=2,"Double",COUNTA(G82:G84)=3,"Triple",COUNTA(G82:G84)=0,"Empty")</f>
        <v>Triple</v>
      </c>
      <c r="R108" s="62"/>
      <c r="S108" s="62"/>
      <c r="T108" s="62"/>
      <c r="U108" s="81">
        <f>G82</f>
        <v>1</v>
      </c>
      <c r="V108" s="100">
        <f>COUNT(G82:G84)</f>
        <v>3</v>
      </c>
      <c r="W108" s="101"/>
      <c r="X108" s="108" t="str">
        <f>IF(I82=0,"",I82)</f>
        <v/>
      </c>
      <c r="Y108" s="108" t="str">
        <f>IF(J82=0,"",J82)</f>
        <v/>
      </c>
      <c r="Z108" s="120" t="s">
        <v>7928</v>
      </c>
      <c r="AA108" s="121" t="e">
        <f>VLOOKUP($M:$M,Data!$I:$J,2,FALSE)</f>
        <v>#N/A</v>
      </c>
      <c r="AB108" s="122"/>
    </row>
    <row r="109" spans="12:28">
      <c r="L109" s="9">
        <f>COUNTA(G83)+L108</f>
        <v>76</v>
      </c>
      <c r="M109" s="31">
        <f>H83</f>
        <v>0</v>
      </c>
      <c r="N109" s="82" t="s">
        <v>7430</v>
      </c>
      <c r="O109" s="36">
        <v>36</v>
      </c>
      <c r="P109" s="36">
        <v>215</v>
      </c>
      <c r="Q109" s="32"/>
      <c r="R109" s="32"/>
      <c r="S109" s="32"/>
      <c r="T109" s="32"/>
      <c r="U109" s="36">
        <f>G83</f>
        <v>2</v>
      </c>
      <c r="V109" s="103"/>
      <c r="W109" s="104"/>
      <c r="X109" s="109" t="str">
        <f t="shared" ref="X109:Y110" si="34">IF(I83=0,"",I83)</f>
        <v/>
      </c>
      <c r="Y109" s="109" t="str">
        <f t="shared" si="34"/>
        <v/>
      </c>
      <c r="Z109" s="123" t="s">
        <v>7929</v>
      </c>
      <c r="AA109" s="124" t="e">
        <f>VLOOKUP($M:$M,Data!$I:$J,2,FALSE)</f>
        <v>#N/A</v>
      </c>
      <c r="AB109" s="125"/>
    </row>
    <row r="110" ht="15.25" spans="12:28">
      <c r="L110" s="14">
        <f>COUNTA(G84)+L109</f>
        <v>77</v>
      </c>
      <c r="M110" s="83">
        <f>H84</f>
        <v>0</v>
      </c>
      <c r="N110" s="84" t="s">
        <v>7430</v>
      </c>
      <c r="O110" s="85">
        <v>36</v>
      </c>
      <c r="P110" s="85">
        <v>215</v>
      </c>
      <c r="Q110" s="110"/>
      <c r="R110" s="110"/>
      <c r="S110" s="110"/>
      <c r="T110" s="110"/>
      <c r="U110" s="85">
        <f>G84</f>
        <v>3</v>
      </c>
      <c r="V110" s="105"/>
      <c r="W110" s="106"/>
      <c r="X110" s="111" t="str">
        <f t="shared" si="34"/>
        <v/>
      </c>
      <c r="Y110" s="111" t="str">
        <f t="shared" si="34"/>
        <v/>
      </c>
      <c r="Z110" s="127" t="s">
        <v>7412</v>
      </c>
      <c r="AA110" s="128" t="e">
        <f>VLOOKUP($M:$M,Data!$I:$J,2,FALSE)</f>
        <v>#N/A</v>
      </c>
      <c r="AB110" s="126"/>
    </row>
    <row r="111" spans="12:28">
      <c r="L111" s="6">
        <f>COUNTA(G70)+L110</f>
        <v>78</v>
      </c>
      <c r="M111" s="79" t="str">
        <f>H70</f>
        <v>71072 Michael</v>
      </c>
      <c r="N111" s="80" t="s">
        <v>7430</v>
      </c>
      <c r="O111" s="81">
        <v>36</v>
      </c>
      <c r="P111" s="81">
        <v>216</v>
      </c>
      <c r="Q111" s="62" t="str">
        <f>_xlfn.IFS(COUNTA(G70:G72)=1,"Single",COUNTA(G70:G72)=2,"Double",COUNTA(G70:G72)=3,"Triple",COUNTA(G70:G72)=0,"Empty")</f>
        <v>Double</v>
      </c>
      <c r="R111" s="62"/>
      <c r="S111" s="62"/>
      <c r="T111" s="62"/>
      <c r="U111" s="81">
        <f>G70</f>
        <v>1</v>
      </c>
      <c r="V111" s="100">
        <f>COUNT(G70:G72)</f>
        <v>2</v>
      </c>
      <c r="W111" s="101"/>
      <c r="X111" s="108" t="str">
        <f>IF(I70=0,"",I70)</f>
        <v/>
      </c>
      <c r="Y111" s="108" t="str">
        <f>IF(J70=0,"",J70)</f>
        <v/>
      </c>
      <c r="Z111" s="120" t="s">
        <v>7930</v>
      </c>
      <c r="AA111" s="121" t="e">
        <f>VLOOKUP($M:$M,Data!$I:$J,2,FALSE)</f>
        <v>#N/A</v>
      </c>
      <c r="AB111" s="122"/>
    </row>
    <row r="112" spans="12:28">
      <c r="L112" s="9">
        <f>COUNTA(G71)+L111</f>
        <v>79</v>
      </c>
      <c r="M112" s="31">
        <f>H71</f>
        <v>0</v>
      </c>
      <c r="N112" s="82" t="s">
        <v>7430</v>
      </c>
      <c r="O112" s="36">
        <v>36</v>
      </c>
      <c r="P112" s="36">
        <v>216</v>
      </c>
      <c r="Q112" s="32"/>
      <c r="R112" s="32"/>
      <c r="S112" s="32"/>
      <c r="T112" s="32"/>
      <c r="U112" s="36">
        <f>G71</f>
        <v>2</v>
      </c>
      <c r="V112" s="103"/>
      <c r="W112" s="104"/>
      <c r="X112" s="109" t="str">
        <f t="shared" ref="X112:Y113" si="35">IF(I71=0,"",I71)</f>
        <v/>
      </c>
      <c r="Y112" s="109" t="str">
        <f t="shared" si="35"/>
        <v/>
      </c>
      <c r="Z112" s="123" t="s">
        <v>7931</v>
      </c>
      <c r="AA112" s="124" t="e">
        <f>VLOOKUP($M:$M,Data!$I:$J,2,FALSE)</f>
        <v>#N/A</v>
      </c>
      <c r="AB112" s="125"/>
    </row>
    <row r="113" ht="15.25" spans="12:28">
      <c r="L113" s="14">
        <f>COUNTA(G72)+L112</f>
        <v>79</v>
      </c>
      <c r="M113" s="83">
        <f>H72</f>
        <v>0</v>
      </c>
      <c r="N113" s="84" t="s">
        <v>7430</v>
      </c>
      <c r="O113" s="85">
        <v>36</v>
      </c>
      <c r="P113" s="85">
        <v>216</v>
      </c>
      <c r="Q113" s="110"/>
      <c r="R113" s="110"/>
      <c r="S113" s="110"/>
      <c r="T113" s="110"/>
      <c r="U113" s="85">
        <f>G72</f>
        <v>0</v>
      </c>
      <c r="V113" s="105"/>
      <c r="W113" s="106"/>
      <c r="X113" s="111" t="str">
        <f t="shared" si="35"/>
        <v/>
      </c>
      <c r="Y113" s="111" t="str">
        <f t="shared" si="35"/>
        <v/>
      </c>
      <c r="Z113" s="127"/>
      <c r="AA113" s="128" t="e">
        <f>VLOOKUP($M:$M,Data!$I:$J,2,FALSE)</f>
        <v>#N/A</v>
      </c>
      <c r="AB113" s="126"/>
    </row>
    <row r="114" spans="12:28">
      <c r="L114" s="6">
        <f>COUNTA(G66)+L113</f>
        <v>80</v>
      </c>
      <c r="M114" s="79" t="str">
        <f>H66</f>
        <v>71076 Niklas</v>
      </c>
      <c r="N114" s="80" t="s">
        <v>7430</v>
      </c>
      <c r="O114" s="81">
        <v>36</v>
      </c>
      <c r="P114" s="81">
        <v>217</v>
      </c>
      <c r="Q114" s="62" t="str">
        <f>_xlfn.IFS(COUNTA(G66:G68)=1,"Single",COUNTA(G66:G68)=2,"Double",COUNTA(G66:G68)=3,"Triple",COUNTA(G66:G68)=0,"Empty")</f>
        <v>Double</v>
      </c>
      <c r="R114" s="62"/>
      <c r="S114" s="62"/>
      <c r="T114" s="62"/>
      <c r="U114" s="81">
        <f>G66</f>
        <v>1</v>
      </c>
      <c r="V114" s="100">
        <f>COUNT(G66:G68)</f>
        <v>2</v>
      </c>
      <c r="W114" s="101"/>
      <c r="X114" s="108" t="str">
        <f>IF(I66=0,"",I66)</f>
        <v/>
      </c>
      <c r="Y114" s="108" t="str">
        <f>IF(J66=0,"",J66)</f>
        <v/>
      </c>
      <c r="Z114" s="120" t="s">
        <v>7932</v>
      </c>
      <c r="AA114" s="121" t="e">
        <f>VLOOKUP($M:$M,Data!$I:$J,2,FALSE)</f>
        <v>#N/A</v>
      </c>
      <c r="AB114" s="122"/>
    </row>
    <row r="115" spans="12:28">
      <c r="L115" s="9">
        <f>COUNTA(G67)+L114</f>
        <v>81</v>
      </c>
      <c r="M115" s="31">
        <f>H67</f>
        <v>0</v>
      </c>
      <c r="N115" s="82" t="s">
        <v>7430</v>
      </c>
      <c r="O115" s="36">
        <v>36</v>
      </c>
      <c r="P115" s="36">
        <v>217</v>
      </c>
      <c r="Q115" s="32"/>
      <c r="R115" s="32"/>
      <c r="S115" s="32"/>
      <c r="T115" s="32"/>
      <c r="U115" s="36">
        <f>G67</f>
        <v>2</v>
      </c>
      <c r="V115" s="103"/>
      <c r="W115" s="104"/>
      <c r="X115" s="109" t="str">
        <f t="shared" ref="X115:Y116" si="36">IF(I67=0,"",I67)</f>
        <v/>
      </c>
      <c r="Y115" s="109" t="str">
        <f t="shared" si="36"/>
        <v/>
      </c>
      <c r="Z115" s="123" t="s">
        <v>6971</v>
      </c>
      <c r="AA115" s="124" t="e">
        <f>VLOOKUP($M:$M,Data!$I:$J,2,FALSE)</f>
        <v>#N/A</v>
      </c>
      <c r="AB115" s="125"/>
    </row>
    <row r="116" ht="15.25" spans="12:28">
      <c r="L116" s="14">
        <f>COUNTA(G68)+L115</f>
        <v>81</v>
      </c>
      <c r="M116" s="83">
        <f>H68</f>
        <v>0</v>
      </c>
      <c r="N116" s="84" t="s">
        <v>7430</v>
      </c>
      <c r="O116" s="85">
        <v>36</v>
      </c>
      <c r="P116" s="85">
        <v>217</v>
      </c>
      <c r="Q116" s="110"/>
      <c r="R116" s="110"/>
      <c r="S116" s="110"/>
      <c r="T116" s="110"/>
      <c r="U116" s="85">
        <f>G68</f>
        <v>0</v>
      </c>
      <c r="V116" s="105"/>
      <c r="W116" s="106"/>
      <c r="X116" s="111" t="str">
        <f t="shared" si="36"/>
        <v/>
      </c>
      <c r="Y116" s="111" t="str">
        <f t="shared" si="36"/>
        <v/>
      </c>
      <c r="Z116" s="127"/>
      <c r="AA116" s="128" t="e">
        <f>VLOOKUP($M:$M,Data!$I:$J,2,FALSE)</f>
        <v>#N/A</v>
      </c>
      <c r="AB116" s="126"/>
    </row>
    <row r="117" spans="12:28">
      <c r="L117" s="6">
        <f>COUNTA(G62)+L116</f>
        <v>82</v>
      </c>
      <c r="M117" s="79" t="str">
        <f>H62</f>
        <v>71013 Magnus</v>
      </c>
      <c r="N117" s="80" t="s">
        <v>7430</v>
      </c>
      <c r="O117" s="81">
        <v>36</v>
      </c>
      <c r="P117" s="81">
        <v>218</v>
      </c>
      <c r="Q117" s="62" t="str">
        <f>_xlfn.IFS(COUNTA(G62:G64)=1,"Single",COUNTA(G62:G64)=2,"Double",COUNTA(G62:G64)=3,"Triple",COUNTA(G62:G64)=0,"Empty")</f>
        <v>Double</v>
      </c>
      <c r="R117" s="62"/>
      <c r="S117" s="62"/>
      <c r="T117" s="62"/>
      <c r="U117" s="81">
        <f>G62</f>
        <v>1</v>
      </c>
      <c r="V117" s="100">
        <f>COUNT(G62:G64)</f>
        <v>2</v>
      </c>
      <c r="W117" s="101"/>
      <c r="X117" s="108" t="str">
        <f>IF(I62=0,"",I62)</f>
        <v/>
      </c>
      <c r="Y117" s="108" t="str">
        <f>IF(J62=0,"",J62)</f>
        <v/>
      </c>
      <c r="Z117" s="120" t="s">
        <v>7403</v>
      </c>
      <c r="AA117" s="121" t="e">
        <f>VLOOKUP($M:$M,Data!$I:$J,2,FALSE)</f>
        <v>#N/A</v>
      </c>
      <c r="AB117" s="122"/>
    </row>
    <row r="118" spans="12:28">
      <c r="L118" s="9">
        <f>COUNTA(G63)+L117</f>
        <v>83</v>
      </c>
      <c r="M118" s="31">
        <f>H63</f>
        <v>0</v>
      </c>
      <c r="N118" s="82" t="s">
        <v>7430</v>
      </c>
      <c r="O118" s="36">
        <v>36</v>
      </c>
      <c r="P118" s="36">
        <v>218</v>
      </c>
      <c r="Q118" s="32"/>
      <c r="R118" s="32"/>
      <c r="S118" s="32"/>
      <c r="T118" s="32"/>
      <c r="U118" s="36">
        <f>G63</f>
        <v>2</v>
      </c>
      <c r="V118" s="103"/>
      <c r="W118" s="104"/>
      <c r="X118" s="109" t="str">
        <f t="shared" ref="X118:Y119" si="37">IF(I63=0,"",I63)</f>
        <v/>
      </c>
      <c r="Y118" s="109" t="str">
        <f t="shared" si="37"/>
        <v/>
      </c>
      <c r="Z118" s="123" t="s">
        <v>7933</v>
      </c>
      <c r="AA118" s="124" t="e">
        <f>VLOOKUP($M:$M,Data!$I:$J,2,FALSE)</f>
        <v>#N/A</v>
      </c>
      <c r="AB118" s="125"/>
    </row>
    <row r="119" ht="15.25" spans="12:28">
      <c r="L119" s="14">
        <f>COUNTA(G64)+L118</f>
        <v>83</v>
      </c>
      <c r="M119" s="83">
        <f>H64</f>
        <v>0</v>
      </c>
      <c r="N119" s="84" t="s">
        <v>7430</v>
      </c>
      <c r="O119" s="85">
        <v>36</v>
      </c>
      <c r="P119" s="85">
        <v>218</v>
      </c>
      <c r="Q119" s="110"/>
      <c r="R119" s="110"/>
      <c r="S119" s="110"/>
      <c r="T119" s="110"/>
      <c r="U119" s="85">
        <f>G64</f>
        <v>0</v>
      </c>
      <c r="V119" s="105"/>
      <c r="W119" s="106"/>
      <c r="X119" s="111" t="str">
        <f t="shared" si="37"/>
        <v/>
      </c>
      <c r="Y119" s="111" t="str">
        <f t="shared" si="37"/>
        <v/>
      </c>
      <c r="Z119" s="127"/>
      <c r="AA119" s="128" t="e">
        <f>VLOOKUP($M:$M,Data!$I:$J,2,FALSE)</f>
        <v>#N/A</v>
      </c>
      <c r="AB119" s="126"/>
    </row>
    <row r="120" spans="12:28">
      <c r="L120" s="6">
        <f>COUNTA(G58)+L119</f>
        <v>84</v>
      </c>
      <c r="M120" s="79" t="str">
        <f>H58</f>
        <v>710012 Martina</v>
      </c>
      <c r="N120" s="80" t="s">
        <v>7430</v>
      </c>
      <c r="O120" s="81">
        <v>36</v>
      </c>
      <c r="P120" s="81">
        <v>219</v>
      </c>
      <c r="Q120" s="62" t="str">
        <f>_xlfn.IFS(COUNTA(G58:G60)=1,"Single",COUNTA(G58:G60)=2,"Double",COUNTA(G58:G60)=3,"Triple",COUNTA(G58:G60)=0,"Empty")</f>
        <v>Triple</v>
      </c>
      <c r="R120" s="62"/>
      <c r="S120" s="62"/>
      <c r="T120" s="62"/>
      <c r="U120" s="81">
        <f>G58</f>
        <v>1</v>
      </c>
      <c r="V120" s="100">
        <f>COUNT(G58:G60)</f>
        <v>3</v>
      </c>
      <c r="W120" s="101"/>
      <c r="X120" s="108" t="str">
        <f>IF(I58=0,"",I58)</f>
        <v/>
      </c>
      <c r="Y120" s="108" t="str">
        <f>IF(J58=0,"",J58)</f>
        <v/>
      </c>
      <c r="Z120" s="120" t="s">
        <v>7934</v>
      </c>
      <c r="AA120" s="121" t="e">
        <f>VLOOKUP($M:$M,Data!$I:$J,2,FALSE)</f>
        <v>#N/A</v>
      </c>
      <c r="AB120" s="122"/>
    </row>
    <row r="121" spans="12:28">
      <c r="L121" s="9">
        <f>COUNTA(G59)+L120</f>
        <v>85</v>
      </c>
      <c r="M121" s="31">
        <f>H59</f>
        <v>0</v>
      </c>
      <c r="N121" s="82" t="s">
        <v>7430</v>
      </c>
      <c r="O121" s="36">
        <v>36</v>
      </c>
      <c r="P121" s="36">
        <v>219</v>
      </c>
      <c r="Q121" s="32"/>
      <c r="R121" s="32"/>
      <c r="S121" s="32"/>
      <c r="T121" s="32"/>
      <c r="U121" s="36">
        <f>G59</f>
        <v>2</v>
      </c>
      <c r="V121" s="103"/>
      <c r="W121" s="104"/>
      <c r="X121" s="109" t="str">
        <f t="shared" ref="X121:Y122" si="38">IF(I59=0,"",I59)</f>
        <v/>
      </c>
      <c r="Y121" s="109" t="str">
        <f t="shared" si="38"/>
        <v/>
      </c>
      <c r="Z121" s="123" t="s">
        <v>7935</v>
      </c>
      <c r="AA121" s="124" t="e">
        <f>VLOOKUP($M:$M,Data!$I:$J,2,FALSE)</f>
        <v>#N/A</v>
      </c>
      <c r="AB121" s="125"/>
    </row>
    <row r="122" ht="15.25" spans="12:28">
      <c r="L122" s="14">
        <f>COUNTA(G60)+L121</f>
        <v>86</v>
      </c>
      <c r="M122" s="83">
        <f>H60</f>
        <v>0</v>
      </c>
      <c r="N122" s="84" t="s">
        <v>7430</v>
      </c>
      <c r="O122" s="85">
        <v>36</v>
      </c>
      <c r="P122" s="85">
        <v>219</v>
      </c>
      <c r="Q122" s="110"/>
      <c r="R122" s="110"/>
      <c r="S122" s="110"/>
      <c r="T122" s="110"/>
      <c r="U122" s="85">
        <f>G60</f>
        <v>3</v>
      </c>
      <c r="V122" s="105"/>
      <c r="W122" s="106"/>
      <c r="X122" s="111" t="str">
        <f t="shared" si="38"/>
        <v/>
      </c>
      <c r="Y122" s="111" t="str">
        <f t="shared" si="38"/>
        <v/>
      </c>
      <c r="Z122" s="127" t="s">
        <v>7022</v>
      </c>
      <c r="AA122" s="128" t="e">
        <f>VLOOKUP($M:$M,Data!$I:$J,2,FALSE)</f>
        <v>#N/A</v>
      </c>
      <c r="AB122" s="126"/>
    </row>
    <row r="123" spans="12:28">
      <c r="L123" s="6">
        <f>COUNTA(G54)+L122</f>
        <v>87</v>
      </c>
      <c r="M123" s="79" t="str">
        <f>H54</f>
        <v>71011 Alvaro</v>
      </c>
      <c r="N123" s="80" t="s">
        <v>7430</v>
      </c>
      <c r="O123" s="81">
        <v>36</v>
      </c>
      <c r="P123" s="81">
        <v>220</v>
      </c>
      <c r="Q123" s="62" t="str">
        <f>_xlfn.IFS(COUNTA(G54:G56)=1,"Single",COUNTA(G54:G56)=2,"Double",COUNTA(G54:G56)=3,"Triple",COUNTA(G54:G56)=0,"Empty")</f>
        <v>Double</v>
      </c>
      <c r="R123" s="62"/>
      <c r="S123" s="62"/>
      <c r="T123" s="62"/>
      <c r="U123" s="81">
        <f>G54</f>
        <v>1</v>
      </c>
      <c r="V123" s="100">
        <f>COUNT(G54:G56)</f>
        <v>2</v>
      </c>
      <c r="W123" s="101"/>
      <c r="X123" s="108" t="str">
        <f>IF(I54=0,"",I54)</f>
        <v/>
      </c>
      <c r="Y123" s="108" t="str">
        <f>IF(J54=0,"",J54)</f>
        <v/>
      </c>
      <c r="Z123" s="120" t="s">
        <v>7936</v>
      </c>
      <c r="AA123" s="121" t="e">
        <f>VLOOKUP($M:$M,Data!$I:$J,2,FALSE)</f>
        <v>#N/A</v>
      </c>
      <c r="AB123" s="122"/>
    </row>
    <row r="124" spans="12:28">
      <c r="L124" s="9">
        <f>COUNTA(G55)+L123</f>
        <v>87</v>
      </c>
      <c r="M124" s="31">
        <f t="shared" ref="M124:M125" si="39">H55</f>
        <v>0</v>
      </c>
      <c r="N124" s="82" t="s">
        <v>7430</v>
      </c>
      <c r="O124" s="36">
        <v>36</v>
      </c>
      <c r="P124" s="36">
        <v>220</v>
      </c>
      <c r="Q124" s="32"/>
      <c r="R124" s="32"/>
      <c r="S124" s="32"/>
      <c r="T124" s="32"/>
      <c r="U124" s="36">
        <f t="shared" ref="U124:U125" si="40">G55</f>
        <v>0</v>
      </c>
      <c r="V124" s="103"/>
      <c r="W124" s="104"/>
      <c r="X124" s="109" t="str">
        <f t="shared" ref="X124:Y125" si="41">IF(I55=0,"",I55)</f>
        <v/>
      </c>
      <c r="Y124" s="109" t="str">
        <f t="shared" si="41"/>
        <v/>
      </c>
      <c r="Z124" s="123" t="s">
        <v>7937</v>
      </c>
      <c r="AA124" s="124" t="e">
        <f>VLOOKUP($M:$M,Data!$I:$J,2,FALSE)</f>
        <v>#N/A</v>
      </c>
      <c r="AB124" s="125"/>
    </row>
    <row r="125" ht="15.25" spans="12:28">
      <c r="L125" s="14">
        <f>COUNTA(G56)+L124</f>
        <v>88</v>
      </c>
      <c r="M125" s="83">
        <f t="shared" si="39"/>
        <v>0</v>
      </c>
      <c r="N125" s="84" t="s">
        <v>7430</v>
      </c>
      <c r="O125" s="85">
        <v>36</v>
      </c>
      <c r="P125" s="85">
        <v>220</v>
      </c>
      <c r="Q125" s="110"/>
      <c r="R125" s="110"/>
      <c r="S125" s="110"/>
      <c r="T125" s="110"/>
      <c r="U125" s="85">
        <f t="shared" si="40"/>
        <v>3</v>
      </c>
      <c r="V125" s="105"/>
      <c r="W125" s="106"/>
      <c r="X125" s="111" t="str">
        <f t="shared" si="41"/>
        <v/>
      </c>
      <c r="Y125" s="111" t="str">
        <f t="shared" si="41"/>
        <v/>
      </c>
      <c r="Z125" s="127"/>
      <c r="AA125" s="128" t="e">
        <f>VLOOKUP($M:$M,Data!$I:$J,2,FALSE)</f>
        <v>#N/A</v>
      </c>
      <c r="AB125" s="126"/>
    </row>
  </sheetData>
  <mergeCells count="135">
    <mergeCell ref="P2:T2"/>
    <mergeCell ref="U2:W2"/>
    <mergeCell ref="X2:Y2"/>
    <mergeCell ref="C4:I4"/>
    <mergeCell ref="B5:E5"/>
    <mergeCell ref="G5:J5"/>
    <mergeCell ref="B6:C6"/>
    <mergeCell ref="G6:H6"/>
    <mergeCell ref="B10:C10"/>
    <mergeCell ref="G10:H10"/>
    <mergeCell ref="B14:C14"/>
    <mergeCell ref="G14:H14"/>
    <mergeCell ref="B18:C18"/>
    <mergeCell ref="G18:H18"/>
    <mergeCell ref="B22:C22"/>
    <mergeCell ref="G22:H22"/>
    <mergeCell ref="B26:C26"/>
    <mergeCell ref="B30:C30"/>
    <mergeCell ref="B34:C34"/>
    <mergeCell ref="G34:H34"/>
    <mergeCell ref="B38:C38"/>
    <mergeCell ref="G38:H38"/>
    <mergeCell ref="B42:C42"/>
    <mergeCell ref="G42:H42"/>
    <mergeCell ref="B46:C46"/>
    <mergeCell ref="G46:H46"/>
    <mergeCell ref="C51:I51"/>
    <mergeCell ref="B52:E52"/>
    <mergeCell ref="G52:J52"/>
    <mergeCell ref="B53:C53"/>
    <mergeCell ref="G53:H53"/>
    <mergeCell ref="B57:C57"/>
    <mergeCell ref="G57:H57"/>
    <mergeCell ref="B61:C61"/>
    <mergeCell ref="G61:H61"/>
    <mergeCell ref="B65:C65"/>
    <mergeCell ref="G65:H65"/>
    <mergeCell ref="B69:C69"/>
    <mergeCell ref="G69:H69"/>
    <mergeCell ref="B73:C73"/>
    <mergeCell ref="B77:C77"/>
    <mergeCell ref="B81:C81"/>
    <mergeCell ref="G81:H81"/>
    <mergeCell ref="B85:C85"/>
    <mergeCell ref="G85:H85"/>
    <mergeCell ref="B89:C89"/>
    <mergeCell ref="G89:H89"/>
    <mergeCell ref="B93:C93"/>
    <mergeCell ref="G93:H93"/>
    <mergeCell ref="L2:L3"/>
    <mergeCell ref="M2:M3"/>
    <mergeCell ref="N2:N3"/>
    <mergeCell ref="O2:O3"/>
    <mergeCell ref="Q6:T8"/>
    <mergeCell ref="V6:W8"/>
    <mergeCell ref="Q15:T17"/>
    <mergeCell ref="V15:W17"/>
    <mergeCell ref="Q18:T20"/>
    <mergeCell ref="V18:W20"/>
    <mergeCell ref="Q9:T11"/>
    <mergeCell ref="V9:W11"/>
    <mergeCell ref="Q12:T14"/>
    <mergeCell ref="V12:W14"/>
    <mergeCell ref="Q30:T32"/>
    <mergeCell ref="V30:W32"/>
    <mergeCell ref="Q33:T35"/>
    <mergeCell ref="V33:W35"/>
    <mergeCell ref="Q21:T23"/>
    <mergeCell ref="V21:W23"/>
    <mergeCell ref="Q24:T26"/>
    <mergeCell ref="V24:W26"/>
    <mergeCell ref="G26:J33"/>
    <mergeCell ref="Q27:T29"/>
    <mergeCell ref="V27:W29"/>
    <mergeCell ref="Q42:T44"/>
    <mergeCell ref="V42:W44"/>
    <mergeCell ref="Q45:T47"/>
    <mergeCell ref="V45:W47"/>
    <mergeCell ref="Q36:T38"/>
    <mergeCell ref="V36:W38"/>
    <mergeCell ref="Q39:T41"/>
    <mergeCell ref="V39:W41"/>
    <mergeCell ref="Q54:T56"/>
    <mergeCell ref="V54:W56"/>
    <mergeCell ref="Q57:T59"/>
    <mergeCell ref="V57:W59"/>
    <mergeCell ref="Q48:T50"/>
    <mergeCell ref="V48:W50"/>
    <mergeCell ref="Q51:T53"/>
    <mergeCell ref="V51:W53"/>
    <mergeCell ref="Q66:T68"/>
    <mergeCell ref="V66:W68"/>
    <mergeCell ref="Q69:T71"/>
    <mergeCell ref="V69:W71"/>
    <mergeCell ref="Q60:T62"/>
    <mergeCell ref="V60:W62"/>
    <mergeCell ref="Q63:T65"/>
    <mergeCell ref="V63:W65"/>
    <mergeCell ref="Q72:T74"/>
    <mergeCell ref="V72:W74"/>
    <mergeCell ref="G73:J80"/>
    <mergeCell ref="Q75:T77"/>
    <mergeCell ref="V75:W77"/>
    <mergeCell ref="Q78:T80"/>
    <mergeCell ref="V78:W80"/>
    <mergeCell ref="Q87:T89"/>
    <mergeCell ref="V87:W89"/>
    <mergeCell ref="Q90:T92"/>
    <mergeCell ref="V90:W92"/>
    <mergeCell ref="Q81:T83"/>
    <mergeCell ref="V81:W83"/>
    <mergeCell ref="Q84:T86"/>
    <mergeCell ref="V84:W86"/>
    <mergeCell ref="Q99:T101"/>
    <mergeCell ref="V99:W101"/>
    <mergeCell ref="Q102:T104"/>
    <mergeCell ref="V102:W104"/>
    <mergeCell ref="Q105:T107"/>
    <mergeCell ref="V105:W107"/>
    <mergeCell ref="Q93:T95"/>
    <mergeCell ref="V93:W95"/>
    <mergeCell ref="Q96:T98"/>
    <mergeCell ref="V96:W98"/>
    <mergeCell ref="Q117:T119"/>
    <mergeCell ref="V117:W119"/>
    <mergeCell ref="Q120:T122"/>
    <mergeCell ref="V120:W122"/>
    <mergeCell ref="Q123:T125"/>
    <mergeCell ref="V123:W125"/>
    <mergeCell ref="Q108:T110"/>
    <mergeCell ref="V108:W110"/>
    <mergeCell ref="Q111:T113"/>
    <mergeCell ref="V111:W113"/>
    <mergeCell ref="Q114:T116"/>
    <mergeCell ref="V114:W116"/>
  </mergeCells>
  <conditionalFormatting sqref="L6">
    <cfRule type="cellIs" dxfId="12" priority="532" operator="equal">
      <formula>0</formula>
    </cfRule>
  </conditionalFormatting>
  <conditionalFormatting sqref="B7:B9">
    <cfRule type="cellIs" dxfId="27" priority="515" operator="notEqual">
      <formula>0</formula>
    </cfRule>
    <cfRule type="expression" dxfId="28" priority="516">
      <formula>COUNTA(C7)&lt;&gt;0</formula>
    </cfRule>
  </conditionalFormatting>
  <conditionalFormatting sqref="B11:B13">
    <cfRule type="cellIs" dxfId="27" priority="513" operator="notEqual">
      <formula>0</formula>
    </cfRule>
    <cfRule type="expression" dxfId="28" priority="514">
      <formula>COUNTA(C11)&lt;&gt;0</formula>
    </cfRule>
  </conditionalFormatting>
  <conditionalFormatting sqref="B15:B17">
    <cfRule type="cellIs" dxfId="27" priority="507" operator="notEqual">
      <formula>0</formula>
    </cfRule>
    <cfRule type="expression" dxfId="28" priority="508">
      <formula>COUNTA(C15)&lt;&gt;0</formula>
    </cfRule>
  </conditionalFormatting>
  <conditionalFormatting sqref="B19:B21">
    <cfRule type="cellIs" dxfId="27" priority="505" operator="notEqual">
      <formula>0</formula>
    </cfRule>
    <cfRule type="expression" dxfId="28" priority="506">
      <formula>COUNTA(C19)&lt;&gt;0</formula>
    </cfRule>
  </conditionalFormatting>
  <conditionalFormatting sqref="B23:B25">
    <cfRule type="cellIs" dxfId="27" priority="499" operator="notEqual">
      <formula>0</formula>
    </cfRule>
    <cfRule type="expression" dxfId="28" priority="500">
      <formula>COUNTA(C23)&lt;&gt;0</formula>
    </cfRule>
  </conditionalFormatting>
  <conditionalFormatting sqref="B27:B29">
    <cfRule type="cellIs" dxfId="27" priority="497" operator="notEqual">
      <formula>0</formula>
    </cfRule>
    <cfRule type="expression" dxfId="28" priority="498">
      <formula>COUNTA(C27)&lt;&gt;0</formula>
    </cfRule>
  </conditionalFormatting>
  <conditionalFormatting sqref="B31:B33">
    <cfRule type="cellIs" dxfId="27" priority="495" operator="notEqual">
      <formula>0</formula>
    </cfRule>
    <cfRule type="expression" dxfId="28" priority="496">
      <formula>COUNTA(C31)&lt;&gt;0</formula>
    </cfRule>
  </conditionalFormatting>
  <conditionalFormatting sqref="B35:B37">
    <cfRule type="cellIs" dxfId="27" priority="493" operator="notEqual">
      <formula>0</formula>
    </cfRule>
    <cfRule type="expression" dxfId="28" priority="494">
      <formula>COUNTA(C35)&lt;&gt;0</formula>
    </cfRule>
  </conditionalFormatting>
  <conditionalFormatting sqref="B39:B41">
    <cfRule type="cellIs" dxfId="27" priority="487" operator="notEqual">
      <formula>0</formula>
    </cfRule>
    <cfRule type="expression" dxfId="28" priority="488">
      <formula>COUNTA(C39)&lt;&gt;0</formula>
    </cfRule>
  </conditionalFormatting>
  <conditionalFormatting sqref="B43:B45">
    <cfRule type="cellIs" dxfId="27" priority="485" operator="notEqual">
      <formula>0</formula>
    </cfRule>
    <cfRule type="expression" dxfId="28" priority="486">
      <formula>COUNTA(C43)&lt;&gt;0</formula>
    </cfRule>
  </conditionalFormatting>
  <conditionalFormatting sqref="B47:B49">
    <cfRule type="cellIs" dxfId="27" priority="479" operator="notEqual">
      <formula>0</formula>
    </cfRule>
    <cfRule type="expression" dxfId="28" priority="480">
      <formula>COUNTA(C47)&lt;&gt;0</formula>
    </cfRule>
  </conditionalFormatting>
  <conditionalFormatting sqref="B54:B56">
    <cfRule type="cellIs" dxfId="27" priority="455" operator="notEqual">
      <formula>0</formula>
    </cfRule>
    <cfRule type="expression" dxfId="28" priority="456">
      <formula>COUNTA(C54)&lt;&gt;0</formula>
    </cfRule>
  </conditionalFormatting>
  <conditionalFormatting sqref="B58:B60">
    <cfRule type="cellIs" dxfId="27" priority="453" operator="notEqual">
      <formula>0</formula>
    </cfRule>
    <cfRule type="expression" dxfId="28" priority="454">
      <formula>COUNTA(C58)&lt;&gt;0</formula>
    </cfRule>
  </conditionalFormatting>
  <conditionalFormatting sqref="B62:B64">
    <cfRule type="cellIs" dxfId="27" priority="447" operator="notEqual">
      <formula>0</formula>
    </cfRule>
    <cfRule type="expression" dxfId="28" priority="448">
      <formula>COUNTA(C62)&lt;&gt;0</formula>
    </cfRule>
  </conditionalFormatting>
  <conditionalFormatting sqref="B66:B68">
    <cfRule type="cellIs" dxfId="27" priority="445" operator="notEqual">
      <formula>0</formula>
    </cfRule>
    <cfRule type="expression" dxfId="28" priority="446">
      <formula>COUNTA(C66)&lt;&gt;0</formula>
    </cfRule>
  </conditionalFormatting>
  <conditionalFormatting sqref="B70:B72">
    <cfRule type="cellIs" dxfId="27" priority="439" operator="notEqual">
      <formula>0</formula>
    </cfRule>
    <cfRule type="expression" dxfId="28" priority="440">
      <formula>COUNTA(C70)&lt;&gt;0</formula>
    </cfRule>
  </conditionalFormatting>
  <conditionalFormatting sqref="B74:B76">
    <cfRule type="cellIs" dxfId="27" priority="437" operator="notEqual">
      <formula>0</formula>
    </cfRule>
    <cfRule type="expression" dxfId="28" priority="438">
      <formula>COUNTA(C74)&lt;&gt;0</formula>
    </cfRule>
  </conditionalFormatting>
  <conditionalFormatting sqref="B78:B80">
    <cfRule type="cellIs" dxfId="27" priority="435" operator="notEqual">
      <formula>0</formula>
    </cfRule>
    <cfRule type="expression" dxfId="28" priority="436">
      <formula>COUNTA(C78)&lt;&gt;0</formula>
    </cfRule>
  </conditionalFormatting>
  <conditionalFormatting sqref="B82:B84">
    <cfRule type="cellIs" dxfId="27" priority="433" operator="notEqual">
      <formula>0</formula>
    </cfRule>
    <cfRule type="expression" dxfId="28" priority="434">
      <formula>COUNTA(C82)&lt;&gt;0</formula>
    </cfRule>
  </conditionalFormatting>
  <conditionalFormatting sqref="B86:B88">
    <cfRule type="cellIs" dxfId="27" priority="427" operator="notEqual">
      <formula>0</formula>
    </cfRule>
    <cfRule type="expression" dxfId="28" priority="428">
      <formula>COUNTA(C86)&lt;&gt;0</formula>
    </cfRule>
  </conditionalFormatting>
  <conditionalFormatting sqref="B90:B92">
    <cfRule type="cellIs" dxfId="27" priority="425" operator="notEqual">
      <formula>0</formula>
    </cfRule>
    <cfRule type="expression" dxfId="28" priority="426">
      <formula>COUNTA(C90)&lt;&gt;0</formula>
    </cfRule>
  </conditionalFormatting>
  <conditionalFormatting sqref="B94:B96">
    <cfRule type="cellIs" dxfId="27" priority="419" operator="notEqual">
      <formula>0</formula>
    </cfRule>
    <cfRule type="expression" dxfId="28" priority="420">
      <formula>COUNTA(C94)&lt;&gt;0</formula>
    </cfRule>
  </conditionalFormatting>
  <conditionalFormatting sqref="C7:C9">
    <cfRule type="cellIs" dxfId="2" priority="519" operator="notEqual">
      <formula>0</formula>
    </cfRule>
  </conditionalFormatting>
  <conditionalFormatting sqref="C11:C13">
    <cfRule type="cellIs" dxfId="2" priority="520" operator="notEqual">
      <formula>0</formula>
    </cfRule>
  </conditionalFormatting>
  <conditionalFormatting sqref="C15:C17">
    <cfRule type="cellIs" dxfId="2" priority="521" operator="notEqual">
      <formula>0</formula>
    </cfRule>
  </conditionalFormatting>
  <conditionalFormatting sqref="C19:C21">
    <cfRule type="cellIs" dxfId="2" priority="522" operator="notEqual">
      <formula>0</formula>
    </cfRule>
  </conditionalFormatting>
  <conditionalFormatting sqref="C23:C25">
    <cfRule type="cellIs" dxfId="2" priority="523" operator="notEqual">
      <formula>0</formula>
    </cfRule>
  </conditionalFormatting>
  <conditionalFormatting sqref="C27:C29">
    <cfRule type="cellIs" dxfId="2" priority="524" operator="notEqual">
      <formula>0</formula>
    </cfRule>
  </conditionalFormatting>
  <conditionalFormatting sqref="C31:C33">
    <cfRule type="cellIs" dxfId="2" priority="525" operator="notEqual">
      <formula>0</formula>
    </cfRule>
  </conditionalFormatting>
  <conditionalFormatting sqref="C35:C37">
    <cfRule type="cellIs" dxfId="2" priority="526" operator="notEqual">
      <formula>0</formula>
    </cfRule>
  </conditionalFormatting>
  <conditionalFormatting sqref="C39:C41">
    <cfRule type="cellIs" dxfId="2" priority="527" operator="notEqual">
      <formula>0</formula>
    </cfRule>
  </conditionalFormatting>
  <conditionalFormatting sqref="C43:C45">
    <cfRule type="cellIs" dxfId="2" priority="528" operator="notEqual">
      <formula>0</formula>
    </cfRule>
  </conditionalFormatting>
  <conditionalFormatting sqref="C47:C49">
    <cfRule type="cellIs" dxfId="2" priority="529" operator="notEqual">
      <formula>0</formula>
    </cfRule>
  </conditionalFormatting>
  <conditionalFormatting sqref="C54:C56">
    <cfRule type="cellIs" dxfId="2" priority="459" operator="notEqual">
      <formula>0</formula>
    </cfRule>
  </conditionalFormatting>
  <conditionalFormatting sqref="C58:C60">
    <cfRule type="cellIs" dxfId="2" priority="460" operator="notEqual">
      <formula>0</formula>
    </cfRule>
  </conditionalFormatting>
  <conditionalFormatting sqref="C62:C64">
    <cfRule type="cellIs" dxfId="2" priority="461" operator="notEqual">
      <formula>0</formula>
    </cfRule>
  </conditionalFormatting>
  <conditionalFormatting sqref="C66:C68">
    <cfRule type="cellIs" dxfId="2" priority="462" operator="notEqual">
      <formula>0</formula>
    </cfRule>
  </conditionalFormatting>
  <conditionalFormatting sqref="C70:C72">
    <cfRule type="cellIs" dxfId="2" priority="463" operator="notEqual">
      <formula>0</formula>
    </cfRule>
  </conditionalFormatting>
  <conditionalFormatting sqref="C74:C76">
    <cfRule type="cellIs" dxfId="2" priority="464" operator="notEqual">
      <formula>0</formula>
    </cfRule>
  </conditionalFormatting>
  <conditionalFormatting sqref="C78:C80">
    <cfRule type="cellIs" dxfId="2" priority="465" operator="notEqual">
      <formula>0</formula>
    </cfRule>
  </conditionalFormatting>
  <conditionalFormatting sqref="C82:C84">
    <cfRule type="cellIs" dxfId="2" priority="466" operator="notEqual">
      <formula>0</formula>
    </cfRule>
  </conditionalFormatting>
  <conditionalFormatting sqref="C86:C88">
    <cfRule type="cellIs" dxfId="2" priority="467" operator="notEqual">
      <formula>0</formula>
    </cfRule>
  </conditionalFormatting>
  <conditionalFormatting sqref="C90:C92">
    <cfRule type="cellIs" dxfId="2" priority="468" operator="notEqual">
      <formula>0</formula>
    </cfRule>
  </conditionalFormatting>
  <conditionalFormatting sqref="C94:C96">
    <cfRule type="cellIs" dxfId="2" priority="469" operator="notEqual">
      <formula>0</formula>
    </cfRule>
  </conditionalFormatting>
  <conditionalFormatting sqref="D7:D9">
    <cfRule type="cellIs" dxfId="22" priority="394" operator="equal">
      <formula>""</formula>
    </cfRule>
    <cfRule type="cellIs" dxfId="22" priority="395" operator="greaterThan">
      <formula>TODAY()</formula>
    </cfRule>
    <cfRule type="expression" dxfId="14" priority="405">
      <formula>AND(D7&lt;TODAY(),E7="")</formula>
    </cfRule>
    <cfRule type="expression" dxfId="13" priority="406">
      <formula>E7&lt;TODAY()</formula>
    </cfRule>
    <cfRule type="expression" dxfId="14" priority="407">
      <formula>D7&lt;TODAY()</formula>
    </cfRule>
  </conditionalFormatting>
  <conditionalFormatting sqref="D11:D13">
    <cfRule type="cellIs" dxfId="22" priority="332" operator="equal">
      <formula>""</formula>
    </cfRule>
    <cfRule type="cellIs" dxfId="22" priority="333" operator="greaterThan">
      <formula>TODAY()</formula>
    </cfRule>
    <cfRule type="expression" dxfId="14" priority="338">
      <formula>AND(D11&lt;TODAY(),E11="")</formula>
    </cfRule>
    <cfRule type="expression" dxfId="13" priority="339">
      <formula>E11&lt;TODAY()</formula>
    </cfRule>
    <cfRule type="expression" dxfId="14" priority="340">
      <formula>D11&lt;TODAY()</formula>
    </cfRule>
  </conditionalFormatting>
  <conditionalFormatting sqref="D15:D17">
    <cfRule type="cellIs" dxfId="22" priority="322" operator="equal">
      <formula>""</formula>
    </cfRule>
    <cfRule type="cellIs" dxfId="22" priority="323" operator="greaterThan">
      <formula>TODAY()</formula>
    </cfRule>
    <cfRule type="expression" dxfId="14" priority="328">
      <formula>AND(D15&lt;TODAY(),E15="")</formula>
    </cfRule>
    <cfRule type="expression" dxfId="13" priority="329">
      <formula>E15&lt;TODAY()</formula>
    </cfRule>
    <cfRule type="expression" dxfId="14" priority="330">
      <formula>D15&lt;TODAY()</formula>
    </cfRule>
  </conditionalFormatting>
  <conditionalFormatting sqref="D19:D21">
    <cfRule type="cellIs" dxfId="22" priority="312" operator="equal">
      <formula>""</formula>
    </cfRule>
    <cfRule type="cellIs" dxfId="22" priority="313" operator="greaterThan">
      <formula>TODAY()</formula>
    </cfRule>
    <cfRule type="expression" dxfId="14" priority="318">
      <formula>AND(D19&lt;TODAY(),E19="")</formula>
    </cfRule>
    <cfRule type="expression" dxfId="13" priority="319">
      <formula>E19&lt;TODAY()</formula>
    </cfRule>
    <cfRule type="expression" dxfId="14" priority="320">
      <formula>D19&lt;TODAY()</formula>
    </cfRule>
  </conditionalFormatting>
  <conditionalFormatting sqref="D23:D25">
    <cfRule type="cellIs" dxfId="22" priority="302" operator="equal">
      <formula>""</formula>
    </cfRule>
    <cfRule type="cellIs" dxfId="22" priority="303" operator="greaterThan">
      <formula>TODAY()</formula>
    </cfRule>
    <cfRule type="expression" dxfId="14" priority="308">
      <formula>AND(D23&lt;TODAY(),E23="")</formula>
    </cfRule>
    <cfRule type="expression" dxfId="13" priority="309">
      <formula>E23&lt;TODAY()</formula>
    </cfRule>
    <cfRule type="expression" dxfId="14" priority="310">
      <formula>D23&lt;TODAY()</formula>
    </cfRule>
  </conditionalFormatting>
  <conditionalFormatting sqref="D27:D29">
    <cfRule type="cellIs" dxfId="22" priority="292" operator="equal">
      <formula>""</formula>
    </cfRule>
    <cfRule type="cellIs" dxfId="22" priority="293" operator="greaterThan">
      <formula>TODAY()</formula>
    </cfRule>
    <cfRule type="expression" dxfId="14" priority="298">
      <formula>AND(D27&lt;TODAY(),E27="")</formula>
    </cfRule>
    <cfRule type="expression" dxfId="13" priority="299">
      <formula>E27&lt;TODAY()</formula>
    </cfRule>
    <cfRule type="expression" dxfId="14" priority="300">
      <formula>D27&lt;TODAY()</formula>
    </cfRule>
  </conditionalFormatting>
  <conditionalFormatting sqref="D31:D33">
    <cfRule type="cellIs" dxfId="22" priority="282" operator="equal">
      <formula>""</formula>
    </cfRule>
    <cfRule type="cellIs" dxfId="22" priority="283" operator="greaterThan">
      <formula>TODAY()</formula>
    </cfRule>
    <cfRule type="expression" dxfId="14" priority="288">
      <formula>AND(D31&lt;TODAY(),E31="")</formula>
    </cfRule>
    <cfRule type="expression" dxfId="13" priority="289">
      <formula>E31&lt;TODAY()</formula>
    </cfRule>
    <cfRule type="expression" dxfId="14" priority="290">
      <formula>D31&lt;TODAY()</formula>
    </cfRule>
  </conditionalFormatting>
  <conditionalFormatting sqref="D35:D37">
    <cfRule type="cellIs" dxfId="22" priority="272" operator="equal">
      <formula>""</formula>
    </cfRule>
    <cfRule type="cellIs" dxfId="22" priority="273" operator="greaterThan">
      <formula>TODAY()</formula>
    </cfRule>
    <cfRule type="expression" dxfId="14" priority="278">
      <formula>AND(D35&lt;TODAY(),E35="")</formula>
    </cfRule>
    <cfRule type="expression" dxfId="13" priority="279">
      <formula>E35&lt;TODAY()</formula>
    </cfRule>
    <cfRule type="expression" dxfId="14" priority="280">
      <formula>D35&lt;TODAY()</formula>
    </cfRule>
  </conditionalFormatting>
  <conditionalFormatting sqref="D39:D41">
    <cfRule type="cellIs" dxfId="22" priority="262" operator="equal">
      <formula>""</formula>
    </cfRule>
    <cfRule type="cellIs" dxfId="22" priority="263" operator="greaterThan">
      <formula>TODAY()</formula>
    </cfRule>
    <cfRule type="expression" dxfId="14" priority="268">
      <formula>AND(D39&lt;TODAY(),E39="")</formula>
    </cfRule>
    <cfRule type="expression" dxfId="13" priority="269">
      <formula>E39&lt;TODAY()</formula>
    </cfRule>
    <cfRule type="expression" dxfId="14" priority="270">
      <formula>D39&lt;TODAY()</formula>
    </cfRule>
  </conditionalFormatting>
  <conditionalFormatting sqref="D43:D45">
    <cfRule type="cellIs" dxfId="22" priority="252" operator="equal">
      <formula>""</formula>
    </cfRule>
    <cfRule type="cellIs" dxfId="22" priority="253" operator="greaterThan">
      <formula>TODAY()</formula>
    </cfRule>
    <cfRule type="expression" dxfId="14" priority="258">
      <formula>AND(D43&lt;TODAY(),E43="")</formula>
    </cfRule>
    <cfRule type="expression" dxfId="13" priority="259">
      <formula>E43&lt;TODAY()</formula>
    </cfRule>
    <cfRule type="expression" dxfId="14" priority="260">
      <formula>D43&lt;TODAY()</formula>
    </cfRule>
  </conditionalFormatting>
  <conditionalFormatting sqref="D47:D49">
    <cfRule type="cellIs" dxfId="22" priority="242" operator="equal">
      <formula>""</formula>
    </cfRule>
    <cfRule type="cellIs" dxfId="22" priority="243" operator="greaterThan">
      <formula>TODAY()</formula>
    </cfRule>
    <cfRule type="expression" dxfId="14" priority="248">
      <formula>AND(D47&lt;TODAY(),E47="")</formula>
    </cfRule>
    <cfRule type="expression" dxfId="13" priority="249">
      <formula>E47&lt;TODAY()</formula>
    </cfRule>
    <cfRule type="expression" dxfId="14" priority="250">
      <formula>D47&lt;TODAY()</formula>
    </cfRule>
  </conditionalFormatting>
  <conditionalFormatting sqref="D54:D56">
    <cfRule type="cellIs" dxfId="22" priority="142" operator="equal">
      <formula>""</formula>
    </cfRule>
    <cfRule type="cellIs" dxfId="22" priority="143" operator="greaterThan">
      <formula>TODAY()</formula>
    </cfRule>
    <cfRule type="expression" dxfId="14" priority="148">
      <formula>AND(D54&lt;TODAY(),E54="")</formula>
    </cfRule>
    <cfRule type="expression" dxfId="13" priority="149">
      <formula>E54&lt;TODAY()</formula>
    </cfRule>
    <cfRule type="expression" dxfId="14" priority="150">
      <formula>D54&lt;TODAY()</formula>
    </cfRule>
  </conditionalFormatting>
  <conditionalFormatting sqref="D58:D60">
    <cfRule type="cellIs" dxfId="22" priority="132" operator="equal">
      <formula>""</formula>
    </cfRule>
    <cfRule type="cellIs" dxfId="22" priority="133" operator="greaterThan">
      <formula>TODAY()</formula>
    </cfRule>
    <cfRule type="expression" dxfId="14" priority="138">
      <formula>AND(D58&lt;TODAY(),E58="")</formula>
    </cfRule>
    <cfRule type="expression" dxfId="13" priority="139">
      <formula>E58&lt;TODAY()</formula>
    </cfRule>
    <cfRule type="expression" dxfId="14" priority="140">
      <formula>D58&lt;TODAY()</formula>
    </cfRule>
  </conditionalFormatting>
  <conditionalFormatting sqref="D62:D64">
    <cfRule type="cellIs" dxfId="22" priority="122" operator="equal">
      <formula>""</formula>
    </cfRule>
    <cfRule type="cellIs" dxfId="22" priority="123" operator="greaterThan">
      <formula>TODAY()</formula>
    </cfRule>
    <cfRule type="expression" dxfId="14" priority="128">
      <formula>AND(D62&lt;TODAY(),E62="")</formula>
    </cfRule>
    <cfRule type="expression" dxfId="13" priority="129">
      <formula>E62&lt;TODAY()</formula>
    </cfRule>
    <cfRule type="expression" dxfId="14" priority="130">
      <formula>D62&lt;TODAY()</formula>
    </cfRule>
  </conditionalFormatting>
  <conditionalFormatting sqref="D66:D68">
    <cfRule type="cellIs" dxfId="22" priority="112" operator="equal">
      <formula>""</formula>
    </cfRule>
    <cfRule type="cellIs" dxfId="22" priority="113" operator="greaterThan">
      <formula>TODAY()</formula>
    </cfRule>
    <cfRule type="expression" dxfId="14" priority="118">
      <formula>AND(D66&lt;TODAY(),E66="")</formula>
    </cfRule>
    <cfRule type="expression" dxfId="13" priority="119">
      <formula>E66&lt;TODAY()</formula>
    </cfRule>
    <cfRule type="expression" dxfId="14" priority="120">
      <formula>D66&lt;TODAY()</formula>
    </cfRule>
  </conditionalFormatting>
  <conditionalFormatting sqref="D70:D72">
    <cfRule type="cellIs" dxfId="22" priority="102" operator="equal">
      <formula>""</formula>
    </cfRule>
    <cfRule type="cellIs" dxfId="22" priority="103" operator="greaterThan">
      <formula>TODAY()</formula>
    </cfRule>
    <cfRule type="expression" dxfId="14" priority="108">
      <formula>AND(D70&lt;TODAY(),E70="")</formula>
    </cfRule>
    <cfRule type="expression" dxfId="13" priority="109">
      <formula>E70&lt;TODAY()</formula>
    </cfRule>
    <cfRule type="expression" dxfId="14" priority="110">
      <formula>D70&lt;TODAY()</formula>
    </cfRule>
  </conditionalFormatting>
  <conditionalFormatting sqref="D74:D76">
    <cfRule type="cellIs" dxfId="22" priority="92" operator="equal">
      <formula>""</formula>
    </cfRule>
    <cfRule type="cellIs" dxfId="22" priority="93" operator="greaterThan">
      <formula>TODAY()</formula>
    </cfRule>
    <cfRule type="expression" dxfId="14" priority="98">
      <formula>AND(D74&lt;TODAY(),E74="")</formula>
    </cfRule>
    <cfRule type="expression" dxfId="13" priority="99">
      <formula>E74&lt;TODAY()</formula>
    </cfRule>
    <cfRule type="expression" dxfId="14" priority="100">
      <formula>D74&lt;TODAY()</formula>
    </cfRule>
  </conditionalFormatting>
  <conditionalFormatting sqref="D78:D80">
    <cfRule type="cellIs" dxfId="22" priority="82" operator="equal">
      <formula>""</formula>
    </cfRule>
    <cfRule type="cellIs" dxfId="22" priority="83" operator="greaterThan">
      <formula>TODAY()</formula>
    </cfRule>
    <cfRule type="expression" dxfId="14" priority="88">
      <formula>AND(D78&lt;TODAY(),E78="")</formula>
    </cfRule>
    <cfRule type="expression" dxfId="13" priority="89">
      <formula>E78&lt;TODAY()</formula>
    </cfRule>
    <cfRule type="expression" dxfId="14" priority="90">
      <formula>D78&lt;TODAY()</formula>
    </cfRule>
  </conditionalFormatting>
  <conditionalFormatting sqref="D82:D84">
    <cfRule type="cellIs" dxfId="22" priority="72" operator="equal">
      <formula>""</formula>
    </cfRule>
    <cfRule type="cellIs" dxfId="22" priority="73" operator="greaterThan">
      <formula>TODAY()</formula>
    </cfRule>
    <cfRule type="expression" dxfId="14" priority="78">
      <formula>AND(D82&lt;TODAY(),E82="")</formula>
    </cfRule>
    <cfRule type="expression" dxfId="13" priority="79">
      <formula>E82&lt;TODAY()</formula>
    </cfRule>
    <cfRule type="expression" dxfId="14" priority="80">
      <formula>D82&lt;TODAY()</formula>
    </cfRule>
  </conditionalFormatting>
  <conditionalFormatting sqref="D86:D88">
    <cfRule type="cellIs" dxfId="22" priority="62" operator="equal">
      <formula>""</formula>
    </cfRule>
    <cfRule type="cellIs" dxfId="22" priority="63" operator="greaterThan">
      <formula>TODAY()</formula>
    </cfRule>
    <cfRule type="expression" dxfId="14" priority="68">
      <formula>AND(D86&lt;TODAY(),E86="")</formula>
    </cfRule>
    <cfRule type="expression" dxfId="13" priority="69">
      <formula>E86&lt;TODAY()</formula>
    </cfRule>
    <cfRule type="expression" dxfId="14" priority="70">
      <formula>D86&lt;TODAY()</formula>
    </cfRule>
  </conditionalFormatting>
  <conditionalFormatting sqref="D90:D92">
    <cfRule type="cellIs" dxfId="22" priority="52" operator="equal">
      <formula>""</formula>
    </cfRule>
    <cfRule type="cellIs" dxfId="22" priority="53" operator="greaterThan">
      <formula>TODAY()</formula>
    </cfRule>
    <cfRule type="expression" dxfId="14" priority="58">
      <formula>AND(D90&lt;TODAY(),E90="")</formula>
    </cfRule>
    <cfRule type="expression" dxfId="13" priority="59">
      <formula>E90&lt;TODAY()</formula>
    </cfRule>
    <cfRule type="expression" dxfId="14" priority="60">
      <formula>D90&lt;TODAY()</formula>
    </cfRule>
  </conditionalFormatting>
  <conditionalFormatting sqref="D94:D96">
    <cfRule type="cellIs" dxfId="22" priority="42" operator="equal">
      <formula>""</formula>
    </cfRule>
    <cfRule type="cellIs" dxfId="22" priority="43" operator="greaterThan">
      <formula>TODAY()</formula>
    </cfRule>
    <cfRule type="expression" dxfId="14" priority="48">
      <formula>AND(D94&lt;TODAY(),E94="")</formula>
    </cfRule>
    <cfRule type="expression" dxfId="13" priority="49">
      <formula>E94&lt;TODAY()</formula>
    </cfRule>
    <cfRule type="expression" dxfId="14" priority="50">
      <formula>D94&lt;TODAY()</formula>
    </cfRule>
  </conditionalFormatting>
  <conditionalFormatting sqref="E7:E9">
    <cfRule type="cellIs" dxfId="22" priority="401" operator="equal">
      <formula>0</formula>
    </cfRule>
    <cfRule type="cellIs" dxfId="29" priority="402" operator="lessThan">
      <formula>D7</formula>
    </cfRule>
    <cfRule type="expression" dxfId="13" priority="403">
      <formula>E7&lt;TODAY()</formula>
    </cfRule>
    <cfRule type="expression" dxfId="14" priority="404">
      <formula>D7&lt;TODAY()</formula>
    </cfRule>
  </conditionalFormatting>
  <conditionalFormatting sqref="E11:E13">
    <cfRule type="cellIs" dxfId="22" priority="334" operator="equal">
      <formula>0</formula>
    </cfRule>
    <cfRule type="cellIs" dxfId="29" priority="335" operator="lessThan">
      <formula>D11</formula>
    </cfRule>
    <cfRule type="expression" dxfId="13" priority="336">
      <formula>E11&lt;TODAY()</formula>
    </cfRule>
    <cfRule type="expression" dxfId="14" priority="337">
      <formula>D11&lt;TODAY()</formula>
    </cfRule>
  </conditionalFormatting>
  <conditionalFormatting sqref="E15:E17">
    <cfRule type="cellIs" dxfId="22" priority="324" operator="equal">
      <formula>0</formula>
    </cfRule>
    <cfRule type="cellIs" dxfId="29" priority="325" operator="lessThan">
      <formula>D15</formula>
    </cfRule>
    <cfRule type="expression" dxfId="13" priority="326">
      <formula>E15&lt;TODAY()</formula>
    </cfRule>
    <cfRule type="expression" dxfId="14" priority="327">
      <formula>D15&lt;TODAY()</formula>
    </cfRule>
  </conditionalFormatting>
  <conditionalFormatting sqref="E19:E21">
    <cfRule type="cellIs" dxfId="22" priority="314" operator="equal">
      <formula>0</formula>
    </cfRule>
    <cfRule type="cellIs" dxfId="29" priority="315" operator="lessThan">
      <formula>D19</formula>
    </cfRule>
    <cfRule type="expression" dxfId="13" priority="316">
      <formula>E19&lt;TODAY()</formula>
    </cfRule>
    <cfRule type="expression" dxfId="14" priority="317">
      <formula>D19&lt;TODAY()</formula>
    </cfRule>
  </conditionalFormatting>
  <conditionalFormatting sqref="E23:E25">
    <cfRule type="cellIs" dxfId="22" priority="304" operator="equal">
      <formula>0</formula>
    </cfRule>
    <cfRule type="cellIs" dxfId="29" priority="305" operator="lessThan">
      <formula>D23</formula>
    </cfRule>
    <cfRule type="expression" dxfId="13" priority="306">
      <formula>E23&lt;TODAY()</formula>
    </cfRule>
    <cfRule type="expression" dxfId="14" priority="307">
      <formula>D23&lt;TODAY()</formula>
    </cfRule>
  </conditionalFormatting>
  <conditionalFormatting sqref="E27:E29">
    <cfRule type="cellIs" dxfId="22" priority="294" operator="equal">
      <formula>0</formula>
    </cfRule>
    <cfRule type="cellIs" dxfId="29" priority="295" operator="lessThan">
      <formula>D27</formula>
    </cfRule>
    <cfRule type="expression" dxfId="13" priority="296">
      <formula>E27&lt;TODAY()</formula>
    </cfRule>
    <cfRule type="expression" dxfId="14" priority="297">
      <formula>D27&lt;TODAY()</formula>
    </cfRule>
  </conditionalFormatting>
  <conditionalFormatting sqref="E31:E33">
    <cfRule type="cellIs" dxfId="22" priority="284" operator="equal">
      <formula>0</formula>
    </cfRule>
    <cfRule type="cellIs" dxfId="29" priority="285" operator="lessThan">
      <formula>D31</formula>
    </cfRule>
    <cfRule type="expression" dxfId="13" priority="286">
      <formula>E31&lt;TODAY()</formula>
    </cfRule>
    <cfRule type="expression" dxfId="14" priority="287">
      <formula>D31&lt;TODAY()</formula>
    </cfRule>
  </conditionalFormatting>
  <conditionalFormatting sqref="E35:E37">
    <cfRule type="cellIs" dxfId="22" priority="274" operator="equal">
      <formula>0</formula>
    </cfRule>
    <cfRule type="cellIs" dxfId="29" priority="275" operator="lessThan">
      <formula>D35</formula>
    </cfRule>
    <cfRule type="expression" dxfId="13" priority="276">
      <formula>E35&lt;TODAY()</formula>
    </cfRule>
    <cfRule type="expression" dxfId="14" priority="277">
      <formula>D35&lt;TODAY()</formula>
    </cfRule>
  </conditionalFormatting>
  <conditionalFormatting sqref="E39:E41">
    <cfRule type="cellIs" dxfId="22" priority="264" operator="equal">
      <formula>0</formula>
    </cfRule>
    <cfRule type="cellIs" dxfId="29" priority="265" operator="lessThan">
      <formula>D39</formula>
    </cfRule>
    <cfRule type="expression" dxfId="13" priority="266">
      <formula>E39&lt;TODAY()</formula>
    </cfRule>
    <cfRule type="expression" dxfId="14" priority="267">
      <formula>D39&lt;TODAY()</formula>
    </cfRule>
  </conditionalFormatting>
  <conditionalFormatting sqref="E43:E45">
    <cfRule type="cellIs" dxfId="22" priority="254" operator="equal">
      <formula>0</formula>
    </cfRule>
    <cfRule type="cellIs" dxfId="29" priority="255" operator="lessThan">
      <formula>D43</formula>
    </cfRule>
    <cfRule type="expression" dxfId="13" priority="256">
      <formula>E43&lt;TODAY()</formula>
    </cfRule>
    <cfRule type="expression" dxfId="14" priority="257">
      <formula>D43&lt;TODAY()</formula>
    </cfRule>
  </conditionalFormatting>
  <conditionalFormatting sqref="E47:E49">
    <cfRule type="cellIs" dxfId="22" priority="244" operator="equal">
      <formula>0</formula>
    </cfRule>
    <cfRule type="cellIs" dxfId="29" priority="245" operator="lessThan">
      <formula>D47</formula>
    </cfRule>
    <cfRule type="expression" dxfId="13" priority="246">
      <formula>E47&lt;TODAY()</formula>
    </cfRule>
    <cfRule type="expression" dxfId="14" priority="247">
      <formula>D47&lt;TODAY()</formula>
    </cfRule>
  </conditionalFormatting>
  <conditionalFormatting sqref="E54:E56">
    <cfRule type="cellIs" dxfId="22" priority="144" operator="equal">
      <formula>0</formula>
    </cfRule>
    <cfRule type="cellIs" dxfId="29" priority="145" operator="lessThan">
      <formula>D54</formula>
    </cfRule>
    <cfRule type="expression" dxfId="13" priority="146">
      <formula>E54&lt;TODAY()</formula>
    </cfRule>
    <cfRule type="expression" dxfId="14" priority="147">
      <formula>D54&lt;TODAY()</formula>
    </cfRule>
  </conditionalFormatting>
  <conditionalFormatting sqref="E58:E60">
    <cfRule type="cellIs" dxfId="22" priority="134" operator="equal">
      <formula>0</formula>
    </cfRule>
    <cfRule type="cellIs" dxfId="29" priority="135" operator="lessThan">
      <formula>D58</formula>
    </cfRule>
    <cfRule type="expression" dxfId="13" priority="136">
      <formula>E58&lt;TODAY()</formula>
    </cfRule>
    <cfRule type="expression" dxfId="14" priority="137">
      <formula>D58&lt;TODAY()</formula>
    </cfRule>
  </conditionalFormatting>
  <conditionalFormatting sqref="E62:E64">
    <cfRule type="cellIs" dxfId="22" priority="124" operator="equal">
      <formula>0</formula>
    </cfRule>
    <cfRule type="cellIs" dxfId="29" priority="125" operator="lessThan">
      <formula>D62</formula>
    </cfRule>
    <cfRule type="expression" dxfId="13" priority="126">
      <formula>E62&lt;TODAY()</formula>
    </cfRule>
    <cfRule type="expression" dxfId="14" priority="127">
      <formula>D62&lt;TODAY()</formula>
    </cfRule>
  </conditionalFormatting>
  <conditionalFormatting sqref="E66:E68">
    <cfRule type="cellIs" dxfId="22" priority="114" operator="equal">
      <formula>0</formula>
    </cfRule>
    <cfRule type="cellIs" dxfId="29" priority="115" operator="lessThan">
      <formula>D66</formula>
    </cfRule>
    <cfRule type="expression" dxfId="13" priority="116">
      <formula>E66&lt;TODAY()</formula>
    </cfRule>
    <cfRule type="expression" dxfId="14" priority="117">
      <formula>D66&lt;TODAY()</formula>
    </cfRule>
  </conditionalFormatting>
  <conditionalFormatting sqref="E70:E72">
    <cfRule type="cellIs" dxfId="22" priority="104" operator="equal">
      <formula>0</formula>
    </cfRule>
    <cfRule type="cellIs" dxfId="29" priority="105" operator="lessThan">
      <formula>D70</formula>
    </cfRule>
    <cfRule type="expression" dxfId="13" priority="106">
      <formula>E70&lt;TODAY()</formula>
    </cfRule>
    <cfRule type="expression" dxfId="14" priority="107">
      <formula>D70&lt;TODAY()</formula>
    </cfRule>
  </conditionalFormatting>
  <conditionalFormatting sqref="E74:E76">
    <cfRule type="cellIs" dxfId="22" priority="94" operator="equal">
      <formula>0</formula>
    </cfRule>
    <cfRule type="cellIs" dxfId="29" priority="95" operator="lessThan">
      <formula>D74</formula>
    </cfRule>
    <cfRule type="expression" dxfId="13" priority="96">
      <formula>E74&lt;TODAY()</formula>
    </cfRule>
    <cfRule type="expression" dxfId="14" priority="97">
      <formula>D74&lt;TODAY()</formula>
    </cfRule>
  </conditionalFormatting>
  <conditionalFormatting sqref="E78:E80">
    <cfRule type="cellIs" dxfId="22" priority="84" operator="equal">
      <formula>0</formula>
    </cfRule>
    <cfRule type="cellIs" dxfId="29" priority="85" operator="lessThan">
      <formula>D78</formula>
    </cfRule>
    <cfRule type="expression" dxfId="13" priority="86">
      <formula>E78&lt;TODAY()</formula>
    </cfRule>
    <cfRule type="expression" dxfId="14" priority="87">
      <formula>D78&lt;TODAY()</formula>
    </cfRule>
  </conditionalFormatting>
  <conditionalFormatting sqref="E82:E84">
    <cfRule type="cellIs" dxfId="22" priority="74" operator="equal">
      <formula>0</formula>
    </cfRule>
    <cfRule type="cellIs" dxfId="29" priority="75" operator="lessThan">
      <formula>D82</formula>
    </cfRule>
    <cfRule type="expression" dxfId="13" priority="76">
      <formula>E82&lt;TODAY()</formula>
    </cfRule>
    <cfRule type="expression" dxfId="14" priority="77">
      <formula>D82&lt;TODAY()</formula>
    </cfRule>
  </conditionalFormatting>
  <conditionalFormatting sqref="E86:E88">
    <cfRule type="cellIs" dxfId="22" priority="64" operator="equal">
      <formula>0</formula>
    </cfRule>
    <cfRule type="cellIs" dxfId="29" priority="65" operator="lessThan">
      <formula>D86</formula>
    </cfRule>
    <cfRule type="expression" dxfId="13" priority="66">
      <formula>E86&lt;TODAY()</formula>
    </cfRule>
    <cfRule type="expression" dxfId="14" priority="67">
      <formula>D86&lt;TODAY()</formula>
    </cfRule>
  </conditionalFormatting>
  <conditionalFormatting sqref="E90:E92">
    <cfRule type="cellIs" dxfId="22" priority="54" operator="equal">
      <formula>0</formula>
    </cfRule>
    <cfRule type="cellIs" dxfId="29" priority="55" operator="lessThan">
      <formula>D90</formula>
    </cfRule>
    <cfRule type="expression" dxfId="13" priority="56">
      <formula>E90&lt;TODAY()</formula>
    </cfRule>
    <cfRule type="expression" dxfId="14" priority="57">
      <formula>D90&lt;TODAY()</formula>
    </cfRule>
  </conditionalFormatting>
  <conditionalFormatting sqref="E94:E96">
    <cfRule type="cellIs" dxfId="22" priority="44" operator="equal">
      <formula>0</formula>
    </cfRule>
    <cfRule type="cellIs" dxfId="29" priority="45" operator="lessThan">
      <formula>D94</formula>
    </cfRule>
    <cfRule type="expression" dxfId="13" priority="46">
      <formula>E94&lt;TODAY()</formula>
    </cfRule>
    <cfRule type="expression" dxfId="14" priority="47">
      <formula>D94&lt;TODAY()</formula>
    </cfRule>
  </conditionalFormatting>
  <conditionalFormatting sqref="G7:G9">
    <cfRule type="cellIs" dxfId="27" priority="517" operator="notEqual">
      <formula>0</formula>
    </cfRule>
    <cfRule type="expression" dxfId="28" priority="518">
      <formula>COUNTA(H7)&lt;&gt;0</formula>
    </cfRule>
  </conditionalFormatting>
  <conditionalFormatting sqref="G11:G13">
    <cfRule type="cellIs" dxfId="27" priority="511" operator="notEqual">
      <formula>0</formula>
    </cfRule>
    <cfRule type="expression" dxfId="28" priority="512">
      <formula>COUNTA(H11)&lt;&gt;0</formula>
    </cfRule>
  </conditionalFormatting>
  <conditionalFormatting sqref="G15:G17">
    <cfRule type="cellIs" dxfId="27" priority="509" operator="notEqual">
      <formula>0</formula>
    </cfRule>
    <cfRule type="expression" dxfId="28" priority="510">
      <formula>COUNTA(H15)&lt;&gt;0</formula>
    </cfRule>
  </conditionalFormatting>
  <conditionalFormatting sqref="G19:G21">
    <cfRule type="cellIs" dxfId="27" priority="503" operator="notEqual">
      <formula>0</formula>
    </cfRule>
    <cfRule type="expression" dxfId="28" priority="504">
      <formula>COUNTA(H19)&lt;&gt;0</formula>
    </cfRule>
  </conditionalFormatting>
  <conditionalFormatting sqref="G23:G25">
    <cfRule type="cellIs" dxfId="27" priority="501" operator="notEqual">
      <formula>0</formula>
    </cfRule>
    <cfRule type="expression" dxfId="28" priority="502">
      <formula>COUNTA(H23)&lt;&gt;0</formula>
    </cfRule>
  </conditionalFormatting>
  <conditionalFormatting sqref="G35:G37">
    <cfRule type="cellIs" dxfId="27" priority="491" operator="notEqual">
      <formula>0</formula>
    </cfRule>
    <cfRule type="expression" dxfId="28" priority="492">
      <formula>COUNTA(H35)&lt;&gt;0</formula>
    </cfRule>
  </conditionalFormatting>
  <conditionalFormatting sqref="G39:G41">
    <cfRule type="cellIs" dxfId="27" priority="489" operator="notEqual">
      <formula>0</formula>
    </cfRule>
    <cfRule type="expression" dxfId="28" priority="490">
      <formula>COUNTA(H39)&lt;&gt;0</formula>
    </cfRule>
  </conditionalFormatting>
  <conditionalFormatting sqref="G43:G45">
    <cfRule type="cellIs" dxfId="27" priority="483" operator="notEqual">
      <formula>0</formula>
    </cfRule>
    <cfRule type="expression" dxfId="28" priority="484">
      <formula>COUNTA(H43)&lt;&gt;0</formula>
    </cfRule>
  </conditionalFormatting>
  <conditionalFormatting sqref="G47:G49">
    <cfRule type="cellIs" dxfId="27" priority="481" operator="notEqual">
      <formula>0</formula>
    </cfRule>
    <cfRule type="expression" dxfId="28" priority="482">
      <formula>COUNTA(H47)&lt;&gt;0</formula>
    </cfRule>
  </conditionalFormatting>
  <conditionalFormatting sqref="G54:G56">
    <cfRule type="cellIs" dxfId="27" priority="457" operator="notEqual">
      <formula>0</formula>
    </cfRule>
    <cfRule type="expression" dxfId="28" priority="458">
      <formula>COUNTA(H54)&lt;&gt;0</formula>
    </cfRule>
  </conditionalFormatting>
  <conditionalFormatting sqref="G58:G60">
    <cfRule type="cellIs" dxfId="27" priority="451" operator="notEqual">
      <formula>0</formula>
    </cfRule>
    <cfRule type="expression" dxfId="28" priority="452">
      <formula>COUNTA(H58)&lt;&gt;0</formula>
    </cfRule>
  </conditionalFormatting>
  <conditionalFormatting sqref="G62:G64">
    <cfRule type="cellIs" dxfId="27" priority="449" operator="notEqual">
      <formula>0</formula>
    </cfRule>
    <cfRule type="expression" dxfId="28" priority="450">
      <formula>COUNTA(H62)&lt;&gt;0</formula>
    </cfRule>
  </conditionalFormatting>
  <conditionalFormatting sqref="G66:G68">
    <cfRule type="cellIs" dxfId="27" priority="443" operator="notEqual">
      <formula>0</formula>
    </cfRule>
    <cfRule type="expression" dxfId="28" priority="444">
      <formula>COUNTA(H66)&lt;&gt;0</formula>
    </cfRule>
  </conditionalFormatting>
  <conditionalFormatting sqref="G70:G72">
    <cfRule type="cellIs" dxfId="27" priority="441" operator="notEqual">
      <formula>0</formula>
    </cfRule>
    <cfRule type="expression" dxfId="28" priority="442">
      <formula>COUNTA(H70)&lt;&gt;0</formula>
    </cfRule>
  </conditionalFormatting>
  <conditionalFormatting sqref="G82:G84">
    <cfRule type="cellIs" dxfId="27" priority="431" operator="notEqual">
      <formula>0</formula>
    </cfRule>
    <cfRule type="expression" dxfId="28" priority="432">
      <formula>COUNTA(H82)&lt;&gt;0</formula>
    </cfRule>
  </conditionalFormatting>
  <conditionalFormatting sqref="G86:G88">
    <cfRule type="cellIs" dxfId="27" priority="429" operator="notEqual">
      <formula>0</formula>
    </cfRule>
    <cfRule type="expression" dxfId="28" priority="430">
      <formula>COUNTA(H86)&lt;&gt;0</formula>
    </cfRule>
  </conditionalFormatting>
  <conditionalFormatting sqref="G90:G92">
    <cfRule type="cellIs" dxfId="27" priority="423" operator="notEqual">
      <formula>0</formula>
    </cfRule>
    <cfRule type="expression" dxfId="28" priority="424">
      <formula>COUNTA(H90)&lt;&gt;0</formula>
    </cfRule>
  </conditionalFormatting>
  <conditionalFormatting sqref="G94:G96">
    <cfRule type="cellIs" dxfId="27" priority="421" operator="notEqual">
      <formula>0</formula>
    </cfRule>
    <cfRule type="expression" dxfId="28" priority="422">
      <formula>COUNTA(H94)&lt;&gt;0</formula>
    </cfRule>
  </conditionalFormatting>
  <conditionalFormatting sqref="H7:H9">
    <cfRule type="cellIs" dxfId="2" priority="470" operator="notEqual">
      <formula>0</formula>
    </cfRule>
  </conditionalFormatting>
  <conditionalFormatting sqref="H11:H13">
    <cfRule type="cellIs" dxfId="2" priority="471" operator="notEqual">
      <formula>0</formula>
    </cfRule>
  </conditionalFormatting>
  <conditionalFormatting sqref="H15:H17">
    <cfRule type="cellIs" dxfId="2" priority="472" operator="notEqual">
      <formula>0</formula>
    </cfRule>
  </conditionalFormatting>
  <conditionalFormatting sqref="H19:H21">
    <cfRule type="cellIs" dxfId="2" priority="473" operator="notEqual">
      <formula>0</formula>
    </cfRule>
  </conditionalFormatting>
  <conditionalFormatting sqref="H23:H25">
    <cfRule type="cellIs" dxfId="2" priority="474" operator="notEqual">
      <formula>0</formula>
    </cfRule>
  </conditionalFormatting>
  <conditionalFormatting sqref="H35:H37">
    <cfRule type="cellIs" dxfId="2" priority="475" operator="notEqual">
      <formula>0</formula>
    </cfRule>
  </conditionalFormatting>
  <conditionalFormatting sqref="H39:H41">
    <cfRule type="cellIs" dxfId="2" priority="476" operator="notEqual">
      <formula>0</formula>
    </cfRule>
  </conditionalFormatting>
  <conditionalFormatting sqref="H43:H45">
    <cfRule type="cellIs" dxfId="2" priority="477" operator="notEqual">
      <formula>0</formula>
    </cfRule>
  </conditionalFormatting>
  <conditionalFormatting sqref="H47:H49">
    <cfRule type="cellIs" dxfId="2" priority="478" operator="notEqual">
      <formula>0</formula>
    </cfRule>
  </conditionalFormatting>
  <conditionalFormatting sqref="H54:H56">
    <cfRule type="cellIs" dxfId="2" priority="410" operator="notEqual">
      <formula>0</formula>
    </cfRule>
  </conditionalFormatting>
  <conditionalFormatting sqref="H58:H60">
    <cfRule type="cellIs" dxfId="2" priority="411" operator="notEqual">
      <formula>0</formula>
    </cfRule>
  </conditionalFormatting>
  <conditionalFormatting sqref="H62:H64">
    <cfRule type="cellIs" dxfId="2" priority="412" operator="notEqual">
      <formula>0</formula>
    </cfRule>
  </conditionalFormatting>
  <conditionalFormatting sqref="H66:H68">
    <cfRule type="cellIs" dxfId="2" priority="413" operator="notEqual">
      <formula>0</formula>
    </cfRule>
  </conditionalFormatting>
  <conditionalFormatting sqref="H70:H72">
    <cfRule type="cellIs" dxfId="2" priority="414" operator="notEqual">
      <formula>0</formula>
    </cfRule>
  </conditionalFormatting>
  <conditionalFormatting sqref="H82:H84">
    <cfRule type="cellIs" dxfId="2" priority="415" operator="notEqual">
      <formula>0</formula>
    </cfRule>
  </conditionalFormatting>
  <conditionalFormatting sqref="H86:H88">
    <cfRule type="cellIs" dxfId="2" priority="416" operator="notEqual">
      <formula>0</formula>
    </cfRule>
  </conditionalFormatting>
  <conditionalFormatting sqref="H90:H92">
    <cfRule type="cellIs" dxfId="2" priority="417" operator="notEqual">
      <formula>0</formula>
    </cfRule>
  </conditionalFormatting>
  <conditionalFormatting sqref="H94:H96">
    <cfRule type="cellIs" dxfId="2" priority="418" operator="notEqual">
      <formula>0</formula>
    </cfRule>
  </conditionalFormatting>
  <conditionalFormatting sqref="I7:I9">
    <cfRule type="cellIs" dxfId="22" priority="382" operator="equal">
      <formula>""</formula>
    </cfRule>
    <cfRule type="cellIs" dxfId="22" priority="383" operator="greaterThan">
      <formula>TODAY()</formula>
    </cfRule>
    <cfRule type="expression" dxfId="14" priority="388">
      <formula>AND(I7&lt;TODAY(),J7="")</formula>
    </cfRule>
    <cfRule type="expression" dxfId="13" priority="389">
      <formula>J7&lt;TODAY()</formula>
    </cfRule>
    <cfRule type="expression" dxfId="14" priority="390">
      <formula>I7&lt;TODAY()</formula>
    </cfRule>
  </conditionalFormatting>
  <conditionalFormatting sqref="I11:I13">
    <cfRule type="cellIs" dxfId="22" priority="372" operator="equal">
      <formula>""</formula>
    </cfRule>
    <cfRule type="cellIs" dxfId="22" priority="373" operator="greaterThan">
      <formula>TODAY()</formula>
    </cfRule>
    <cfRule type="expression" dxfId="14" priority="378">
      <formula>AND(I11&lt;TODAY(),J11="")</formula>
    </cfRule>
    <cfRule type="expression" dxfId="13" priority="379">
      <formula>J11&lt;TODAY()</formula>
    </cfRule>
    <cfRule type="expression" dxfId="14" priority="380">
      <formula>I11&lt;TODAY()</formula>
    </cfRule>
  </conditionalFormatting>
  <conditionalFormatting sqref="I15:I17">
    <cfRule type="cellIs" dxfId="22" priority="362" operator="equal">
      <formula>""</formula>
    </cfRule>
    <cfRule type="cellIs" dxfId="22" priority="363" operator="greaterThan">
      <formula>TODAY()</formula>
    </cfRule>
    <cfRule type="expression" dxfId="14" priority="368">
      <formula>AND(I15&lt;TODAY(),J15="")</formula>
    </cfRule>
    <cfRule type="expression" dxfId="13" priority="369">
      <formula>J15&lt;TODAY()</formula>
    </cfRule>
    <cfRule type="expression" dxfId="14" priority="370">
      <formula>I15&lt;TODAY()</formula>
    </cfRule>
  </conditionalFormatting>
  <conditionalFormatting sqref="I19:I21">
    <cfRule type="cellIs" dxfId="22" priority="352" operator="equal">
      <formula>""</formula>
    </cfRule>
    <cfRule type="cellIs" dxfId="22" priority="353" operator="greaterThan">
      <formula>TODAY()</formula>
    </cfRule>
    <cfRule type="expression" dxfId="14" priority="358">
      <formula>AND(I19&lt;TODAY(),J19="")</formula>
    </cfRule>
    <cfRule type="expression" dxfId="13" priority="359">
      <formula>J19&lt;TODAY()</formula>
    </cfRule>
    <cfRule type="expression" dxfId="14" priority="360">
      <formula>I19&lt;TODAY()</formula>
    </cfRule>
  </conditionalFormatting>
  <conditionalFormatting sqref="I23:I25">
    <cfRule type="cellIs" dxfId="22" priority="342" operator="equal">
      <formula>""</formula>
    </cfRule>
    <cfRule type="cellIs" dxfId="22" priority="343" operator="greaterThan">
      <formula>TODAY()</formula>
    </cfRule>
    <cfRule type="expression" dxfId="14" priority="348">
      <formula>AND(I23&lt;TODAY(),J23="")</formula>
    </cfRule>
    <cfRule type="expression" dxfId="13" priority="349">
      <formula>J23&lt;TODAY()</formula>
    </cfRule>
    <cfRule type="expression" dxfId="14" priority="350">
      <formula>I23&lt;TODAY()</formula>
    </cfRule>
  </conditionalFormatting>
  <conditionalFormatting sqref="I35:I37">
    <cfRule type="cellIs" dxfId="22" priority="202" operator="equal">
      <formula>""</formula>
    </cfRule>
    <cfRule type="cellIs" dxfId="22" priority="203" operator="greaterThan">
      <formula>TODAY()</formula>
    </cfRule>
    <cfRule type="expression" dxfId="14" priority="208">
      <formula>AND(I35&lt;TODAY(),J35="")</formula>
    </cfRule>
    <cfRule type="expression" dxfId="13" priority="209">
      <formula>J35&lt;TODAY()</formula>
    </cfRule>
    <cfRule type="expression" dxfId="14" priority="210">
      <formula>I35&lt;TODAY()</formula>
    </cfRule>
  </conditionalFormatting>
  <conditionalFormatting sqref="I39:I41">
    <cfRule type="cellIs" dxfId="22" priority="212" operator="equal">
      <formula>""</formula>
    </cfRule>
    <cfRule type="cellIs" dxfId="22" priority="213" operator="greaterThan">
      <formula>TODAY()</formula>
    </cfRule>
    <cfRule type="expression" dxfId="14" priority="218">
      <formula>AND(I39&lt;TODAY(),J39="")</formula>
    </cfRule>
    <cfRule type="expression" dxfId="13" priority="219">
      <formula>J39&lt;TODAY()</formula>
    </cfRule>
    <cfRule type="expression" dxfId="14" priority="220">
      <formula>I39&lt;TODAY()</formula>
    </cfRule>
  </conditionalFormatting>
  <conditionalFormatting sqref="I43:I45">
    <cfRule type="cellIs" dxfId="22" priority="222" operator="equal">
      <formula>""</formula>
    </cfRule>
    <cfRule type="cellIs" dxfId="22" priority="223" operator="greaterThan">
      <formula>TODAY()</formula>
    </cfRule>
    <cfRule type="expression" dxfId="14" priority="228">
      <formula>AND(I43&lt;TODAY(),J43="")</formula>
    </cfRule>
    <cfRule type="expression" dxfId="13" priority="229">
      <formula>J43&lt;TODAY()</formula>
    </cfRule>
    <cfRule type="expression" dxfId="14" priority="230">
      <formula>I43&lt;TODAY()</formula>
    </cfRule>
  </conditionalFormatting>
  <conditionalFormatting sqref="I47:I49">
    <cfRule type="cellIs" dxfId="22" priority="232" operator="equal">
      <formula>""</formula>
    </cfRule>
    <cfRule type="cellIs" dxfId="22" priority="233" operator="greaterThan">
      <formula>TODAY()</formula>
    </cfRule>
    <cfRule type="expression" dxfId="14" priority="238">
      <formula>AND(I47&lt;TODAY(),J47="")</formula>
    </cfRule>
    <cfRule type="expression" dxfId="13" priority="239">
      <formula>J47&lt;TODAY()</formula>
    </cfRule>
    <cfRule type="expression" dxfId="14" priority="240">
      <formula>I47&lt;TODAY()</formula>
    </cfRule>
  </conditionalFormatting>
  <conditionalFormatting sqref="I54:I56">
    <cfRule type="cellIs" dxfId="22" priority="152" operator="equal">
      <formula>""</formula>
    </cfRule>
    <cfRule type="cellIs" dxfId="22" priority="153" operator="greaterThan">
      <formula>TODAY()</formula>
    </cfRule>
    <cfRule type="expression" dxfId="14" priority="158">
      <formula>AND(I54&lt;TODAY(),J54="")</formula>
    </cfRule>
    <cfRule type="expression" dxfId="13" priority="159">
      <formula>J54&lt;TODAY()</formula>
    </cfRule>
    <cfRule type="expression" dxfId="14" priority="160">
      <formula>I54&lt;TODAY()</formula>
    </cfRule>
  </conditionalFormatting>
  <conditionalFormatting sqref="I58:I60">
    <cfRule type="cellIs" dxfId="22" priority="162" operator="equal">
      <formula>""</formula>
    </cfRule>
    <cfRule type="cellIs" dxfId="22" priority="163" operator="greaterThan">
      <formula>TODAY()</formula>
    </cfRule>
    <cfRule type="expression" dxfId="14" priority="168">
      <formula>AND(I58&lt;TODAY(),J58="")</formula>
    </cfRule>
    <cfRule type="expression" dxfId="13" priority="169">
      <formula>J58&lt;TODAY()</formula>
    </cfRule>
    <cfRule type="expression" dxfId="14" priority="170">
      <formula>I58&lt;TODAY()</formula>
    </cfRule>
  </conditionalFormatting>
  <conditionalFormatting sqref="I62:I64">
    <cfRule type="cellIs" dxfId="22" priority="172" operator="equal">
      <formula>""</formula>
    </cfRule>
    <cfRule type="cellIs" dxfId="22" priority="173" operator="greaterThan">
      <formula>TODAY()</formula>
    </cfRule>
    <cfRule type="expression" dxfId="14" priority="178">
      <formula>AND(I62&lt;TODAY(),J62="")</formula>
    </cfRule>
    <cfRule type="expression" dxfId="13" priority="179">
      <formula>J62&lt;TODAY()</formula>
    </cfRule>
    <cfRule type="expression" dxfId="14" priority="180">
      <formula>I62&lt;TODAY()</formula>
    </cfRule>
  </conditionalFormatting>
  <conditionalFormatting sqref="I66:I68">
    <cfRule type="cellIs" dxfId="22" priority="182" operator="equal">
      <formula>""</formula>
    </cfRule>
    <cfRule type="cellIs" dxfId="22" priority="183" operator="greaterThan">
      <formula>TODAY()</formula>
    </cfRule>
    <cfRule type="expression" dxfId="14" priority="188">
      <formula>AND(I66&lt;TODAY(),J66="")</formula>
    </cfRule>
    <cfRule type="expression" dxfId="13" priority="189">
      <formula>J66&lt;TODAY()</formula>
    </cfRule>
    <cfRule type="expression" dxfId="14" priority="190">
      <formula>I66&lt;TODAY()</formula>
    </cfRule>
  </conditionalFormatting>
  <conditionalFormatting sqref="I70:I72">
    <cfRule type="cellIs" dxfId="22" priority="192" operator="equal">
      <formula>""</formula>
    </cfRule>
    <cfRule type="cellIs" dxfId="22" priority="193" operator="greaterThan">
      <formula>TODAY()</formula>
    </cfRule>
    <cfRule type="expression" dxfId="14" priority="198">
      <formula>AND(I70&lt;TODAY(),J70="")</formula>
    </cfRule>
    <cfRule type="expression" dxfId="13" priority="199">
      <formula>J70&lt;TODAY()</formula>
    </cfRule>
    <cfRule type="expression" dxfId="14" priority="200">
      <formula>I70&lt;TODAY()</formula>
    </cfRule>
  </conditionalFormatting>
  <conditionalFormatting sqref="I82:I84">
    <cfRule type="cellIs" dxfId="22" priority="2" operator="equal">
      <formula>""</formula>
    </cfRule>
    <cfRule type="cellIs" dxfId="22" priority="3" operator="greaterThan">
      <formula>TODAY()</formula>
    </cfRule>
    <cfRule type="expression" dxfId="14" priority="8">
      <formula>AND(I82&lt;TODAY(),J82="")</formula>
    </cfRule>
    <cfRule type="expression" dxfId="13" priority="9">
      <formula>J82&lt;TODAY()</formula>
    </cfRule>
    <cfRule type="expression" dxfId="14" priority="10">
      <formula>I82&lt;TODAY()</formula>
    </cfRule>
  </conditionalFormatting>
  <conditionalFormatting sqref="I86:I88">
    <cfRule type="cellIs" dxfId="22" priority="12" operator="equal">
      <formula>""</formula>
    </cfRule>
    <cfRule type="cellIs" dxfId="22" priority="13" operator="greaterThan">
      <formula>TODAY()</formula>
    </cfRule>
    <cfRule type="expression" dxfId="14" priority="18">
      <formula>AND(I86&lt;TODAY(),J86="")</formula>
    </cfRule>
    <cfRule type="expression" dxfId="13" priority="19">
      <formula>J86&lt;TODAY()</formula>
    </cfRule>
    <cfRule type="expression" dxfId="14" priority="20">
      <formula>I86&lt;TODAY()</formula>
    </cfRule>
  </conditionalFormatting>
  <conditionalFormatting sqref="I90:I92">
    <cfRule type="cellIs" dxfId="22" priority="22" operator="equal">
      <formula>""</formula>
    </cfRule>
    <cfRule type="cellIs" dxfId="22" priority="23" operator="greaterThan">
      <formula>TODAY()</formula>
    </cfRule>
    <cfRule type="expression" dxfId="14" priority="28">
      <formula>AND(I90&lt;TODAY(),J90="")</formula>
    </cfRule>
    <cfRule type="expression" dxfId="13" priority="29">
      <formula>J90&lt;TODAY()</formula>
    </cfRule>
    <cfRule type="expression" dxfId="14" priority="30">
      <formula>I90&lt;TODAY()</formula>
    </cfRule>
  </conditionalFormatting>
  <conditionalFormatting sqref="I94:I96">
    <cfRule type="cellIs" dxfId="22" priority="32" operator="equal">
      <formula>""</formula>
    </cfRule>
    <cfRule type="cellIs" dxfId="22" priority="33" operator="greaterThan">
      <formula>TODAY()</formula>
    </cfRule>
    <cfRule type="expression" dxfId="14" priority="38">
      <formula>AND(I94&lt;TODAY(),J94="")</formula>
    </cfRule>
    <cfRule type="expression" dxfId="13" priority="39">
      <formula>J94&lt;TODAY()</formula>
    </cfRule>
    <cfRule type="expression" dxfId="14" priority="40">
      <formula>I94&lt;TODAY()</formula>
    </cfRule>
  </conditionalFormatting>
  <conditionalFormatting sqref="J7:J9">
    <cfRule type="cellIs" dxfId="22" priority="384" operator="equal">
      <formula>0</formula>
    </cfRule>
    <cfRule type="cellIs" dxfId="29" priority="385" operator="lessThan">
      <formula>I7</formula>
    </cfRule>
    <cfRule type="expression" dxfId="13" priority="386">
      <formula>J7&lt;TODAY()</formula>
    </cfRule>
    <cfRule type="expression" dxfId="14" priority="387">
      <formula>I7&lt;TODAY()</formula>
    </cfRule>
  </conditionalFormatting>
  <conditionalFormatting sqref="J11:J13">
    <cfRule type="cellIs" dxfId="22" priority="374" operator="equal">
      <formula>0</formula>
    </cfRule>
    <cfRule type="cellIs" dxfId="29" priority="375" operator="lessThan">
      <formula>I11</formula>
    </cfRule>
    <cfRule type="expression" dxfId="13" priority="376">
      <formula>J11&lt;TODAY()</formula>
    </cfRule>
    <cfRule type="expression" dxfId="14" priority="377">
      <formula>I11&lt;TODAY()</formula>
    </cfRule>
  </conditionalFormatting>
  <conditionalFormatting sqref="J15:J17">
    <cfRule type="cellIs" dxfId="22" priority="364" operator="equal">
      <formula>0</formula>
    </cfRule>
    <cfRule type="cellIs" dxfId="29" priority="365" operator="lessThan">
      <formula>I15</formula>
    </cfRule>
    <cfRule type="expression" dxfId="13" priority="366">
      <formula>J15&lt;TODAY()</formula>
    </cfRule>
    <cfRule type="expression" dxfId="14" priority="367">
      <formula>I15&lt;TODAY()</formula>
    </cfRule>
  </conditionalFormatting>
  <conditionalFormatting sqref="J19:J21">
    <cfRule type="cellIs" dxfId="22" priority="354" operator="equal">
      <formula>0</formula>
    </cfRule>
    <cfRule type="cellIs" dxfId="29" priority="355" operator="lessThan">
      <formula>I19</formula>
    </cfRule>
    <cfRule type="expression" dxfId="13" priority="356">
      <formula>J19&lt;TODAY()</formula>
    </cfRule>
    <cfRule type="expression" dxfId="14" priority="357">
      <formula>I19&lt;TODAY()</formula>
    </cfRule>
  </conditionalFormatting>
  <conditionalFormatting sqref="J23:J25">
    <cfRule type="cellIs" dxfId="22" priority="344" operator="equal">
      <formula>0</formula>
    </cfRule>
    <cfRule type="cellIs" dxfId="29" priority="345" operator="lessThan">
      <formula>I23</formula>
    </cfRule>
    <cfRule type="expression" dxfId="13" priority="346">
      <formula>J23&lt;TODAY()</formula>
    </cfRule>
    <cfRule type="expression" dxfId="14" priority="347">
      <formula>I23&lt;TODAY()</formula>
    </cfRule>
  </conditionalFormatting>
  <conditionalFormatting sqref="J35:J37">
    <cfRule type="cellIs" dxfId="22" priority="204" operator="equal">
      <formula>0</formula>
    </cfRule>
    <cfRule type="cellIs" dxfId="29" priority="205" operator="lessThan">
      <formula>I35</formula>
    </cfRule>
    <cfRule type="expression" dxfId="13" priority="206">
      <formula>J35&lt;TODAY()</formula>
    </cfRule>
    <cfRule type="expression" dxfId="14" priority="207">
      <formula>I35&lt;TODAY()</formula>
    </cfRule>
  </conditionalFormatting>
  <conditionalFormatting sqref="J39:J41">
    <cfRule type="cellIs" dxfId="22" priority="214" operator="equal">
      <formula>0</formula>
    </cfRule>
    <cfRule type="cellIs" dxfId="29" priority="215" operator="lessThan">
      <formula>I39</formula>
    </cfRule>
    <cfRule type="expression" dxfId="13" priority="216">
      <formula>J39&lt;TODAY()</formula>
    </cfRule>
    <cfRule type="expression" dxfId="14" priority="217">
      <formula>I39&lt;TODAY()</formula>
    </cfRule>
  </conditionalFormatting>
  <conditionalFormatting sqref="J43:J45">
    <cfRule type="cellIs" dxfId="22" priority="224" operator="equal">
      <formula>0</formula>
    </cfRule>
    <cfRule type="cellIs" dxfId="29" priority="225" operator="lessThan">
      <formula>I43</formula>
    </cfRule>
    <cfRule type="expression" dxfId="13" priority="226">
      <formula>J43&lt;TODAY()</formula>
    </cfRule>
    <cfRule type="expression" dxfId="14" priority="227">
      <formula>I43&lt;TODAY()</formula>
    </cfRule>
  </conditionalFormatting>
  <conditionalFormatting sqref="J47:J49">
    <cfRule type="cellIs" dxfId="22" priority="234" operator="equal">
      <formula>0</formula>
    </cfRule>
    <cfRule type="cellIs" dxfId="29" priority="235" operator="lessThan">
      <formula>I47</formula>
    </cfRule>
    <cfRule type="expression" dxfId="13" priority="236">
      <formula>J47&lt;TODAY()</formula>
    </cfRule>
    <cfRule type="expression" dxfId="14" priority="237">
      <formula>I47&lt;TODAY()</formula>
    </cfRule>
  </conditionalFormatting>
  <conditionalFormatting sqref="J54:J56">
    <cfRule type="cellIs" dxfId="22" priority="154" operator="equal">
      <formula>0</formula>
    </cfRule>
    <cfRule type="cellIs" dxfId="29" priority="155" operator="lessThan">
      <formula>I54</formula>
    </cfRule>
    <cfRule type="expression" dxfId="13" priority="156">
      <formula>J54&lt;TODAY()</formula>
    </cfRule>
    <cfRule type="expression" dxfId="14" priority="157">
      <formula>I54&lt;TODAY()</formula>
    </cfRule>
  </conditionalFormatting>
  <conditionalFormatting sqref="J58:J60">
    <cfRule type="cellIs" dxfId="22" priority="164" operator="equal">
      <formula>0</formula>
    </cfRule>
    <cfRule type="cellIs" dxfId="29" priority="165" operator="lessThan">
      <formula>I58</formula>
    </cfRule>
    <cfRule type="expression" dxfId="13" priority="166">
      <formula>J58&lt;TODAY()</formula>
    </cfRule>
    <cfRule type="expression" dxfId="14" priority="167">
      <formula>I58&lt;TODAY()</formula>
    </cfRule>
  </conditionalFormatting>
  <conditionalFormatting sqref="J62:J64">
    <cfRule type="cellIs" dxfId="22" priority="174" operator="equal">
      <formula>0</formula>
    </cfRule>
    <cfRule type="cellIs" dxfId="29" priority="175" operator="lessThan">
      <formula>I62</formula>
    </cfRule>
    <cfRule type="expression" dxfId="13" priority="176">
      <formula>J62&lt;TODAY()</formula>
    </cfRule>
    <cfRule type="expression" dxfId="14" priority="177">
      <formula>I62&lt;TODAY()</formula>
    </cfRule>
  </conditionalFormatting>
  <conditionalFormatting sqref="J66:J68">
    <cfRule type="cellIs" dxfId="22" priority="184" operator="equal">
      <formula>0</formula>
    </cfRule>
    <cfRule type="cellIs" dxfId="29" priority="185" operator="lessThan">
      <formula>I66</formula>
    </cfRule>
    <cfRule type="expression" dxfId="13" priority="186">
      <formula>J66&lt;TODAY()</formula>
    </cfRule>
    <cfRule type="expression" dxfId="14" priority="187">
      <formula>I66&lt;TODAY()</formula>
    </cfRule>
  </conditionalFormatting>
  <conditionalFormatting sqref="J70:J72">
    <cfRule type="cellIs" dxfId="22" priority="194" operator="equal">
      <formula>0</formula>
    </cfRule>
    <cfRule type="cellIs" dxfId="29" priority="195" operator="lessThan">
      <formula>I70</formula>
    </cfRule>
    <cfRule type="expression" dxfId="13" priority="196">
      <formula>J70&lt;TODAY()</formula>
    </cfRule>
    <cfRule type="expression" dxfId="14" priority="197">
      <formula>I70&lt;TODAY()</formula>
    </cfRule>
  </conditionalFormatting>
  <conditionalFormatting sqref="J82:J84">
    <cfRule type="cellIs" dxfId="22" priority="4" operator="equal">
      <formula>0</formula>
    </cfRule>
    <cfRule type="cellIs" dxfId="29" priority="5" operator="lessThan">
      <formula>I82</formula>
    </cfRule>
    <cfRule type="expression" dxfId="13" priority="6">
      <formula>J82&lt;TODAY()</formula>
    </cfRule>
    <cfRule type="expression" dxfId="14" priority="7">
      <formula>I82&lt;TODAY()</formula>
    </cfRule>
  </conditionalFormatting>
  <conditionalFormatting sqref="J86:J88">
    <cfRule type="cellIs" dxfId="22" priority="14" operator="equal">
      <formula>0</formula>
    </cfRule>
    <cfRule type="cellIs" dxfId="29" priority="15" operator="lessThan">
      <formula>I86</formula>
    </cfRule>
    <cfRule type="expression" dxfId="13" priority="16">
      <formula>J86&lt;TODAY()</formula>
    </cfRule>
    <cfRule type="expression" dxfId="14" priority="17">
      <formula>I86&lt;TODAY()</formula>
    </cfRule>
  </conditionalFormatting>
  <conditionalFormatting sqref="J90:J92">
    <cfRule type="cellIs" dxfId="22" priority="24" operator="equal">
      <formula>0</formula>
    </cfRule>
    <cfRule type="cellIs" dxfId="29" priority="25" operator="lessThan">
      <formula>I90</formula>
    </cfRule>
    <cfRule type="expression" dxfId="13" priority="26">
      <formula>J90&lt;TODAY()</formula>
    </cfRule>
    <cfRule type="expression" dxfId="14" priority="27">
      <formula>I90&lt;TODAY()</formula>
    </cfRule>
  </conditionalFormatting>
  <conditionalFormatting sqref="J94:J96">
    <cfRule type="cellIs" dxfId="22" priority="34" operator="equal">
      <formula>0</formula>
    </cfRule>
    <cfRule type="cellIs" dxfId="29" priority="35" operator="lessThan">
      <formula>I94</formula>
    </cfRule>
    <cfRule type="expression" dxfId="13" priority="36">
      <formula>J94&lt;TODAY()</formula>
    </cfRule>
    <cfRule type="expression" dxfId="14" priority="37">
      <formula>I94&lt;TODAY()</formula>
    </cfRule>
  </conditionalFormatting>
  <conditionalFormatting sqref="L7:L125">
    <cfRule type="cellIs" dxfId="12" priority="533" operator="equal">
      <formula>L6</formula>
    </cfRule>
  </conditionalFormatting>
  <conditionalFormatting sqref="M$1:M$1048576">
    <cfRule type="cellIs" dxfId="12" priority="530" operator="equal">
      <formula>0</formula>
    </cfRule>
  </conditionalFormatting>
  <conditionalFormatting sqref="U6:U125">
    <cfRule type="cellIs" dxfId="12" priority="531" operator="equal">
      <formula>0</formula>
    </cfRule>
  </conditionalFormatting>
  <conditionalFormatting sqref="X6:X125">
    <cfRule type="expression" dxfId="13" priority="399">
      <formula>Y6&lt;TODAY()</formula>
    </cfRule>
    <cfRule type="expression" dxfId="14" priority="400">
      <formula>X6&lt;TODAY()</formula>
    </cfRule>
  </conditionalFormatting>
  <conditionalFormatting sqref="Y6:Y125">
    <cfRule type="expression" dxfId="15" priority="393">
      <formula>AND(Y6&lt;X6,X6&lt;&gt;"")</formula>
    </cfRule>
    <cfRule type="expression" dxfId="13" priority="396">
      <formula>Y6&lt;TODAY()</formula>
    </cfRule>
    <cfRule type="expression" dxfId="14" priority="397">
      <formula>AND(Y6&gt;TODAY(),X6="")</formula>
    </cfRule>
    <cfRule type="expression" dxfId="14" priority="398">
      <formula>X6&lt;TODAY()</formula>
    </cfRule>
  </conditionalFormatting>
  <conditionalFormatting sqref="AB6:AB125">
    <cfRule type="cellIs" dxfId="30" priority="409" operator="notEqual">
      <formula>0</formula>
    </cfRule>
  </conditionalFormatting>
  <conditionalFormatting sqref="$A1:$XFD1048576">
    <cfRule type="containsText" dxfId="1" priority="1" operator="between" text="Free">
      <formula>NOT(ISERROR(SEARCH("Free",A1)))</formula>
    </cfRule>
  </conditionalFormatting>
  <conditionalFormatting sqref="X6:Y125">
    <cfRule type="cellIs" dxfId="22" priority="392" operator="equal">
      <formula>""</formula>
    </cfRule>
  </conditionalFormatting>
  <conditionalFormatting sqref="D8:E9">
    <cfRule type="cellIs" dxfId="2" priority="408" operator="notEqual">
      <formula>0</formula>
    </cfRule>
  </conditionalFormatting>
  <conditionalFormatting sqref="I8:J9">
    <cfRule type="cellIs" dxfId="2" priority="391" operator="notEqual">
      <formula>0</formula>
    </cfRule>
  </conditionalFormatting>
  <conditionalFormatting sqref="D12:E13">
    <cfRule type="cellIs" dxfId="2" priority="341" operator="notEqual">
      <formula>0</formula>
    </cfRule>
  </conditionalFormatting>
  <conditionalFormatting sqref="I12:J13">
    <cfRule type="cellIs" dxfId="2" priority="381" operator="notEqual">
      <formula>0</formula>
    </cfRule>
  </conditionalFormatting>
  <conditionalFormatting sqref="D16:E17">
    <cfRule type="cellIs" dxfId="2" priority="331" operator="notEqual">
      <formula>0</formula>
    </cfRule>
  </conditionalFormatting>
  <conditionalFormatting sqref="I16:J17">
    <cfRule type="cellIs" dxfId="2" priority="371" operator="notEqual">
      <formula>0</formula>
    </cfRule>
  </conditionalFormatting>
  <conditionalFormatting sqref="D20:E21">
    <cfRule type="cellIs" dxfId="2" priority="321" operator="notEqual">
      <formula>0</formula>
    </cfRule>
  </conditionalFormatting>
  <conditionalFormatting sqref="I20:J21">
    <cfRule type="cellIs" dxfId="2" priority="361" operator="notEqual">
      <formula>0</formula>
    </cfRule>
  </conditionalFormatting>
  <conditionalFormatting sqref="D24:E25">
    <cfRule type="cellIs" dxfId="2" priority="311" operator="notEqual">
      <formula>0</formula>
    </cfRule>
  </conditionalFormatting>
  <conditionalFormatting sqref="I24:J25">
    <cfRule type="cellIs" dxfId="2" priority="351" operator="notEqual">
      <formula>0</formula>
    </cfRule>
  </conditionalFormatting>
  <conditionalFormatting sqref="D28:E29">
    <cfRule type="cellIs" dxfId="2" priority="301" operator="notEqual">
      <formula>0</formula>
    </cfRule>
  </conditionalFormatting>
  <conditionalFormatting sqref="D32:E33">
    <cfRule type="cellIs" dxfId="2" priority="291" operator="notEqual">
      <formula>0</formula>
    </cfRule>
  </conditionalFormatting>
  <conditionalFormatting sqref="D36:E37">
    <cfRule type="cellIs" dxfId="2" priority="281" operator="notEqual">
      <formula>0</formula>
    </cfRule>
  </conditionalFormatting>
  <conditionalFormatting sqref="I36:J37">
    <cfRule type="cellIs" dxfId="2" priority="211" operator="notEqual">
      <formula>0</formula>
    </cfRule>
  </conditionalFormatting>
  <conditionalFormatting sqref="D40:E41">
    <cfRule type="cellIs" dxfId="2" priority="271" operator="notEqual">
      <formula>0</formula>
    </cfRule>
  </conditionalFormatting>
  <conditionalFormatting sqref="I40:J41">
    <cfRule type="cellIs" dxfId="2" priority="221" operator="notEqual">
      <formula>0</formula>
    </cfRule>
  </conditionalFormatting>
  <conditionalFormatting sqref="D44:E45">
    <cfRule type="cellIs" dxfId="2" priority="261" operator="notEqual">
      <formula>0</formula>
    </cfRule>
  </conditionalFormatting>
  <conditionalFormatting sqref="I44:J45">
    <cfRule type="cellIs" dxfId="2" priority="231" operator="notEqual">
      <formula>0</formula>
    </cfRule>
  </conditionalFormatting>
  <conditionalFormatting sqref="D48:E49">
    <cfRule type="cellIs" dxfId="2" priority="251" operator="notEqual">
      <formula>0</formula>
    </cfRule>
  </conditionalFormatting>
  <conditionalFormatting sqref="I48:J49">
    <cfRule type="cellIs" dxfId="2" priority="241" operator="notEqual">
      <formula>0</formula>
    </cfRule>
  </conditionalFormatting>
  <conditionalFormatting sqref="D55:E56">
    <cfRule type="cellIs" dxfId="2" priority="151" operator="notEqual">
      <formula>0</formula>
    </cfRule>
  </conditionalFormatting>
  <conditionalFormatting sqref="I55:J56">
    <cfRule type="cellIs" dxfId="2" priority="161" operator="notEqual">
      <formula>0</formula>
    </cfRule>
  </conditionalFormatting>
  <conditionalFormatting sqref="D59:E60">
    <cfRule type="cellIs" dxfId="2" priority="141" operator="notEqual">
      <formula>0</formula>
    </cfRule>
  </conditionalFormatting>
  <conditionalFormatting sqref="I59:J60">
    <cfRule type="cellIs" dxfId="2" priority="171" operator="notEqual">
      <formula>0</formula>
    </cfRule>
  </conditionalFormatting>
  <conditionalFormatting sqref="D63:E64">
    <cfRule type="cellIs" dxfId="2" priority="131" operator="notEqual">
      <formula>0</formula>
    </cfRule>
  </conditionalFormatting>
  <conditionalFormatting sqref="I63:J64">
    <cfRule type="cellIs" dxfId="2" priority="181" operator="notEqual">
      <formula>0</formula>
    </cfRule>
  </conditionalFormatting>
  <conditionalFormatting sqref="D67:E68">
    <cfRule type="cellIs" dxfId="2" priority="121" operator="notEqual">
      <formula>0</formula>
    </cfRule>
  </conditionalFormatting>
  <conditionalFormatting sqref="I67:J68">
    <cfRule type="cellIs" dxfId="2" priority="191" operator="notEqual">
      <formula>0</formula>
    </cfRule>
  </conditionalFormatting>
  <conditionalFormatting sqref="D71:E72">
    <cfRule type="cellIs" dxfId="2" priority="111" operator="notEqual">
      <formula>0</formula>
    </cfRule>
  </conditionalFormatting>
  <conditionalFormatting sqref="I71:J72">
    <cfRule type="cellIs" dxfId="2" priority="201" operator="notEqual">
      <formula>0</formula>
    </cfRule>
  </conditionalFormatting>
  <conditionalFormatting sqref="D75:E76">
    <cfRule type="cellIs" dxfId="2" priority="101" operator="notEqual">
      <formula>0</formula>
    </cfRule>
  </conditionalFormatting>
  <conditionalFormatting sqref="D79:E80">
    <cfRule type="cellIs" dxfId="2" priority="91" operator="notEqual">
      <formula>0</formula>
    </cfRule>
  </conditionalFormatting>
  <conditionalFormatting sqref="D83:E84">
    <cfRule type="cellIs" dxfId="2" priority="81" operator="notEqual">
      <formula>0</formula>
    </cfRule>
  </conditionalFormatting>
  <conditionalFormatting sqref="I83:J84">
    <cfRule type="cellIs" dxfId="2" priority="11" operator="notEqual">
      <formula>0</formula>
    </cfRule>
  </conditionalFormatting>
  <conditionalFormatting sqref="D87:E88">
    <cfRule type="cellIs" dxfId="2" priority="71" operator="notEqual">
      <formula>0</formula>
    </cfRule>
  </conditionalFormatting>
  <conditionalFormatting sqref="I87:J88">
    <cfRule type="cellIs" dxfId="2" priority="21" operator="notEqual">
      <formula>0</formula>
    </cfRule>
  </conditionalFormatting>
  <conditionalFormatting sqref="D91:E92">
    <cfRule type="cellIs" dxfId="2" priority="61" operator="notEqual">
      <formula>0</formula>
    </cfRule>
  </conditionalFormatting>
  <conditionalFormatting sqref="I91:J92">
    <cfRule type="cellIs" dxfId="2" priority="31" operator="notEqual">
      <formula>0</formula>
    </cfRule>
  </conditionalFormatting>
  <conditionalFormatting sqref="D95:E96">
    <cfRule type="cellIs" dxfId="2" priority="51" operator="notEqual">
      <formula>0</formula>
    </cfRule>
  </conditionalFormatting>
  <conditionalFormatting sqref="I95:J96">
    <cfRule type="cellIs" dxfId="2" priority="41" operator="notEqual">
      <formula>0</formula>
    </cfRule>
  </conditionalFormatting>
  <pageMargins left="0.7" right="0.7" top="0.75" bottom="0.75" header="0.3" footer="0.3"/>
  <pageSetup paperSize="1" scale="36" fitToWidth="0" orientation="portrait"/>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910"/>
  <sheetViews>
    <sheetView zoomScale="85" zoomScaleNormal="85" workbookViewId="0">
      <pane ySplit="1" topLeftCell="A68" activePane="bottomLeft" state="frozen"/>
      <selection/>
      <selection pane="bottomLeft" activeCell="C69" sqref="C69"/>
    </sheetView>
  </sheetViews>
  <sheetFormatPr defaultColWidth="9" defaultRowHeight="14.5"/>
  <cols>
    <col min="2" max="2" width="5.70909090909091" style="31" customWidth="1"/>
    <col min="3" max="3" width="35.7090909090909" style="31" customWidth="1"/>
    <col min="4" max="4" width="8.85454545454546" style="31"/>
    <col min="5" max="5" width="5.70909090909091" style="31" customWidth="1"/>
    <col min="6" max="6" width="7.70909090909091" style="32" customWidth="1"/>
    <col min="7" max="7" width="10.7090909090909" style="32" customWidth="1"/>
    <col min="8" max="8" width="8.85454545454546" style="2"/>
    <col min="9" max="9" width="37.8545454545455" style="33" customWidth="1"/>
    <col min="10" max="12" width="5.28181818181818" style="34" customWidth="1"/>
    <col min="13" max="14" width="8.85454545454546" style="35"/>
    <col min="16" max="18" width="8.85454545454546" style="33"/>
    <col min="19" max="19" width="8.85454545454546" style="34"/>
  </cols>
  <sheetData>
    <row r="1" spans="2:12">
      <c r="B1" s="32">
        <v>1</v>
      </c>
      <c r="C1" s="31" t="s">
        <v>1265</v>
      </c>
      <c r="D1" s="36">
        <v>27</v>
      </c>
      <c r="E1" s="36">
        <v>101</v>
      </c>
      <c r="F1" s="36" t="s">
        <v>7431</v>
      </c>
      <c r="G1" s="36" t="s">
        <v>1266</v>
      </c>
      <c r="I1" s="33" t="s">
        <v>1265</v>
      </c>
      <c r="J1" s="34">
        <v>27</v>
      </c>
      <c r="K1" s="34">
        <v>101</v>
      </c>
      <c r="L1" s="34">
        <v>2</v>
      </c>
    </row>
    <row r="2" spans="2:12">
      <c r="B2" s="32">
        <v>2</v>
      </c>
      <c r="C2" s="31" t="s">
        <v>2952</v>
      </c>
      <c r="D2" s="36">
        <v>27</v>
      </c>
      <c r="E2" s="36">
        <v>101</v>
      </c>
      <c r="F2" s="36" t="s">
        <v>7938</v>
      </c>
      <c r="G2" s="36" t="s">
        <v>2953</v>
      </c>
      <c r="I2" s="33" t="s">
        <v>2952</v>
      </c>
      <c r="J2" s="34">
        <v>27</v>
      </c>
      <c r="K2" s="34">
        <v>101</v>
      </c>
      <c r="L2" s="34">
        <v>3</v>
      </c>
    </row>
    <row r="3" spans="2:12">
      <c r="B3" s="32">
        <v>3</v>
      </c>
      <c r="C3" s="31" t="s">
        <v>418</v>
      </c>
      <c r="D3" s="36">
        <v>27</v>
      </c>
      <c r="E3" s="36">
        <v>102</v>
      </c>
      <c r="F3" s="36" t="s">
        <v>7432</v>
      </c>
      <c r="G3" s="36" t="s">
        <v>419</v>
      </c>
      <c r="I3" s="33" t="s">
        <v>418</v>
      </c>
      <c r="J3" s="34">
        <v>27</v>
      </c>
      <c r="K3" s="34">
        <v>102</v>
      </c>
      <c r="L3" s="34">
        <v>1</v>
      </c>
    </row>
    <row r="4" spans="2:12">
      <c r="B4" s="32">
        <v>4</v>
      </c>
      <c r="C4" s="31" t="s">
        <v>1773</v>
      </c>
      <c r="D4" s="36">
        <v>27</v>
      </c>
      <c r="E4" s="36">
        <v>102</v>
      </c>
      <c r="F4" s="36" t="s">
        <v>6765</v>
      </c>
      <c r="G4" s="36" t="s">
        <v>1774</v>
      </c>
      <c r="I4" s="33" t="s">
        <v>1773</v>
      </c>
      <c r="J4" s="34">
        <v>27</v>
      </c>
      <c r="K4" s="34">
        <v>102</v>
      </c>
      <c r="L4" s="34">
        <v>3</v>
      </c>
    </row>
    <row r="5" spans="2:12">
      <c r="B5" s="32">
        <v>5</v>
      </c>
      <c r="C5" s="31" t="s">
        <v>3936</v>
      </c>
      <c r="D5" s="36">
        <v>27</v>
      </c>
      <c r="E5" s="36">
        <v>103</v>
      </c>
      <c r="F5" s="36" t="s">
        <v>7122</v>
      </c>
      <c r="G5" s="36" t="s">
        <v>3937</v>
      </c>
      <c r="I5" s="33" t="s">
        <v>3936</v>
      </c>
      <c r="J5" s="34">
        <v>27</v>
      </c>
      <c r="K5" s="34">
        <v>103</v>
      </c>
      <c r="L5" s="34">
        <v>1</v>
      </c>
    </row>
    <row r="6" spans="2:12">
      <c r="B6" s="32">
        <v>6</v>
      </c>
      <c r="C6" s="31" t="s">
        <v>1212</v>
      </c>
      <c r="D6" s="36">
        <v>27</v>
      </c>
      <c r="E6" s="36">
        <v>103</v>
      </c>
      <c r="F6" s="36" t="s">
        <v>7433</v>
      </c>
      <c r="G6" s="36" t="s">
        <v>1213</v>
      </c>
      <c r="I6" s="33" t="s">
        <v>1212</v>
      </c>
      <c r="J6" s="34">
        <v>27</v>
      </c>
      <c r="K6" s="34">
        <v>103</v>
      </c>
      <c r="L6" s="34">
        <v>3</v>
      </c>
    </row>
    <row r="7" spans="2:12">
      <c r="B7" s="32">
        <v>7</v>
      </c>
      <c r="C7" s="31" t="s">
        <v>2326</v>
      </c>
      <c r="D7" s="36">
        <v>27</v>
      </c>
      <c r="E7" s="36">
        <v>104</v>
      </c>
      <c r="F7" s="36" t="s">
        <v>7223</v>
      </c>
      <c r="G7" s="36" t="s">
        <v>2327</v>
      </c>
      <c r="I7" s="33" t="s">
        <v>2326</v>
      </c>
      <c r="J7" s="34">
        <v>27</v>
      </c>
      <c r="K7" s="34">
        <v>104</v>
      </c>
      <c r="L7" s="34">
        <v>1</v>
      </c>
    </row>
    <row r="8" spans="2:12">
      <c r="B8" s="32">
        <v>9</v>
      </c>
      <c r="C8" s="31" t="s">
        <v>811</v>
      </c>
      <c r="D8" s="36">
        <v>27</v>
      </c>
      <c r="E8" s="36">
        <v>104</v>
      </c>
      <c r="F8" s="36" t="s">
        <v>6683</v>
      </c>
      <c r="G8" s="36" t="s">
        <v>812</v>
      </c>
      <c r="I8" s="33" t="s">
        <v>811</v>
      </c>
      <c r="J8" s="34">
        <v>27</v>
      </c>
      <c r="K8" s="34">
        <v>104</v>
      </c>
      <c r="L8" s="34">
        <v>2</v>
      </c>
    </row>
    <row r="9" spans="2:12">
      <c r="B9" s="32">
        <v>8</v>
      </c>
      <c r="C9" s="31" t="s">
        <v>1607</v>
      </c>
      <c r="D9" s="36">
        <v>27</v>
      </c>
      <c r="E9" s="36">
        <v>104</v>
      </c>
      <c r="F9" s="36" t="s">
        <v>7434</v>
      </c>
      <c r="G9" s="36" t="s">
        <v>1608</v>
      </c>
      <c r="I9" s="33" t="s">
        <v>1607</v>
      </c>
      <c r="J9" s="34">
        <v>27</v>
      </c>
      <c r="K9" s="34">
        <v>104</v>
      </c>
      <c r="L9" s="34">
        <v>3</v>
      </c>
    </row>
    <row r="10" spans="2:12">
      <c r="B10" s="32">
        <v>10</v>
      </c>
      <c r="C10" s="31" t="s">
        <v>2726</v>
      </c>
      <c r="D10" s="36">
        <v>27</v>
      </c>
      <c r="E10" s="36">
        <v>105</v>
      </c>
      <c r="F10" s="36" t="s">
        <v>7306</v>
      </c>
      <c r="G10" s="36" t="s">
        <v>2727</v>
      </c>
      <c r="I10" s="33" t="s">
        <v>2726</v>
      </c>
      <c r="J10" s="34">
        <v>27</v>
      </c>
      <c r="K10" s="34">
        <v>105</v>
      </c>
      <c r="L10" s="34">
        <v>1</v>
      </c>
    </row>
    <row r="11" spans="2:12">
      <c r="B11" s="32">
        <v>11</v>
      </c>
      <c r="C11" s="31" t="s">
        <v>5011</v>
      </c>
      <c r="D11" s="36">
        <v>27</v>
      </c>
      <c r="E11" s="36">
        <v>105</v>
      </c>
      <c r="F11" s="36" t="s">
        <v>6766</v>
      </c>
      <c r="G11" s="36" t="s">
        <v>5012</v>
      </c>
      <c r="I11" s="33" t="s">
        <v>5011</v>
      </c>
      <c r="J11" s="34">
        <v>27</v>
      </c>
      <c r="K11" s="34">
        <v>105</v>
      </c>
      <c r="L11" s="34">
        <v>3</v>
      </c>
    </row>
    <row r="12" spans="2:12">
      <c r="B12" s="32">
        <v>12</v>
      </c>
      <c r="C12" s="31" t="s">
        <v>4467</v>
      </c>
      <c r="D12" s="36">
        <v>27</v>
      </c>
      <c r="E12" s="36">
        <v>106</v>
      </c>
      <c r="F12" s="36" t="s">
        <v>7159</v>
      </c>
      <c r="G12" s="36" t="s">
        <v>4468</v>
      </c>
      <c r="I12" s="33" t="s">
        <v>4467</v>
      </c>
      <c r="J12" s="34">
        <v>27</v>
      </c>
      <c r="K12" s="34">
        <v>106</v>
      </c>
      <c r="L12" s="34">
        <v>2</v>
      </c>
    </row>
    <row r="13" spans="2:12">
      <c r="B13" s="32">
        <v>13</v>
      </c>
      <c r="C13" s="31" t="s">
        <v>1529</v>
      </c>
      <c r="D13" s="36">
        <v>27</v>
      </c>
      <c r="E13" s="36">
        <v>106</v>
      </c>
      <c r="F13" s="36" t="s">
        <v>6914</v>
      </c>
      <c r="G13" s="36" t="s">
        <v>1530</v>
      </c>
      <c r="I13" s="33" t="s">
        <v>1529</v>
      </c>
      <c r="J13" s="34">
        <v>27</v>
      </c>
      <c r="K13" s="34">
        <v>106</v>
      </c>
      <c r="L13" s="34">
        <v>3</v>
      </c>
    </row>
    <row r="14" spans="2:12">
      <c r="B14" s="32">
        <v>15</v>
      </c>
      <c r="C14" s="31" t="s">
        <v>659</v>
      </c>
      <c r="D14" s="36">
        <v>27</v>
      </c>
      <c r="E14" s="36">
        <v>107</v>
      </c>
      <c r="F14" s="36" t="s">
        <v>6934</v>
      </c>
      <c r="G14" s="36" t="s">
        <v>660</v>
      </c>
      <c r="I14" s="33" t="s">
        <v>659</v>
      </c>
      <c r="J14" s="34">
        <v>27</v>
      </c>
      <c r="K14" s="34">
        <v>107</v>
      </c>
      <c r="L14" s="34">
        <v>1</v>
      </c>
    </row>
    <row r="15" spans="2:12">
      <c r="B15" s="32">
        <v>14</v>
      </c>
      <c r="C15" s="31" t="s">
        <v>4637</v>
      </c>
      <c r="D15" s="36">
        <v>27</v>
      </c>
      <c r="E15" s="36">
        <v>107</v>
      </c>
      <c r="F15" s="36" t="s">
        <v>7247</v>
      </c>
      <c r="G15" s="36" t="s">
        <v>4638</v>
      </c>
      <c r="I15" s="33" t="s">
        <v>4637</v>
      </c>
      <c r="J15" s="34">
        <v>27</v>
      </c>
      <c r="K15" s="34">
        <v>107</v>
      </c>
      <c r="L15" s="34">
        <v>2</v>
      </c>
    </row>
    <row r="16" spans="2:12">
      <c r="B16" s="32">
        <v>17</v>
      </c>
      <c r="C16" s="31" t="s">
        <v>4809</v>
      </c>
      <c r="D16" s="36">
        <v>27</v>
      </c>
      <c r="E16" s="36">
        <v>108</v>
      </c>
      <c r="F16" s="36" t="s">
        <v>7374</v>
      </c>
      <c r="G16" s="36" t="s">
        <v>4810</v>
      </c>
      <c r="I16" s="33" t="s">
        <v>4809</v>
      </c>
      <c r="J16" s="34">
        <v>27</v>
      </c>
      <c r="K16" s="34">
        <v>108</v>
      </c>
      <c r="L16" s="34">
        <v>2</v>
      </c>
    </row>
    <row r="17" spans="2:12">
      <c r="B17" s="32">
        <v>16</v>
      </c>
      <c r="C17" s="31" t="s">
        <v>713</v>
      </c>
      <c r="D17" s="36">
        <v>27</v>
      </c>
      <c r="E17" s="36">
        <v>108</v>
      </c>
      <c r="F17" s="36" t="s">
        <v>7351</v>
      </c>
      <c r="G17" s="36" t="s">
        <v>714</v>
      </c>
      <c r="I17" s="33" t="s">
        <v>713</v>
      </c>
      <c r="J17" s="34">
        <v>27</v>
      </c>
      <c r="K17" s="34">
        <v>108</v>
      </c>
      <c r="L17" s="34">
        <v>3</v>
      </c>
    </row>
    <row r="18" spans="2:12">
      <c r="B18" s="32">
        <v>18</v>
      </c>
      <c r="C18" s="31" t="s">
        <v>2552</v>
      </c>
      <c r="D18" s="36">
        <v>27</v>
      </c>
      <c r="E18" s="36">
        <v>109</v>
      </c>
      <c r="F18" s="36" t="s">
        <v>7436</v>
      </c>
      <c r="G18" s="36" t="s">
        <v>2553</v>
      </c>
      <c r="I18" s="33" t="s">
        <v>2552</v>
      </c>
      <c r="J18" s="34">
        <v>27</v>
      </c>
      <c r="K18" s="34">
        <v>109</v>
      </c>
      <c r="L18" s="34">
        <v>1</v>
      </c>
    </row>
    <row r="19" spans="2:12">
      <c r="B19" s="32">
        <v>19</v>
      </c>
      <c r="C19" s="31" t="s">
        <v>4003</v>
      </c>
      <c r="D19" s="36">
        <v>27</v>
      </c>
      <c r="E19" s="36">
        <v>109</v>
      </c>
      <c r="F19" s="36" t="s">
        <v>7249</v>
      </c>
      <c r="G19" s="36" t="s">
        <v>4004</v>
      </c>
      <c r="I19" s="33" t="s">
        <v>4003</v>
      </c>
      <c r="J19" s="34">
        <v>27</v>
      </c>
      <c r="K19" s="34">
        <v>109</v>
      </c>
      <c r="L19" s="34">
        <v>2</v>
      </c>
    </row>
    <row r="20" spans="2:12">
      <c r="B20" s="32">
        <v>21</v>
      </c>
      <c r="C20" s="31" t="s">
        <v>1592</v>
      </c>
      <c r="D20" s="36">
        <v>27</v>
      </c>
      <c r="E20" s="36">
        <v>110</v>
      </c>
      <c r="F20" s="36" t="s">
        <v>7437</v>
      </c>
      <c r="G20" s="36" t="s">
        <v>1593</v>
      </c>
      <c r="I20" s="33" t="s">
        <v>1592</v>
      </c>
      <c r="J20" s="34">
        <v>27</v>
      </c>
      <c r="K20" s="34">
        <v>110</v>
      </c>
      <c r="L20" s="34">
        <v>1</v>
      </c>
    </row>
    <row r="21" spans="2:12">
      <c r="B21" s="32">
        <v>20</v>
      </c>
      <c r="C21" s="31" t="s">
        <v>605</v>
      </c>
      <c r="D21" s="36">
        <v>27</v>
      </c>
      <c r="E21" s="36">
        <v>110</v>
      </c>
      <c r="F21" s="36" t="s">
        <v>7372</v>
      </c>
      <c r="G21" s="36" t="s">
        <v>606</v>
      </c>
      <c r="I21" s="33" t="s">
        <v>605</v>
      </c>
      <c r="J21" s="34">
        <v>27</v>
      </c>
      <c r="K21" s="34">
        <v>110</v>
      </c>
      <c r="L21" s="34">
        <v>2</v>
      </c>
    </row>
    <row r="22" spans="2:12">
      <c r="B22" s="32">
        <v>22</v>
      </c>
      <c r="C22" s="31" t="s">
        <v>3083</v>
      </c>
      <c r="D22" s="36">
        <v>27</v>
      </c>
      <c r="E22" s="36">
        <v>111</v>
      </c>
      <c r="F22" s="36" t="s">
        <v>6783</v>
      </c>
      <c r="G22" s="36" t="s">
        <v>3084</v>
      </c>
      <c r="I22" s="33" t="s">
        <v>3083</v>
      </c>
      <c r="J22" s="34">
        <v>27</v>
      </c>
      <c r="K22" s="34">
        <v>111</v>
      </c>
      <c r="L22" s="34">
        <v>1</v>
      </c>
    </row>
    <row r="23" spans="2:12">
      <c r="B23" s="32">
        <v>23</v>
      </c>
      <c r="C23" s="31" t="s">
        <v>2688</v>
      </c>
      <c r="D23" s="36">
        <v>27</v>
      </c>
      <c r="E23" s="36">
        <v>111</v>
      </c>
      <c r="F23" s="36" t="s">
        <v>7200</v>
      </c>
      <c r="G23" s="36" t="s">
        <v>2689</v>
      </c>
      <c r="I23" s="33" t="s">
        <v>2688</v>
      </c>
      <c r="J23" s="34">
        <v>27</v>
      </c>
      <c r="K23" s="34">
        <v>111</v>
      </c>
      <c r="L23" s="34">
        <v>2</v>
      </c>
    </row>
    <row r="24" spans="2:12">
      <c r="B24" s="32">
        <v>24</v>
      </c>
      <c r="C24" s="31" t="s">
        <v>2230</v>
      </c>
      <c r="D24" s="36">
        <v>27</v>
      </c>
      <c r="E24" s="36">
        <v>112</v>
      </c>
      <c r="F24" s="36" t="s">
        <v>7217</v>
      </c>
      <c r="G24" s="36" t="s">
        <v>2231</v>
      </c>
      <c r="I24" s="33" t="s">
        <v>2230</v>
      </c>
      <c r="J24" s="34">
        <v>27</v>
      </c>
      <c r="K24" s="34">
        <v>112</v>
      </c>
      <c r="L24" s="34">
        <v>1</v>
      </c>
    </row>
    <row r="25" spans="2:12">
      <c r="B25" s="32">
        <v>25</v>
      </c>
      <c r="C25" s="31" t="s">
        <v>2868</v>
      </c>
      <c r="D25" s="36">
        <v>27</v>
      </c>
      <c r="E25" s="36">
        <v>112</v>
      </c>
      <c r="F25" s="36" t="s">
        <v>7438</v>
      </c>
      <c r="G25" s="36" t="s">
        <v>2869</v>
      </c>
      <c r="I25" s="33" t="s">
        <v>2868</v>
      </c>
      <c r="J25" s="34">
        <v>27</v>
      </c>
      <c r="K25" s="34">
        <v>112</v>
      </c>
      <c r="L25" s="34">
        <v>3</v>
      </c>
    </row>
    <row r="26" spans="2:12">
      <c r="B26" s="32">
        <v>27</v>
      </c>
      <c r="C26" s="31" t="s">
        <v>13</v>
      </c>
      <c r="D26" s="36">
        <v>27</v>
      </c>
      <c r="E26" s="36">
        <v>113</v>
      </c>
      <c r="F26" s="36" t="s">
        <v>7364</v>
      </c>
      <c r="G26" s="36" t="s">
        <v>14</v>
      </c>
      <c r="I26" s="33" t="s">
        <v>13</v>
      </c>
      <c r="J26" s="34">
        <v>27</v>
      </c>
      <c r="K26" s="34">
        <v>113</v>
      </c>
      <c r="L26" s="34">
        <v>1</v>
      </c>
    </row>
    <row r="27" spans="2:12">
      <c r="B27" s="32">
        <v>26</v>
      </c>
      <c r="C27" s="31" t="s">
        <v>1010</v>
      </c>
      <c r="D27" s="36">
        <v>27</v>
      </c>
      <c r="E27" s="36">
        <v>113</v>
      </c>
      <c r="F27" s="36" t="s">
        <v>7439</v>
      </c>
      <c r="G27" s="36" t="s">
        <v>1011</v>
      </c>
      <c r="I27" s="33" t="s">
        <v>1010</v>
      </c>
      <c r="J27" s="34">
        <v>27</v>
      </c>
      <c r="K27" s="34">
        <v>113</v>
      </c>
      <c r="L27" s="34">
        <v>3</v>
      </c>
    </row>
    <row r="28" spans="2:12">
      <c r="B28" s="32">
        <v>28</v>
      </c>
      <c r="C28" s="31" t="s">
        <v>4456</v>
      </c>
      <c r="D28" s="36">
        <v>27</v>
      </c>
      <c r="E28" s="36">
        <v>114</v>
      </c>
      <c r="F28" s="36" t="s">
        <v>7440</v>
      </c>
      <c r="G28" s="36" t="s">
        <v>4457</v>
      </c>
      <c r="I28" s="33" t="s">
        <v>4456</v>
      </c>
      <c r="J28" s="34">
        <v>27</v>
      </c>
      <c r="K28" s="34">
        <v>114</v>
      </c>
      <c r="L28" s="34">
        <v>2</v>
      </c>
    </row>
    <row r="29" spans="2:12">
      <c r="B29" s="32">
        <v>29</v>
      </c>
      <c r="C29" s="31" t="s">
        <v>3981</v>
      </c>
      <c r="D29" s="36">
        <v>27</v>
      </c>
      <c r="E29" s="36">
        <v>114</v>
      </c>
      <c r="F29" s="36" t="s">
        <v>7082</v>
      </c>
      <c r="G29" s="36" t="s">
        <v>3982</v>
      </c>
      <c r="I29" s="33" t="s">
        <v>3981</v>
      </c>
      <c r="J29" s="34">
        <v>27</v>
      </c>
      <c r="K29" s="34">
        <v>114</v>
      </c>
      <c r="L29" s="34">
        <v>3</v>
      </c>
    </row>
    <row r="30" spans="2:12">
      <c r="B30" s="32">
        <v>32</v>
      </c>
      <c r="C30" s="31" t="s">
        <v>1025</v>
      </c>
      <c r="D30" s="36">
        <v>27</v>
      </c>
      <c r="E30" s="36">
        <v>115</v>
      </c>
      <c r="F30" s="36" t="s">
        <v>6753</v>
      </c>
      <c r="G30" s="36" t="s">
        <v>1026</v>
      </c>
      <c r="I30" s="33" t="s">
        <v>1025</v>
      </c>
      <c r="J30" s="34">
        <v>27</v>
      </c>
      <c r="K30" s="34">
        <v>115</v>
      </c>
      <c r="L30" s="34">
        <v>1</v>
      </c>
    </row>
    <row r="31" spans="2:12">
      <c r="B31" s="32">
        <v>31</v>
      </c>
      <c r="C31" s="31" t="s">
        <v>2154</v>
      </c>
      <c r="D31" s="36">
        <v>27</v>
      </c>
      <c r="E31" s="36">
        <v>115</v>
      </c>
      <c r="F31" s="36" t="s">
        <v>6633</v>
      </c>
      <c r="G31" s="36" t="s">
        <v>2155</v>
      </c>
      <c r="I31" s="33" t="s">
        <v>2154</v>
      </c>
      <c r="J31" s="34">
        <v>27</v>
      </c>
      <c r="K31" s="34">
        <v>115</v>
      </c>
      <c r="L31" s="34">
        <v>2</v>
      </c>
    </row>
    <row r="32" spans="2:12">
      <c r="B32" s="32">
        <v>30</v>
      </c>
      <c r="C32" s="31" t="s">
        <v>4310</v>
      </c>
      <c r="D32" s="36">
        <v>27</v>
      </c>
      <c r="E32" s="36">
        <v>115</v>
      </c>
      <c r="F32" s="36" t="s">
        <v>6651</v>
      </c>
      <c r="G32" s="36" t="s">
        <v>4311</v>
      </c>
      <c r="I32" s="33" t="s">
        <v>4310</v>
      </c>
      <c r="J32" s="34">
        <v>27</v>
      </c>
      <c r="K32" s="34">
        <v>115</v>
      </c>
      <c r="L32" s="34">
        <v>3</v>
      </c>
    </row>
    <row r="33" spans="2:12">
      <c r="B33" s="32">
        <v>33</v>
      </c>
      <c r="C33" s="31" t="s">
        <v>3823</v>
      </c>
      <c r="D33" s="36">
        <v>27</v>
      </c>
      <c r="E33" s="36">
        <v>116</v>
      </c>
      <c r="F33" s="36" t="s">
        <v>7078</v>
      </c>
      <c r="G33" s="36" t="s">
        <v>3824</v>
      </c>
      <c r="I33" s="33" t="s">
        <v>3823</v>
      </c>
      <c r="J33" s="34">
        <v>27</v>
      </c>
      <c r="K33" s="34">
        <v>116</v>
      </c>
      <c r="L33" s="34">
        <v>1</v>
      </c>
    </row>
    <row r="34" spans="2:12">
      <c r="B34" s="32">
        <v>34</v>
      </c>
      <c r="C34" s="31" t="s">
        <v>4008</v>
      </c>
      <c r="D34" s="36">
        <v>27</v>
      </c>
      <c r="E34" s="36">
        <v>116</v>
      </c>
      <c r="F34" s="36" t="s">
        <v>6727</v>
      </c>
      <c r="G34" s="36" t="s">
        <v>4009</v>
      </c>
      <c r="I34" s="33" t="s">
        <v>4008</v>
      </c>
      <c r="J34" s="34">
        <v>27</v>
      </c>
      <c r="K34" s="34">
        <v>116</v>
      </c>
      <c r="L34" s="34">
        <v>3</v>
      </c>
    </row>
    <row r="35" spans="2:12">
      <c r="B35" s="32">
        <v>36</v>
      </c>
      <c r="C35" s="31" t="s">
        <v>1067</v>
      </c>
      <c r="D35" s="36">
        <v>27</v>
      </c>
      <c r="E35" s="36">
        <v>117</v>
      </c>
      <c r="F35" s="36" t="s">
        <v>6667</v>
      </c>
      <c r="G35" s="36" t="s">
        <v>1068</v>
      </c>
      <c r="I35" s="33" t="s">
        <v>1067</v>
      </c>
      <c r="J35" s="34">
        <v>27</v>
      </c>
      <c r="K35" s="34">
        <v>117</v>
      </c>
      <c r="L35" s="34">
        <v>2</v>
      </c>
    </row>
    <row r="36" spans="2:12">
      <c r="B36" s="32">
        <v>35</v>
      </c>
      <c r="C36" s="31" t="s">
        <v>4295</v>
      </c>
      <c r="D36" s="36">
        <v>27</v>
      </c>
      <c r="E36" s="36">
        <v>117</v>
      </c>
      <c r="F36" s="36" t="s">
        <v>6785</v>
      </c>
      <c r="G36" s="36" t="s">
        <v>4296</v>
      </c>
      <c r="I36" s="33" t="s">
        <v>4295</v>
      </c>
      <c r="J36" s="34">
        <v>27</v>
      </c>
      <c r="K36" s="34">
        <v>117</v>
      </c>
      <c r="L36" s="34">
        <v>3</v>
      </c>
    </row>
    <row r="37" spans="2:12">
      <c r="B37" s="32">
        <v>38</v>
      </c>
      <c r="C37" s="31" t="s">
        <v>5844</v>
      </c>
      <c r="D37" s="36">
        <v>27</v>
      </c>
      <c r="E37" s="36">
        <v>118</v>
      </c>
      <c r="F37" s="36" t="s">
        <v>7442</v>
      </c>
      <c r="G37" s="36" t="s">
        <v>5845</v>
      </c>
      <c r="I37" s="33" t="s">
        <v>5844</v>
      </c>
      <c r="J37" s="34">
        <v>27</v>
      </c>
      <c r="K37" s="34">
        <v>118</v>
      </c>
      <c r="L37" s="34">
        <v>1</v>
      </c>
    </row>
    <row r="38" spans="2:12">
      <c r="B38" s="32">
        <v>37</v>
      </c>
      <c r="C38" s="31" t="s">
        <v>3723</v>
      </c>
      <c r="D38" s="36">
        <v>27</v>
      </c>
      <c r="E38" s="36">
        <v>118</v>
      </c>
      <c r="F38" s="36" t="s">
        <v>7443</v>
      </c>
      <c r="G38" s="36" t="s">
        <v>3724</v>
      </c>
      <c r="I38" s="33" t="s">
        <v>3723</v>
      </c>
      <c r="J38" s="34">
        <v>27</v>
      </c>
      <c r="K38" s="34">
        <v>118</v>
      </c>
      <c r="L38" s="34">
        <v>2</v>
      </c>
    </row>
    <row r="39" spans="2:12">
      <c r="B39" s="32">
        <v>39</v>
      </c>
      <c r="C39" s="31" t="s">
        <v>3746</v>
      </c>
      <c r="D39" s="36">
        <v>27</v>
      </c>
      <c r="E39" s="36">
        <v>118</v>
      </c>
      <c r="F39" s="36" t="s">
        <v>7338</v>
      </c>
      <c r="G39" s="36" t="s">
        <v>3747</v>
      </c>
      <c r="I39" s="33" t="s">
        <v>3746</v>
      </c>
      <c r="J39" s="34">
        <v>27</v>
      </c>
      <c r="K39" s="34">
        <v>118</v>
      </c>
      <c r="L39" s="34">
        <v>3</v>
      </c>
    </row>
    <row r="40" spans="2:12">
      <c r="B40" s="32">
        <v>41</v>
      </c>
      <c r="C40" s="31" t="s">
        <v>559</v>
      </c>
      <c r="D40" s="36">
        <v>27</v>
      </c>
      <c r="E40" s="36">
        <v>119</v>
      </c>
      <c r="F40" s="36" t="s">
        <v>7142</v>
      </c>
      <c r="G40" s="36" t="s">
        <v>560</v>
      </c>
      <c r="I40" s="33" t="s">
        <v>559</v>
      </c>
      <c r="J40" s="34">
        <v>27</v>
      </c>
      <c r="K40" s="34">
        <v>119</v>
      </c>
      <c r="L40" s="34">
        <v>1</v>
      </c>
    </row>
    <row r="41" spans="2:12">
      <c r="B41" s="32">
        <v>40</v>
      </c>
      <c r="C41" s="31" t="s">
        <v>4169</v>
      </c>
      <c r="D41" s="36">
        <v>27</v>
      </c>
      <c r="E41" s="36">
        <v>119</v>
      </c>
      <c r="F41" s="36" t="s">
        <v>7171</v>
      </c>
      <c r="G41" s="36" t="s">
        <v>4170</v>
      </c>
      <c r="I41" s="33" t="s">
        <v>4169</v>
      </c>
      <c r="J41" s="34">
        <v>27</v>
      </c>
      <c r="K41" s="34">
        <v>119</v>
      </c>
      <c r="L41" s="34">
        <v>2</v>
      </c>
    </row>
    <row r="42" spans="2:12">
      <c r="B42" s="32">
        <v>42</v>
      </c>
      <c r="C42" s="31" t="s">
        <v>2067</v>
      </c>
      <c r="D42" s="36">
        <v>27</v>
      </c>
      <c r="E42" s="36">
        <v>119</v>
      </c>
      <c r="F42" s="36" t="s">
        <v>7444</v>
      </c>
      <c r="G42" s="36" t="s">
        <v>2068</v>
      </c>
      <c r="I42" s="33" t="s">
        <v>2067</v>
      </c>
      <c r="J42" s="34">
        <v>27</v>
      </c>
      <c r="K42" s="34">
        <v>119</v>
      </c>
      <c r="L42" s="34">
        <v>3</v>
      </c>
    </row>
    <row r="43" spans="2:12">
      <c r="B43" s="32">
        <v>43</v>
      </c>
      <c r="C43" s="31" t="s">
        <v>1660</v>
      </c>
      <c r="D43" s="36">
        <v>27</v>
      </c>
      <c r="E43" s="36">
        <v>120</v>
      </c>
      <c r="F43" s="36" t="s">
        <v>6752</v>
      </c>
      <c r="G43" s="36" t="s">
        <v>1661</v>
      </c>
      <c r="I43" s="33" t="s">
        <v>1660</v>
      </c>
      <c r="J43" s="34">
        <v>27</v>
      </c>
      <c r="K43" s="34">
        <v>120</v>
      </c>
      <c r="L43" s="34">
        <v>1</v>
      </c>
    </row>
    <row r="44" spans="2:12">
      <c r="B44" s="32">
        <v>44</v>
      </c>
      <c r="C44" s="31" t="s">
        <v>3864</v>
      </c>
      <c r="D44" s="36">
        <v>27</v>
      </c>
      <c r="E44" s="36">
        <v>120</v>
      </c>
      <c r="F44" s="36" t="s">
        <v>6794</v>
      </c>
      <c r="G44" s="36" t="s">
        <v>3865</v>
      </c>
      <c r="I44" s="33" t="s">
        <v>3864</v>
      </c>
      <c r="J44" s="34">
        <v>27</v>
      </c>
      <c r="K44" s="34">
        <v>120</v>
      </c>
      <c r="L44" s="34">
        <v>3</v>
      </c>
    </row>
    <row r="45" spans="2:12">
      <c r="B45" s="32">
        <v>45</v>
      </c>
      <c r="C45" s="31" t="s">
        <v>4049</v>
      </c>
      <c r="D45" s="36">
        <v>27</v>
      </c>
      <c r="E45" s="36">
        <v>201</v>
      </c>
      <c r="F45" s="36" t="s">
        <v>7445</v>
      </c>
      <c r="G45" s="36" t="s">
        <v>4050</v>
      </c>
      <c r="I45" s="33" t="s">
        <v>4049</v>
      </c>
      <c r="J45" s="34">
        <v>27</v>
      </c>
      <c r="K45" s="34">
        <v>201</v>
      </c>
      <c r="L45" s="34">
        <v>2</v>
      </c>
    </row>
    <row r="46" spans="2:12">
      <c r="B46" s="32">
        <v>46</v>
      </c>
      <c r="C46" s="31" t="s">
        <v>3349</v>
      </c>
      <c r="D46" s="36">
        <v>27</v>
      </c>
      <c r="E46" s="36">
        <v>201</v>
      </c>
      <c r="F46" s="36" t="s">
        <v>7103</v>
      </c>
      <c r="G46" s="36" t="s">
        <v>3350</v>
      </c>
      <c r="I46" s="33" t="s">
        <v>3349</v>
      </c>
      <c r="J46" s="34">
        <v>27</v>
      </c>
      <c r="K46" s="34">
        <v>201</v>
      </c>
      <c r="L46" s="34">
        <v>3</v>
      </c>
    </row>
    <row r="47" spans="2:12">
      <c r="B47" s="32">
        <v>47</v>
      </c>
      <c r="C47" s="31" t="s">
        <v>4536</v>
      </c>
      <c r="D47" s="36">
        <v>27</v>
      </c>
      <c r="E47" s="36">
        <v>202</v>
      </c>
      <c r="F47" s="36" t="s">
        <v>7446</v>
      </c>
      <c r="G47" s="36" t="s">
        <v>4537</v>
      </c>
      <c r="I47" s="33" t="s">
        <v>4536</v>
      </c>
      <c r="J47" s="34">
        <v>27</v>
      </c>
      <c r="K47" s="34">
        <v>202</v>
      </c>
      <c r="L47" s="34">
        <v>3</v>
      </c>
    </row>
    <row r="48" spans="2:12">
      <c r="B48" s="32">
        <v>48</v>
      </c>
      <c r="C48" s="31" t="s">
        <v>3209</v>
      </c>
      <c r="D48" s="36">
        <v>27</v>
      </c>
      <c r="E48" s="36">
        <v>203</v>
      </c>
      <c r="F48" s="36" t="s">
        <v>7447</v>
      </c>
      <c r="G48" s="36" t="s">
        <v>3210</v>
      </c>
      <c r="I48" s="33" t="s">
        <v>3209</v>
      </c>
      <c r="J48" s="34">
        <v>27</v>
      </c>
      <c r="K48" s="34">
        <v>203</v>
      </c>
      <c r="L48" s="34">
        <v>1</v>
      </c>
    </row>
    <row r="49" spans="2:12">
      <c r="B49" s="32">
        <v>49</v>
      </c>
      <c r="C49" s="31" t="s">
        <v>2452</v>
      </c>
      <c r="D49" s="36">
        <v>27</v>
      </c>
      <c r="E49" s="36">
        <v>203</v>
      </c>
      <c r="F49" s="36" t="s">
        <v>7448</v>
      </c>
      <c r="G49" s="36" t="s">
        <v>2453</v>
      </c>
      <c r="I49" s="33" t="s">
        <v>2452</v>
      </c>
      <c r="J49" s="34">
        <v>27</v>
      </c>
      <c r="K49" s="34">
        <v>203</v>
      </c>
      <c r="L49" s="34">
        <v>3</v>
      </c>
    </row>
    <row r="50" spans="2:12">
      <c r="B50" s="32">
        <v>51</v>
      </c>
      <c r="C50" s="31" t="s">
        <v>4397</v>
      </c>
      <c r="D50" s="36">
        <v>27</v>
      </c>
      <c r="E50" s="36">
        <v>204</v>
      </c>
      <c r="F50" s="36" t="s">
        <v>7449</v>
      </c>
      <c r="G50" s="36" t="s">
        <v>4398</v>
      </c>
      <c r="I50" s="33" t="s">
        <v>4397</v>
      </c>
      <c r="J50" s="34">
        <v>27</v>
      </c>
      <c r="K50" s="34">
        <v>204</v>
      </c>
      <c r="L50" s="34">
        <v>1</v>
      </c>
    </row>
    <row r="51" spans="2:12">
      <c r="B51" s="32">
        <v>50</v>
      </c>
      <c r="C51" s="31" t="s">
        <v>1399</v>
      </c>
      <c r="D51" s="36">
        <v>27</v>
      </c>
      <c r="E51" s="36">
        <v>204</v>
      </c>
      <c r="F51" s="36" t="s">
        <v>7450</v>
      </c>
      <c r="G51" s="36" t="s">
        <v>1400</v>
      </c>
      <c r="I51" s="33" t="s">
        <v>1399</v>
      </c>
      <c r="J51" s="34">
        <v>27</v>
      </c>
      <c r="K51" s="34">
        <v>204</v>
      </c>
      <c r="L51" s="34">
        <v>2</v>
      </c>
    </row>
    <row r="52" spans="2:12">
      <c r="B52" s="32">
        <v>52</v>
      </c>
      <c r="C52" s="31" t="s">
        <v>4578</v>
      </c>
      <c r="D52" s="36">
        <v>27</v>
      </c>
      <c r="E52" s="36">
        <v>205</v>
      </c>
      <c r="F52" s="36" t="s">
        <v>7068</v>
      </c>
      <c r="G52" s="36" t="s">
        <v>4579</v>
      </c>
      <c r="I52" s="33" t="s">
        <v>4578</v>
      </c>
      <c r="J52" s="34">
        <v>27</v>
      </c>
      <c r="K52" s="34">
        <v>205</v>
      </c>
      <c r="L52" s="34">
        <v>2</v>
      </c>
    </row>
    <row r="53" spans="2:12">
      <c r="B53" s="32">
        <v>53</v>
      </c>
      <c r="C53" s="31" t="s">
        <v>487</v>
      </c>
      <c r="D53" s="36">
        <v>27</v>
      </c>
      <c r="E53" s="36">
        <v>205</v>
      </c>
      <c r="F53" s="36" t="s">
        <v>6743</v>
      </c>
      <c r="G53" s="36" t="s">
        <v>488</v>
      </c>
      <c r="I53" s="33" t="s">
        <v>487</v>
      </c>
      <c r="J53" s="34">
        <v>27</v>
      </c>
      <c r="K53" s="34">
        <v>205</v>
      </c>
      <c r="L53" s="34">
        <v>3</v>
      </c>
    </row>
    <row r="54" spans="2:12">
      <c r="B54" s="32">
        <v>54</v>
      </c>
      <c r="C54" s="31" t="s">
        <v>6013</v>
      </c>
      <c r="D54" s="36">
        <v>27</v>
      </c>
      <c r="E54" s="36">
        <v>206</v>
      </c>
      <c r="F54" s="36" t="s">
        <v>7099</v>
      </c>
      <c r="G54" s="36" t="s">
        <v>6014</v>
      </c>
      <c r="I54" s="33" t="s">
        <v>6013</v>
      </c>
      <c r="J54" s="34">
        <v>27</v>
      </c>
      <c r="K54" s="34">
        <v>206</v>
      </c>
      <c r="L54" s="34">
        <v>1</v>
      </c>
    </row>
    <row r="55" spans="2:12">
      <c r="B55" s="32">
        <v>55</v>
      </c>
      <c r="C55" s="31" t="s">
        <v>6052</v>
      </c>
      <c r="D55" s="36">
        <v>27</v>
      </c>
      <c r="E55" s="36">
        <v>206</v>
      </c>
      <c r="F55" s="36" t="s">
        <v>6873</v>
      </c>
      <c r="G55" s="36" t="s">
        <v>6053</v>
      </c>
      <c r="I55" s="33" t="s">
        <v>6052</v>
      </c>
      <c r="J55" s="34">
        <v>27</v>
      </c>
      <c r="K55" s="34">
        <v>206</v>
      </c>
      <c r="L55" s="34">
        <v>3</v>
      </c>
    </row>
    <row r="56" spans="2:12">
      <c r="B56" s="32"/>
      <c r="D56" s="36"/>
      <c r="E56" s="36"/>
      <c r="F56" s="36"/>
      <c r="G56" s="36"/>
      <c r="I56" s="33" t="s">
        <v>7939</v>
      </c>
      <c r="J56" s="34">
        <v>27</v>
      </c>
      <c r="K56" s="34">
        <v>207</v>
      </c>
      <c r="L56" s="34">
        <v>1</v>
      </c>
    </row>
    <row r="57" spans="2:12">
      <c r="B57" s="32">
        <v>58</v>
      </c>
      <c r="C57" s="31" t="s">
        <v>752</v>
      </c>
      <c r="D57" s="36">
        <v>27</v>
      </c>
      <c r="E57" s="36">
        <v>208</v>
      </c>
      <c r="F57" s="36" t="s">
        <v>7453</v>
      </c>
      <c r="G57" s="36" t="s">
        <v>753</v>
      </c>
      <c r="I57" s="33" t="s">
        <v>752</v>
      </c>
      <c r="J57" s="34">
        <v>27</v>
      </c>
      <c r="K57" s="34">
        <v>208</v>
      </c>
      <c r="L57" s="34">
        <v>2</v>
      </c>
    </row>
    <row r="58" spans="2:12">
      <c r="B58" s="32">
        <v>57</v>
      </c>
      <c r="C58" s="31" t="s">
        <v>5438</v>
      </c>
      <c r="D58" s="36">
        <v>27</v>
      </c>
      <c r="E58" s="36">
        <v>208</v>
      </c>
      <c r="F58" s="36" t="s">
        <v>7117</v>
      </c>
      <c r="G58" s="36" t="s">
        <v>5439</v>
      </c>
      <c r="I58" s="33" t="s">
        <v>5438</v>
      </c>
      <c r="J58" s="34">
        <v>27</v>
      </c>
      <c r="K58" s="34">
        <v>208</v>
      </c>
      <c r="L58" s="34">
        <v>3</v>
      </c>
    </row>
    <row r="59" spans="2:12">
      <c r="B59" s="32">
        <v>60</v>
      </c>
      <c r="C59" s="31" t="s">
        <v>4627</v>
      </c>
      <c r="D59" s="36">
        <v>27</v>
      </c>
      <c r="E59" s="36">
        <v>209</v>
      </c>
      <c r="F59" s="36" t="s">
        <v>7320</v>
      </c>
      <c r="G59" s="36" t="s">
        <v>4628</v>
      </c>
      <c r="I59" s="33" t="s">
        <v>4627</v>
      </c>
      <c r="J59" s="34">
        <v>27</v>
      </c>
      <c r="K59" s="34">
        <v>209</v>
      </c>
      <c r="L59" s="34">
        <v>1</v>
      </c>
    </row>
    <row r="60" spans="2:12">
      <c r="B60" s="32">
        <v>59</v>
      </c>
      <c r="C60" s="31" t="s">
        <v>669</v>
      </c>
      <c r="D60" s="36">
        <v>27</v>
      </c>
      <c r="E60" s="36">
        <v>209</v>
      </c>
      <c r="F60" s="36" t="s">
        <v>7454</v>
      </c>
      <c r="G60" s="36" t="s">
        <v>670</v>
      </c>
      <c r="I60" s="33" t="s">
        <v>669</v>
      </c>
      <c r="J60" s="34">
        <v>27</v>
      </c>
      <c r="K60" s="34">
        <v>209</v>
      </c>
      <c r="L60" s="34">
        <v>2</v>
      </c>
    </row>
    <row r="61" spans="2:12">
      <c r="B61" s="32">
        <v>61</v>
      </c>
      <c r="C61" s="31" t="s">
        <v>2236</v>
      </c>
      <c r="D61" s="36">
        <v>27</v>
      </c>
      <c r="E61" s="36">
        <v>210</v>
      </c>
      <c r="F61" s="36" t="s">
        <v>7455</v>
      </c>
      <c r="G61" s="36" t="s">
        <v>2237</v>
      </c>
      <c r="I61" s="33" t="s">
        <v>2236</v>
      </c>
      <c r="J61" s="34">
        <v>27</v>
      </c>
      <c r="K61" s="34">
        <v>210</v>
      </c>
      <c r="L61" s="34">
        <v>2</v>
      </c>
    </row>
    <row r="62" spans="2:12">
      <c r="B62" s="32">
        <v>62</v>
      </c>
      <c r="C62" s="31" t="s">
        <v>3673</v>
      </c>
      <c r="D62" s="36">
        <v>27</v>
      </c>
      <c r="E62" s="36">
        <v>210</v>
      </c>
      <c r="F62" s="36" t="s">
        <v>7456</v>
      </c>
      <c r="G62" s="36" t="s">
        <v>3674</v>
      </c>
      <c r="I62" s="33" t="s">
        <v>3673</v>
      </c>
      <c r="J62" s="34">
        <v>27</v>
      </c>
      <c r="K62" s="34">
        <v>210</v>
      </c>
      <c r="L62" s="34">
        <v>3</v>
      </c>
    </row>
    <row r="63" spans="2:12">
      <c r="B63" s="32">
        <v>64</v>
      </c>
      <c r="C63" s="31" t="s">
        <v>763</v>
      </c>
      <c r="D63" s="36">
        <v>27</v>
      </c>
      <c r="E63" s="36">
        <v>211</v>
      </c>
      <c r="F63" s="36" t="s">
        <v>7457</v>
      </c>
      <c r="G63" s="36" t="s">
        <v>764</v>
      </c>
      <c r="I63" s="33" t="s">
        <v>763</v>
      </c>
      <c r="J63" s="34">
        <v>27</v>
      </c>
      <c r="K63" s="34">
        <v>211</v>
      </c>
      <c r="L63" s="34">
        <v>1</v>
      </c>
    </row>
    <row r="64" spans="2:12">
      <c r="B64" s="32">
        <v>63</v>
      </c>
      <c r="C64" s="31" t="s">
        <v>6024</v>
      </c>
      <c r="D64" s="36">
        <v>27</v>
      </c>
      <c r="E64" s="36">
        <v>211</v>
      </c>
      <c r="F64" s="36" t="s">
        <v>7458</v>
      </c>
      <c r="G64" s="36" t="s">
        <v>6025</v>
      </c>
      <c r="I64" s="33" t="s">
        <v>6024</v>
      </c>
      <c r="J64" s="34">
        <v>27</v>
      </c>
      <c r="K64" s="34">
        <v>211</v>
      </c>
      <c r="L64" s="34">
        <v>2</v>
      </c>
    </row>
    <row r="65" spans="2:12">
      <c r="B65" s="32">
        <v>65</v>
      </c>
      <c r="C65" s="31" t="s">
        <v>3765</v>
      </c>
      <c r="D65" s="36">
        <v>27</v>
      </c>
      <c r="E65" s="36">
        <v>212</v>
      </c>
      <c r="F65" s="36" t="s">
        <v>7459</v>
      </c>
      <c r="G65" s="36" t="s">
        <v>3766</v>
      </c>
      <c r="I65" s="33" t="s">
        <v>3765</v>
      </c>
      <c r="J65" s="34">
        <v>27</v>
      </c>
      <c r="K65" s="34">
        <v>212</v>
      </c>
      <c r="L65" s="34">
        <v>1</v>
      </c>
    </row>
    <row r="66" spans="2:12">
      <c r="B66" s="32">
        <v>67</v>
      </c>
      <c r="C66" s="31" t="s">
        <v>858</v>
      </c>
      <c r="D66" s="36">
        <v>27</v>
      </c>
      <c r="E66" s="36">
        <v>212</v>
      </c>
      <c r="F66" s="36" t="s">
        <v>7144</v>
      </c>
      <c r="G66" s="36" t="s">
        <v>859</v>
      </c>
      <c r="I66" s="33" t="s">
        <v>858</v>
      </c>
      <c r="J66" s="34">
        <v>27</v>
      </c>
      <c r="K66" s="34">
        <v>212</v>
      </c>
      <c r="L66" s="34">
        <v>2</v>
      </c>
    </row>
    <row r="67" spans="2:12">
      <c r="B67" s="32">
        <v>66</v>
      </c>
      <c r="C67" s="31" t="s">
        <v>4202</v>
      </c>
      <c r="D67" s="36">
        <v>27</v>
      </c>
      <c r="E67" s="36">
        <v>212</v>
      </c>
      <c r="F67" s="36" t="s">
        <v>7460</v>
      </c>
      <c r="G67" s="36" t="s">
        <v>4203</v>
      </c>
      <c r="I67" s="33" t="s">
        <v>4202</v>
      </c>
      <c r="J67" s="34">
        <v>27</v>
      </c>
      <c r="K67" s="34">
        <v>212</v>
      </c>
      <c r="L67" s="34">
        <v>3</v>
      </c>
    </row>
    <row r="68" spans="2:12">
      <c r="B68" s="32">
        <v>69</v>
      </c>
      <c r="C68" s="31" t="s">
        <v>3227</v>
      </c>
      <c r="D68" s="36">
        <v>27</v>
      </c>
      <c r="E68" s="36">
        <v>213</v>
      </c>
      <c r="F68" s="36" t="s">
        <v>7461</v>
      </c>
      <c r="G68" s="36" t="s">
        <v>3228</v>
      </c>
      <c r="I68" s="33" t="s">
        <v>3227</v>
      </c>
      <c r="J68" s="34">
        <v>27</v>
      </c>
      <c r="K68" s="34">
        <v>213</v>
      </c>
      <c r="L68" s="34">
        <v>1</v>
      </c>
    </row>
    <row r="69" spans="2:12">
      <c r="B69" s="32">
        <v>68</v>
      </c>
      <c r="C69" s="31" t="s">
        <v>2933</v>
      </c>
      <c r="D69" s="36">
        <v>27</v>
      </c>
      <c r="E69" s="36">
        <v>213</v>
      </c>
      <c r="F69" s="36" t="s">
        <v>6771</v>
      </c>
      <c r="G69" s="36" t="s">
        <v>2934</v>
      </c>
      <c r="I69" s="33" t="s">
        <v>2933</v>
      </c>
      <c r="J69" s="34">
        <v>27</v>
      </c>
      <c r="K69" s="34">
        <v>213</v>
      </c>
      <c r="L69" s="34">
        <v>2</v>
      </c>
    </row>
    <row r="70" spans="2:12">
      <c r="B70" s="32">
        <v>70</v>
      </c>
      <c r="C70" s="31" t="s">
        <v>2923</v>
      </c>
      <c r="D70" s="36">
        <v>27</v>
      </c>
      <c r="E70" s="36">
        <v>214</v>
      </c>
      <c r="F70" s="36" t="s">
        <v>7462</v>
      </c>
      <c r="G70" s="36" t="s">
        <v>2924</v>
      </c>
      <c r="I70" s="33" t="s">
        <v>2923</v>
      </c>
      <c r="J70" s="34">
        <v>27</v>
      </c>
      <c r="K70" s="34">
        <v>214</v>
      </c>
      <c r="L70" s="34">
        <v>1</v>
      </c>
    </row>
    <row r="71" spans="2:12">
      <c r="B71" s="32">
        <v>71</v>
      </c>
      <c r="C71" s="31" t="s">
        <v>30</v>
      </c>
      <c r="D71" s="36">
        <v>27</v>
      </c>
      <c r="E71" s="36">
        <v>214</v>
      </c>
      <c r="F71" s="36" t="s">
        <v>7463</v>
      </c>
      <c r="G71" s="36" t="s">
        <v>31</v>
      </c>
      <c r="I71" s="33" t="s">
        <v>30</v>
      </c>
      <c r="J71" s="34">
        <v>27</v>
      </c>
      <c r="K71" s="34">
        <v>214</v>
      </c>
      <c r="L71" s="34">
        <v>3</v>
      </c>
    </row>
    <row r="72" spans="2:12">
      <c r="B72" s="32">
        <v>73</v>
      </c>
      <c r="C72" s="31" t="s">
        <v>233</v>
      </c>
      <c r="D72" s="36">
        <v>27</v>
      </c>
      <c r="E72" s="36">
        <v>215</v>
      </c>
      <c r="F72" s="36" t="s">
        <v>7290</v>
      </c>
      <c r="G72" s="36" t="s">
        <v>234</v>
      </c>
      <c r="I72" s="33" t="s">
        <v>233</v>
      </c>
      <c r="J72" s="34">
        <v>27</v>
      </c>
      <c r="K72" s="34">
        <v>215</v>
      </c>
      <c r="L72" s="34">
        <v>1</v>
      </c>
    </row>
    <row r="73" spans="2:12">
      <c r="B73" s="32">
        <v>72</v>
      </c>
      <c r="C73" s="31" t="s">
        <v>2277</v>
      </c>
      <c r="D73" s="36">
        <v>27</v>
      </c>
      <c r="E73" s="36">
        <v>215</v>
      </c>
      <c r="F73" s="36" t="s">
        <v>7464</v>
      </c>
      <c r="G73" s="36" t="s">
        <v>2278</v>
      </c>
      <c r="I73" s="33" t="s">
        <v>2277</v>
      </c>
      <c r="J73" s="34">
        <v>27</v>
      </c>
      <c r="K73" s="34">
        <v>215</v>
      </c>
      <c r="L73" s="34">
        <v>2</v>
      </c>
    </row>
    <row r="74" spans="2:12">
      <c r="B74" s="32">
        <v>74</v>
      </c>
      <c r="C74" s="31" t="s">
        <v>3829</v>
      </c>
      <c r="D74" s="36">
        <v>27</v>
      </c>
      <c r="E74" s="36">
        <v>215</v>
      </c>
      <c r="F74" s="36" t="s">
        <v>7465</v>
      </c>
      <c r="G74" s="36" t="s">
        <v>3830</v>
      </c>
      <c r="I74" s="33" t="s">
        <v>3829</v>
      </c>
      <c r="J74" s="34">
        <v>27</v>
      </c>
      <c r="K74" s="34">
        <v>215</v>
      </c>
      <c r="L74" s="34">
        <v>3</v>
      </c>
    </row>
    <row r="75" spans="2:12">
      <c r="B75" s="32">
        <v>76</v>
      </c>
      <c r="C75" s="31" t="s">
        <v>5180</v>
      </c>
      <c r="D75" s="36">
        <v>27</v>
      </c>
      <c r="E75" s="36">
        <v>216</v>
      </c>
      <c r="F75" s="36" t="s">
        <v>7466</v>
      </c>
      <c r="G75" s="36" t="s">
        <v>5181</v>
      </c>
      <c r="I75" s="33" t="s">
        <v>5180</v>
      </c>
      <c r="J75" s="34">
        <v>27</v>
      </c>
      <c r="K75" s="34">
        <v>216</v>
      </c>
      <c r="L75" s="34">
        <v>2</v>
      </c>
    </row>
    <row r="76" spans="2:12">
      <c r="B76" s="32">
        <v>75</v>
      </c>
      <c r="C76" s="31" t="s">
        <v>7940</v>
      </c>
      <c r="D76" s="36">
        <v>27</v>
      </c>
      <c r="E76" s="36">
        <v>216</v>
      </c>
      <c r="F76" s="36" t="s">
        <v>6689</v>
      </c>
      <c r="G76" s="36" t="s">
        <v>5232</v>
      </c>
      <c r="I76" s="33" t="s">
        <v>7940</v>
      </c>
      <c r="J76" s="34">
        <v>27</v>
      </c>
      <c r="K76" s="34">
        <v>216</v>
      </c>
      <c r="L76" s="34">
        <v>3</v>
      </c>
    </row>
    <row r="77" spans="2:12">
      <c r="B77" s="32">
        <v>77</v>
      </c>
      <c r="C77" s="31" t="s">
        <v>2679</v>
      </c>
      <c r="D77" s="36">
        <v>27</v>
      </c>
      <c r="E77" s="36">
        <v>217</v>
      </c>
      <c r="F77" s="36" t="s">
        <v>7468</v>
      </c>
      <c r="G77" s="36" t="s">
        <v>2680</v>
      </c>
      <c r="I77" s="33" t="s">
        <v>2679</v>
      </c>
      <c r="J77" s="34">
        <v>27</v>
      </c>
      <c r="K77" s="34">
        <v>217</v>
      </c>
      <c r="L77" s="34">
        <v>1</v>
      </c>
    </row>
    <row r="78" spans="2:12">
      <c r="B78" s="32">
        <v>78</v>
      </c>
      <c r="C78" s="31" t="s">
        <v>1865</v>
      </c>
      <c r="D78" s="36">
        <v>27</v>
      </c>
      <c r="E78" s="36">
        <v>217</v>
      </c>
      <c r="F78" s="36" t="s">
        <v>7469</v>
      </c>
      <c r="G78" s="36" t="s">
        <v>1866</v>
      </c>
      <c r="I78" s="33" t="s">
        <v>1865</v>
      </c>
      <c r="J78" s="34">
        <v>27</v>
      </c>
      <c r="K78" s="34">
        <v>217</v>
      </c>
      <c r="L78" s="34">
        <v>3</v>
      </c>
    </row>
    <row r="79" spans="2:12">
      <c r="B79" s="32">
        <v>79</v>
      </c>
      <c r="C79" s="31" t="s">
        <v>5776</v>
      </c>
      <c r="D79" s="36">
        <v>27</v>
      </c>
      <c r="E79" s="36">
        <v>218</v>
      </c>
      <c r="F79" s="36" t="s">
        <v>7470</v>
      </c>
      <c r="G79" s="36" t="s">
        <v>5777</v>
      </c>
      <c r="I79" s="33" t="s">
        <v>5776</v>
      </c>
      <c r="J79" s="34">
        <v>27</v>
      </c>
      <c r="K79" s="34">
        <v>218</v>
      </c>
      <c r="L79" s="34">
        <v>2</v>
      </c>
    </row>
    <row r="80" spans="2:12">
      <c r="B80" s="32">
        <v>80</v>
      </c>
      <c r="C80" s="31" t="s">
        <v>412</v>
      </c>
      <c r="D80" s="36">
        <v>27</v>
      </c>
      <c r="E80" s="36">
        <v>218</v>
      </c>
      <c r="F80" s="36" t="s">
        <v>6940</v>
      </c>
      <c r="G80" s="36" t="s">
        <v>413</v>
      </c>
      <c r="I80" s="33" t="s">
        <v>412</v>
      </c>
      <c r="J80" s="34">
        <v>27</v>
      </c>
      <c r="K80" s="34">
        <v>218</v>
      </c>
      <c r="L80" s="34">
        <v>3</v>
      </c>
    </row>
    <row r="81" spans="2:12">
      <c r="B81" s="32">
        <v>81</v>
      </c>
      <c r="C81" s="31" t="s">
        <v>4402</v>
      </c>
      <c r="D81" s="36">
        <v>27</v>
      </c>
      <c r="E81" s="36">
        <v>219</v>
      </c>
      <c r="F81" s="36" t="s">
        <v>7314</v>
      </c>
      <c r="G81" s="36" t="s">
        <v>4403</v>
      </c>
      <c r="I81" s="33" t="s">
        <v>4402</v>
      </c>
      <c r="J81" s="34">
        <v>27</v>
      </c>
      <c r="K81" s="34">
        <v>219</v>
      </c>
      <c r="L81" s="34">
        <v>1</v>
      </c>
    </row>
    <row r="82" spans="2:12">
      <c r="B82" s="32">
        <v>82</v>
      </c>
      <c r="C82" s="31" t="s">
        <v>4855</v>
      </c>
      <c r="D82" s="36">
        <v>27</v>
      </c>
      <c r="E82" s="36">
        <v>219</v>
      </c>
      <c r="F82" s="36" t="s">
        <v>7471</v>
      </c>
      <c r="G82" s="36" t="s">
        <v>4856</v>
      </c>
      <c r="I82" s="33" t="s">
        <v>4855</v>
      </c>
      <c r="J82" s="34">
        <v>27</v>
      </c>
      <c r="K82" s="34">
        <v>219</v>
      </c>
      <c r="L82" s="34">
        <v>2</v>
      </c>
    </row>
    <row r="83" spans="2:12">
      <c r="B83" s="32">
        <v>83</v>
      </c>
      <c r="C83" s="31" t="s">
        <v>131</v>
      </c>
      <c r="D83" s="36">
        <v>27</v>
      </c>
      <c r="E83" s="36">
        <v>220</v>
      </c>
      <c r="F83" s="36" t="s">
        <v>7472</v>
      </c>
      <c r="G83" s="36" t="s">
        <v>132</v>
      </c>
      <c r="I83" s="33" t="s">
        <v>131</v>
      </c>
      <c r="J83" s="34">
        <v>27</v>
      </c>
      <c r="K83" s="34">
        <v>220</v>
      </c>
      <c r="L83" s="34">
        <v>1</v>
      </c>
    </row>
    <row r="84" spans="2:12">
      <c r="B84" s="32">
        <v>84</v>
      </c>
      <c r="C84" s="31" t="s">
        <v>3553</v>
      </c>
      <c r="D84" s="36">
        <v>27</v>
      </c>
      <c r="E84" s="36">
        <v>220</v>
      </c>
      <c r="F84" s="36" t="s">
        <v>6842</v>
      </c>
      <c r="G84" s="36" t="s">
        <v>3554</v>
      </c>
      <c r="I84" s="33" t="s">
        <v>3553</v>
      </c>
      <c r="J84" s="34">
        <v>27</v>
      </c>
      <c r="K84" s="34">
        <v>220</v>
      </c>
      <c r="L84" s="34">
        <v>3</v>
      </c>
    </row>
    <row r="85" spans="2:12">
      <c r="B85" s="32">
        <v>85</v>
      </c>
      <c r="C85" s="31" t="s">
        <v>2271</v>
      </c>
      <c r="D85" s="36">
        <v>28</v>
      </c>
      <c r="E85" s="36">
        <v>101</v>
      </c>
      <c r="F85" s="36" t="s">
        <v>6918</v>
      </c>
      <c r="G85" s="36" t="s">
        <v>2272</v>
      </c>
      <c r="I85" s="33" t="s">
        <v>2271</v>
      </c>
      <c r="J85" s="34">
        <v>28</v>
      </c>
      <c r="K85" s="34">
        <v>101</v>
      </c>
      <c r="L85" s="34">
        <v>1</v>
      </c>
    </row>
    <row r="86" spans="2:12">
      <c r="B86" s="32">
        <v>86</v>
      </c>
      <c r="C86" s="31" t="s">
        <v>4551</v>
      </c>
      <c r="D86" s="36">
        <v>28</v>
      </c>
      <c r="E86" s="36">
        <v>101</v>
      </c>
      <c r="F86" s="36" t="s">
        <v>6912</v>
      </c>
      <c r="G86" s="36" t="s">
        <v>4552</v>
      </c>
      <c r="I86" s="33" t="s">
        <v>4551</v>
      </c>
      <c r="J86" s="34">
        <v>28</v>
      </c>
      <c r="K86" s="34">
        <v>101</v>
      </c>
      <c r="L86" s="34">
        <v>2</v>
      </c>
    </row>
    <row r="87" spans="2:12">
      <c r="B87" s="32">
        <v>87</v>
      </c>
      <c r="C87" s="31" t="s">
        <v>836</v>
      </c>
      <c r="D87" s="36">
        <v>28</v>
      </c>
      <c r="E87" s="36">
        <v>101</v>
      </c>
      <c r="F87" s="36" t="s">
        <v>7229</v>
      </c>
      <c r="G87" s="36" t="s">
        <v>837</v>
      </c>
      <c r="I87" s="33" t="s">
        <v>836</v>
      </c>
      <c r="J87" s="34">
        <v>28</v>
      </c>
      <c r="K87" s="34">
        <v>101</v>
      </c>
      <c r="L87" s="34">
        <v>3</v>
      </c>
    </row>
    <row r="88" spans="2:12">
      <c r="B88" s="32">
        <v>88</v>
      </c>
      <c r="C88" s="31" t="s">
        <v>1202</v>
      </c>
      <c r="D88" s="36">
        <v>28</v>
      </c>
      <c r="E88" s="36">
        <v>102</v>
      </c>
      <c r="F88" s="36" t="s">
        <v>6854</v>
      </c>
      <c r="G88" s="36" t="s">
        <v>1203</v>
      </c>
      <c r="I88" s="33" t="s">
        <v>1202</v>
      </c>
      <c r="J88" s="34">
        <v>28</v>
      </c>
      <c r="K88" s="34">
        <v>102</v>
      </c>
      <c r="L88" s="34">
        <v>1</v>
      </c>
    </row>
    <row r="89" spans="2:12">
      <c r="B89" s="32">
        <v>89</v>
      </c>
      <c r="C89" s="31" t="s">
        <v>5102</v>
      </c>
      <c r="D89" s="36">
        <v>28</v>
      </c>
      <c r="E89" s="36">
        <v>102</v>
      </c>
      <c r="F89" s="36" t="s">
        <v>6852</v>
      </c>
      <c r="G89" s="36" t="s">
        <v>5103</v>
      </c>
      <c r="I89" s="33" t="s">
        <v>5102</v>
      </c>
      <c r="J89" s="34">
        <v>28</v>
      </c>
      <c r="K89" s="34">
        <v>102</v>
      </c>
      <c r="L89" s="34">
        <v>2</v>
      </c>
    </row>
    <row r="90" spans="2:12">
      <c r="B90" s="32">
        <v>90</v>
      </c>
      <c r="C90" s="31" t="s">
        <v>4773</v>
      </c>
      <c r="D90" s="36">
        <v>28</v>
      </c>
      <c r="E90" s="36">
        <v>102</v>
      </c>
      <c r="F90" s="36" t="s">
        <v>6763</v>
      </c>
      <c r="G90" s="36" t="s">
        <v>4774</v>
      </c>
      <c r="I90" s="33" t="s">
        <v>4773</v>
      </c>
      <c r="J90" s="34">
        <v>28</v>
      </c>
      <c r="K90" s="34">
        <v>102</v>
      </c>
      <c r="L90" s="34">
        <v>3</v>
      </c>
    </row>
    <row r="91" spans="2:12">
      <c r="B91" s="32">
        <v>91</v>
      </c>
      <c r="C91" s="31" t="s">
        <v>2383</v>
      </c>
      <c r="D91" s="36">
        <v>28</v>
      </c>
      <c r="E91" s="36">
        <v>103</v>
      </c>
      <c r="F91" s="36" t="s">
        <v>7322</v>
      </c>
      <c r="G91" s="36" t="s">
        <v>2384</v>
      </c>
      <c r="I91" s="33" t="s">
        <v>2383</v>
      </c>
      <c r="J91" s="34">
        <v>28</v>
      </c>
      <c r="K91" s="34">
        <v>103</v>
      </c>
      <c r="L91" s="34">
        <v>1</v>
      </c>
    </row>
    <row r="92" spans="2:12">
      <c r="B92" s="32">
        <v>92</v>
      </c>
      <c r="C92" s="31" t="s">
        <v>4473</v>
      </c>
      <c r="D92" s="36">
        <v>28</v>
      </c>
      <c r="E92" s="36">
        <v>103</v>
      </c>
      <c r="F92" s="36" t="s">
        <v>6938</v>
      </c>
      <c r="G92" s="36" t="s">
        <v>4474</v>
      </c>
      <c r="I92" s="33" t="s">
        <v>4473</v>
      </c>
      <c r="J92" s="34">
        <v>28</v>
      </c>
      <c r="K92" s="34">
        <v>103</v>
      </c>
      <c r="L92" s="34">
        <v>2</v>
      </c>
    </row>
    <row r="93" spans="2:12">
      <c r="B93" s="32">
        <v>93</v>
      </c>
      <c r="C93" s="31" t="s">
        <v>3149</v>
      </c>
      <c r="D93" s="36">
        <v>28</v>
      </c>
      <c r="E93" s="36">
        <v>103</v>
      </c>
      <c r="F93" s="36" t="s">
        <v>7330</v>
      </c>
      <c r="G93" s="36" t="s">
        <v>3150</v>
      </c>
      <c r="I93" s="33" t="s">
        <v>3149</v>
      </c>
      <c r="J93" s="34">
        <v>28</v>
      </c>
      <c r="K93" s="34">
        <v>103</v>
      </c>
      <c r="L93" s="34">
        <v>3</v>
      </c>
    </row>
    <row r="94" spans="2:12">
      <c r="B94" s="32">
        <v>94</v>
      </c>
      <c r="C94" s="31" t="s">
        <v>4032</v>
      </c>
      <c r="D94" s="36">
        <v>28</v>
      </c>
      <c r="E94" s="36">
        <v>104</v>
      </c>
      <c r="F94" s="36" t="s">
        <v>7476</v>
      </c>
      <c r="G94" s="36" t="s">
        <v>4033</v>
      </c>
      <c r="I94" s="33" t="s">
        <v>4032</v>
      </c>
      <c r="J94" s="34">
        <v>28</v>
      </c>
      <c r="K94" s="34">
        <v>104</v>
      </c>
      <c r="L94" s="34">
        <v>1</v>
      </c>
    </row>
    <row r="95" spans="2:12">
      <c r="B95" s="32">
        <v>95</v>
      </c>
      <c r="C95" s="31" t="s">
        <v>1083</v>
      </c>
      <c r="D95" s="36">
        <v>28</v>
      </c>
      <c r="E95" s="36">
        <v>104</v>
      </c>
      <c r="F95" s="36" t="s">
        <v>7072</v>
      </c>
      <c r="G95" s="36" t="s">
        <v>1084</v>
      </c>
      <c r="I95" s="33" t="s">
        <v>1083</v>
      </c>
      <c r="J95" s="34">
        <v>28</v>
      </c>
      <c r="K95" s="34">
        <v>104</v>
      </c>
      <c r="L95" s="34">
        <v>2</v>
      </c>
    </row>
    <row r="96" spans="2:12">
      <c r="B96" s="32">
        <v>96</v>
      </c>
      <c r="C96" s="31" t="s">
        <v>926</v>
      </c>
      <c r="D96" s="36">
        <v>28</v>
      </c>
      <c r="E96" s="36">
        <v>104</v>
      </c>
      <c r="F96" s="36" t="s">
        <v>7477</v>
      </c>
      <c r="G96" s="36" t="s">
        <v>927</v>
      </c>
      <c r="I96" s="33" t="s">
        <v>926</v>
      </c>
      <c r="J96" s="34">
        <v>28</v>
      </c>
      <c r="K96" s="34">
        <v>104</v>
      </c>
      <c r="L96" s="34">
        <v>3</v>
      </c>
    </row>
    <row r="97" spans="2:12">
      <c r="B97" s="32">
        <v>97</v>
      </c>
      <c r="C97" s="31" t="s">
        <v>4478</v>
      </c>
      <c r="D97" s="36">
        <v>28</v>
      </c>
      <c r="E97" s="36">
        <v>105</v>
      </c>
      <c r="F97" s="36" t="s">
        <v>6643</v>
      </c>
      <c r="G97" s="36" t="s">
        <v>4479</v>
      </c>
      <c r="I97" s="33" t="s">
        <v>4478</v>
      </c>
      <c r="J97" s="34">
        <v>28</v>
      </c>
      <c r="K97" s="34">
        <v>105</v>
      </c>
      <c r="L97" s="34">
        <v>1</v>
      </c>
    </row>
    <row r="98" spans="2:12">
      <c r="B98" s="32">
        <v>98</v>
      </c>
      <c r="C98" s="31" t="s">
        <v>3116</v>
      </c>
      <c r="D98" s="36">
        <v>28</v>
      </c>
      <c r="E98" s="36">
        <v>105</v>
      </c>
      <c r="F98" s="36" t="s">
        <v>6714</v>
      </c>
      <c r="G98" s="36" t="s">
        <v>3117</v>
      </c>
      <c r="I98" s="33" t="s">
        <v>3116</v>
      </c>
      <c r="J98" s="34">
        <v>28</v>
      </c>
      <c r="K98" s="34">
        <v>105</v>
      </c>
      <c r="L98" s="34">
        <v>2</v>
      </c>
    </row>
    <row r="99" spans="2:12">
      <c r="B99" s="32">
        <v>99</v>
      </c>
      <c r="C99" s="31" t="s">
        <v>3073</v>
      </c>
      <c r="D99" s="36">
        <v>28</v>
      </c>
      <c r="E99" s="36">
        <v>105</v>
      </c>
      <c r="F99" s="36" t="s">
        <v>7153</v>
      </c>
      <c r="G99" s="36" t="s">
        <v>3074</v>
      </c>
      <c r="I99" s="33" t="s">
        <v>3073</v>
      </c>
      <c r="J99" s="34">
        <v>28</v>
      </c>
      <c r="K99" s="34">
        <v>105</v>
      </c>
      <c r="L99" s="34">
        <v>3</v>
      </c>
    </row>
    <row r="100" spans="2:12">
      <c r="B100" s="32">
        <v>100</v>
      </c>
      <c r="C100" s="31" t="s">
        <v>1995</v>
      </c>
      <c r="D100" s="36">
        <v>28</v>
      </c>
      <c r="E100" s="36">
        <v>106</v>
      </c>
      <c r="F100" s="36" t="s">
        <v>7318</v>
      </c>
      <c r="G100" s="36" t="s">
        <v>1996</v>
      </c>
      <c r="I100" s="33" t="s">
        <v>1995</v>
      </c>
      <c r="J100" s="34">
        <v>28</v>
      </c>
      <c r="K100" s="34">
        <v>106</v>
      </c>
      <c r="L100" s="34">
        <v>1</v>
      </c>
    </row>
    <row r="101" spans="2:12">
      <c r="B101" s="32">
        <v>101</v>
      </c>
      <c r="C101" s="31" t="s">
        <v>4214</v>
      </c>
      <c r="D101" s="36">
        <v>28</v>
      </c>
      <c r="E101" s="36">
        <v>106</v>
      </c>
      <c r="F101" s="36" t="s">
        <v>7146</v>
      </c>
      <c r="G101" s="36" t="s">
        <v>4215</v>
      </c>
      <c r="I101" s="33" t="s">
        <v>4214</v>
      </c>
      <c r="J101" s="34">
        <v>28</v>
      </c>
      <c r="K101" s="34">
        <v>106</v>
      </c>
      <c r="L101" s="34">
        <v>2</v>
      </c>
    </row>
    <row r="102" spans="2:12">
      <c r="B102" s="32">
        <v>102</v>
      </c>
      <c r="C102" s="31" t="s">
        <v>1794</v>
      </c>
      <c r="D102" s="36">
        <v>28</v>
      </c>
      <c r="E102" s="36">
        <v>106</v>
      </c>
      <c r="F102" s="36" t="s">
        <v>6696</v>
      </c>
      <c r="G102" s="36" t="s">
        <v>1795</v>
      </c>
      <c r="I102" s="33" t="s">
        <v>1794</v>
      </c>
      <c r="J102" s="34">
        <v>28</v>
      </c>
      <c r="K102" s="34">
        <v>106</v>
      </c>
      <c r="L102" s="34">
        <v>3</v>
      </c>
    </row>
    <row r="103" spans="2:12">
      <c r="B103" s="32">
        <v>103</v>
      </c>
      <c r="C103" s="31" t="s">
        <v>611</v>
      </c>
      <c r="D103" s="36">
        <v>28</v>
      </c>
      <c r="E103" s="36">
        <v>107</v>
      </c>
      <c r="F103" s="36" t="s">
        <v>7376</v>
      </c>
      <c r="G103" s="36" t="s">
        <v>612</v>
      </c>
      <c r="I103" s="33" t="s">
        <v>611</v>
      </c>
      <c r="J103" s="34">
        <v>28</v>
      </c>
      <c r="K103" s="34">
        <v>107</v>
      </c>
      <c r="L103" s="34">
        <v>1</v>
      </c>
    </row>
    <row r="104" spans="2:12">
      <c r="B104" s="32">
        <v>104</v>
      </c>
      <c r="C104" s="31" t="s">
        <v>3259</v>
      </c>
      <c r="D104" s="36">
        <v>28</v>
      </c>
      <c r="E104" s="36">
        <v>107</v>
      </c>
      <c r="F104" s="36" t="s">
        <v>7349</v>
      </c>
      <c r="G104" s="36" t="s">
        <v>3260</v>
      </c>
      <c r="I104" s="33" t="s">
        <v>3259</v>
      </c>
      <c r="J104" s="34">
        <v>28</v>
      </c>
      <c r="K104" s="34">
        <v>107</v>
      </c>
      <c r="L104" s="34">
        <v>2</v>
      </c>
    </row>
    <row r="105" spans="2:12">
      <c r="B105" s="32">
        <v>105</v>
      </c>
      <c r="C105" s="31" t="s">
        <v>3518</v>
      </c>
      <c r="D105" s="36">
        <v>28</v>
      </c>
      <c r="E105" s="36">
        <v>107</v>
      </c>
      <c r="F105" s="36" t="s">
        <v>7272</v>
      </c>
      <c r="G105" s="36" t="s">
        <v>3519</v>
      </c>
      <c r="I105" s="33" t="s">
        <v>3518</v>
      </c>
      <c r="J105" s="34">
        <v>28</v>
      </c>
      <c r="K105" s="34">
        <v>107</v>
      </c>
      <c r="L105" s="34">
        <v>3</v>
      </c>
    </row>
    <row r="106" spans="2:12">
      <c r="B106" s="32">
        <v>106</v>
      </c>
      <c r="C106" s="31" t="s">
        <v>5348</v>
      </c>
      <c r="D106" s="36">
        <v>28</v>
      </c>
      <c r="E106" s="36">
        <v>108</v>
      </c>
      <c r="F106" s="36" t="s">
        <v>7344</v>
      </c>
      <c r="G106" s="36" t="s">
        <v>5349</v>
      </c>
      <c r="I106" s="33" t="s">
        <v>5348</v>
      </c>
      <c r="J106" s="34">
        <v>28</v>
      </c>
      <c r="K106" s="34">
        <v>108</v>
      </c>
      <c r="L106" s="34">
        <v>1</v>
      </c>
    </row>
    <row r="107" spans="2:12">
      <c r="B107" s="32">
        <v>107</v>
      </c>
      <c r="C107" s="31" t="s">
        <v>3102</v>
      </c>
      <c r="D107" s="36">
        <v>28</v>
      </c>
      <c r="E107" s="36">
        <v>108</v>
      </c>
      <c r="F107" s="36" t="s">
        <v>6828</v>
      </c>
      <c r="G107" s="36" t="s">
        <v>3103</v>
      </c>
      <c r="I107" s="33" t="s">
        <v>3102</v>
      </c>
      <c r="J107" s="34">
        <v>28</v>
      </c>
      <c r="K107" s="34">
        <v>108</v>
      </c>
      <c r="L107" s="34">
        <v>2</v>
      </c>
    </row>
    <row r="108" spans="2:12">
      <c r="B108" s="32">
        <v>108</v>
      </c>
      <c r="C108" s="31" t="s">
        <v>2928</v>
      </c>
      <c r="D108" s="36">
        <v>28</v>
      </c>
      <c r="E108" s="36">
        <v>109</v>
      </c>
      <c r="F108" s="36" t="s">
        <v>6717</v>
      </c>
      <c r="G108" s="36" t="s">
        <v>2929</v>
      </c>
      <c r="I108" s="33" t="s">
        <v>2928</v>
      </c>
      <c r="J108" s="34">
        <v>28</v>
      </c>
      <c r="K108" s="34">
        <v>109</v>
      </c>
      <c r="L108" s="34">
        <v>1</v>
      </c>
    </row>
    <row r="109" spans="2:12">
      <c r="B109" s="32">
        <v>109</v>
      </c>
      <c r="C109" s="31" t="s">
        <v>4363</v>
      </c>
      <c r="D109" s="36">
        <v>28</v>
      </c>
      <c r="E109" s="36">
        <v>109</v>
      </c>
      <c r="F109" s="36" t="s">
        <v>7316</v>
      </c>
      <c r="G109" s="36" t="s">
        <v>4364</v>
      </c>
      <c r="I109" s="33" t="s">
        <v>4363</v>
      </c>
      <c r="J109" s="34">
        <v>28</v>
      </c>
      <c r="K109" s="34">
        <v>109</v>
      </c>
      <c r="L109" s="34">
        <v>2</v>
      </c>
    </row>
    <row r="110" spans="2:12">
      <c r="B110" s="32">
        <v>110</v>
      </c>
      <c r="C110" s="31" t="s">
        <v>5725</v>
      </c>
      <c r="D110" s="36">
        <v>28</v>
      </c>
      <c r="E110" s="36">
        <v>110</v>
      </c>
      <c r="F110" s="36" t="s">
        <v>7226</v>
      </c>
      <c r="G110" s="36" t="s">
        <v>5726</v>
      </c>
      <c r="I110" s="33" t="s">
        <v>5725</v>
      </c>
      <c r="J110" s="34">
        <v>28</v>
      </c>
      <c r="K110" s="34">
        <v>110</v>
      </c>
      <c r="L110" s="34">
        <v>1</v>
      </c>
    </row>
    <row r="111" spans="2:12">
      <c r="B111" s="32">
        <v>111</v>
      </c>
      <c r="C111" s="31" t="s">
        <v>1924</v>
      </c>
      <c r="D111" s="36">
        <v>28</v>
      </c>
      <c r="E111" s="36">
        <v>110</v>
      </c>
      <c r="F111" s="36" t="s">
        <v>7256</v>
      </c>
      <c r="G111" s="36" t="s">
        <v>1925</v>
      </c>
      <c r="I111" s="33" t="s">
        <v>1924</v>
      </c>
      <c r="J111" s="34">
        <v>28</v>
      </c>
      <c r="K111" s="34">
        <v>110</v>
      </c>
      <c r="L111" s="34">
        <v>2</v>
      </c>
    </row>
    <row r="112" spans="2:12">
      <c r="B112" s="32">
        <v>112</v>
      </c>
      <c r="C112" s="31" t="s">
        <v>3950</v>
      </c>
      <c r="D112" s="36">
        <v>28</v>
      </c>
      <c r="E112" s="36">
        <v>110</v>
      </c>
      <c r="F112" s="36" t="s">
        <v>7478</v>
      </c>
      <c r="G112" s="36" t="s">
        <v>3951</v>
      </c>
      <c r="I112" s="33" t="s">
        <v>3950</v>
      </c>
      <c r="J112" s="34">
        <v>28</v>
      </c>
      <c r="K112" s="34">
        <v>110</v>
      </c>
      <c r="L112" s="34">
        <v>3</v>
      </c>
    </row>
    <row r="113" spans="2:12">
      <c r="B113" s="32">
        <v>113</v>
      </c>
      <c r="C113" s="31" t="s">
        <v>207</v>
      </c>
      <c r="D113" s="36">
        <v>28</v>
      </c>
      <c r="E113" s="36">
        <v>111</v>
      </c>
      <c r="F113" s="36" t="s">
        <v>7296</v>
      </c>
      <c r="G113" s="36" t="s">
        <v>208</v>
      </c>
      <c r="I113" s="33" t="s">
        <v>207</v>
      </c>
      <c r="J113" s="34">
        <v>28</v>
      </c>
      <c r="K113" s="34">
        <v>111</v>
      </c>
      <c r="L113" s="34">
        <v>1</v>
      </c>
    </row>
    <row r="114" spans="2:12">
      <c r="B114" s="32">
        <v>114</v>
      </c>
      <c r="C114" s="31" t="s">
        <v>5631</v>
      </c>
      <c r="D114" s="36">
        <v>28</v>
      </c>
      <c r="E114" s="36">
        <v>111</v>
      </c>
      <c r="F114" s="36" t="s">
        <v>7239</v>
      </c>
      <c r="G114" s="36" t="s">
        <v>5632</v>
      </c>
      <c r="I114" s="33" t="s">
        <v>5631</v>
      </c>
      <c r="J114" s="34">
        <v>28</v>
      </c>
      <c r="K114" s="34">
        <v>111</v>
      </c>
      <c r="L114" s="34">
        <v>2</v>
      </c>
    </row>
    <row r="115" spans="2:12">
      <c r="B115" s="32">
        <v>115</v>
      </c>
      <c r="C115" s="31" t="s">
        <v>3612</v>
      </c>
      <c r="D115" s="36">
        <v>28</v>
      </c>
      <c r="E115" s="36">
        <v>111</v>
      </c>
      <c r="F115" s="36" t="s">
        <v>6910</v>
      </c>
      <c r="G115" s="36" t="s">
        <v>3613</v>
      </c>
      <c r="I115" s="33" t="s">
        <v>3612</v>
      </c>
      <c r="J115" s="34">
        <v>28</v>
      </c>
      <c r="K115" s="34">
        <v>111</v>
      </c>
      <c r="L115" s="34">
        <v>3</v>
      </c>
    </row>
    <row r="116" spans="2:12">
      <c r="B116" s="32">
        <v>116</v>
      </c>
      <c r="C116" s="31" t="s">
        <v>4300</v>
      </c>
      <c r="D116" s="36">
        <v>28</v>
      </c>
      <c r="E116" s="36">
        <v>112</v>
      </c>
      <c r="F116" s="36" t="s">
        <v>6796</v>
      </c>
      <c r="G116" s="36" t="s">
        <v>4301</v>
      </c>
      <c r="I116" s="33" t="s">
        <v>4300</v>
      </c>
      <c r="J116" s="34">
        <v>28</v>
      </c>
      <c r="K116" s="34">
        <v>112</v>
      </c>
      <c r="L116" s="34">
        <v>1</v>
      </c>
    </row>
    <row r="117" spans="2:12">
      <c r="B117" s="32">
        <v>117</v>
      </c>
      <c r="C117" s="31" t="s">
        <v>4290</v>
      </c>
      <c r="D117" s="36">
        <v>28</v>
      </c>
      <c r="E117" s="36">
        <v>112</v>
      </c>
      <c r="F117" s="36" t="s">
        <v>7479</v>
      </c>
      <c r="G117" s="36" t="s">
        <v>4291</v>
      </c>
      <c r="I117" s="33" t="s">
        <v>4290</v>
      </c>
      <c r="J117" s="34">
        <v>28</v>
      </c>
      <c r="K117" s="34">
        <v>112</v>
      </c>
      <c r="L117" s="34">
        <v>2</v>
      </c>
    </row>
    <row r="118" spans="2:12">
      <c r="B118" s="32">
        <v>118</v>
      </c>
      <c r="C118" s="31" t="s">
        <v>5382</v>
      </c>
      <c r="D118" s="36">
        <v>28</v>
      </c>
      <c r="E118" s="36">
        <v>112</v>
      </c>
      <c r="F118" s="36" t="s">
        <v>7175</v>
      </c>
      <c r="G118" s="36" t="s">
        <v>5383</v>
      </c>
      <c r="I118" s="33" t="s">
        <v>5382</v>
      </c>
      <c r="J118" s="34">
        <v>28</v>
      </c>
      <c r="K118" s="34">
        <v>112</v>
      </c>
      <c r="L118" s="34">
        <v>3</v>
      </c>
    </row>
    <row r="119" spans="2:12">
      <c r="B119" s="32">
        <v>119</v>
      </c>
      <c r="C119" s="31" t="s">
        <v>3054</v>
      </c>
      <c r="D119" s="36">
        <v>28</v>
      </c>
      <c r="E119" s="36">
        <v>113</v>
      </c>
      <c r="F119" s="36" t="s">
        <v>7204</v>
      </c>
      <c r="G119" s="36" t="s">
        <v>3055</v>
      </c>
      <c r="I119" s="33" t="s">
        <v>3054</v>
      </c>
      <c r="J119" s="34">
        <v>28</v>
      </c>
      <c r="K119" s="34">
        <v>113</v>
      </c>
      <c r="L119" s="34">
        <v>1</v>
      </c>
    </row>
    <row r="120" spans="2:12">
      <c r="B120" s="32">
        <v>120</v>
      </c>
      <c r="C120" s="31" t="s">
        <v>2300</v>
      </c>
      <c r="D120" s="36">
        <v>28</v>
      </c>
      <c r="E120" s="36">
        <v>113</v>
      </c>
      <c r="F120" s="36" t="s">
        <v>7480</v>
      </c>
      <c r="G120" s="36" t="s">
        <v>2301</v>
      </c>
      <c r="I120" s="33" t="s">
        <v>2300</v>
      </c>
      <c r="J120" s="34">
        <v>28</v>
      </c>
      <c r="K120" s="34">
        <v>113</v>
      </c>
      <c r="L120" s="34">
        <v>2</v>
      </c>
    </row>
    <row r="121" spans="2:12">
      <c r="B121" s="32">
        <v>121</v>
      </c>
      <c r="C121" s="31" t="s">
        <v>965</v>
      </c>
      <c r="D121" s="36">
        <v>28</v>
      </c>
      <c r="E121" s="36">
        <v>113</v>
      </c>
      <c r="F121" s="36" t="s">
        <v>7183</v>
      </c>
      <c r="G121" s="36" t="s">
        <v>966</v>
      </c>
      <c r="I121" s="33" t="s">
        <v>965</v>
      </c>
      <c r="J121" s="34">
        <v>28</v>
      </c>
      <c r="K121" s="34">
        <v>113</v>
      </c>
      <c r="L121" s="34">
        <v>3</v>
      </c>
    </row>
    <row r="122" spans="2:12">
      <c r="B122" s="32">
        <v>122</v>
      </c>
      <c r="C122" s="31" t="s">
        <v>1077</v>
      </c>
      <c r="D122" s="36">
        <v>28</v>
      </c>
      <c r="E122" s="36">
        <v>114</v>
      </c>
      <c r="F122" s="36" t="s">
        <v>6649</v>
      </c>
      <c r="G122" s="36" t="s">
        <v>1078</v>
      </c>
      <c r="I122" s="33" t="s">
        <v>1077</v>
      </c>
      <c r="J122" s="34">
        <v>28</v>
      </c>
      <c r="K122" s="34">
        <v>114</v>
      </c>
      <c r="L122" s="34">
        <v>1</v>
      </c>
    </row>
    <row r="123" spans="2:12">
      <c r="B123" s="32">
        <v>123</v>
      </c>
      <c r="C123" s="31" t="s">
        <v>5343</v>
      </c>
      <c r="D123" s="36">
        <v>28</v>
      </c>
      <c r="E123" s="36">
        <v>114</v>
      </c>
      <c r="F123" s="36" t="s">
        <v>6628</v>
      </c>
      <c r="G123" s="36" t="s">
        <v>5344</v>
      </c>
      <c r="I123" s="33" t="s">
        <v>5343</v>
      </c>
      <c r="J123" s="34">
        <v>28</v>
      </c>
      <c r="K123" s="34">
        <v>114</v>
      </c>
      <c r="L123" s="34">
        <v>2</v>
      </c>
    </row>
    <row r="124" spans="2:12">
      <c r="B124" s="32">
        <v>124</v>
      </c>
      <c r="C124" s="31" t="s">
        <v>3344</v>
      </c>
      <c r="D124" s="36">
        <v>28</v>
      </c>
      <c r="E124" s="36">
        <v>115</v>
      </c>
      <c r="F124" s="36" t="s">
        <v>7193</v>
      </c>
      <c r="G124" s="36" t="s">
        <v>3345</v>
      </c>
      <c r="I124" s="33" t="s">
        <v>3344</v>
      </c>
      <c r="J124" s="34">
        <v>28</v>
      </c>
      <c r="K124" s="34">
        <v>115</v>
      </c>
      <c r="L124" s="34">
        <v>1</v>
      </c>
    </row>
    <row r="125" spans="2:12">
      <c r="B125" s="32">
        <v>125</v>
      </c>
      <c r="C125" s="31" t="s">
        <v>3718</v>
      </c>
      <c r="D125" s="36">
        <v>28</v>
      </c>
      <c r="E125" s="36">
        <v>115</v>
      </c>
      <c r="F125" s="36" t="s">
        <v>6784</v>
      </c>
      <c r="G125" s="36" t="s">
        <v>3719</v>
      </c>
      <c r="I125" s="33" t="s">
        <v>3718</v>
      </c>
      <c r="J125" s="34">
        <v>28</v>
      </c>
      <c r="K125" s="34">
        <v>115</v>
      </c>
      <c r="L125" s="34">
        <v>2</v>
      </c>
    </row>
    <row r="126" spans="2:12">
      <c r="B126" s="32">
        <v>126</v>
      </c>
      <c r="C126" s="31" t="s">
        <v>4835</v>
      </c>
      <c r="D126" s="36">
        <v>28</v>
      </c>
      <c r="E126" s="36">
        <v>116</v>
      </c>
      <c r="F126" s="36" t="s">
        <v>7304</v>
      </c>
      <c r="G126" s="36" t="s">
        <v>4836</v>
      </c>
      <c r="I126" s="33" t="s">
        <v>4835</v>
      </c>
      <c r="J126" s="34">
        <v>28</v>
      </c>
      <c r="K126" s="34">
        <v>116</v>
      </c>
      <c r="L126" s="34">
        <v>1</v>
      </c>
    </row>
    <row r="127" spans="2:12">
      <c r="B127" s="32">
        <v>127</v>
      </c>
      <c r="C127" s="31" t="s">
        <v>4819</v>
      </c>
      <c r="D127" s="36">
        <v>28</v>
      </c>
      <c r="E127" s="36">
        <v>116</v>
      </c>
      <c r="F127" s="36" t="s">
        <v>7308</v>
      </c>
      <c r="G127" s="36" t="s">
        <v>4820</v>
      </c>
      <c r="I127" s="33" t="s">
        <v>4819</v>
      </c>
      <c r="J127" s="34">
        <v>28</v>
      </c>
      <c r="K127" s="34">
        <v>116</v>
      </c>
      <c r="L127" s="34">
        <v>2</v>
      </c>
    </row>
    <row r="128" spans="2:12">
      <c r="B128" s="32">
        <v>128</v>
      </c>
      <c r="C128" s="31" t="s">
        <v>5391</v>
      </c>
      <c r="D128" s="36">
        <v>28</v>
      </c>
      <c r="E128" s="36">
        <v>117</v>
      </c>
      <c r="F128" s="36" t="s">
        <v>7251</v>
      </c>
      <c r="G128" s="36" t="s">
        <v>5392</v>
      </c>
      <c r="I128" s="33" t="s">
        <v>5391</v>
      </c>
      <c r="J128" s="34">
        <v>28</v>
      </c>
      <c r="K128" s="34">
        <v>117</v>
      </c>
      <c r="L128" s="34">
        <v>1</v>
      </c>
    </row>
    <row r="129" spans="2:12">
      <c r="B129" s="32">
        <v>129</v>
      </c>
      <c r="C129" s="31" t="s">
        <v>3236</v>
      </c>
      <c r="D129" s="36">
        <v>28</v>
      </c>
      <c r="E129" s="36">
        <v>117</v>
      </c>
      <c r="F129" s="36" t="s">
        <v>7085</v>
      </c>
      <c r="G129" s="36" t="s">
        <v>3237</v>
      </c>
      <c r="I129" s="33" t="s">
        <v>3236</v>
      </c>
      <c r="J129" s="34">
        <v>28</v>
      </c>
      <c r="K129" s="34">
        <v>117</v>
      </c>
      <c r="L129" s="34">
        <v>2</v>
      </c>
    </row>
    <row r="130" spans="2:12">
      <c r="B130" s="32">
        <v>130</v>
      </c>
      <c r="C130" s="31" t="s">
        <v>401</v>
      </c>
      <c r="D130" s="36">
        <v>28</v>
      </c>
      <c r="E130" s="36">
        <v>118</v>
      </c>
      <c r="F130" s="36" t="s">
        <v>6924</v>
      </c>
      <c r="G130" s="36" t="s">
        <v>402</v>
      </c>
      <c r="I130" s="33" t="s">
        <v>401</v>
      </c>
      <c r="J130" s="34">
        <v>28</v>
      </c>
      <c r="K130" s="34">
        <v>118</v>
      </c>
      <c r="L130" s="34">
        <v>1</v>
      </c>
    </row>
    <row r="131" spans="2:12">
      <c r="B131" s="32">
        <v>131</v>
      </c>
      <c r="C131" s="31" t="s">
        <v>1223</v>
      </c>
      <c r="D131" s="36">
        <v>28</v>
      </c>
      <c r="E131" s="36">
        <v>118</v>
      </c>
      <c r="F131" s="36" t="s">
        <v>6718</v>
      </c>
      <c r="G131" s="36" t="s">
        <v>1224</v>
      </c>
      <c r="I131" s="33" t="s">
        <v>1223</v>
      </c>
      <c r="J131" s="34">
        <v>28</v>
      </c>
      <c r="K131" s="34">
        <v>118</v>
      </c>
      <c r="L131" s="34">
        <v>2</v>
      </c>
    </row>
    <row r="132" spans="2:12">
      <c r="B132" s="32">
        <v>132</v>
      </c>
      <c r="C132" s="31" t="s">
        <v>5914</v>
      </c>
      <c r="D132" s="36">
        <v>28</v>
      </c>
      <c r="E132" s="36">
        <v>118</v>
      </c>
      <c r="F132" s="36" t="s">
        <v>7128</v>
      </c>
      <c r="G132" s="36" t="s">
        <v>5915</v>
      </c>
      <c r="I132" s="33" t="s">
        <v>5914</v>
      </c>
      <c r="J132" s="34">
        <v>28</v>
      </c>
      <c r="K132" s="34">
        <v>118</v>
      </c>
      <c r="L132" s="34">
        <v>3</v>
      </c>
    </row>
    <row r="133" spans="2:12">
      <c r="B133" s="32">
        <v>133</v>
      </c>
      <c r="C133" s="31" t="s">
        <v>1154</v>
      </c>
      <c r="D133" s="36">
        <v>28</v>
      </c>
      <c r="E133" s="36">
        <v>119</v>
      </c>
      <c r="F133" s="36" t="s">
        <v>7278</v>
      </c>
      <c r="G133" s="36" t="s">
        <v>1155</v>
      </c>
      <c r="I133" s="33" t="s">
        <v>1154</v>
      </c>
      <c r="J133" s="34">
        <v>28</v>
      </c>
      <c r="K133" s="34">
        <v>119</v>
      </c>
      <c r="L133" s="34">
        <v>1</v>
      </c>
    </row>
    <row r="134" spans="2:12">
      <c r="B134" s="32">
        <v>134</v>
      </c>
      <c r="C134" s="31" t="s">
        <v>4879</v>
      </c>
      <c r="D134" s="36">
        <v>28</v>
      </c>
      <c r="E134" s="36">
        <v>119</v>
      </c>
      <c r="F134" s="36" t="s">
        <v>6820</v>
      </c>
      <c r="G134" s="36" t="s">
        <v>4880</v>
      </c>
      <c r="I134" s="33" t="s">
        <v>4879</v>
      </c>
      <c r="J134" s="34">
        <v>28</v>
      </c>
      <c r="K134" s="34">
        <v>119</v>
      </c>
      <c r="L134" s="34">
        <v>2</v>
      </c>
    </row>
    <row r="135" spans="2:12">
      <c r="B135" s="32">
        <v>135</v>
      </c>
      <c r="C135" s="31" t="s">
        <v>1100</v>
      </c>
      <c r="D135" s="36">
        <v>28</v>
      </c>
      <c r="E135" s="36">
        <v>119</v>
      </c>
      <c r="F135" s="36" t="s">
        <v>7482</v>
      </c>
      <c r="G135" s="36" t="s">
        <v>1101</v>
      </c>
      <c r="I135" s="33" t="s">
        <v>1100</v>
      </c>
      <c r="J135" s="34">
        <v>28</v>
      </c>
      <c r="K135" s="34">
        <v>119</v>
      </c>
      <c r="L135" s="34">
        <v>3</v>
      </c>
    </row>
    <row r="136" spans="2:12">
      <c r="B136" s="32">
        <v>136</v>
      </c>
      <c r="C136" s="31" t="s">
        <v>1735</v>
      </c>
      <c r="D136" s="36">
        <v>28</v>
      </c>
      <c r="E136" s="36">
        <v>120</v>
      </c>
      <c r="F136" s="36" t="s">
        <v>6786</v>
      </c>
      <c r="G136" s="36" t="s">
        <v>1736</v>
      </c>
      <c r="I136" s="33" t="s">
        <v>1735</v>
      </c>
      <c r="J136" s="34">
        <v>28</v>
      </c>
      <c r="K136" s="34">
        <v>120</v>
      </c>
      <c r="L136" s="34">
        <v>1</v>
      </c>
    </row>
    <row r="137" spans="2:12">
      <c r="B137" s="32">
        <v>137</v>
      </c>
      <c r="C137" s="31" t="s">
        <v>3381</v>
      </c>
      <c r="D137" s="36">
        <v>28</v>
      </c>
      <c r="E137" s="36">
        <v>120</v>
      </c>
      <c r="F137" s="36" t="s">
        <v>7063</v>
      </c>
      <c r="G137" s="36" t="s">
        <v>3382</v>
      </c>
      <c r="I137" s="33" t="s">
        <v>3381</v>
      </c>
      <c r="J137" s="34">
        <v>28</v>
      </c>
      <c r="K137" s="34">
        <v>120</v>
      </c>
      <c r="L137" s="34">
        <v>2</v>
      </c>
    </row>
    <row r="138" spans="2:12">
      <c r="B138" s="32">
        <v>138</v>
      </c>
      <c r="C138" s="31" t="s">
        <v>4275</v>
      </c>
      <c r="D138" s="36">
        <v>28</v>
      </c>
      <c r="E138" s="36">
        <v>120</v>
      </c>
      <c r="F138" s="36" t="s">
        <v>7332</v>
      </c>
      <c r="G138" s="36" t="s">
        <v>4276</v>
      </c>
      <c r="I138" s="33" t="s">
        <v>4275</v>
      </c>
      <c r="J138" s="34">
        <v>28</v>
      </c>
      <c r="K138" s="34">
        <v>120</v>
      </c>
      <c r="L138" s="34">
        <v>3</v>
      </c>
    </row>
    <row r="139" spans="2:12">
      <c r="B139" s="32">
        <v>139</v>
      </c>
      <c r="C139" s="31" t="s">
        <v>5929</v>
      </c>
      <c r="D139" s="36">
        <v>28</v>
      </c>
      <c r="E139" s="36">
        <v>201</v>
      </c>
      <c r="F139" s="36" t="s">
        <v>6788</v>
      </c>
      <c r="G139" s="36" t="s">
        <v>5930</v>
      </c>
      <c r="I139" s="33" t="s">
        <v>5929</v>
      </c>
      <c r="J139" s="34">
        <v>28</v>
      </c>
      <c r="K139" s="34">
        <v>201</v>
      </c>
      <c r="L139" s="34">
        <v>1</v>
      </c>
    </row>
    <row r="140" spans="2:12">
      <c r="B140" s="32">
        <v>140</v>
      </c>
      <c r="C140" s="31" t="s">
        <v>3471</v>
      </c>
      <c r="D140" s="36">
        <v>28</v>
      </c>
      <c r="E140" s="36">
        <v>201</v>
      </c>
      <c r="F140" s="36" t="s">
        <v>6803</v>
      </c>
      <c r="G140" s="36" t="s">
        <v>3472</v>
      </c>
      <c r="I140" s="33" t="s">
        <v>3471</v>
      </c>
      <c r="J140" s="34">
        <v>28</v>
      </c>
      <c r="K140" s="34">
        <v>201</v>
      </c>
      <c r="L140" s="34">
        <v>2</v>
      </c>
    </row>
    <row r="141" spans="2:12">
      <c r="B141" s="32">
        <v>141</v>
      </c>
      <c r="C141" s="31" t="s">
        <v>842</v>
      </c>
      <c r="D141" s="36">
        <v>28</v>
      </c>
      <c r="E141" s="36">
        <v>201</v>
      </c>
      <c r="F141" s="36" t="s">
        <v>7483</v>
      </c>
      <c r="G141" s="36" t="s">
        <v>843</v>
      </c>
      <c r="I141" s="33" t="s">
        <v>842</v>
      </c>
      <c r="J141" s="34">
        <v>28</v>
      </c>
      <c r="K141" s="34">
        <v>201</v>
      </c>
      <c r="L141" s="34">
        <v>3</v>
      </c>
    </row>
    <row r="142" spans="2:12">
      <c r="B142" s="32">
        <v>142</v>
      </c>
      <c r="C142" s="31" t="s">
        <v>3909</v>
      </c>
      <c r="D142" s="36">
        <v>28</v>
      </c>
      <c r="E142" s="36">
        <v>202</v>
      </c>
      <c r="F142" s="36" t="s">
        <v>7484</v>
      </c>
      <c r="G142" s="36" t="s">
        <v>3910</v>
      </c>
      <c r="I142" s="33" t="s">
        <v>3909</v>
      </c>
      <c r="J142" s="34">
        <v>28</v>
      </c>
      <c r="K142" s="34">
        <v>202</v>
      </c>
      <c r="L142" s="34">
        <v>1</v>
      </c>
    </row>
    <row r="143" spans="2:12">
      <c r="B143" s="32">
        <v>143</v>
      </c>
      <c r="C143" s="31" t="s">
        <v>1217</v>
      </c>
      <c r="D143" s="36">
        <v>28</v>
      </c>
      <c r="E143" s="36">
        <v>202</v>
      </c>
      <c r="F143" s="36" t="s">
        <v>7155</v>
      </c>
      <c r="G143" s="36" t="s">
        <v>1218</v>
      </c>
      <c r="I143" s="33" t="s">
        <v>1217</v>
      </c>
      <c r="J143" s="34">
        <v>28</v>
      </c>
      <c r="K143" s="34">
        <v>202</v>
      </c>
      <c r="L143" s="34">
        <v>2</v>
      </c>
    </row>
    <row r="144" spans="2:12">
      <c r="B144" s="32">
        <v>144</v>
      </c>
      <c r="C144" s="31" t="s">
        <v>3023</v>
      </c>
      <c r="D144" s="36">
        <v>28</v>
      </c>
      <c r="E144" s="36">
        <v>202</v>
      </c>
      <c r="F144" s="36" t="s">
        <v>6641</v>
      </c>
      <c r="G144" s="36" t="s">
        <v>2128</v>
      </c>
      <c r="I144" s="33" t="s">
        <v>3023</v>
      </c>
      <c r="J144" s="34">
        <v>28</v>
      </c>
      <c r="K144" s="34">
        <v>202</v>
      </c>
      <c r="L144" s="34">
        <v>3</v>
      </c>
    </row>
    <row r="145" spans="2:12">
      <c r="B145" s="32">
        <v>145</v>
      </c>
      <c r="C145" s="31" t="s">
        <v>3736</v>
      </c>
      <c r="D145" s="36">
        <v>28</v>
      </c>
      <c r="E145" s="36">
        <v>203</v>
      </c>
      <c r="F145" s="36" t="s">
        <v>6916</v>
      </c>
      <c r="G145" s="36" t="s">
        <v>3737</v>
      </c>
      <c r="I145" s="33" t="s">
        <v>3736</v>
      </c>
      <c r="J145" s="34">
        <v>28</v>
      </c>
      <c r="K145" s="34">
        <v>203</v>
      </c>
      <c r="L145" s="34">
        <v>1</v>
      </c>
    </row>
    <row r="146" spans="2:12">
      <c r="B146" s="32">
        <v>146</v>
      </c>
      <c r="C146" s="31" t="s">
        <v>3409</v>
      </c>
      <c r="D146" s="36">
        <v>28</v>
      </c>
      <c r="E146" s="36">
        <v>203</v>
      </c>
      <c r="F146" s="36" t="s">
        <v>7294</v>
      </c>
      <c r="G146" s="36" t="s">
        <v>3410</v>
      </c>
      <c r="I146" s="33" t="s">
        <v>3409</v>
      </c>
      <c r="J146" s="34">
        <v>28</v>
      </c>
      <c r="K146" s="34">
        <v>203</v>
      </c>
      <c r="L146" s="34">
        <v>2</v>
      </c>
    </row>
    <row r="147" spans="2:12">
      <c r="B147" s="32">
        <v>147</v>
      </c>
      <c r="C147" s="31" t="s">
        <v>4700</v>
      </c>
      <c r="D147" s="36">
        <v>28</v>
      </c>
      <c r="E147" s="36">
        <v>203</v>
      </c>
      <c r="F147" s="36" t="s">
        <v>6893</v>
      </c>
      <c r="G147" s="36" t="s">
        <v>4701</v>
      </c>
      <c r="I147" s="33" t="s">
        <v>4700</v>
      </c>
      <c r="J147" s="34">
        <v>28</v>
      </c>
      <c r="K147" s="34">
        <v>203</v>
      </c>
      <c r="L147" s="34">
        <v>3</v>
      </c>
    </row>
    <row r="148" spans="2:12">
      <c r="B148" s="32">
        <v>148</v>
      </c>
      <c r="C148" s="31" t="s">
        <v>3404</v>
      </c>
      <c r="D148" s="36">
        <v>28</v>
      </c>
      <c r="E148" s="36">
        <v>204</v>
      </c>
      <c r="F148" s="36" t="s">
        <v>6779</v>
      </c>
      <c r="G148" s="36" t="s">
        <v>3405</v>
      </c>
      <c r="I148" s="33" t="s">
        <v>3404</v>
      </c>
      <c r="J148" s="34">
        <v>28</v>
      </c>
      <c r="K148" s="34">
        <v>204</v>
      </c>
      <c r="L148" s="34">
        <v>1</v>
      </c>
    </row>
    <row r="149" spans="2:12">
      <c r="B149" s="32">
        <v>149</v>
      </c>
      <c r="C149" s="31" t="s">
        <v>2715</v>
      </c>
      <c r="D149" s="36">
        <v>28</v>
      </c>
      <c r="E149" s="36">
        <v>204</v>
      </c>
      <c r="F149" s="36" t="s">
        <v>7382</v>
      </c>
      <c r="G149" s="36" t="s">
        <v>2716</v>
      </c>
      <c r="I149" s="33" t="s">
        <v>2715</v>
      </c>
      <c r="J149" s="34">
        <v>28</v>
      </c>
      <c r="K149" s="34">
        <v>204</v>
      </c>
      <c r="L149" s="34">
        <v>2</v>
      </c>
    </row>
    <row r="150" spans="2:12">
      <c r="B150" s="32">
        <v>150</v>
      </c>
      <c r="C150" s="31" t="s">
        <v>5710</v>
      </c>
      <c r="D150" s="36">
        <v>28</v>
      </c>
      <c r="E150" s="36">
        <v>204</v>
      </c>
      <c r="F150" s="36" t="s">
        <v>6761</v>
      </c>
      <c r="G150" s="36" t="s">
        <v>5711</v>
      </c>
      <c r="I150" s="33" t="s">
        <v>5710</v>
      </c>
      <c r="J150" s="34">
        <v>28</v>
      </c>
      <c r="K150" s="34">
        <v>204</v>
      </c>
      <c r="L150" s="34">
        <v>3</v>
      </c>
    </row>
    <row r="151" spans="2:12">
      <c r="B151" s="32">
        <v>151</v>
      </c>
      <c r="C151" s="31" t="s">
        <v>282</v>
      </c>
      <c r="D151" s="36">
        <v>28</v>
      </c>
      <c r="E151" s="36">
        <v>205</v>
      </c>
      <c r="F151" s="36" t="s">
        <v>7326</v>
      </c>
      <c r="G151" s="36" t="s">
        <v>283</v>
      </c>
      <c r="I151" s="33" t="s">
        <v>282</v>
      </c>
      <c r="J151" s="34">
        <v>28</v>
      </c>
      <c r="K151" s="34">
        <v>205</v>
      </c>
      <c r="L151" s="34">
        <v>1</v>
      </c>
    </row>
    <row r="152" spans="2:12">
      <c r="B152" s="32">
        <v>152</v>
      </c>
      <c r="C152" s="31" t="s">
        <v>4236</v>
      </c>
      <c r="D152" s="36">
        <v>28</v>
      </c>
      <c r="E152" s="36">
        <v>205</v>
      </c>
      <c r="F152" s="36" t="s">
        <v>7485</v>
      </c>
      <c r="G152" s="36" t="s">
        <v>4237</v>
      </c>
      <c r="I152" s="33" t="s">
        <v>4236</v>
      </c>
      <c r="J152" s="34">
        <v>28</v>
      </c>
      <c r="K152" s="34">
        <v>205</v>
      </c>
      <c r="L152" s="34">
        <v>2</v>
      </c>
    </row>
    <row r="153" spans="2:12">
      <c r="B153" s="32">
        <v>153</v>
      </c>
      <c r="C153" s="31" t="s">
        <v>5876</v>
      </c>
      <c r="D153" s="36">
        <v>28</v>
      </c>
      <c r="E153" s="36">
        <v>206</v>
      </c>
      <c r="F153" s="36" t="s">
        <v>6705</v>
      </c>
      <c r="G153" s="36" t="s">
        <v>5877</v>
      </c>
      <c r="I153" s="33" t="s">
        <v>5876</v>
      </c>
      <c r="J153" s="34">
        <v>28</v>
      </c>
      <c r="K153" s="34">
        <v>206</v>
      </c>
      <c r="L153" s="34">
        <v>1</v>
      </c>
    </row>
    <row r="154" spans="2:12">
      <c r="B154" s="32">
        <v>154</v>
      </c>
      <c r="C154" s="31" t="s">
        <v>4981</v>
      </c>
      <c r="D154" s="36">
        <v>28</v>
      </c>
      <c r="E154" s="36">
        <v>206</v>
      </c>
      <c r="F154" s="36" t="s">
        <v>7486</v>
      </c>
      <c r="G154" s="36" t="s">
        <v>4982</v>
      </c>
      <c r="I154" s="33" t="s">
        <v>4981</v>
      </c>
      <c r="J154" s="34">
        <v>28</v>
      </c>
      <c r="K154" s="34">
        <v>206</v>
      </c>
      <c r="L154" s="34">
        <v>2</v>
      </c>
    </row>
    <row r="155" spans="2:12">
      <c r="B155" s="32">
        <v>155</v>
      </c>
      <c r="C155" s="31" t="s">
        <v>2788</v>
      </c>
      <c r="D155" s="36">
        <v>28</v>
      </c>
      <c r="E155" s="36">
        <v>207</v>
      </c>
      <c r="F155" s="36" t="s">
        <v>7487</v>
      </c>
      <c r="G155" s="36" t="s">
        <v>2789</v>
      </c>
      <c r="I155" s="33" t="s">
        <v>2788</v>
      </c>
      <c r="J155" s="34">
        <v>28</v>
      </c>
      <c r="K155" s="34">
        <v>207</v>
      </c>
      <c r="L155" s="34">
        <v>1</v>
      </c>
    </row>
    <row r="156" spans="2:12">
      <c r="B156" s="32">
        <v>156</v>
      </c>
      <c r="C156" s="31" t="s">
        <v>4444</v>
      </c>
      <c r="D156" s="36">
        <v>28</v>
      </c>
      <c r="E156" s="36">
        <v>207</v>
      </c>
      <c r="F156" s="36" t="s">
        <v>7265</v>
      </c>
      <c r="G156" s="36" t="s">
        <v>4445</v>
      </c>
      <c r="I156" s="33" t="s">
        <v>4444</v>
      </c>
      <c r="J156" s="34">
        <v>28</v>
      </c>
      <c r="K156" s="34">
        <v>207</v>
      </c>
      <c r="L156" s="34">
        <v>2</v>
      </c>
    </row>
    <row r="157" spans="2:12">
      <c r="B157" s="32">
        <v>157</v>
      </c>
      <c r="C157" s="31" t="s">
        <v>4583</v>
      </c>
      <c r="D157" s="36">
        <v>28</v>
      </c>
      <c r="E157" s="36">
        <v>208</v>
      </c>
      <c r="F157" s="36" t="s">
        <v>6626</v>
      </c>
      <c r="G157" s="36" t="s">
        <v>4584</v>
      </c>
      <c r="I157" s="33" t="s">
        <v>4583</v>
      </c>
      <c r="J157" s="34">
        <v>28</v>
      </c>
      <c r="K157" s="34">
        <v>208</v>
      </c>
      <c r="L157" s="34">
        <v>1</v>
      </c>
    </row>
    <row r="158" spans="2:12">
      <c r="B158" s="32">
        <v>158</v>
      </c>
      <c r="C158" s="31" t="s">
        <v>1248</v>
      </c>
      <c r="D158" s="36">
        <v>28</v>
      </c>
      <c r="E158" s="36">
        <v>208</v>
      </c>
      <c r="F158" s="36" t="s">
        <v>7173</v>
      </c>
      <c r="G158" s="36" t="s">
        <v>1249</v>
      </c>
      <c r="I158" s="33" t="s">
        <v>1248</v>
      </c>
      <c r="J158" s="34">
        <v>28</v>
      </c>
      <c r="K158" s="34">
        <v>208</v>
      </c>
      <c r="L158" s="34">
        <v>2</v>
      </c>
    </row>
    <row r="159" spans="2:12">
      <c r="B159" s="32">
        <v>159</v>
      </c>
      <c r="C159" s="31" t="s">
        <v>5318</v>
      </c>
      <c r="D159" s="36">
        <v>28</v>
      </c>
      <c r="E159" s="36">
        <v>208</v>
      </c>
      <c r="F159" s="36" t="s">
        <v>6920</v>
      </c>
      <c r="G159" s="36" t="s">
        <v>5319</v>
      </c>
      <c r="I159" s="33" t="s">
        <v>5318</v>
      </c>
      <c r="J159" s="34">
        <v>28</v>
      </c>
      <c r="K159" s="34">
        <v>208</v>
      </c>
      <c r="L159" s="34">
        <v>3</v>
      </c>
    </row>
    <row r="160" spans="2:12">
      <c r="B160" s="32">
        <v>160</v>
      </c>
      <c r="C160" s="31" t="s">
        <v>7941</v>
      </c>
      <c r="D160" s="36">
        <v>28</v>
      </c>
      <c r="E160" s="36">
        <v>209</v>
      </c>
      <c r="F160" s="36" t="s">
        <v>7942</v>
      </c>
      <c r="G160" s="36" t="s">
        <v>3434</v>
      </c>
      <c r="I160" s="33" t="s">
        <v>7941</v>
      </c>
      <c r="J160" s="34">
        <v>28</v>
      </c>
      <c r="K160" s="34">
        <v>209</v>
      </c>
      <c r="L160" s="34">
        <v>1</v>
      </c>
    </row>
    <row r="161" spans="2:12">
      <c r="B161" s="32">
        <v>161</v>
      </c>
      <c r="C161" s="31" t="s">
        <v>4756</v>
      </c>
      <c r="D161" s="36">
        <v>28</v>
      </c>
      <c r="E161" s="36">
        <v>209</v>
      </c>
      <c r="F161" s="36" t="s">
        <v>7943</v>
      </c>
      <c r="G161" s="36" t="s">
        <v>4757</v>
      </c>
      <c r="I161" s="33" t="s">
        <v>4756</v>
      </c>
      <c r="J161" s="34">
        <v>28</v>
      </c>
      <c r="K161" s="34">
        <v>209</v>
      </c>
      <c r="L161" s="34">
        <v>2</v>
      </c>
    </row>
    <row r="162" spans="2:12">
      <c r="B162" s="32">
        <v>162</v>
      </c>
      <c r="C162" s="31" t="s">
        <v>2777</v>
      </c>
      <c r="D162" s="36">
        <v>28</v>
      </c>
      <c r="E162" s="36">
        <v>210</v>
      </c>
      <c r="F162" s="36" t="s">
        <v>7490</v>
      </c>
      <c r="G162" s="36" t="s">
        <v>2778</v>
      </c>
      <c r="I162" s="33" t="s">
        <v>2777</v>
      </c>
      <c r="J162" s="34">
        <v>28</v>
      </c>
      <c r="K162" s="34">
        <v>210</v>
      </c>
      <c r="L162" s="34">
        <v>1</v>
      </c>
    </row>
    <row r="163" spans="2:12">
      <c r="B163" s="32">
        <v>163</v>
      </c>
      <c r="C163" s="31" t="s">
        <v>3594</v>
      </c>
      <c r="D163" s="36">
        <v>28</v>
      </c>
      <c r="E163" s="36">
        <v>210</v>
      </c>
      <c r="F163" s="36" t="s">
        <v>7491</v>
      </c>
      <c r="G163" s="36" t="s">
        <v>3595</v>
      </c>
      <c r="I163" s="33" t="s">
        <v>3594</v>
      </c>
      <c r="J163" s="34">
        <v>28</v>
      </c>
      <c r="K163" s="34">
        <v>210</v>
      </c>
      <c r="L163" s="34">
        <v>2</v>
      </c>
    </row>
    <row r="164" spans="2:12">
      <c r="B164" s="32">
        <v>164</v>
      </c>
      <c r="C164" s="31" t="s">
        <v>1088</v>
      </c>
      <c r="D164" s="36">
        <v>28</v>
      </c>
      <c r="E164" s="36">
        <v>211</v>
      </c>
      <c r="F164" s="36" t="s">
        <v>7292</v>
      </c>
      <c r="G164" s="36" t="s">
        <v>1089</v>
      </c>
      <c r="I164" s="33" t="s">
        <v>1088</v>
      </c>
      <c r="J164" s="34">
        <v>28</v>
      </c>
      <c r="K164" s="34">
        <v>211</v>
      </c>
      <c r="L164" s="34">
        <v>1</v>
      </c>
    </row>
    <row r="165" spans="2:12">
      <c r="B165" s="32">
        <v>165</v>
      </c>
      <c r="C165" s="31" t="s">
        <v>384</v>
      </c>
      <c r="D165" s="36">
        <v>28</v>
      </c>
      <c r="E165" s="36">
        <v>211</v>
      </c>
      <c r="F165" s="36" t="s">
        <v>6634</v>
      </c>
      <c r="G165" s="36" t="s">
        <v>385</v>
      </c>
      <c r="I165" s="33" t="s">
        <v>384</v>
      </c>
      <c r="J165" s="34">
        <v>28</v>
      </c>
      <c r="K165" s="34">
        <v>211</v>
      </c>
      <c r="L165" s="34">
        <v>2</v>
      </c>
    </row>
    <row r="166" spans="2:12">
      <c r="B166" s="32">
        <v>166</v>
      </c>
      <c r="C166" s="31" t="s">
        <v>2669</v>
      </c>
      <c r="D166" s="36">
        <v>28</v>
      </c>
      <c r="E166" s="36">
        <v>211</v>
      </c>
      <c r="F166" s="36" t="s">
        <v>7115</v>
      </c>
      <c r="G166" s="36" t="s">
        <v>2670</v>
      </c>
      <c r="I166" s="33" t="s">
        <v>2669</v>
      </c>
      <c r="J166" s="34">
        <v>28</v>
      </c>
      <c r="K166" s="34">
        <v>211</v>
      </c>
      <c r="L166" s="34">
        <v>3</v>
      </c>
    </row>
    <row r="167" spans="2:12">
      <c r="B167" s="32">
        <v>167</v>
      </c>
      <c r="C167" s="31" t="s">
        <v>3632</v>
      </c>
      <c r="D167" s="36">
        <v>28</v>
      </c>
      <c r="E167" s="36">
        <v>212</v>
      </c>
      <c r="F167" s="36" t="s">
        <v>6684</v>
      </c>
      <c r="G167" s="36" t="s">
        <v>3633</v>
      </c>
      <c r="I167" s="33" t="s">
        <v>3632</v>
      </c>
      <c r="J167" s="34">
        <v>28</v>
      </c>
      <c r="K167" s="34">
        <v>212</v>
      </c>
      <c r="L167" s="34">
        <v>1</v>
      </c>
    </row>
    <row r="168" spans="2:12">
      <c r="B168" s="32">
        <v>168</v>
      </c>
      <c r="C168" s="31" t="s">
        <v>118</v>
      </c>
      <c r="D168" s="36">
        <v>28</v>
      </c>
      <c r="E168" s="36">
        <v>212</v>
      </c>
      <c r="F168" s="36" t="s">
        <v>6896</v>
      </c>
      <c r="G168" s="36" t="s">
        <v>119</v>
      </c>
      <c r="I168" s="33" t="s">
        <v>118</v>
      </c>
      <c r="J168" s="34">
        <v>28</v>
      </c>
      <c r="K168" s="34">
        <v>212</v>
      </c>
      <c r="L168" s="34">
        <v>2</v>
      </c>
    </row>
    <row r="169" spans="2:12">
      <c r="B169" s="32">
        <v>169</v>
      </c>
      <c r="C169" s="31" t="s">
        <v>1350</v>
      </c>
      <c r="D169" s="36">
        <v>28</v>
      </c>
      <c r="E169" s="36">
        <v>213</v>
      </c>
      <c r="F169" s="36" t="s">
        <v>6680</v>
      </c>
      <c r="G169" s="36" t="s">
        <v>1351</v>
      </c>
      <c r="I169" s="33" t="s">
        <v>1350</v>
      </c>
      <c r="J169" s="34">
        <v>28</v>
      </c>
      <c r="K169" s="34">
        <v>213</v>
      </c>
      <c r="L169" s="34">
        <v>1</v>
      </c>
    </row>
    <row r="170" spans="2:12">
      <c r="B170" s="32">
        <v>170</v>
      </c>
      <c r="C170" s="31" t="s">
        <v>4710</v>
      </c>
      <c r="D170" s="36">
        <v>28</v>
      </c>
      <c r="E170" s="36">
        <v>213</v>
      </c>
      <c r="F170" s="36" t="s">
        <v>7053</v>
      </c>
      <c r="G170" s="36" t="s">
        <v>4711</v>
      </c>
      <c r="I170" s="33" t="s">
        <v>4710</v>
      </c>
      <c r="J170" s="34">
        <v>28</v>
      </c>
      <c r="K170" s="34">
        <v>213</v>
      </c>
      <c r="L170" s="34">
        <v>2</v>
      </c>
    </row>
    <row r="171" spans="2:12">
      <c r="B171" s="32">
        <v>171</v>
      </c>
      <c r="C171" s="31" t="s">
        <v>4997</v>
      </c>
      <c r="D171" s="36">
        <v>28</v>
      </c>
      <c r="E171" s="36">
        <v>213</v>
      </c>
      <c r="F171" s="36" t="s">
        <v>6685</v>
      </c>
      <c r="G171" s="36" t="s">
        <v>4998</v>
      </c>
      <c r="I171" s="33" t="s">
        <v>4997</v>
      </c>
      <c r="J171" s="34">
        <v>28</v>
      </c>
      <c r="K171" s="34">
        <v>213</v>
      </c>
      <c r="L171" s="34">
        <v>3</v>
      </c>
    </row>
    <row r="172" spans="2:12">
      <c r="B172" s="32">
        <v>172</v>
      </c>
      <c r="C172" s="31" t="s">
        <v>2431</v>
      </c>
      <c r="D172" s="36">
        <v>28</v>
      </c>
      <c r="E172" s="36">
        <v>214</v>
      </c>
      <c r="F172" s="36" t="s">
        <v>7298</v>
      </c>
      <c r="G172" s="36" t="s">
        <v>2432</v>
      </c>
      <c r="I172" s="33" t="s">
        <v>2431</v>
      </c>
      <c r="J172" s="34">
        <v>28</v>
      </c>
      <c r="K172" s="34">
        <v>214</v>
      </c>
      <c r="L172" s="34">
        <v>1</v>
      </c>
    </row>
    <row r="173" spans="2:12">
      <c r="B173" s="32">
        <v>173</v>
      </c>
      <c r="C173" s="31" t="s">
        <v>4518</v>
      </c>
      <c r="D173" s="36">
        <v>28</v>
      </c>
      <c r="E173" s="36">
        <v>214</v>
      </c>
      <c r="F173" s="36" t="s">
        <v>6627</v>
      </c>
      <c r="G173" s="36" t="s">
        <v>4519</v>
      </c>
      <c r="I173" s="33" t="s">
        <v>4518</v>
      </c>
      <c r="J173" s="34">
        <v>28</v>
      </c>
      <c r="K173" s="34">
        <v>214</v>
      </c>
      <c r="L173" s="34">
        <v>2</v>
      </c>
    </row>
    <row r="174" spans="2:12">
      <c r="B174" s="32">
        <v>174</v>
      </c>
      <c r="C174" s="31" t="s">
        <v>5123</v>
      </c>
      <c r="D174" s="36">
        <v>28</v>
      </c>
      <c r="E174" s="36">
        <v>214</v>
      </c>
      <c r="F174" s="36" t="s">
        <v>6750</v>
      </c>
      <c r="G174" s="36" t="s">
        <v>5124</v>
      </c>
      <c r="I174" s="33" t="s">
        <v>5123</v>
      </c>
      <c r="J174" s="34">
        <v>28</v>
      </c>
      <c r="K174" s="34">
        <v>214</v>
      </c>
      <c r="L174" s="34">
        <v>3</v>
      </c>
    </row>
    <row r="175" spans="2:12">
      <c r="B175" s="32">
        <v>175</v>
      </c>
      <c r="C175" s="31" t="s">
        <v>2743</v>
      </c>
      <c r="D175" s="36">
        <v>28</v>
      </c>
      <c r="E175" s="36">
        <v>215</v>
      </c>
      <c r="F175" s="36" t="s">
        <v>7138</v>
      </c>
      <c r="G175" s="36" t="s">
        <v>2744</v>
      </c>
      <c r="I175" s="33" t="s">
        <v>2743</v>
      </c>
      <c r="J175" s="34">
        <v>28</v>
      </c>
      <c r="K175" s="34">
        <v>215</v>
      </c>
      <c r="L175" s="34">
        <v>1</v>
      </c>
    </row>
    <row r="176" spans="2:12">
      <c r="B176" s="32">
        <v>176</v>
      </c>
      <c r="C176" s="31" t="s">
        <v>238</v>
      </c>
      <c r="D176" s="36">
        <v>28</v>
      </c>
      <c r="E176" s="36">
        <v>215</v>
      </c>
      <c r="F176" s="36" t="s">
        <v>7097</v>
      </c>
      <c r="G176" s="36" t="s">
        <v>239</v>
      </c>
      <c r="I176" s="33" t="s">
        <v>238</v>
      </c>
      <c r="J176" s="34">
        <v>28</v>
      </c>
      <c r="K176" s="34">
        <v>215</v>
      </c>
      <c r="L176" s="34">
        <v>2</v>
      </c>
    </row>
    <row r="177" spans="2:12">
      <c r="B177" s="32">
        <v>177</v>
      </c>
      <c r="C177" s="31" t="s">
        <v>5329</v>
      </c>
      <c r="D177" s="36">
        <v>28</v>
      </c>
      <c r="E177" s="36">
        <v>215</v>
      </c>
      <c r="F177" s="36" t="s">
        <v>7494</v>
      </c>
      <c r="G177" s="36" t="s">
        <v>5330</v>
      </c>
      <c r="I177" s="33" t="s">
        <v>5329</v>
      </c>
      <c r="J177" s="34">
        <v>28</v>
      </c>
      <c r="K177" s="34">
        <v>215</v>
      </c>
      <c r="L177" s="34">
        <v>3</v>
      </c>
    </row>
    <row r="178" spans="2:12">
      <c r="B178" s="32">
        <v>178</v>
      </c>
      <c r="C178" s="31" t="s">
        <v>1149</v>
      </c>
      <c r="D178" s="36">
        <v>28</v>
      </c>
      <c r="E178" s="36">
        <v>216</v>
      </c>
      <c r="F178" s="36" t="s">
        <v>6888</v>
      </c>
      <c r="G178" s="36" t="s">
        <v>1150</v>
      </c>
      <c r="I178" s="33" t="s">
        <v>1149</v>
      </c>
      <c r="J178" s="34">
        <v>28</v>
      </c>
      <c r="K178" s="34">
        <v>216</v>
      </c>
      <c r="L178" s="34">
        <v>1</v>
      </c>
    </row>
    <row r="179" spans="2:12">
      <c r="B179" s="32">
        <v>179</v>
      </c>
      <c r="C179" s="31" t="s">
        <v>1639</v>
      </c>
      <c r="D179" s="36">
        <v>28</v>
      </c>
      <c r="E179" s="36">
        <v>216</v>
      </c>
      <c r="F179" s="36" t="s">
        <v>6749</v>
      </c>
      <c r="G179" s="36" t="s">
        <v>1640</v>
      </c>
      <c r="I179" s="33" t="s">
        <v>1639</v>
      </c>
      <c r="J179" s="34">
        <v>28</v>
      </c>
      <c r="K179" s="34">
        <v>216</v>
      </c>
      <c r="L179" s="34">
        <v>2</v>
      </c>
    </row>
    <row r="180" spans="2:12">
      <c r="B180" s="32">
        <v>180</v>
      </c>
      <c r="C180" s="31" t="s">
        <v>5935</v>
      </c>
      <c r="D180" s="36">
        <v>28</v>
      </c>
      <c r="E180" s="36">
        <v>216</v>
      </c>
      <c r="F180" s="36" t="s">
        <v>6735</v>
      </c>
      <c r="G180" s="36" t="s">
        <v>5936</v>
      </c>
      <c r="I180" s="33" t="s">
        <v>5935</v>
      </c>
      <c r="J180" s="34">
        <v>28</v>
      </c>
      <c r="K180" s="34">
        <v>216</v>
      </c>
      <c r="L180" s="34">
        <v>3</v>
      </c>
    </row>
    <row r="181" spans="2:12">
      <c r="B181" s="32">
        <v>181</v>
      </c>
      <c r="C181" s="31" t="s">
        <v>3068</v>
      </c>
      <c r="D181" s="36">
        <v>28</v>
      </c>
      <c r="E181" s="36">
        <v>217</v>
      </c>
      <c r="F181" s="36" t="s">
        <v>7495</v>
      </c>
      <c r="G181" s="36" t="s">
        <v>3069</v>
      </c>
      <c r="I181" s="33" t="s">
        <v>3068</v>
      </c>
      <c r="J181" s="34">
        <v>28</v>
      </c>
      <c r="K181" s="34">
        <v>217</v>
      </c>
      <c r="L181" s="34">
        <v>1</v>
      </c>
    </row>
    <row r="182" spans="2:12">
      <c r="B182" s="32">
        <v>182</v>
      </c>
      <c r="C182" s="31" t="s">
        <v>3199</v>
      </c>
      <c r="D182" s="36">
        <v>28</v>
      </c>
      <c r="E182" s="36">
        <v>217</v>
      </c>
      <c r="F182" s="36" t="s">
        <v>6747</v>
      </c>
      <c r="G182" s="36" t="s">
        <v>3200</v>
      </c>
      <c r="I182" s="33" t="s">
        <v>3199</v>
      </c>
      <c r="J182" s="34">
        <v>28</v>
      </c>
      <c r="K182" s="34">
        <v>217</v>
      </c>
      <c r="L182" s="34">
        <v>2</v>
      </c>
    </row>
    <row r="183" spans="2:12">
      <c r="B183" s="32">
        <v>183</v>
      </c>
      <c r="C183" s="31" t="s">
        <v>2142</v>
      </c>
      <c r="D183" s="36">
        <v>28</v>
      </c>
      <c r="E183" s="36">
        <v>217</v>
      </c>
      <c r="F183" s="36" t="s">
        <v>6674</v>
      </c>
      <c r="G183" s="36" t="s">
        <v>2143</v>
      </c>
      <c r="I183" s="33" t="s">
        <v>2142</v>
      </c>
      <c r="J183" s="34">
        <v>28</v>
      </c>
      <c r="K183" s="34">
        <v>217</v>
      </c>
      <c r="L183" s="34">
        <v>3</v>
      </c>
    </row>
    <row r="184" spans="2:12">
      <c r="B184" s="32">
        <v>184</v>
      </c>
      <c r="C184" s="31" t="s">
        <v>516</v>
      </c>
      <c r="D184" s="36">
        <v>28</v>
      </c>
      <c r="E184" s="36">
        <v>218</v>
      </c>
      <c r="F184" s="36" t="s">
        <v>7108</v>
      </c>
      <c r="G184" s="36" t="s">
        <v>517</v>
      </c>
      <c r="I184" s="33" t="s">
        <v>516</v>
      </c>
      <c r="J184" s="34">
        <v>28</v>
      </c>
      <c r="K184" s="34">
        <v>218</v>
      </c>
      <c r="L184" s="34">
        <v>1</v>
      </c>
    </row>
    <row r="185" spans="2:12">
      <c r="B185" s="32">
        <v>185</v>
      </c>
      <c r="C185" s="31" t="s">
        <v>1071</v>
      </c>
      <c r="D185" s="36">
        <v>28</v>
      </c>
      <c r="E185" s="36">
        <v>218</v>
      </c>
      <c r="F185" s="36" t="s">
        <v>6844</v>
      </c>
      <c r="G185" s="36" t="s">
        <v>1072</v>
      </c>
      <c r="I185" s="33" t="s">
        <v>1071</v>
      </c>
      <c r="J185" s="34">
        <v>28</v>
      </c>
      <c r="K185" s="34">
        <v>218</v>
      </c>
      <c r="L185" s="34">
        <v>2</v>
      </c>
    </row>
    <row r="186" spans="2:12">
      <c r="B186" s="32">
        <v>186</v>
      </c>
      <c r="C186" s="31" t="s">
        <v>1369</v>
      </c>
      <c r="D186" s="36">
        <v>28</v>
      </c>
      <c r="E186" s="36">
        <v>218</v>
      </c>
      <c r="F186" s="36" t="s">
        <v>7276</v>
      </c>
      <c r="G186" s="36" t="s">
        <v>1370</v>
      </c>
      <c r="I186" s="33" t="s">
        <v>1369</v>
      </c>
      <c r="J186" s="34">
        <v>28</v>
      </c>
      <c r="K186" s="34">
        <v>218</v>
      </c>
      <c r="L186" s="34">
        <v>3</v>
      </c>
    </row>
    <row r="187" spans="2:12">
      <c r="B187" s="32">
        <v>187</v>
      </c>
      <c r="C187" s="31" t="s">
        <v>1339</v>
      </c>
      <c r="D187" s="36">
        <v>28</v>
      </c>
      <c r="E187" s="36">
        <v>219</v>
      </c>
      <c r="F187" s="36" t="s">
        <v>6672</v>
      </c>
      <c r="G187" s="36" t="s">
        <v>1340</v>
      </c>
      <c r="I187" s="33" t="s">
        <v>1339</v>
      </c>
      <c r="J187" s="34">
        <v>28</v>
      </c>
      <c r="K187" s="34">
        <v>219</v>
      </c>
      <c r="L187" s="34">
        <v>1</v>
      </c>
    </row>
    <row r="188" spans="2:12">
      <c r="B188" s="32">
        <v>188</v>
      </c>
      <c r="C188" s="31" t="s">
        <v>389</v>
      </c>
      <c r="D188" s="36">
        <v>28</v>
      </c>
      <c r="E188" s="36">
        <v>219</v>
      </c>
      <c r="F188" s="36" t="s">
        <v>7095</v>
      </c>
      <c r="G188" s="36" t="s">
        <v>390</v>
      </c>
      <c r="I188" s="33" t="s">
        <v>389</v>
      </c>
      <c r="J188" s="34">
        <v>28</v>
      </c>
      <c r="K188" s="34">
        <v>219</v>
      </c>
      <c r="L188" s="34">
        <v>2</v>
      </c>
    </row>
    <row r="189" spans="2:12">
      <c r="B189" s="32">
        <v>189</v>
      </c>
      <c r="C189" s="31" t="s">
        <v>4358</v>
      </c>
      <c r="D189" s="36">
        <v>28</v>
      </c>
      <c r="E189" s="36">
        <v>220</v>
      </c>
      <c r="F189" s="36" t="s">
        <v>7186</v>
      </c>
      <c r="G189" s="36" t="s">
        <v>1817</v>
      </c>
      <c r="I189" s="33" t="s">
        <v>4358</v>
      </c>
      <c r="J189" s="34">
        <v>28</v>
      </c>
      <c r="K189" s="34">
        <v>220</v>
      </c>
      <c r="L189" s="34">
        <v>1</v>
      </c>
    </row>
    <row r="190" spans="2:12">
      <c r="B190" s="32">
        <v>190</v>
      </c>
      <c r="C190" s="31" t="s">
        <v>3627</v>
      </c>
      <c r="D190" s="36">
        <v>28</v>
      </c>
      <c r="E190" s="36">
        <v>220</v>
      </c>
      <c r="F190" s="36" t="s">
        <v>7151</v>
      </c>
      <c r="G190" s="36" t="s">
        <v>3628</v>
      </c>
      <c r="I190" s="33" t="s">
        <v>3627</v>
      </c>
      <c r="J190" s="34">
        <v>28</v>
      </c>
      <c r="K190" s="34">
        <v>220</v>
      </c>
      <c r="L190" s="34">
        <v>2</v>
      </c>
    </row>
    <row r="191" spans="2:12">
      <c r="B191" s="32">
        <v>191</v>
      </c>
      <c r="C191" s="31" t="s">
        <v>4020</v>
      </c>
      <c r="D191" s="36">
        <v>29</v>
      </c>
      <c r="E191" s="36">
        <v>101</v>
      </c>
      <c r="F191" s="36" t="s">
        <v>7181</v>
      </c>
      <c r="G191" s="36" t="s">
        <v>4021</v>
      </c>
      <c r="I191" s="33" t="s">
        <v>4020</v>
      </c>
      <c r="J191" s="34">
        <v>29</v>
      </c>
      <c r="K191" s="34">
        <v>101</v>
      </c>
      <c r="L191" s="34">
        <v>1</v>
      </c>
    </row>
    <row r="192" spans="2:12">
      <c r="B192" s="32">
        <v>192</v>
      </c>
      <c r="C192" s="31" t="s">
        <v>3223</v>
      </c>
      <c r="D192" s="36">
        <v>29</v>
      </c>
      <c r="E192" s="36">
        <v>101</v>
      </c>
      <c r="F192" s="36" t="s">
        <v>6644</v>
      </c>
      <c r="G192" s="36" t="s">
        <v>3224</v>
      </c>
      <c r="I192" s="33" t="s">
        <v>3223</v>
      </c>
      <c r="J192" s="34">
        <v>29</v>
      </c>
      <c r="K192" s="34">
        <v>101</v>
      </c>
      <c r="L192" s="34">
        <v>2</v>
      </c>
    </row>
    <row r="193" spans="2:12">
      <c r="B193" s="32">
        <v>193</v>
      </c>
      <c r="C193" s="31" t="s">
        <v>2979</v>
      </c>
      <c r="D193" s="36">
        <v>29</v>
      </c>
      <c r="E193" s="36">
        <v>102</v>
      </c>
      <c r="F193" s="36" t="s">
        <v>7498</v>
      </c>
      <c r="G193" s="36" t="s">
        <v>2980</v>
      </c>
      <c r="I193" s="33" t="s">
        <v>2979</v>
      </c>
      <c r="J193" s="34">
        <v>29</v>
      </c>
      <c r="K193" s="34">
        <v>102</v>
      </c>
      <c r="L193" s="34">
        <v>1</v>
      </c>
    </row>
    <row r="194" spans="2:12">
      <c r="B194" s="32">
        <v>194</v>
      </c>
      <c r="C194" s="31" t="s">
        <v>5138</v>
      </c>
      <c r="D194" s="36">
        <v>29</v>
      </c>
      <c r="E194" s="36">
        <v>102</v>
      </c>
      <c r="F194" s="36" t="s">
        <v>6775</v>
      </c>
      <c r="G194" s="36" t="s">
        <v>5139</v>
      </c>
      <c r="I194" s="33" t="s">
        <v>5138</v>
      </c>
      <c r="J194" s="34">
        <v>29</v>
      </c>
      <c r="K194" s="34">
        <v>102</v>
      </c>
      <c r="L194" s="34">
        <v>2</v>
      </c>
    </row>
    <row r="195" spans="2:12">
      <c r="B195" s="32">
        <v>195</v>
      </c>
      <c r="C195" s="31" t="s">
        <v>3184</v>
      </c>
      <c r="D195" s="36">
        <v>29</v>
      </c>
      <c r="E195" s="36">
        <v>103</v>
      </c>
      <c r="F195" s="36" t="s">
        <v>7191</v>
      </c>
      <c r="G195" s="36" t="s">
        <v>3185</v>
      </c>
      <c r="I195" s="33" t="s">
        <v>3184</v>
      </c>
      <c r="J195" s="34">
        <v>29</v>
      </c>
      <c r="K195" s="34">
        <v>103</v>
      </c>
      <c r="L195" s="34">
        <v>1</v>
      </c>
    </row>
    <row r="196" spans="2:12">
      <c r="B196" s="32">
        <v>196</v>
      </c>
      <c r="C196" s="31" t="s">
        <v>5053</v>
      </c>
      <c r="D196" s="36">
        <v>29</v>
      </c>
      <c r="E196" s="36">
        <v>103</v>
      </c>
      <c r="F196" s="36" t="s">
        <v>7282</v>
      </c>
      <c r="G196" s="36" t="s">
        <v>5054</v>
      </c>
      <c r="I196" s="33" t="s">
        <v>5053</v>
      </c>
      <c r="J196" s="34">
        <v>29</v>
      </c>
      <c r="K196" s="34">
        <v>103</v>
      </c>
      <c r="L196" s="34">
        <v>2</v>
      </c>
    </row>
    <row r="197" spans="2:12">
      <c r="B197" s="32">
        <v>197</v>
      </c>
      <c r="C197" s="31" t="s">
        <v>1460</v>
      </c>
      <c r="D197" s="36">
        <v>29</v>
      </c>
      <c r="E197" s="36">
        <v>103</v>
      </c>
      <c r="F197" s="36" t="s">
        <v>7130</v>
      </c>
      <c r="G197" s="36" t="s">
        <v>1461</v>
      </c>
      <c r="I197" s="33" t="s">
        <v>1460</v>
      </c>
      <c r="J197" s="34">
        <v>29</v>
      </c>
      <c r="K197" s="34">
        <v>103</v>
      </c>
      <c r="L197" s="34">
        <v>3</v>
      </c>
    </row>
    <row r="198" spans="2:12">
      <c r="B198" s="32">
        <v>199</v>
      </c>
      <c r="C198" s="31" t="s">
        <v>4869</v>
      </c>
      <c r="D198" s="36">
        <v>29</v>
      </c>
      <c r="E198" s="36">
        <v>104</v>
      </c>
      <c r="F198" s="36" t="s">
        <v>6706</v>
      </c>
      <c r="G198" s="36" t="s">
        <v>4870</v>
      </c>
      <c r="I198" s="33" t="s">
        <v>4869</v>
      </c>
      <c r="J198" s="34">
        <v>29</v>
      </c>
      <c r="K198" s="34">
        <v>104</v>
      </c>
      <c r="L198" s="34">
        <v>1</v>
      </c>
    </row>
    <row r="199" spans="2:12">
      <c r="B199" s="32">
        <v>198</v>
      </c>
      <c r="C199" s="31" t="s">
        <v>4865</v>
      </c>
      <c r="D199" s="36">
        <v>29</v>
      </c>
      <c r="E199" s="36">
        <v>104</v>
      </c>
      <c r="F199" s="36" t="s">
        <v>6936</v>
      </c>
      <c r="G199" s="36" t="s">
        <v>4866</v>
      </c>
      <c r="I199" s="33" t="s">
        <v>4865</v>
      </c>
      <c r="J199" s="34">
        <v>29</v>
      </c>
      <c r="K199" s="34">
        <v>104</v>
      </c>
      <c r="L199" s="34">
        <v>2</v>
      </c>
    </row>
    <row r="200" spans="2:12">
      <c r="B200" s="32">
        <v>200</v>
      </c>
      <c r="C200" s="31" t="s">
        <v>160</v>
      </c>
      <c r="D200" s="36">
        <v>29</v>
      </c>
      <c r="E200" s="36">
        <v>104</v>
      </c>
      <c r="F200" s="36" t="s">
        <v>7087</v>
      </c>
      <c r="G200" s="36" t="s">
        <v>161</v>
      </c>
      <c r="I200" s="33" t="s">
        <v>160</v>
      </c>
      <c r="J200" s="34">
        <v>29</v>
      </c>
      <c r="K200" s="34">
        <v>104</v>
      </c>
      <c r="L200" s="34">
        <v>3</v>
      </c>
    </row>
    <row r="201" spans="2:12">
      <c r="B201" s="32">
        <v>201</v>
      </c>
      <c r="C201" s="31" t="s">
        <v>2626</v>
      </c>
      <c r="D201" s="36">
        <v>29</v>
      </c>
      <c r="E201" s="36">
        <v>105</v>
      </c>
      <c r="F201" s="36" t="s">
        <v>7237</v>
      </c>
      <c r="G201" s="36" t="s">
        <v>2627</v>
      </c>
      <c r="I201" s="33" t="s">
        <v>2626</v>
      </c>
      <c r="J201" s="34">
        <v>29</v>
      </c>
      <c r="K201" s="34">
        <v>105</v>
      </c>
      <c r="L201" s="34">
        <v>1</v>
      </c>
    </row>
    <row r="202" spans="2:12">
      <c r="B202" s="32">
        <v>202</v>
      </c>
      <c r="C202" s="31" t="s">
        <v>4514</v>
      </c>
      <c r="D202" s="36">
        <v>29</v>
      </c>
      <c r="E202" s="36">
        <v>105</v>
      </c>
      <c r="F202" s="36" t="s">
        <v>7091</v>
      </c>
      <c r="G202" s="36" t="s">
        <v>4515</v>
      </c>
      <c r="I202" s="33" t="s">
        <v>4514</v>
      </c>
      <c r="J202" s="34">
        <v>29</v>
      </c>
      <c r="K202" s="34">
        <v>105</v>
      </c>
      <c r="L202" s="34">
        <v>2</v>
      </c>
    </row>
    <row r="203" spans="2:12">
      <c r="B203" s="32">
        <v>203</v>
      </c>
      <c r="C203" s="31" t="s">
        <v>4016</v>
      </c>
      <c r="D203" s="36">
        <v>29</v>
      </c>
      <c r="E203" s="36">
        <v>105</v>
      </c>
      <c r="F203" s="36" t="s">
        <v>6760</v>
      </c>
      <c r="G203" s="36" t="s">
        <v>4017</v>
      </c>
      <c r="I203" s="33" t="s">
        <v>4016</v>
      </c>
      <c r="J203" s="34">
        <v>29</v>
      </c>
      <c r="K203" s="34">
        <v>105</v>
      </c>
      <c r="L203" s="34">
        <v>3</v>
      </c>
    </row>
    <row r="204" spans="2:12">
      <c r="B204" s="32">
        <v>204</v>
      </c>
      <c r="C204" s="31" t="s">
        <v>3697</v>
      </c>
      <c r="D204" s="36">
        <v>29</v>
      </c>
      <c r="E204" s="36">
        <v>106</v>
      </c>
      <c r="F204" s="36" t="s">
        <v>7263</v>
      </c>
      <c r="G204" s="36" t="s">
        <v>3698</v>
      </c>
      <c r="I204" s="33" t="s">
        <v>3697</v>
      </c>
      <c r="J204" s="34">
        <v>29</v>
      </c>
      <c r="K204" s="34">
        <v>106</v>
      </c>
      <c r="L204" s="34">
        <v>1</v>
      </c>
    </row>
    <row r="205" spans="2:12">
      <c r="B205" s="32">
        <v>205</v>
      </c>
      <c r="C205" s="31" t="s">
        <v>4977</v>
      </c>
      <c r="D205" s="36">
        <v>29</v>
      </c>
      <c r="E205" s="36">
        <v>106</v>
      </c>
      <c r="F205" s="36" t="s">
        <v>6695</v>
      </c>
      <c r="G205" s="36" t="s">
        <v>4978</v>
      </c>
      <c r="I205" s="33" t="s">
        <v>4977</v>
      </c>
      <c r="J205" s="34">
        <v>29</v>
      </c>
      <c r="K205" s="34">
        <v>106</v>
      </c>
      <c r="L205" s="34">
        <v>2</v>
      </c>
    </row>
    <row r="206" spans="2:12">
      <c r="B206" s="32">
        <v>206</v>
      </c>
      <c r="C206" s="31" t="s">
        <v>3386</v>
      </c>
      <c r="D206" s="36">
        <v>29</v>
      </c>
      <c r="E206" s="36">
        <v>106</v>
      </c>
      <c r="F206" s="36" t="s">
        <v>7126</v>
      </c>
      <c r="G206" s="36" t="s">
        <v>3387</v>
      </c>
      <c r="I206" s="33" t="s">
        <v>3386</v>
      </c>
      <c r="J206" s="34">
        <v>29</v>
      </c>
      <c r="K206" s="34">
        <v>106</v>
      </c>
      <c r="L206" s="34">
        <v>3</v>
      </c>
    </row>
    <row r="207" spans="2:12">
      <c r="B207" s="32">
        <v>207</v>
      </c>
      <c r="C207" s="31" t="s">
        <v>2773</v>
      </c>
      <c r="D207" s="36">
        <v>29</v>
      </c>
      <c r="E207" s="36">
        <v>107</v>
      </c>
      <c r="F207" s="36" t="s">
        <v>6663</v>
      </c>
      <c r="G207" s="36" t="s">
        <v>2774</v>
      </c>
      <c r="I207" s="33" t="s">
        <v>2773</v>
      </c>
      <c r="J207" s="34">
        <v>29</v>
      </c>
      <c r="K207" s="34">
        <v>107</v>
      </c>
      <c r="L207" s="34">
        <v>1</v>
      </c>
    </row>
    <row r="208" spans="2:12">
      <c r="B208" s="32">
        <v>208</v>
      </c>
      <c r="C208" s="31" t="s">
        <v>4071</v>
      </c>
      <c r="D208" s="36">
        <v>29</v>
      </c>
      <c r="E208" s="36">
        <v>107</v>
      </c>
      <c r="F208" s="36" t="s">
        <v>6657</v>
      </c>
      <c r="G208" s="36" t="s">
        <v>4072</v>
      </c>
      <c r="I208" s="33" t="s">
        <v>4071</v>
      </c>
      <c r="J208" s="34">
        <v>29</v>
      </c>
      <c r="K208" s="34">
        <v>107</v>
      </c>
      <c r="L208" s="34">
        <v>2</v>
      </c>
    </row>
    <row r="209" spans="2:12">
      <c r="B209" s="32">
        <v>209</v>
      </c>
      <c r="C209" s="31" t="s">
        <v>2606</v>
      </c>
      <c r="D209" s="36">
        <v>29</v>
      </c>
      <c r="E209" s="36">
        <v>107</v>
      </c>
      <c r="F209" s="36" t="s">
        <v>7136</v>
      </c>
      <c r="G209" s="36" t="s">
        <v>2607</v>
      </c>
      <c r="I209" s="33" t="s">
        <v>2606</v>
      </c>
      <c r="J209" s="34">
        <v>29</v>
      </c>
      <c r="K209" s="34">
        <v>107</v>
      </c>
      <c r="L209" s="34">
        <v>3</v>
      </c>
    </row>
    <row r="210" spans="2:12">
      <c r="B210" s="32">
        <v>210</v>
      </c>
      <c r="C210" s="31" t="s">
        <v>3809</v>
      </c>
      <c r="D210" s="36">
        <v>29</v>
      </c>
      <c r="E210" s="36">
        <v>108</v>
      </c>
      <c r="F210" s="36" t="s">
        <v>6662</v>
      </c>
      <c r="G210" s="36" t="s">
        <v>3810</v>
      </c>
      <c r="I210" s="33" t="s">
        <v>3809</v>
      </c>
      <c r="J210" s="34">
        <v>29</v>
      </c>
      <c r="K210" s="34">
        <v>108</v>
      </c>
      <c r="L210" s="34">
        <v>1</v>
      </c>
    </row>
    <row r="211" spans="2:12">
      <c r="B211" s="32">
        <v>211</v>
      </c>
      <c r="C211" s="31" t="s">
        <v>3286</v>
      </c>
      <c r="D211" s="36">
        <v>29</v>
      </c>
      <c r="E211" s="36">
        <v>108</v>
      </c>
      <c r="F211" s="36" t="s">
        <v>6772</v>
      </c>
      <c r="G211" s="36" t="s">
        <v>3287</v>
      </c>
      <c r="I211" s="33" t="s">
        <v>3286</v>
      </c>
      <c r="J211" s="34">
        <v>29</v>
      </c>
      <c r="K211" s="34">
        <v>108</v>
      </c>
      <c r="L211" s="34">
        <v>2</v>
      </c>
    </row>
    <row r="212" spans="2:12">
      <c r="B212" s="32">
        <v>212</v>
      </c>
      <c r="C212" s="31" t="s">
        <v>2596</v>
      </c>
      <c r="D212" s="36">
        <v>29</v>
      </c>
      <c r="E212" s="36">
        <v>108</v>
      </c>
      <c r="F212" s="36" t="s">
        <v>6647</v>
      </c>
      <c r="G212" s="36" t="s">
        <v>2597</v>
      </c>
      <c r="I212" s="33" t="s">
        <v>2596</v>
      </c>
      <c r="J212" s="34">
        <v>29</v>
      </c>
      <c r="K212" s="34">
        <v>108</v>
      </c>
      <c r="L212" s="34">
        <v>3</v>
      </c>
    </row>
    <row r="213" spans="2:12">
      <c r="B213" s="32">
        <v>213</v>
      </c>
      <c r="C213" s="31" t="s">
        <v>3890</v>
      </c>
      <c r="D213" s="36">
        <v>29</v>
      </c>
      <c r="E213" s="36">
        <v>109</v>
      </c>
      <c r="F213" s="36" t="s">
        <v>7499</v>
      </c>
      <c r="G213" s="36" t="s">
        <v>3891</v>
      </c>
      <c r="I213" s="33" t="s">
        <v>3890</v>
      </c>
      <c r="J213" s="34">
        <v>29</v>
      </c>
      <c r="K213" s="34">
        <v>109</v>
      </c>
      <c r="L213" s="34">
        <v>1</v>
      </c>
    </row>
    <row r="214" spans="2:12">
      <c r="B214" s="32">
        <v>214</v>
      </c>
      <c r="C214" s="31" t="s">
        <v>5226</v>
      </c>
      <c r="D214" s="36">
        <v>29</v>
      </c>
      <c r="E214" s="36">
        <v>109</v>
      </c>
      <c r="F214" s="36" t="s">
        <v>7195</v>
      </c>
      <c r="G214" s="36" t="s">
        <v>5227</v>
      </c>
      <c r="I214" s="33" t="s">
        <v>5226</v>
      </c>
      <c r="J214" s="34">
        <v>29</v>
      </c>
      <c r="K214" s="34">
        <v>109</v>
      </c>
      <c r="L214" s="34">
        <v>2</v>
      </c>
    </row>
    <row r="215" spans="2:12">
      <c r="B215" s="32">
        <v>226</v>
      </c>
      <c r="C215" s="31" t="s">
        <v>2374</v>
      </c>
      <c r="D215" s="36">
        <v>29</v>
      </c>
      <c r="E215" s="36">
        <v>113</v>
      </c>
      <c r="F215" s="36" t="s">
        <v>6671</v>
      </c>
      <c r="G215" s="36" t="s">
        <v>2375</v>
      </c>
      <c r="I215" s="33" t="s">
        <v>2374</v>
      </c>
      <c r="J215" s="34">
        <v>29</v>
      </c>
      <c r="K215" s="34">
        <v>109</v>
      </c>
      <c r="L215" s="34">
        <v>3</v>
      </c>
    </row>
    <row r="216" spans="2:12">
      <c r="B216" s="32">
        <v>216</v>
      </c>
      <c r="C216" s="31" t="s">
        <v>1832</v>
      </c>
      <c r="D216" s="36">
        <v>29</v>
      </c>
      <c r="E216" s="36">
        <v>110</v>
      </c>
      <c r="F216" s="36" t="s">
        <v>7399</v>
      </c>
      <c r="G216" s="36" t="s">
        <v>1833</v>
      </c>
      <c r="I216" s="33" t="s">
        <v>1832</v>
      </c>
      <c r="J216" s="34">
        <v>29</v>
      </c>
      <c r="K216" s="34">
        <v>110</v>
      </c>
      <c r="L216" s="34">
        <v>1</v>
      </c>
    </row>
    <row r="217" spans="2:12">
      <c r="B217" s="32">
        <v>217</v>
      </c>
      <c r="C217" s="31" t="s">
        <v>5449</v>
      </c>
      <c r="D217" s="36">
        <v>29</v>
      </c>
      <c r="E217" s="36">
        <v>110</v>
      </c>
      <c r="F217" s="36" t="s">
        <v>6686</v>
      </c>
      <c r="G217" s="36" t="s">
        <v>5450</v>
      </c>
      <c r="I217" s="33" t="s">
        <v>5449</v>
      </c>
      <c r="J217" s="34">
        <v>29</v>
      </c>
      <c r="K217" s="34">
        <v>110</v>
      </c>
      <c r="L217" s="34">
        <v>2</v>
      </c>
    </row>
    <row r="218" spans="2:12">
      <c r="B218" s="32">
        <v>218</v>
      </c>
      <c r="C218" s="31" t="s">
        <v>2406</v>
      </c>
      <c r="D218" s="36">
        <v>29</v>
      </c>
      <c r="E218" s="36">
        <v>110</v>
      </c>
      <c r="F218" s="36" t="s">
        <v>7168</v>
      </c>
      <c r="G218" s="36" t="s">
        <v>2407</v>
      </c>
      <c r="I218" s="33" t="s">
        <v>2406</v>
      </c>
      <c r="J218" s="34">
        <v>29</v>
      </c>
      <c r="K218" s="34">
        <v>110</v>
      </c>
      <c r="L218" s="34">
        <v>3</v>
      </c>
    </row>
    <row r="219" spans="2:12">
      <c r="B219" s="32">
        <v>219</v>
      </c>
      <c r="C219" s="31" t="s">
        <v>1365</v>
      </c>
      <c r="D219" s="36">
        <v>29</v>
      </c>
      <c r="E219" s="36">
        <v>111</v>
      </c>
      <c r="F219" s="36" t="s">
        <v>7112</v>
      </c>
      <c r="G219" s="36" t="s">
        <v>1366</v>
      </c>
      <c r="I219" s="33" t="s">
        <v>1365</v>
      </c>
      <c r="J219" s="34">
        <v>29</v>
      </c>
      <c r="K219" s="34">
        <v>111</v>
      </c>
      <c r="L219" s="34">
        <v>1</v>
      </c>
    </row>
    <row r="220" spans="2:12">
      <c r="B220" s="32">
        <v>220</v>
      </c>
      <c r="C220" s="31" t="s">
        <v>3354</v>
      </c>
      <c r="D220" s="36">
        <v>29</v>
      </c>
      <c r="E220" s="36">
        <v>111</v>
      </c>
      <c r="F220" s="36" t="s">
        <v>6690</v>
      </c>
      <c r="G220" s="36" t="s">
        <v>3355</v>
      </c>
      <c r="I220" s="33" t="s">
        <v>3354</v>
      </c>
      <c r="J220" s="34">
        <v>29</v>
      </c>
      <c r="K220" s="34">
        <v>111</v>
      </c>
      <c r="L220" s="34">
        <v>2</v>
      </c>
    </row>
    <row r="221" spans="2:12">
      <c r="B221" s="32">
        <v>221</v>
      </c>
      <c r="C221" s="31" t="s">
        <v>532</v>
      </c>
      <c r="D221" s="36">
        <v>29</v>
      </c>
      <c r="E221" s="36">
        <v>111</v>
      </c>
      <c r="F221" s="36" t="s">
        <v>6660</v>
      </c>
      <c r="G221" s="36" t="s">
        <v>533</v>
      </c>
      <c r="I221" s="33" t="s">
        <v>532</v>
      </c>
      <c r="J221" s="34">
        <v>29</v>
      </c>
      <c r="K221" s="34">
        <v>111</v>
      </c>
      <c r="L221" s="34">
        <v>3</v>
      </c>
    </row>
    <row r="222" spans="2:12">
      <c r="B222" s="32">
        <v>224</v>
      </c>
      <c r="C222" s="31" t="s">
        <v>5808</v>
      </c>
      <c r="D222" s="36">
        <v>29</v>
      </c>
      <c r="E222" s="36">
        <v>112</v>
      </c>
      <c r="F222" s="36" t="s">
        <v>6688</v>
      </c>
      <c r="G222" s="36" t="s">
        <v>5809</v>
      </c>
      <c r="I222" s="33" t="s">
        <v>5808</v>
      </c>
      <c r="J222" s="34">
        <v>29</v>
      </c>
      <c r="K222" s="34">
        <v>112</v>
      </c>
      <c r="L222" s="34">
        <v>1</v>
      </c>
    </row>
    <row r="223" spans="2:12">
      <c r="B223" s="32">
        <v>222</v>
      </c>
      <c r="C223" s="31" t="s">
        <v>4567</v>
      </c>
      <c r="D223" s="36">
        <v>29</v>
      </c>
      <c r="E223" s="36">
        <v>112</v>
      </c>
      <c r="F223" s="36" t="s">
        <v>6639</v>
      </c>
      <c r="G223" s="36" t="s">
        <v>4568</v>
      </c>
      <c r="I223" s="33" t="s">
        <v>4567</v>
      </c>
      <c r="J223" s="34">
        <v>29</v>
      </c>
      <c r="K223" s="34">
        <v>112</v>
      </c>
      <c r="L223" s="34">
        <v>2</v>
      </c>
    </row>
    <row r="224" spans="2:12">
      <c r="B224" s="32">
        <v>223</v>
      </c>
      <c r="C224" s="31" t="s">
        <v>3787</v>
      </c>
      <c r="D224" s="36">
        <v>29</v>
      </c>
      <c r="E224" s="36">
        <v>112</v>
      </c>
      <c r="F224" s="36" t="s">
        <v>7328</v>
      </c>
      <c r="G224" s="36" t="s">
        <v>3788</v>
      </c>
      <c r="I224" s="33" t="s">
        <v>3787</v>
      </c>
      <c r="J224" s="34">
        <v>29</v>
      </c>
      <c r="K224" s="34">
        <v>112</v>
      </c>
      <c r="L224" s="34">
        <v>3</v>
      </c>
    </row>
    <row r="225" spans="2:12">
      <c r="B225" s="32">
        <v>227</v>
      </c>
      <c r="C225" s="31" t="s">
        <v>3870</v>
      </c>
      <c r="D225" s="36">
        <v>29</v>
      </c>
      <c r="E225" s="36">
        <v>113</v>
      </c>
      <c r="F225" s="36" t="s">
        <v>7500</v>
      </c>
      <c r="G225" s="36" t="s">
        <v>3871</v>
      </c>
      <c r="I225" s="33" t="s">
        <v>3870</v>
      </c>
      <c r="J225" s="34">
        <v>29</v>
      </c>
      <c r="K225" s="34">
        <v>113</v>
      </c>
      <c r="L225" s="34">
        <v>1</v>
      </c>
    </row>
    <row r="226" spans="2:12">
      <c r="B226" s="32">
        <v>225</v>
      </c>
      <c r="C226" s="31" t="s">
        <v>3041</v>
      </c>
      <c r="D226" s="36">
        <v>29</v>
      </c>
      <c r="E226" s="36">
        <v>113</v>
      </c>
      <c r="F226" s="36" t="s">
        <v>7110</v>
      </c>
      <c r="G226" s="36" t="s">
        <v>3042</v>
      </c>
      <c r="I226" s="33" t="s">
        <v>3041</v>
      </c>
      <c r="J226" s="34">
        <v>29</v>
      </c>
      <c r="K226" s="34">
        <v>113</v>
      </c>
      <c r="L226" s="34">
        <v>2</v>
      </c>
    </row>
    <row r="227" spans="2:12">
      <c r="B227" s="32">
        <v>215</v>
      </c>
      <c r="C227" s="31" t="s">
        <v>5148</v>
      </c>
      <c r="D227" s="36">
        <v>29</v>
      </c>
      <c r="E227" s="36">
        <v>109</v>
      </c>
      <c r="F227" s="36" t="s">
        <v>6745</v>
      </c>
      <c r="G227" s="36" t="s">
        <v>5149</v>
      </c>
      <c r="I227" s="33" t="s">
        <v>5148</v>
      </c>
      <c r="J227" s="34">
        <v>29</v>
      </c>
      <c r="K227" s="34">
        <v>113</v>
      </c>
      <c r="L227" s="34">
        <v>3</v>
      </c>
    </row>
    <row r="228" spans="2:12">
      <c r="B228" s="32">
        <v>239</v>
      </c>
      <c r="C228" s="31" t="s">
        <v>2477</v>
      </c>
      <c r="D228" s="36">
        <v>29</v>
      </c>
      <c r="E228" s="36">
        <v>118</v>
      </c>
      <c r="F228" s="36" t="s">
        <v>7105</v>
      </c>
      <c r="G228" s="36" t="s">
        <v>2478</v>
      </c>
      <c r="I228" s="33" t="s">
        <v>2477</v>
      </c>
      <c r="J228" s="34">
        <v>29</v>
      </c>
      <c r="K228" s="34">
        <v>114</v>
      </c>
      <c r="L228" s="34">
        <v>1</v>
      </c>
    </row>
    <row r="229" spans="2:12">
      <c r="B229" s="32">
        <v>231</v>
      </c>
      <c r="C229" s="31" t="s">
        <v>6597</v>
      </c>
      <c r="D229" s="36">
        <v>29</v>
      </c>
      <c r="E229" s="36">
        <v>115</v>
      </c>
      <c r="F229" s="36" t="s">
        <v>6710</v>
      </c>
      <c r="G229" s="36" t="s">
        <v>3324</v>
      </c>
      <c r="I229" s="33" t="s">
        <v>6597</v>
      </c>
      <c r="J229" s="34">
        <v>29</v>
      </c>
      <c r="K229" s="34">
        <v>114</v>
      </c>
      <c r="L229" s="34">
        <v>2</v>
      </c>
    </row>
    <row r="230" spans="2:12">
      <c r="B230" s="32">
        <v>240</v>
      </c>
      <c r="C230" s="31" t="s">
        <v>4156</v>
      </c>
      <c r="D230" s="36">
        <v>29</v>
      </c>
      <c r="E230" s="36">
        <v>118</v>
      </c>
      <c r="F230" s="36" t="s">
        <v>6677</v>
      </c>
      <c r="G230" s="36" t="s">
        <v>4157</v>
      </c>
      <c r="I230" s="33" t="s">
        <v>4156</v>
      </c>
      <c r="J230" s="34">
        <v>29</v>
      </c>
      <c r="K230" s="34">
        <v>114</v>
      </c>
      <c r="L230" s="34">
        <v>3</v>
      </c>
    </row>
    <row r="231" spans="2:7">
      <c r="B231" s="32">
        <v>228</v>
      </c>
      <c r="C231" s="31" t="s">
        <v>4663</v>
      </c>
      <c r="D231" s="36">
        <v>29</v>
      </c>
      <c r="E231" s="36">
        <v>114</v>
      </c>
      <c r="F231" s="36" t="s">
        <v>6629</v>
      </c>
      <c r="G231" s="36" t="s">
        <v>4664</v>
      </c>
    </row>
    <row r="232" spans="2:7">
      <c r="B232" s="32">
        <v>230</v>
      </c>
      <c r="C232" s="31" t="s">
        <v>1623</v>
      </c>
      <c r="D232" s="36">
        <v>29</v>
      </c>
      <c r="E232" s="36">
        <v>114</v>
      </c>
      <c r="F232" s="36" t="s">
        <v>6656</v>
      </c>
      <c r="G232" s="36" t="s">
        <v>1624</v>
      </c>
    </row>
    <row r="233" spans="2:12">
      <c r="B233" s="32">
        <v>232</v>
      </c>
      <c r="C233" s="31" t="s">
        <v>3264</v>
      </c>
      <c r="D233" s="36">
        <v>29</v>
      </c>
      <c r="E233" s="36">
        <v>115</v>
      </c>
      <c r="F233" s="36" t="s">
        <v>6631</v>
      </c>
      <c r="G233" s="36" t="s">
        <v>3265</v>
      </c>
      <c r="I233" s="33" t="s">
        <v>3264</v>
      </c>
      <c r="J233" s="34">
        <v>29</v>
      </c>
      <c r="K233" s="34">
        <v>115</v>
      </c>
      <c r="L233" s="34">
        <v>1</v>
      </c>
    </row>
    <row r="234" spans="2:12">
      <c r="B234" s="32">
        <v>238</v>
      </c>
      <c r="C234" s="31" t="s">
        <v>3295</v>
      </c>
      <c r="D234" s="36">
        <v>29</v>
      </c>
      <c r="E234" s="36">
        <v>118</v>
      </c>
      <c r="F234" s="36" t="s">
        <v>7093</v>
      </c>
      <c r="G234" s="36" t="s">
        <v>3296</v>
      </c>
      <c r="I234" s="33" t="s">
        <v>3295</v>
      </c>
      <c r="J234" s="34">
        <v>29</v>
      </c>
      <c r="K234" s="34">
        <v>115</v>
      </c>
      <c r="L234" s="34">
        <v>2</v>
      </c>
    </row>
    <row r="235" spans="2:12">
      <c r="B235" s="32">
        <v>233</v>
      </c>
      <c r="C235" s="31" t="s">
        <v>1650</v>
      </c>
      <c r="D235" s="36">
        <v>29</v>
      </c>
      <c r="E235" s="36">
        <v>115</v>
      </c>
      <c r="F235" s="36" t="s">
        <v>6824</v>
      </c>
      <c r="G235" s="36" t="s">
        <v>1651</v>
      </c>
      <c r="I235" s="33" t="s">
        <v>1650</v>
      </c>
      <c r="J235" s="34">
        <v>29</v>
      </c>
      <c r="K235" s="34">
        <v>115</v>
      </c>
      <c r="L235" s="34">
        <v>3</v>
      </c>
    </row>
    <row r="236" spans="2:12">
      <c r="B236" s="32">
        <v>236</v>
      </c>
      <c r="C236" s="31" t="s">
        <v>334</v>
      </c>
      <c r="D236" s="36">
        <v>29</v>
      </c>
      <c r="E236" s="36">
        <v>117</v>
      </c>
      <c r="F236" s="36" t="s">
        <v>7101</v>
      </c>
      <c r="G236" s="36" t="s">
        <v>335</v>
      </c>
      <c r="I236" s="33" t="s">
        <v>334</v>
      </c>
      <c r="J236" s="34">
        <v>29</v>
      </c>
      <c r="K236" s="34">
        <v>117</v>
      </c>
      <c r="L236" s="34">
        <v>1</v>
      </c>
    </row>
    <row r="237" spans="2:12">
      <c r="B237" s="32">
        <v>244</v>
      </c>
      <c r="C237" s="31" t="s">
        <v>3924</v>
      </c>
      <c r="D237" s="36">
        <v>29</v>
      </c>
      <c r="E237" s="36">
        <v>120</v>
      </c>
      <c r="F237" s="36" t="s">
        <v>6691</v>
      </c>
      <c r="G237" s="36" t="s">
        <v>3925</v>
      </c>
      <c r="I237" s="33" t="s">
        <v>3924</v>
      </c>
      <c r="J237" s="34">
        <v>29</v>
      </c>
      <c r="K237" s="34">
        <v>117</v>
      </c>
      <c r="L237" s="34">
        <v>2</v>
      </c>
    </row>
    <row r="238" spans="2:12">
      <c r="B238" s="32">
        <v>237</v>
      </c>
      <c r="C238" s="31" t="s">
        <v>2817</v>
      </c>
      <c r="D238" s="36">
        <v>29</v>
      </c>
      <c r="E238" s="36">
        <v>117</v>
      </c>
      <c r="F238" s="36" t="s">
        <v>6692</v>
      </c>
      <c r="G238" s="36" t="s">
        <v>2818</v>
      </c>
      <c r="I238" s="33" t="s">
        <v>2817</v>
      </c>
      <c r="J238" s="34">
        <v>29</v>
      </c>
      <c r="K238" s="34">
        <v>117</v>
      </c>
      <c r="L238" s="34">
        <v>3</v>
      </c>
    </row>
    <row r="239" spans="2:12">
      <c r="B239" s="32"/>
      <c r="D239" s="36"/>
      <c r="E239" s="36"/>
      <c r="F239" s="36"/>
      <c r="G239" s="36"/>
      <c r="I239" s="33" t="s">
        <v>2477</v>
      </c>
      <c r="J239" s="34">
        <v>29</v>
      </c>
      <c r="K239" s="34">
        <v>118</v>
      </c>
      <c r="L239" s="34">
        <v>1</v>
      </c>
    </row>
    <row r="240" spans="2:12">
      <c r="B240" s="32">
        <v>229</v>
      </c>
      <c r="C240" s="31" t="s">
        <v>2262</v>
      </c>
      <c r="D240" s="36">
        <v>29</v>
      </c>
      <c r="E240" s="36">
        <v>114</v>
      </c>
      <c r="F240" s="36" t="s">
        <v>6693</v>
      </c>
      <c r="G240" s="36" t="s">
        <v>2263</v>
      </c>
      <c r="I240" s="33" t="s">
        <v>2262</v>
      </c>
      <c r="J240" s="34">
        <v>29</v>
      </c>
      <c r="K240" s="34">
        <v>118</v>
      </c>
      <c r="L240" s="34">
        <v>2</v>
      </c>
    </row>
    <row r="241" spans="2:12">
      <c r="B241" s="32"/>
      <c r="D241" s="36"/>
      <c r="E241" s="36"/>
      <c r="F241" s="36"/>
      <c r="G241" s="36"/>
      <c r="I241" s="33" t="s">
        <v>2817</v>
      </c>
      <c r="J241" s="34">
        <v>29</v>
      </c>
      <c r="K241" s="34">
        <v>118</v>
      </c>
      <c r="L241" s="34">
        <v>3</v>
      </c>
    </row>
    <row r="242" spans="2:12">
      <c r="B242" s="32">
        <v>241</v>
      </c>
      <c r="C242" s="31" t="s">
        <v>4375</v>
      </c>
      <c r="D242" s="36">
        <v>29</v>
      </c>
      <c r="E242" s="36">
        <v>119</v>
      </c>
      <c r="F242" s="36" t="s">
        <v>7065</v>
      </c>
      <c r="G242" s="36" t="s">
        <v>4376</v>
      </c>
      <c r="I242" s="33" t="s">
        <v>4375</v>
      </c>
      <c r="J242" s="34">
        <v>29</v>
      </c>
      <c r="K242" s="34">
        <v>119</v>
      </c>
      <c r="L242" s="34">
        <v>1</v>
      </c>
    </row>
    <row r="243" spans="2:12">
      <c r="B243" s="32">
        <v>242</v>
      </c>
      <c r="C243" s="31" t="s">
        <v>5557</v>
      </c>
      <c r="D243" s="36">
        <v>29</v>
      </c>
      <c r="E243" s="36">
        <v>119</v>
      </c>
      <c r="F243" s="36" t="s">
        <v>6729</v>
      </c>
      <c r="G243" s="36" t="s">
        <v>5558</v>
      </c>
      <c r="I243" s="33" t="s">
        <v>5557</v>
      </c>
      <c r="J243" s="34">
        <v>29</v>
      </c>
      <c r="K243" s="34">
        <v>119</v>
      </c>
      <c r="L243" s="34">
        <v>2</v>
      </c>
    </row>
    <row r="244" spans="2:12">
      <c r="B244" s="32">
        <v>243</v>
      </c>
      <c r="C244" s="31" t="s">
        <v>3246</v>
      </c>
      <c r="D244" s="36">
        <v>29</v>
      </c>
      <c r="E244" s="36">
        <v>119</v>
      </c>
      <c r="F244" s="36" t="s">
        <v>7502</v>
      </c>
      <c r="G244" s="36" t="s">
        <v>3247</v>
      </c>
      <c r="I244" s="33" t="s">
        <v>3246</v>
      </c>
      <c r="J244" s="34">
        <v>29</v>
      </c>
      <c r="K244" s="34">
        <v>119</v>
      </c>
      <c r="L244" s="34">
        <v>3</v>
      </c>
    </row>
    <row r="245" spans="2:12">
      <c r="B245" s="32">
        <v>235</v>
      </c>
      <c r="C245" s="31" t="s">
        <v>6598</v>
      </c>
      <c r="D245" s="36">
        <v>29</v>
      </c>
      <c r="E245" s="36">
        <v>117</v>
      </c>
      <c r="F245" s="36" t="s">
        <v>7938</v>
      </c>
      <c r="G245" s="36" t="s">
        <v>7938</v>
      </c>
      <c r="I245" s="33" t="s">
        <v>5488</v>
      </c>
      <c r="J245" s="34">
        <v>29</v>
      </c>
      <c r="K245" s="34">
        <v>120</v>
      </c>
      <c r="L245" s="34">
        <v>1</v>
      </c>
    </row>
    <row r="246" spans="2:12">
      <c r="B246" s="32">
        <v>245</v>
      </c>
      <c r="C246" s="31" t="s">
        <v>3986</v>
      </c>
      <c r="D246" s="36">
        <v>29</v>
      </c>
      <c r="E246" s="36">
        <v>120</v>
      </c>
      <c r="F246" s="36" t="s">
        <v>7503</v>
      </c>
      <c r="G246" s="36" t="s">
        <v>3987</v>
      </c>
      <c r="I246" s="33" t="s">
        <v>3986</v>
      </c>
      <c r="J246" s="34">
        <v>29</v>
      </c>
      <c r="K246" s="34">
        <v>120</v>
      </c>
      <c r="L246" s="34">
        <v>2</v>
      </c>
    </row>
    <row r="247" spans="2:12">
      <c r="B247" s="32">
        <v>246</v>
      </c>
      <c r="C247" s="31" t="s">
        <v>1693</v>
      </c>
      <c r="D247" s="36">
        <v>29</v>
      </c>
      <c r="E247" s="36">
        <v>120</v>
      </c>
      <c r="F247" s="36" t="s">
        <v>6959</v>
      </c>
      <c r="G247" s="36" t="s">
        <v>1694</v>
      </c>
      <c r="I247" s="33" t="s">
        <v>1693</v>
      </c>
      <c r="J247" s="34">
        <v>29</v>
      </c>
      <c r="K247" s="34">
        <v>120</v>
      </c>
      <c r="L247" s="34">
        <v>3</v>
      </c>
    </row>
    <row r="248" spans="2:12">
      <c r="B248" s="32">
        <v>247</v>
      </c>
      <c r="C248" s="31" t="s">
        <v>4232</v>
      </c>
      <c r="D248" s="36">
        <v>29</v>
      </c>
      <c r="E248" s="36">
        <v>201</v>
      </c>
      <c r="F248" s="36" t="s">
        <v>7378</v>
      </c>
      <c r="G248" s="36" t="s">
        <v>4233</v>
      </c>
      <c r="I248" s="33" t="s">
        <v>4232</v>
      </c>
      <c r="J248" s="34">
        <v>29</v>
      </c>
      <c r="K248" s="34">
        <v>201</v>
      </c>
      <c r="L248" s="34">
        <v>1</v>
      </c>
    </row>
    <row r="249" spans="2:12">
      <c r="B249" s="32">
        <v>248</v>
      </c>
      <c r="C249" s="31" t="s">
        <v>3756</v>
      </c>
      <c r="D249" s="36">
        <v>29</v>
      </c>
      <c r="E249" s="36">
        <v>201</v>
      </c>
      <c r="F249" s="36" t="s">
        <v>7504</v>
      </c>
      <c r="G249" s="36" t="s">
        <v>3757</v>
      </c>
      <c r="I249" s="33" t="s">
        <v>3756</v>
      </c>
      <c r="J249" s="34">
        <v>29</v>
      </c>
      <c r="K249" s="34">
        <v>201</v>
      </c>
      <c r="L249" s="34">
        <v>2</v>
      </c>
    </row>
    <row r="250" spans="2:12">
      <c r="B250" s="32">
        <v>249</v>
      </c>
      <c r="C250" s="31" t="s">
        <v>378</v>
      </c>
      <c r="D250" s="36">
        <v>29</v>
      </c>
      <c r="E250" s="36">
        <v>202</v>
      </c>
      <c r="F250" s="36" t="s">
        <v>7215</v>
      </c>
      <c r="G250" s="36" t="s">
        <v>379</v>
      </c>
      <c r="I250" s="33" t="s">
        <v>378</v>
      </c>
      <c r="J250" s="34">
        <v>29</v>
      </c>
      <c r="K250" s="34">
        <v>202</v>
      </c>
      <c r="L250" s="34">
        <v>1</v>
      </c>
    </row>
    <row r="251" spans="2:12">
      <c r="B251" s="32">
        <v>250</v>
      </c>
      <c r="C251" s="31" t="s">
        <v>3732</v>
      </c>
      <c r="D251" s="36">
        <v>29</v>
      </c>
      <c r="E251" s="36">
        <v>202</v>
      </c>
      <c r="F251" s="36" t="s">
        <v>7059</v>
      </c>
      <c r="G251" s="36" t="s">
        <v>3733</v>
      </c>
      <c r="I251" s="33" t="s">
        <v>3732</v>
      </c>
      <c r="J251" s="34">
        <v>29</v>
      </c>
      <c r="K251" s="34">
        <v>202</v>
      </c>
      <c r="L251" s="34">
        <v>2</v>
      </c>
    </row>
    <row r="252" spans="2:12">
      <c r="B252" s="32">
        <v>251</v>
      </c>
      <c r="C252" s="31" t="s">
        <v>2437</v>
      </c>
      <c r="D252" s="36">
        <v>29</v>
      </c>
      <c r="E252" s="36">
        <v>203</v>
      </c>
      <c r="F252" s="36" t="s">
        <v>6948</v>
      </c>
      <c r="G252" s="36" t="s">
        <v>2438</v>
      </c>
      <c r="I252" s="33" t="s">
        <v>2437</v>
      </c>
      <c r="J252" s="34">
        <v>29</v>
      </c>
      <c r="K252" s="34">
        <v>203</v>
      </c>
      <c r="L252" s="34">
        <v>1</v>
      </c>
    </row>
    <row r="253" spans="2:12">
      <c r="B253" s="32">
        <v>252</v>
      </c>
      <c r="C253" s="31" t="s">
        <v>4672</v>
      </c>
      <c r="D253" s="36">
        <v>29</v>
      </c>
      <c r="E253" s="36">
        <v>203</v>
      </c>
      <c r="F253" s="36" t="s">
        <v>7024</v>
      </c>
      <c r="G253" s="36" t="s">
        <v>4673</v>
      </c>
      <c r="I253" s="33" t="s">
        <v>4672</v>
      </c>
      <c r="J253" s="34">
        <v>29</v>
      </c>
      <c r="K253" s="34">
        <v>203</v>
      </c>
      <c r="L253" s="34">
        <v>2</v>
      </c>
    </row>
    <row r="254" spans="2:12">
      <c r="B254" s="32">
        <v>263</v>
      </c>
      <c r="C254" s="31" t="s">
        <v>512</v>
      </c>
      <c r="D254" s="36">
        <v>29</v>
      </c>
      <c r="E254" s="36">
        <v>208</v>
      </c>
      <c r="F254" s="36" t="s">
        <v>7509</v>
      </c>
      <c r="G254" s="36" t="s">
        <v>513</v>
      </c>
      <c r="I254" s="33" t="s">
        <v>512</v>
      </c>
      <c r="J254" s="34">
        <v>29</v>
      </c>
      <c r="K254" s="34">
        <v>203</v>
      </c>
      <c r="L254" s="34">
        <v>3</v>
      </c>
    </row>
    <row r="255" spans="2:12">
      <c r="B255" s="32">
        <v>253</v>
      </c>
      <c r="C255" s="31" t="s">
        <v>3064</v>
      </c>
      <c r="D255" s="36">
        <v>29</v>
      </c>
      <c r="E255" s="36">
        <v>204</v>
      </c>
      <c r="F255" s="36" t="s">
        <v>7505</v>
      </c>
      <c r="G255" s="36" t="s">
        <v>3065</v>
      </c>
      <c r="I255" s="33" t="s">
        <v>3064</v>
      </c>
      <c r="J255" s="34">
        <v>29</v>
      </c>
      <c r="K255" s="34">
        <v>204</v>
      </c>
      <c r="L255" s="34">
        <v>1</v>
      </c>
    </row>
    <row r="256" spans="2:12">
      <c r="B256" s="32">
        <v>254</v>
      </c>
      <c r="C256" s="31" t="s">
        <v>5941</v>
      </c>
      <c r="D256" s="36">
        <v>29</v>
      </c>
      <c r="E256" s="36">
        <v>205</v>
      </c>
      <c r="F256" s="36" t="s">
        <v>7506</v>
      </c>
      <c r="G256" s="36" t="s">
        <v>5942</v>
      </c>
      <c r="I256" s="33" t="s">
        <v>5941</v>
      </c>
      <c r="J256" s="34">
        <v>29</v>
      </c>
      <c r="K256" s="34">
        <v>205</v>
      </c>
      <c r="L256" s="34">
        <v>1</v>
      </c>
    </row>
    <row r="257" spans="2:12">
      <c r="B257" s="32">
        <v>255</v>
      </c>
      <c r="C257" s="31" t="s">
        <v>2764</v>
      </c>
      <c r="D257" s="36">
        <v>29</v>
      </c>
      <c r="E257" s="36">
        <v>205</v>
      </c>
      <c r="F257" s="36" t="s">
        <v>6751</v>
      </c>
      <c r="G257" s="36" t="s">
        <v>2765</v>
      </c>
      <c r="I257" s="33" t="s">
        <v>2764</v>
      </c>
      <c r="J257" s="34">
        <v>29</v>
      </c>
      <c r="K257" s="34">
        <v>205</v>
      </c>
      <c r="L257" s="34">
        <v>2</v>
      </c>
    </row>
    <row r="258" spans="2:12">
      <c r="B258" s="32">
        <v>256</v>
      </c>
      <c r="C258" s="31" t="s">
        <v>156</v>
      </c>
      <c r="D258" s="36">
        <v>29</v>
      </c>
      <c r="E258" s="36">
        <v>206</v>
      </c>
      <c r="F258" s="36" t="s">
        <v>7507</v>
      </c>
      <c r="G258" s="36" t="s">
        <v>157</v>
      </c>
      <c r="I258" s="33" t="s">
        <v>156</v>
      </c>
      <c r="J258" s="34">
        <v>29</v>
      </c>
      <c r="K258" s="34">
        <v>206</v>
      </c>
      <c r="L258" s="34">
        <v>1</v>
      </c>
    </row>
    <row r="259" spans="2:12">
      <c r="B259" s="32">
        <v>257</v>
      </c>
      <c r="C259" s="31" t="s">
        <v>1116</v>
      </c>
      <c r="D259" s="36">
        <v>29</v>
      </c>
      <c r="E259" s="36">
        <v>206</v>
      </c>
      <c r="F259" s="36" t="s">
        <v>7395</v>
      </c>
      <c r="G259" s="36" t="s">
        <v>1117</v>
      </c>
      <c r="I259" s="33" t="s">
        <v>1116</v>
      </c>
      <c r="J259" s="34">
        <v>29</v>
      </c>
      <c r="K259" s="34">
        <v>206</v>
      </c>
      <c r="L259" s="34">
        <v>2</v>
      </c>
    </row>
    <row r="260" spans="2:12">
      <c r="B260" s="32">
        <v>258</v>
      </c>
      <c r="C260" s="31" t="s">
        <v>6057</v>
      </c>
      <c r="D260" s="36">
        <v>29</v>
      </c>
      <c r="E260" s="36">
        <v>207</v>
      </c>
      <c r="F260" s="36" t="s">
        <v>7043</v>
      </c>
      <c r="G260" s="36" t="s">
        <v>6058</v>
      </c>
      <c r="I260" s="33" t="s">
        <v>6057</v>
      </c>
      <c r="J260" s="34">
        <v>29</v>
      </c>
      <c r="K260" s="34">
        <v>207</v>
      </c>
      <c r="L260" s="34">
        <v>1</v>
      </c>
    </row>
    <row r="261" spans="2:12">
      <c r="B261" s="32">
        <v>259</v>
      </c>
      <c r="C261" s="31" t="s">
        <v>4899</v>
      </c>
      <c r="D261" s="36">
        <v>29</v>
      </c>
      <c r="E261" s="36">
        <v>207</v>
      </c>
      <c r="F261" s="36" t="s">
        <v>7416</v>
      </c>
      <c r="G261" s="36" t="s">
        <v>4900</v>
      </c>
      <c r="I261" s="33" t="s">
        <v>4899</v>
      </c>
      <c r="J261" s="34">
        <v>29</v>
      </c>
      <c r="K261" s="34">
        <v>207</v>
      </c>
      <c r="L261" s="34">
        <v>2</v>
      </c>
    </row>
    <row r="262" spans="2:12">
      <c r="B262" s="32">
        <v>260</v>
      </c>
      <c r="C262" s="31" t="s">
        <v>3277</v>
      </c>
      <c r="D262" s="36">
        <v>29</v>
      </c>
      <c r="E262" s="36">
        <v>207</v>
      </c>
      <c r="F262" s="36" t="s">
        <v>7508</v>
      </c>
      <c r="G262" s="36" t="s">
        <v>3278</v>
      </c>
      <c r="I262" s="33" t="s">
        <v>3277</v>
      </c>
      <c r="J262" s="34">
        <v>29</v>
      </c>
      <c r="K262" s="34">
        <v>207</v>
      </c>
      <c r="L262" s="34">
        <v>3</v>
      </c>
    </row>
    <row r="263" spans="2:12">
      <c r="B263" s="32">
        <v>262</v>
      </c>
      <c r="C263" s="31" t="s">
        <v>980</v>
      </c>
      <c r="D263" s="36">
        <v>29</v>
      </c>
      <c r="E263" s="36">
        <v>208</v>
      </c>
      <c r="F263" s="36" t="s">
        <v>7014</v>
      </c>
      <c r="G263" s="36" t="s">
        <v>981</v>
      </c>
      <c r="I263" s="33" t="s">
        <v>980</v>
      </c>
      <c r="J263" s="34">
        <v>29</v>
      </c>
      <c r="K263" s="34">
        <v>208</v>
      </c>
      <c r="L263" s="34">
        <v>1</v>
      </c>
    </row>
    <row r="264" spans="2:12">
      <c r="B264" s="32">
        <v>261</v>
      </c>
      <c r="C264" s="31" t="s">
        <v>4735</v>
      </c>
      <c r="D264" s="36">
        <v>29</v>
      </c>
      <c r="E264" s="36">
        <v>208</v>
      </c>
      <c r="F264" s="36" t="s">
        <v>7061</v>
      </c>
      <c r="G264" s="36" t="s">
        <v>4736</v>
      </c>
      <c r="I264" s="33" t="s">
        <v>4735</v>
      </c>
      <c r="J264" s="34">
        <v>29</v>
      </c>
      <c r="K264" s="34">
        <v>208</v>
      </c>
      <c r="L264" s="34">
        <v>2</v>
      </c>
    </row>
    <row r="265" spans="2:12">
      <c r="B265" s="32"/>
      <c r="D265" s="36"/>
      <c r="E265" s="36"/>
      <c r="F265" s="36"/>
      <c r="G265" s="36"/>
      <c r="I265" s="33" t="s">
        <v>512</v>
      </c>
      <c r="J265" s="34">
        <v>29</v>
      </c>
      <c r="K265" s="34">
        <v>208</v>
      </c>
      <c r="L265" s="34">
        <v>3</v>
      </c>
    </row>
    <row r="266" spans="2:12">
      <c r="B266" s="32">
        <v>264</v>
      </c>
      <c r="C266" s="31" t="s">
        <v>212</v>
      </c>
      <c r="D266" s="36">
        <v>29</v>
      </c>
      <c r="E266" s="36">
        <v>209</v>
      </c>
      <c r="F266" s="36" t="s">
        <v>7049</v>
      </c>
      <c r="G266" s="36" t="s">
        <v>213</v>
      </c>
      <c r="I266" s="33" t="s">
        <v>212</v>
      </c>
      <c r="J266" s="34">
        <v>29</v>
      </c>
      <c r="K266" s="34">
        <v>209</v>
      </c>
      <c r="L266" s="34">
        <v>1</v>
      </c>
    </row>
    <row r="267" spans="2:12">
      <c r="B267" s="32">
        <v>265</v>
      </c>
      <c r="C267" s="31" t="s">
        <v>2411</v>
      </c>
      <c r="D267" s="36">
        <v>29</v>
      </c>
      <c r="E267" s="36">
        <v>209</v>
      </c>
      <c r="F267" s="36" t="s">
        <v>6755</v>
      </c>
      <c r="G267" s="36" t="s">
        <v>2412</v>
      </c>
      <c r="I267" s="33" t="s">
        <v>2411</v>
      </c>
      <c r="J267" s="34">
        <v>29</v>
      </c>
      <c r="K267" s="34">
        <v>209</v>
      </c>
      <c r="L267" s="34">
        <v>2</v>
      </c>
    </row>
    <row r="268" spans="2:12">
      <c r="B268" s="32">
        <v>266</v>
      </c>
      <c r="C268" s="31" t="s">
        <v>1233</v>
      </c>
      <c r="D268" s="36">
        <v>29</v>
      </c>
      <c r="E268" s="36">
        <v>209</v>
      </c>
      <c r="F268" s="36" t="s">
        <v>6708</v>
      </c>
      <c r="G268" s="36" t="s">
        <v>1234</v>
      </c>
      <c r="I268" s="33" t="s">
        <v>1233</v>
      </c>
      <c r="J268" s="34">
        <v>29</v>
      </c>
      <c r="K268" s="34">
        <v>209</v>
      </c>
      <c r="L268" s="34">
        <v>3</v>
      </c>
    </row>
    <row r="269" spans="2:12">
      <c r="B269" s="32">
        <v>267</v>
      </c>
      <c r="C269" s="31" t="s">
        <v>4212</v>
      </c>
      <c r="D269" s="36">
        <v>29</v>
      </c>
      <c r="E269" s="36">
        <v>210</v>
      </c>
      <c r="F269" s="36" t="s">
        <v>6822</v>
      </c>
      <c r="G269" s="36" t="s">
        <v>4213</v>
      </c>
      <c r="I269" s="33" t="s">
        <v>4212</v>
      </c>
      <c r="J269" s="34">
        <v>29</v>
      </c>
      <c r="K269" s="34">
        <v>210</v>
      </c>
      <c r="L269" s="34">
        <v>1</v>
      </c>
    </row>
    <row r="270" spans="2:12">
      <c r="B270" s="32">
        <v>268</v>
      </c>
      <c r="C270" s="31" t="s">
        <v>4557</v>
      </c>
      <c r="D270" s="36">
        <v>29</v>
      </c>
      <c r="E270" s="36">
        <v>210</v>
      </c>
      <c r="F270" s="36" t="s">
        <v>6876</v>
      </c>
      <c r="G270" s="36" t="s">
        <v>4558</v>
      </c>
      <c r="I270" s="33" t="s">
        <v>4557</v>
      </c>
      <c r="J270" s="34">
        <v>29</v>
      </c>
      <c r="K270" s="34">
        <v>210</v>
      </c>
      <c r="L270" s="34">
        <v>2</v>
      </c>
    </row>
    <row r="271" spans="2:12">
      <c r="B271" s="32">
        <v>269</v>
      </c>
      <c r="C271" s="31" t="s">
        <v>2759</v>
      </c>
      <c r="D271" s="36">
        <v>29</v>
      </c>
      <c r="E271" s="36">
        <v>210</v>
      </c>
      <c r="F271" s="36" t="s">
        <v>6697</v>
      </c>
      <c r="G271" s="36" t="s">
        <v>2760</v>
      </c>
      <c r="I271" s="33" t="s">
        <v>2759</v>
      </c>
      <c r="J271" s="34">
        <v>29</v>
      </c>
      <c r="K271" s="34">
        <v>210</v>
      </c>
      <c r="L271" s="34">
        <v>3</v>
      </c>
    </row>
    <row r="272" spans="2:12">
      <c r="B272" s="32">
        <v>270</v>
      </c>
      <c r="C272" s="31" t="s">
        <v>5531</v>
      </c>
      <c r="D272" s="36">
        <v>29</v>
      </c>
      <c r="E272" s="36">
        <v>211</v>
      </c>
      <c r="F272" s="36" t="s">
        <v>6739</v>
      </c>
      <c r="G272" s="36" t="s">
        <v>5532</v>
      </c>
      <c r="I272" s="33" t="s">
        <v>5531</v>
      </c>
      <c r="J272" s="34">
        <v>29</v>
      </c>
      <c r="K272" s="34">
        <v>211</v>
      </c>
      <c r="L272" s="34">
        <v>1</v>
      </c>
    </row>
    <row r="273" spans="2:12">
      <c r="B273" s="32">
        <v>271</v>
      </c>
      <c r="C273" s="31" t="s">
        <v>2241</v>
      </c>
      <c r="D273" s="36">
        <v>29</v>
      </c>
      <c r="E273" s="36">
        <v>211</v>
      </c>
      <c r="F273" s="36" t="s">
        <v>7284</v>
      </c>
      <c r="G273" s="36" t="s">
        <v>2242</v>
      </c>
      <c r="I273" s="33" t="s">
        <v>2241</v>
      </c>
      <c r="J273" s="34">
        <v>29</v>
      </c>
      <c r="K273" s="34">
        <v>211</v>
      </c>
      <c r="L273" s="34">
        <v>2</v>
      </c>
    </row>
    <row r="274" spans="2:12">
      <c r="B274" s="32">
        <v>272</v>
      </c>
      <c r="C274" s="31" t="s">
        <v>5422</v>
      </c>
      <c r="D274" s="36">
        <v>29</v>
      </c>
      <c r="E274" s="36">
        <v>211</v>
      </c>
      <c r="F274" s="36" t="s">
        <v>6698</v>
      </c>
      <c r="G274" s="36" t="s">
        <v>5423</v>
      </c>
      <c r="I274" s="33" t="s">
        <v>5422</v>
      </c>
      <c r="J274" s="34">
        <v>29</v>
      </c>
      <c r="K274" s="34">
        <v>211</v>
      </c>
      <c r="L274" s="34">
        <v>3</v>
      </c>
    </row>
    <row r="275" spans="2:12">
      <c r="B275" s="32">
        <v>274</v>
      </c>
      <c r="C275" s="31" t="s">
        <v>4925</v>
      </c>
      <c r="D275" s="36">
        <v>29</v>
      </c>
      <c r="E275" s="36">
        <v>212</v>
      </c>
      <c r="F275" s="36" t="s">
        <v>7310</v>
      </c>
      <c r="G275" s="36" t="s">
        <v>4926</v>
      </c>
      <c r="I275" s="33" t="s">
        <v>4925</v>
      </c>
      <c r="J275" s="34">
        <v>29</v>
      </c>
      <c r="K275" s="34">
        <v>212</v>
      </c>
      <c r="L275" s="34">
        <v>1</v>
      </c>
    </row>
    <row r="276" spans="2:12">
      <c r="B276" s="32">
        <v>273</v>
      </c>
      <c r="C276" s="31" t="s">
        <v>1984</v>
      </c>
      <c r="D276" s="36">
        <v>29</v>
      </c>
      <c r="E276" s="36">
        <v>212</v>
      </c>
      <c r="F276" s="36" t="s">
        <v>6781</v>
      </c>
      <c r="G276" s="36" t="s">
        <v>1985</v>
      </c>
      <c r="I276" s="33" t="s">
        <v>1984</v>
      </c>
      <c r="J276" s="34">
        <v>29</v>
      </c>
      <c r="K276" s="34">
        <v>212</v>
      </c>
      <c r="L276" s="34">
        <v>2</v>
      </c>
    </row>
    <row r="277" spans="2:12">
      <c r="B277" s="32">
        <v>275</v>
      </c>
      <c r="C277" s="31" t="s">
        <v>1006</v>
      </c>
      <c r="D277" s="36">
        <v>29</v>
      </c>
      <c r="E277" s="36">
        <v>212</v>
      </c>
      <c r="F277" s="36" t="s">
        <v>7510</v>
      </c>
      <c r="G277" s="36" t="s">
        <v>1007</v>
      </c>
      <c r="I277" s="33" t="s">
        <v>1006</v>
      </c>
      <c r="J277" s="34">
        <v>29</v>
      </c>
      <c r="K277" s="34">
        <v>212</v>
      </c>
      <c r="L277" s="34">
        <v>3</v>
      </c>
    </row>
    <row r="278" spans="2:12">
      <c r="B278" s="32">
        <v>276</v>
      </c>
      <c r="C278" s="31" t="s">
        <v>4600</v>
      </c>
      <c r="D278" s="36">
        <v>29</v>
      </c>
      <c r="E278" s="36">
        <v>213</v>
      </c>
      <c r="F278" s="36" t="s">
        <v>7511</v>
      </c>
      <c r="G278" s="36" t="s">
        <v>4601</v>
      </c>
      <c r="I278" s="33" t="s">
        <v>4600</v>
      </c>
      <c r="J278" s="34">
        <v>29</v>
      </c>
      <c r="K278" s="34">
        <v>213</v>
      </c>
      <c r="L278" s="34">
        <v>1</v>
      </c>
    </row>
    <row r="279" spans="2:12">
      <c r="B279" s="32">
        <v>277</v>
      </c>
      <c r="C279" s="31" t="s">
        <v>5192</v>
      </c>
      <c r="D279" s="36">
        <v>29</v>
      </c>
      <c r="E279" s="36">
        <v>213</v>
      </c>
      <c r="F279" s="36" t="s">
        <v>7387</v>
      </c>
      <c r="G279" s="36" t="s">
        <v>5193</v>
      </c>
      <c r="I279" s="33" t="s">
        <v>5192</v>
      </c>
      <c r="J279" s="34">
        <v>29</v>
      </c>
      <c r="K279" s="34">
        <v>213</v>
      </c>
      <c r="L279" s="34">
        <v>2</v>
      </c>
    </row>
    <row r="280" spans="2:12">
      <c r="B280" s="32">
        <v>278</v>
      </c>
      <c r="C280" s="31" t="s">
        <v>655</v>
      </c>
      <c r="D280" s="36">
        <v>29</v>
      </c>
      <c r="E280" s="36">
        <v>213</v>
      </c>
      <c r="F280" s="36" t="s">
        <v>7045</v>
      </c>
      <c r="G280" s="36" t="s">
        <v>656</v>
      </c>
      <c r="I280" s="33" t="s">
        <v>655</v>
      </c>
      <c r="J280" s="34">
        <v>29</v>
      </c>
      <c r="K280" s="34">
        <v>213</v>
      </c>
      <c r="L280" s="34">
        <v>3</v>
      </c>
    </row>
    <row r="281" spans="2:12">
      <c r="B281" s="32">
        <v>279</v>
      </c>
      <c r="C281" s="31" t="s">
        <v>4888</v>
      </c>
      <c r="D281" s="36">
        <v>29</v>
      </c>
      <c r="E281" s="36">
        <v>214</v>
      </c>
      <c r="F281" s="36" t="s">
        <v>7035</v>
      </c>
      <c r="G281" s="36" t="s">
        <v>4889</v>
      </c>
      <c r="I281" s="33" t="s">
        <v>4888</v>
      </c>
      <c r="J281" s="34">
        <v>29</v>
      </c>
      <c r="K281" s="34">
        <v>214</v>
      </c>
      <c r="L281" s="34">
        <v>1</v>
      </c>
    </row>
    <row r="282" spans="2:12">
      <c r="B282" s="32">
        <v>280</v>
      </c>
      <c r="C282" s="31" t="s">
        <v>5951</v>
      </c>
      <c r="D282" s="36">
        <v>29</v>
      </c>
      <c r="E282" s="36">
        <v>214</v>
      </c>
      <c r="F282" s="36" t="s">
        <v>7512</v>
      </c>
      <c r="G282" s="36" t="s">
        <v>5952</v>
      </c>
      <c r="I282" s="33" t="s">
        <v>5951</v>
      </c>
      <c r="J282" s="34">
        <v>29</v>
      </c>
      <c r="K282" s="34">
        <v>214</v>
      </c>
      <c r="L282" s="34">
        <v>2</v>
      </c>
    </row>
    <row r="283" spans="2:12">
      <c r="B283" s="32">
        <v>281</v>
      </c>
      <c r="C283" s="31" t="s">
        <v>225</v>
      </c>
      <c r="D283" s="36">
        <v>29</v>
      </c>
      <c r="E283" s="36">
        <v>214</v>
      </c>
      <c r="F283" s="36" t="s">
        <v>7070</v>
      </c>
      <c r="G283" s="36" t="s">
        <v>226</v>
      </c>
      <c r="I283" s="33" t="s">
        <v>225</v>
      </c>
      <c r="J283" s="34">
        <v>29</v>
      </c>
      <c r="K283" s="34">
        <v>214</v>
      </c>
      <c r="L283" s="34">
        <v>3</v>
      </c>
    </row>
    <row r="284" spans="2:12">
      <c r="B284" s="32">
        <v>282</v>
      </c>
      <c r="C284" s="31" t="s">
        <v>1556</v>
      </c>
      <c r="D284" s="36">
        <v>29</v>
      </c>
      <c r="E284" s="36">
        <v>215</v>
      </c>
      <c r="F284" s="36" t="s">
        <v>7513</v>
      </c>
      <c r="G284" s="36" t="s">
        <v>1557</v>
      </c>
      <c r="I284" s="33" t="s">
        <v>1556</v>
      </c>
      <c r="J284" s="34">
        <v>29</v>
      </c>
      <c r="K284" s="34">
        <v>215</v>
      </c>
      <c r="L284" s="34">
        <v>1</v>
      </c>
    </row>
    <row r="285" spans="2:12">
      <c r="B285" s="32">
        <v>283</v>
      </c>
      <c r="C285" s="31" t="s">
        <v>769</v>
      </c>
      <c r="D285" s="36">
        <v>29</v>
      </c>
      <c r="E285" s="36">
        <v>215</v>
      </c>
      <c r="F285" s="36" t="s">
        <v>7286</v>
      </c>
      <c r="G285" s="36" t="s">
        <v>770</v>
      </c>
      <c r="I285" s="33" t="s">
        <v>769</v>
      </c>
      <c r="J285" s="34">
        <v>29</v>
      </c>
      <c r="K285" s="34">
        <v>215</v>
      </c>
      <c r="L285" s="34">
        <v>2</v>
      </c>
    </row>
    <row r="286" spans="2:12">
      <c r="B286" s="32">
        <v>284</v>
      </c>
      <c r="C286" s="31" t="s">
        <v>5359</v>
      </c>
      <c r="D286" s="36">
        <v>29</v>
      </c>
      <c r="E286" s="36">
        <v>215</v>
      </c>
      <c r="F286" s="36" t="s">
        <v>6815</v>
      </c>
      <c r="G286" s="36" t="s">
        <v>5360</v>
      </c>
      <c r="I286" s="33" t="s">
        <v>5359</v>
      </c>
      <c r="J286" s="34">
        <v>29</v>
      </c>
      <c r="K286" s="34">
        <v>215</v>
      </c>
      <c r="L286" s="34">
        <v>3</v>
      </c>
    </row>
    <row r="287" spans="2:12">
      <c r="B287" s="32">
        <v>285</v>
      </c>
      <c r="C287" s="31" t="s">
        <v>4962</v>
      </c>
      <c r="D287" s="36">
        <v>29</v>
      </c>
      <c r="E287" s="36">
        <v>216</v>
      </c>
      <c r="F287" s="36" t="s">
        <v>7041</v>
      </c>
      <c r="G287" s="36" t="s">
        <v>4963</v>
      </c>
      <c r="I287" s="33" t="s">
        <v>4962</v>
      </c>
      <c r="J287" s="34">
        <v>29</v>
      </c>
      <c r="K287" s="34">
        <v>216</v>
      </c>
      <c r="L287" s="34">
        <v>1</v>
      </c>
    </row>
    <row r="288" spans="2:12">
      <c r="B288" s="32">
        <v>286</v>
      </c>
      <c r="C288" s="31" t="s">
        <v>314</v>
      </c>
      <c r="D288" s="36">
        <v>29</v>
      </c>
      <c r="E288" s="36">
        <v>216</v>
      </c>
      <c r="F288" s="36" t="s">
        <v>7362</v>
      </c>
      <c r="G288" s="36" t="s">
        <v>315</v>
      </c>
      <c r="I288" s="33" t="s">
        <v>314</v>
      </c>
      <c r="J288" s="34">
        <v>29</v>
      </c>
      <c r="K288" s="34">
        <v>216</v>
      </c>
      <c r="L288" s="34">
        <v>2</v>
      </c>
    </row>
    <row r="289" spans="2:12">
      <c r="B289" s="32">
        <v>287</v>
      </c>
      <c r="C289" s="31" t="s">
        <v>3037</v>
      </c>
      <c r="D289" s="36">
        <v>29</v>
      </c>
      <c r="E289" s="36">
        <v>216</v>
      </c>
      <c r="F289" s="36" t="s">
        <v>7245</v>
      </c>
      <c r="G289" s="36" t="s">
        <v>3038</v>
      </c>
      <c r="I289" s="33" t="s">
        <v>3037</v>
      </c>
      <c r="J289" s="34">
        <v>29</v>
      </c>
      <c r="K289" s="34">
        <v>216</v>
      </c>
      <c r="L289" s="34">
        <v>3</v>
      </c>
    </row>
    <row r="290" spans="2:12">
      <c r="B290" s="32">
        <v>288</v>
      </c>
      <c r="C290" s="31" t="s">
        <v>3452</v>
      </c>
      <c r="D290" s="36">
        <v>29</v>
      </c>
      <c r="E290" s="36">
        <v>217</v>
      </c>
      <c r="F290" s="36" t="s">
        <v>7280</v>
      </c>
      <c r="G290" s="36" t="s">
        <v>3453</v>
      </c>
      <c r="I290" s="33" t="s">
        <v>3452</v>
      </c>
      <c r="J290" s="34">
        <v>29</v>
      </c>
      <c r="K290" s="34">
        <v>217</v>
      </c>
      <c r="L290" s="34">
        <v>1</v>
      </c>
    </row>
    <row r="291" spans="2:12">
      <c r="B291" s="32">
        <v>289</v>
      </c>
      <c r="C291" s="31" t="s">
        <v>3088</v>
      </c>
      <c r="D291" s="36">
        <v>29</v>
      </c>
      <c r="E291" s="36">
        <v>217</v>
      </c>
      <c r="F291" s="36" t="s">
        <v>6957</v>
      </c>
      <c r="G291" s="36" t="s">
        <v>3089</v>
      </c>
      <c r="I291" s="33" t="s">
        <v>3088</v>
      </c>
      <c r="J291" s="34">
        <v>29</v>
      </c>
      <c r="K291" s="34">
        <v>217</v>
      </c>
      <c r="L291" s="34">
        <v>2</v>
      </c>
    </row>
    <row r="292" spans="2:12">
      <c r="B292" s="32">
        <v>290</v>
      </c>
      <c r="C292" s="31" t="s">
        <v>5302</v>
      </c>
      <c r="D292" s="36">
        <v>29</v>
      </c>
      <c r="E292" s="36">
        <v>218</v>
      </c>
      <c r="F292" s="36" t="s">
        <v>6757</v>
      </c>
      <c r="G292" s="36" t="s">
        <v>5303</v>
      </c>
      <c r="I292" s="33" t="s">
        <v>5302</v>
      </c>
      <c r="J292" s="34">
        <v>29</v>
      </c>
      <c r="K292" s="34">
        <v>218</v>
      </c>
      <c r="L292" s="34">
        <v>1</v>
      </c>
    </row>
    <row r="293" spans="2:12">
      <c r="B293" s="32">
        <v>291</v>
      </c>
      <c r="C293" s="31" t="s">
        <v>4385</v>
      </c>
      <c r="D293" s="36">
        <v>29</v>
      </c>
      <c r="E293" s="36">
        <v>218</v>
      </c>
      <c r="F293" s="36" t="s">
        <v>7514</v>
      </c>
      <c r="G293" s="36" t="s">
        <v>4386</v>
      </c>
      <c r="I293" s="33" t="s">
        <v>4385</v>
      </c>
      <c r="J293" s="34">
        <v>29</v>
      </c>
      <c r="K293" s="34">
        <v>218</v>
      </c>
      <c r="L293" s="34">
        <v>2</v>
      </c>
    </row>
    <row r="294" spans="2:12">
      <c r="B294" s="32">
        <v>293</v>
      </c>
      <c r="C294" s="31" t="s">
        <v>1414</v>
      </c>
      <c r="D294" s="36">
        <v>29</v>
      </c>
      <c r="E294" s="36">
        <v>219</v>
      </c>
      <c r="F294" s="36" t="s">
        <v>6961</v>
      </c>
      <c r="G294" s="36" t="s">
        <v>1415</v>
      </c>
      <c r="I294" s="33" t="s">
        <v>1414</v>
      </c>
      <c r="J294" s="34">
        <v>29</v>
      </c>
      <c r="K294" s="34">
        <v>219</v>
      </c>
      <c r="L294" s="34">
        <v>1</v>
      </c>
    </row>
    <row r="295" spans="2:12">
      <c r="B295" s="32">
        <v>292</v>
      </c>
      <c r="C295" s="31" t="s">
        <v>1709</v>
      </c>
      <c r="D295" s="36">
        <v>29</v>
      </c>
      <c r="E295" s="36">
        <v>219</v>
      </c>
      <c r="F295" s="36" t="s">
        <v>7515</v>
      </c>
      <c r="G295" s="36" t="s">
        <v>1710</v>
      </c>
      <c r="I295" s="33" t="s">
        <v>1709</v>
      </c>
      <c r="J295" s="34">
        <v>29</v>
      </c>
      <c r="K295" s="34">
        <v>219</v>
      </c>
      <c r="L295" s="34">
        <v>2</v>
      </c>
    </row>
    <row r="296" spans="2:12">
      <c r="B296" s="32">
        <v>294</v>
      </c>
      <c r="C296" s="31" t="s">
        <v>6003</v>
      </c>
      <c r="D296" s="36">
        <v>29</v>
      </c>
      <c r="E296" s="36">
        <v>220</v>
      </c>
      <c r="F296" s="36" t="s">
        <v>7188</v>
      </c>
      <c r="G296" s="36" t="s">
        <v>6004</v>
      </c>
      <c r="I296" s="33" t="s">
        <v>6003</v>
      </c>
      <c r="J296" s="34">
        <v>29</v>
      </c>
      <c r="K296" s="34">
        <v>220</v>
      </c>
      <c r="L296" s="34">
        <v>1</v>
      </c>
    </row>
    <row r="297" spans="2:12">
      <c r="B297" s="32">
        <v>295</v>
      </c>
      <c r="C297" s="31" t="s">
        <v>4059</v>
      </c>
      <c r="D297" s="36">
        <v>29</v>
      </c>
      <c r="E297" s="36">
        <v>220</v>
      </c>
      <c r="F297" s="36" t="s">
        <v>7368</v>
      </c>
      <c r="G297" s="36" t="s">
        <v>4060</v>
      </c>
      <c r="I297" s="33" t="s">
        <v>4059</v>
      </c>
      <c r="J297" s="34">
        <v>29</v>
      </c>
      <c r="K297" s="34">
        <v>220</v>
      </c>
      <c r="L297" s="34">
        <v>2</v>
      </c>
    </row>
    <row r="298" spans="2:12">
      <c r="B298" s="32">
        <v>296</v>
      </c>
      <c r="C298" s="31" t="s">
        <v>3443</v>
      </c>
      <c r="D298" s="36">
        <v>30</v>
      </c>
      <c r="E298" s="36">
        <v>101</v>
      </c>
      <c r="F298" s="36" t="s">
        <v>7018</v>
      </c>
      <c r="G298" s="36" t="s">
        <v>3444</v>
      </c>
      <c r="I298" s="33" t="s">
        <v>3443</v>
      </c>
      <c r="J298" s="34">
        <v>30</v>
      </c>
      <c r="K298" s="34">
        <v>101</v>
      </c>
      <c r="L298" s="34">
        <v>1</v>
      </c>
    </row>
    <row r="299" spans="2:12">
      <c r="B299" s="32">
        <v>297</v>
      </c>
      <c r="C299" s="31" t="s">
        <v>2585</v>
      </c>
      <c r="D299" s="36">
        <v>30</v>
      </c>
      <c r="E299" s="36">
        <v>101</v>
      </c>
      <c r="F299" s="36" t="s">
        <v>7517</v>
      </c>
      <c r="G299" s="36" t="s">
        <v>2586</v>
      </c>
      <c r="I299" s="33" t="s">
        <v>2585</v>
      </c>
      <c r="J299" s="34">
        <v>30</v>
      </c>
      <c r="K299" s="34">
        <v>101</v>
      </c>
      <c r="L299" s="34">
        <v>2</v>
      </c>
    </row>
    <row r="300" spans="2:12">
      <c r="B300" s="32">
        <v>298</v>
      </c>
      <c r="C300" s="31" t="s">
        <v>3945</v>
      </c>
      <c r="D300" s="36">
        <v>30</v>
      </c>
      <c r="E300" s="36">
        <v>102</v>
      </c>
      <c r="F300" s="36" t="s">
        <v>7047</v>
      </c>
      <c r="G300" s="36" t="s">
        <v>3946</v>
      </c>
      <c r="I300" s="33" t="s">
        <v>3945</v>
      </c>
      <c r="J300" s="34">
        <v>30</v>
      </c>
      <c r="K300" s="34">
        <v>102</v>
      </c>
      <c r="L300" s="34">
        <v>1</v>
      </c>
    </row>
    <row r="301" spans="2:12">
      <c r="B301" s="32">
        <v>299</v>
      </c>
      <c r="C301" s="31" t="s">
        <v>4461</v>
      </c>
      <c r="D301" s="36">
        <v>30</v>
      </c>
      <c r="E301" s="36">
        <v>102</v>
      </c>
      <c r="F301" s="36" t="s">
        <v>7518</v>
      </c>
      <c r="G301" s="36" t="s">
        <v>4462</v>
      </c>
      <c r="I301" s="33" t="s">
        <v>4461</v>
      </c>
      <c r="J301" s="34">
        <v>30</v>
      </c>
      <c r="K301" s="34">
        <v>102</v>
      </c>
      <c r="L301" s="34">
        <v>2</v>
      </c>
    </row>
    <row r="302" spans="2:12">
      <c r="B302" s="32">
        <v>300</v>
      </c>
      <c r="C302" s="31" t="s">
        <v>3998</v>
      </c>
      <c r="D302" s="36">
        <v>30</v>
      </c>
      <c r="E302" s="36">
        <v>102</v>
      </c>
      <c r="F302" s="36" t="s">
        <v>6630</v>
      </c>
      <c r="G302" s="36" t="s">
        <v>3999</v>
      </c>
      <c r="I302" s="33" t="s">
        <v>3998</v>
      </c>
      <c r="J302" s="34">
        <v>30</v>
      </c>
      <c r="K302" s="34">
        <v>102</v>
      </c>
      <c r="L302" s="34">
        <v>3</v>
      </c>
    </row>
    <row r="303" spans="2:12">
      <c r="B303" s="32">
        <v>301</v>
      </c>
      <c r="C303" s="31" t="s">
        <v>2888</v>
      </c>
      <c r="D303" s="36">
        <v>30</v>
      </c>
      <c r="E303" s="36">
        <v>103</v>
      </c>
      <c r="F303" s="36" t="s">
        <v>7519</v>
      </c>
      <c r="G303" s="36" t="s">
        <v>2889</v>
      </c>
      <c r="I303" s="33" t="s">
        <v>2888</v>
      </c>
      <c r="J303" s="34">
        <v>30</v>
      </c>
      <c r="K303" s="34">
        <v>103</v>
      </c>
      <c r="L303" s="34">
        <v>1</v>
      </c>
    </row>
    <row r="304" spans="2:12">
      <c r="B304" s="32">
        <v>302</v>
      </c>
      <c r="C304" s="31" t="s">
        <v>1243</v>
      </c>
      <c r="D304" s="36">
        <v>30</v>
      </c>
      <c r="E304" s="36">
        <v>103</v>
      </c>
      <c r="F304" s="36" t="s">
        <v>7520</v>
      </c>
      <c r="G304" s="36" t="s">
        <v>1244</v>
      </c>
      <c r="I304" s="33" t="s">
        <v>1243</v>
      </c>
      <c r="J304" s="34">
        <v>30</v>
      </c>
      <c r="K304" s="34">
        <v>103</v>
      </c>
      <c r="L304" s="34">
        <v>2</v>
      </c>
    </row>
    <row r="305" spans="2:12">
      <c r="B305" s="32">
        <v>303</v>
      </c>
      <c r="C305" s="31" t="s">
        <v>1295</v>
      </c>
      <c r="D305" s="36">
        <v>30</v>
      </c>
      <c r="E305" s="36">
        <v>103</v>
      </c>
      <c r="F305" s="36" t="s">
        <v>7521</v>
      </c>
      <c r="G305" s="36" t="s">
        <v>1296</v>
      </c>
      <c r="I305" s="33" t="s">
        <v>1295</v>
      </c>
      <c r="J305" s="34">
        <v>30</v>
      </c>
      <c r="K305" s="34">
        <v>103</v>
      </c>
      <c r="L305" s="34">
        <v>3</v>
      </c>
    </row>
    <row r="306" spans="2:12">
      <c r="B306" s="32">
        <v>304</v>
      </c>
      <c r="C306" s="31" t="s">
        <v>5650</v>
      </c>
      <c r="D306" s="36">
        <v>30</v>
      </c>
      <c r="E306" s="36">
        <v>104</v>
      </c>
      <c r="F306" s="36" t="s">
        <v>7522</v>
      </c>
      <c r="G306" s="36" t="s">
        <v>5651</v>
      </c>
      <c r="I306" s="33" t="s">
        <v>5650</v>
      </c>
      <c r="J306" s="34">
        <v>30</v>
      </c>
      <c r="K306" s="34">
        <v>104</v>
      </c>
      <c r="L306" s="34">
        <v>1</v>
      </c>
    </row>
    <row r="307" spans="2:12">
      <c r="B307" s="32">
        <v>305</v>
      </c>
      <c r="C307" s="31" t="s">
        <v>3569</v>
      </c>
      <c r="D307" s="36">
        <v>30</v>
      </c>
      <c r="E307" s="36">
        <v>104</v>
      </c>
      <c r="F307" s="36" t="s">
        <v>6678</v>
      </c>
      <c r="G307" s="36" t="s">
        <v>3570</v>
      </c>
      <c r="I307" s="33" t="s">
        <v>3569</v>
      </c>
      <c r="J307" s="34">
        <v>30</v>
      </c>
      <c r="K307" s="34">
        <v>104</v>
      </c>
      <c r="L307" s="34">
        <v>2</v>
      </c>
    </row>
    <row r="308" spans="2:12">
      <c r="B308" s="32">
        <v>306</v>
      </c>
      <c r="C308" s="31" t="s">
        <v>3564</v>
      </c>
      <c r="D308" s="36">
        <v>30</v>
      </c>
      <c r="E308" s="36">
        <v>104</v>
      </c>
      <c r="F308" s="36" t="s">
        <v>7523</v>
      </c>
      <c r="G308" s="36" t="s">
        <v>3565</v>
      </c>
      <c r="I308" s="33" t="s">
        <v>3564</v>
      </c>
      <c r="J308" s="34">
        <v>30</v>
      </c>
      <c r="K308" s="34">
        <v>104</v>
      </c>
      <c r="L308" s="34">
        <v>3</v>
      </c>
    </row>
    <row r="309" spans="2:12">
      <c r="B309" s="32">
        <v>307</v>
      </c>
      <c r="C309" s="31" t="s">
        <v>2098</v>
      </c>
      <c r="D309" s="36">
        <v>30</v>
      </c>
      <c r="E309" s="36">
        <v>105</v>
      </c>
      <c r="F309" s="36" t="s">
        <v>7524</v>
      </c>
      <c r="G309" s="36" t="s">
        <v>2099</v>
      </c>
      <c r="I309" s="33" t="s">
        <v>2098</v>
      </c>
      <c r="J309" s="34">
        <v>30</v>
      </c>
      <c r="K309" s="34">
        <v>105</v>
      </c>
      <c r="L309" s="34">
        <v>1</v>
      </c>
    </row>
    <row r="310" spans="2:12">
      <c r="B310" s="32">
        <v>308</v>
      </c>
      <c r="C310" s="31" t="s">
        <v>2636</v>
      </c>
      <c r="D310" s="36">
        <v>30</v>
      </c>
      <c r="E310" s="36">
        <v>105</v>
      </c>
      <c r="F310" s="36" t="s">
        <v>7525</v>
      </c>
      <c r="G310" s="36" t="s">
        <v>2637</v>
      </c>
      <c r="I310" s="33" t="s">
        <v>2636</v>
      </c>
      <c r="J310" s="34">
        <v>30</v>
      </c>
      <c r="K310" s="34">
        <v>105</v>
      </c>
      <c r="L310" s="34">
        <v>2</v>
      </c>
    </row>
    <row r="311" spans="2:12">
      <c r="B311" s="32">
        <v>309</v>
      </c>
      <c r="C311" s="31" t="s">
        <v>1888</v>
      </c>
      <c r="D311" s="36">
        <v>30</v>
      </c>
      <c r="E311" s="36">
        <v>105</v>
      </c>
      <c r="F311" s="36" t="s">
        <v>7526</v>
      </c>
      <c r="G311" s="36" t="s">
        <v>1889</v>
      </c>
      <c r="I311" s="33" t="s">
        <v>1888</v>
      </c>
      <c r="J311" s="34">
        <v>30</v>
      </c>
      <c r="K311" s="34">
        <v>105</v>
      </c>
      <c r="L311" s="34">
        <v>3</v>
      </c>
    </row>
    <row r="312" spans="2:12">
      <c r="B312" s="32">
        <v>310</v>
      </c>
      <c r="C312" s="31" t="s">
        <v>5838</v>
      </c>
      <c r="D312" s="36">
        <v>30</v>
      </c>
      <c r="E312" s="36">
        <v>106</v>
      </c>
      <c r="F312" s="36" t="s">
        <v>7527</v>
      </c>
      <c r="G312" s="36" t="s">
        <v>5839</v>
      </c>
      <c r="I312" s="33" t="s">
        <v>5838</v>
      </c>
      <c r="J312" s="34">
        <v>30</v>
      </c>
      <c r="K312" s="34">
        <v>106</v>
      </c>
      <c r="L312" s="34">
        <v>1</v>
      </c>
    </row>
    <row r="313" spans="2:12">
      <c r="B313" s="32">
        <v>311</v>
      </c>
      <c r="C313" s="31" t="s">
        <v>736</v>
      </c>
      <c r="D313" s="36">
        <v>30</v>
      </c>
      <c r="E313" s="36">
        <v>106</v>
      </c>
      <c r="F313" s="36" t="s">
        <v>7528</v>
      </c>
      <c r="G313" s="36" t="s">
        <v>737</v>
      </c>
      <c r="I313" s="33" t="s">
        <v>736</v>
      </c>
      <c r="J313" s="34">
        <v>30</v>
      </c>
      <c r="K313" s="34">
        <v>106</v>
      </c>
      <c r="L313" s="34">
        <v>2</v>
      </c>
    </row>
    <row r="314" spans="2:12">
      <c r="B314" s="32">
        <v>312</v>
      </c>
      <c r="C314" s="31" t="s">
        <v>4280</v>
      </c>
      <c r="D314" s="36">
        <v>30</v>
      </c>
      <c r="E314" s="36">
        <v>106</v>
      </c>
      <c r="F314" s="36" t="s">
        <v>7529</v>
      </c>
      <c r="G314" s="36" t="s">
        <v>4281</v>
      </c>
      <c r="I314" s="33" t="s">
        <v>4280</v>
      </c>
      <c r="J314" s="34">
        <v>30</v>
      </c>
      <c r="K314" s="34">
        <v>106</v>
      </c>
      <c r="L314" s="34">
        <v>3</v>
      </c>
    </row>
    <row r="315" spans="2:12">
      <c r="B315" s="32">
        <v>313</v>
      </c>
      <c r="C315" s="31" t="s">
        <v>354</v>
      </c>
      <c r="D315" s="36">
        <v>30</v>
      </c>
      <c r="E315" s="36">
        <v>107</v>
      </c>
      <c r="F315" s="36" t="s">
        <v>7530</v>
      </c>
      <c r="G315" s="36" t="s">
        <v>355</v>
      </c>
      <c r="I315" s="33" t="s">
        <v>354</v>
      </c>
      <c r="J315" s="34">
        <v>30</v>
      </c>
      <c r="K315" s="34">
        <v>107</v>
      </c>
      <c r="L315" s="34">
        <v>1</v>
      </c>
    </row>
    <row r="316" spans="2:12">
      <c r="B316" s="32">
        <v>314</v>
      </c>
      <c r="C316" s="31" t="s">
        <v>3919</v>
      </c>
      <c r="D316" s="36">
        <v>30</v>
      </c>
      <c r="E316" s="36">
        <v>107</v>
      </c>
      <c r="F316" s="36" t="s">
        <v>7531</v>
      </c>
      <c r="G316" s="36" t="s">
        <v>3920</v>
      </c>
      <c r="I316" s="33" t="s">
        <v>3919</v>
      </c>
      <c r="J316" s="34">
        <v>30</v>
      </c>
      <c r="K316" s="34">
        <v>107</v>
      </c>
      <c r="L316" s="34">
        <v>2</v>
      </c>
    </row>
    <row r="317" spans="2:12">
      <c r="B317" s="32">
        <v>315</v>
      </c>
      <c r="C317" s="31" t="s">
        <v>406</v>
      </c>
      <c r="D317" s="36">
        <v>30</v>
      </c>
      <c r="E317" s="36">
        <v>107</v>
      </c>
      <c r="F317" s="36" t="s">
        <v>7532</v>
      </c>
      <c r="G317" s="36" t="s">
        <v>407</v>
      </c>
      <c r="I317" s="33" t="s">
        <v>406</v>
      </c>
      <c r="J317" s="34">
        <v>30</v>
      </c>
      <c r="K317" s="34">
        <v>107</v>
      </c>
      <c r="L317" s="34">
        <v>3</v>
      </c>
    </row>
    <row r="318" spans="2:12">
      <c r="B318" s="32">
        <v>316</v>
      </c>
      <c r="C318" s="31" t="s">
        <v>5672</v>
      </c>
      <c r="D318" s="36">
        <v>30</v>
      </c>
      <c r="E318" s="36">
        <v>108</v>
      </c>
      <c r="F318" s="36" t="s">
        <v>7533</v>
      </c>
      <c r="G318" s="36" t="s">
        <v>5673</v>
      </c>
      <c r="I318" s="33" t="s">
        <v>5672</v>
      </c>
      <c r="J318" s="34">
        <v>30</v>
      </c>
      <c r="K318" s="34">
        <v>108</v>
      </c>
      <c r="L318" s="34">
        <v>1</v>
      </c>
    </row>
    <row r="319" spans="2:12">
      <c r="B319" s="32">
        <v>317</v>
      </c>
      <c r="C319" s="31" t="s">
        <v>5832</v>
      </c>
      <c r="D319" s="36">
        <v>30</v>
      </c>
      <c r="E319" s="36">
        <v>108</v>
      </c>
      <c r="F319" s="36" t="s">
        <v>7534</v>
      </c>
      <c r="G319" s="36" t="s">
        <v>5833</v>
      </c>
      <c r="I319" s="33" t="s">
        <v>5832</v>
      </c>
      <c r="J319" s="34">
        <v>30</v>
      </c>
      <c r="K319" s="34">
        <v>108</v>
      </c>
      <c r="L319" s="34">
        <v>2</v>
      </c>
    </row>
    <row r="320" spans="2:12">
      <c r="B320" s="32">
        <v>318</v>
      </c>
      <c r="C320" s="31" t="s">
        <v>3813</v>
      </c>
      <c r="D320" s="36">
        <v>30</v>
      </c>
      <c r="E320" s="36">
        <v>108</v>
      </c>
      <c r="F320" s="36" t="s">
        <v>7535</v>
      </c>
      <c r="G320" s="36" t="s">
        <v>3814</v>
      </c>
      <c r="I320" s="33" t="s">
        <v>3813</v>
      </c>
      <c r="J320" s="34">
        <v>30</v>
      </c>
      <c r="K320" s="34">
        <v>108</v>
      </c>
      <c r="L320" s="34">
        <v>3</v>
      </c>
    </row>
    <row r="321" spans="2:12">
      <c r="B321" s="32">
        <v>319</v>
      </c>
      <c r="C321" s="31" t="s">
        <v>3760</v>
      </c>
      <c r="D321" s="36">
        <v>30</v>
      </c>
      <c r="E321" s="36">
        <v>109</v>
      </c>
      <c r="F321" s="36" t="s">
        <v>7536</v>
      </c>
      <c r="G321" s="36" t="s">
        <v>3761</v>
      </c>
      <c r="I321" s="33" t="s">
        <v>3760</v>
      </c>
      <c r="J321" s="34">
        <v>30</v>
      </c>
      <c r="K321" s="34">
        <v>109</v>
      </c>
      <c r="L321" s="34">
        <v>1</v>
      </c>
    </row>
    <row r="322" spans="2:12">
      <c r="B322" s="32">
        <v>320</v>
      </c>
      <c r="C322" s="31" t="s">
        <v>1046</v>
      </c>
      <c r="D322" s="36">
        <v>30</v>
      </c>
      <c r="E322" s="36">
        <v>109</v>
      </c>
      <c r="F322" s="36" t="s">
        <v>7537</v>
      </c>
      <c r="G322" s="36" t="s">
        <v>1047</v>
      </c>
      <c r="I322" s="33" t="s">
        <v>1046</v>
      </c>
      <c r="J322" s="34">
        <v>30</v>
      </c>
      <c r="K322" s="34">
        <v>109</v>
      </c>
      <c r="L322" s="34">
        <v>2</v>
      </c>
    </row>
    <row r="323" spans="2:12">
      <c r="B323" s="32">
        <v>321</v>
      </c>
      <c r="C323" s="31" t="s">
        <v>395</v>
      </c>
      <c r="D323" s="36">
        <v>30</v>
      </c>
      <c r="E323" s="36">
        <v>109</v>
      </c>
      <c r="F323" s="36" t="s">
        <v>7538</v>
      </c>
      <c r="G323" s="36" t="s">
        <v>396</v>
      </c>
      <c r="I323" s="33" t="s">
        <v>395</v>
      </c>
      <c r="J323" s="34">
        <v>30</v>
      </c>
      <c r="K323" s="34">
        <v>109</v>
      </c>
      <c r="L323" s="34">
        <v>3</v>
      </c>
    </row>
    <row r="324" spans="2:12">
      <c r="B324" s="32">
        <v>322</v>
      </c>
      <c r="C324" s="31" t="s">
        <v>4178</v>
      </c>
      <c r="D324" s="36">
        <v>30</v>
      </c>
      <c r="E324" s="36">
        <v>110</v>
      </c>
      <c r="F324" s="36" t="s">
        <v>7539</v>
      </c>
      <c r="G324" s="36" t="s">
        <v>4179</v>
      </c>
      <c r="I324" s="33" t="s">
        <v>4178</v>
      </c>
      <c r="J324" s="34">
        <v>30</v>
      </c>
      <c r="K324" s="34">
        <v>110</v>
      </c>
      <c r="L324" s="34">
        <v>1</v>
      </c>
    </row>
    <row r="325" spans="2:12">
      <c r="B325" s="32">
        <v>323</v>
      </c>
      <c r="C325" s="31" t="s">
        <v>3895</v>
      </c>
      <c r="D325" s="36">
        <v>30</v>
      </c>
      <c r="E325" s="36">
        <v>110</v>
      </c>
      <c r="F325" s="36" t="s">
        <v>7540</v>
      </c>
      <c r="G325" s="36" t="s">
        <v>3896</v>
      </c>
      <c r="I325" s="33" t="s">
        <v>3895</v>
      </c>
      <c r="J325" s="34">
        <v>30</v>
      </c>
      <c r="K325" s="34">
        <v>110</v>
      </c>
      <c r="L325" s="34">
        <v>2</v>
      </c>
    </row>
    <row r="326" spans="2:12">
      <c r="B326" s="32">
        <v>324</v>
      </c>
      <c r="C326" s="31" t="s">
        <v>4992</v>
      </c>
      <c r="D326" s="36">
        <v>30</v>
      </c>
      <c r="E326" s="36">
        <v>110</v>
      </c>
      <c r="F326" s="36" t="s">
        <v>7541</v>
      </c>
      <c r="G326" s="36" t="s">
        <v>4993</v>
      </c>
      <c r="I326" s="33" t="s">
        <v>4992</v>
      </c>
      <c r="J326" s="34">
        <v>30</v>
      </c>
      <c r="K326" s="34">
        <v>110</v>
      </c>
      <c r="L326" s="34">
        <v>3</v>
      </c>
    </row>
    <row r="327" spans="2:12">
      <c r="B327" s="32">
        <v>325</v>
      </c>
      <c r="C327" s="31" t="s">
        <v>1475</v>
      </c>
      <c r="D327" s="36">
        <v>30</v>
      </c>
      <c r="E327" s="36">
        <v>111</v>
      </c>
      <c r="F327" s="36" t="s">
        <v>7542</v>
      </c>
      <c r="G327" s="36" t="s">
        <v>1476</v>
      </c>
      <c r="I327" s="33" t="s">
        <v>1475</v>
      </c>
      <c r="J327" s="34">
        <v>30</v>
      </c>
      <c r="K327" s="34">
        <v>111</v>
      </c>
      <c r="L327" s="34">
        <v>1</v>
      </c>
    </row>
    <row r="328" spans="2:12">
      <c r="B328" s="32">
        <v>326</v>
      </c>
      <c r="C328" s="31" t="s">
        <v>948</v>
      </c>
      <c r="D328" s="36">
        <v>30</v>
      </c>
      <c r="E328" s="36">
        <v>111</v>
      </c>
      <c r="F328" s="36" t="s">
        <v>7543</v>
      </c>
      <c r="G328" s="36" t="s">
        <v>949</v>
      </c>
      <c r="I328" s="33" t="s">
        <v>948</v>
      </c>
      <c r="J328" s="34">
        <v>30</v>
      </c>
      <c r="K328" s="34">
        <v>111</v>
      </c>
      <c r="L328" s="34">
        <v>2</v>
      </c>
    </row>
    <row r="329" spans="2:12">
      <c r="B329" s="32">
        <v>327</v>
      </c>
      <c r="C329" s="31" t="s">
        <v>4113</v>
      </c>
      <c r="D329" s="36">
        <v>30</v>
      </c>
      <c r="E329" s="36">
        <v>111</v>
      </c>
      <c r="F329" s="36" t="s">
        <v>7544</v>
      </c>
      <c r="G329" s="36" t="s">
        <v>4114</v>
      </c>
      <c r="I329" s="33" t="s">
        <v>4113</v>
      </c>
      <c r="J329" s="34">
        <v>30</v>
      </c>
      <c r="K329" s="34">
        <v>111</v>
      </c>
      <c r="L329" s="34">
        <v>3</v>
      </c>
    </row>
    <row r="330" spans="2:12">
      <c r="B330" s="32">
        <v>328</v>
      </c>
      <c r="C330" s="31" t="s">
        <v>2093</v>
      </c>
      <c r="D330" s="36">
        <v>30</v>
      </c>
      <c r="E330" s="36">
        <v>112</v>
      </c>
      <c r="F330" s="36" t="s">
        <v>7545</v>
      </c>
      <c r="G330" s="36" t="s">
        <v>2094</v>
      </c>
      <c r="I330" s="33" t="s">
        <v>2093</v>
      </c>
      <c r="J330" s="34">
        <v>30</v>
      </c>
      <c r="K330" s="34">
        <v>112</v>
      </c>
      <c r="L330" s="34">
        <v>1</v>
      </c>
    </row>
    <row r="331" spans="2:12">
      <c r="B331" s="32">
        <v>329</v>
      </c>
      <c r="C331" s="31" t="s">
        <v>1379</v>
      </c>
      <c r="D331" s="36">
        <v>30</v>
      </c>
      <c r="E331" s="36">
        <v>112</v>
      </c>
      <c r="F331" s="36" t="s">
        <v>7546</v>
      </c>
      <c r="G331" s="36" t="s">
        <v>1380</v>
      </c>
      <c r="I331" s="33" t="s">
        <v>1379</v>
      </c>
      <c r="J331" s="34">
        <v>30</v>
      </c>
      <c r="K331" s="34">
        <v>112</v>
      </c>
      <c r="L331" s="34">
        <v>2</v>
      </c>
    </row>
    <row r="332" spans="2:12">
      <c r="B332" s="32">
        <v>330</v>
      </c>
      <c r="C332" s="31" t="s">
        <v>757</v>
      </c>
      <c r="D332" s="36">
        <v>30</v>
      </c>
      <c r="E332" s="36">
        <v>112</v>
      </c>
      <c r="F332" s="36" t="s">
        <v>7547</v>
      </c>
      <c r="G332" s="36" t="s">
        <v>758</v>
      </c>
      <c r="I332" s="33" t="s">
        <v>757</v>
      </c>
      <c r="J332" s="34">
        <v>30</v>
      </c>
      <c r="K332" s="34">
        <v>112</v>
      </c>
      <c r="L332" s="34">
        <v>3</v>
      </c>
    </row>
    <row r="333" spans="2:12">
      <c r="B333" s="32">
        <v>331</v>
      </c>
      <c r="C333" s="31" t="s">
        <v>4141</v>
      </c>
      <c r="D333" s="36">
        <v>30</v>
      </c>
      <c r="E333" s="36">
        <v>113</v>
      </c>
      <c r="F333" s="36" t="s">
        <v>7548</v>
      </c>
      <c r="G333" s="36" t="s">
        <v>4142</v>
      </c>
      <c r="I333" s="33" t="s">
        <v>4141</v>
      </c>
      <c r="J333" s="34">
        <v>30</v>
      </c>
      <c r="K333" s="34">
        <v>113</v>
      </c>
      <c r="L333" s="34">
        <v>1</v>
      </c>
    </row>
    <row r="334" spans="2:12">
      <c r="B334" s="32">
        <v>332</v>
      </c>
      <c r="C334" s="31" t="s">
        <v>203</v>
      </c>
      <c r="D334" s="36">
        <v>30</v>
      </c>
      <c r="E334" s="36">
        <v>113</v>
      </c>
      <c r="F334" s="36" t="s">
        <v>7549</v>
      </c>
      <c r="G334" s="36" t="s">
        <v>204</v>
      </c>
      <c r="I334" s="33" t="s">
        <v>203</v>
      </c>
      <c r="J334" s="34">
        <v>30</v>
      </c>
      <c r="K334" s="34">
        <v>113</v>
      </c>
      <c r="L334" s="34">
        <v>2</v>
      </c>
    </row>
    <row r="335" spans="2:12">
      <c r="B335" s="32">
        <v>333</v>
      </c>
      <c r="C335" s="31" t="s">
        <v>477</v>
      </c>
      <c r="D335" s="36">
        <v>30</v>
      </c>
      <c r="E335" s="36">
        <v>113</v>
      </c>
      <c r="F335" s="36" t="s">
        <v>7550</v>
      </c>
      <c r="G335" s="36" t="s">
        <v>478</v>
      </c>
      <c r="I335" s="33" t="s">
        <v>477</v>
      </c>
      <c r="J335" s="34">
        <v>30</v>
      </c>
      <c r="K335" s="34">
        <v>113</v>
      </c>
      <c r="L335" s="34">
        <v>3</v>
      </c>
    </row>
    <row r="336" spans="2:12">
      <c r="B336" s="32">
        <v>334</v>
      </c>
      <c r="C336" s="31" t="s">
        <v>3107</v>
      </c>
      <c r="D336" s="36">
        <v>30</v>
      </c>
      <c r="E336" s="36">
        <v>114</v>
      </c>
      <c r="F336" s="36" t="s">
        <v>7551</v>
      </c>
      <c r="G336" s="36" t="s">
        <v>3108</v>
      </c>
      <c r="I336" s="33" t="s">
        <v>3107</v>
      </c>
      <c r="J336" s="34">
        <v>30</v>
      </c>
      <c r="K336" s="34">
        <v>114</v>
      </c>
      <c r="L336" s="34">
        <v>1</v>
      </c>
    </row>
    <row r="337" spans="2:12">
      <c r="B337" s="32">
        <v>335</v>
      </c>
      <c r="C337" s="31" t="s">
        <v>5504</v>
      </c>
      <c r="D337" s="36">
        <v>30</v>
      </c>
      <c r="E337" s="36">
        <v>114</v>
      </c>
      <c r="F337" s="36" t="s">
        <v>7552</v>
      </c>
      <c r="G337" s="36" t="s">
        <v>5505</v>
      </c>
      <c r="I337" s="33" t="s">
        <v>5504</v>
      </c>
      <c r="J337" s="34">
        <v>30</v>
      </c>
      <c r="K337" s="34">
        <v>114</v>
      </c>
      <c r="L337" s="34">
        <v>2</v>
      </c>
    </row>
    <row r="338" spans="2:12">
      <c r="B338" s="32">
        <v>336</v>
      </c>
      <c r="C338" s="31" t="s">
        <v>4725</v>
      </c>
      <c r="D338" s="36">
        <v>30</v>
      </c>
      <c r="E338" s="36">
        <v>114</v>
      </c>
      <c r="F338" s="36" t="s">
        <v>7553</v>
      </c>
      <c r="G338" s="36" t="s">
        <v>4726</v>
      </c>
      <c r="I338" s="33" t="s">
        <v>4725</v>
      </c>
      <c r="J338" s="34">
        <v>30</v>
      </c>
      <c r="K338" s="34">
        <v>114</v>
      </c>
      <c r="L338" s="34">
        <v>3</v>
      </c>
    </row>
    <row r="339" spans="2:12">
      <c r="B339" s="32">
        <v>337</v>
      </c>
      <c r="C339" s="31" t="s">
        <v>2883</v>
      </c>
      <c r="D339" s="36">
        <v>30</v>
      </c>
      <c r="E339" s="36">
        <v>115</v>
      </c>
      <c r="F339" s="36" t="s">
        <v>7554</v>
      </c>
      <c r="G339" s="36" t="s">
        <v>2884</v>
      </c>
      <c r="I339" s="33" t="s">
        <v>2883</v>
      </c>
      <c r="J339" s="34">
        <v>30</v>
      </c>
      <c r="K339" s="34">
        <v>115</v>
      </c>
      <c r="L339" s="34">
        <v>1</v>
      </c>
    </row>
    <row r="340" spans="2:12">
      <c r="B340" s="32">
        <v>338</v>
      </c>
      <c r="C340" s="31" t="s">
        <v>1654</v>
      </c>
      <c r="D340" s="36">
        <v>30</v>
      </c>
      <c r="E340" s="36">
        <v>115</v>
      </c>
      <c r="F340" s="36" t="s">
        <v>7555</v>
      </c>
      <c r="G340" s="36" t="s">
        <v>1655</v>
      </c>
      <c r="I340" s="33" t="s">
        <v>1654</v>
      </c>
      <c r="J340" s="34">
        <v>30</v>
      </c>
      <c r="K340" s="34">
        <v>115</v>
      </c>
      <c r="L340" s="34">
        <v>2</v>
      </c>
    </row>
    <row r="341" spans="2:12">
      <c r="B341" s="32">
        <v>339</v>
      </c>
      <c r="C341" s="31" t="s">
        <v>1919</v>
      </c>
      <c r="D341" s="36">
        <v>30</v>
      </c>
      <c r="E341" s="36">
        <v>115</v>
      </c>
      <c r="F341" s="36" t="s">
        <v>7556</v>
      </c>
      <c r="G341" s="36" t="s">
        <v>1920</v>
      </c>
      <c r="I341" s="33" t="s">
        <v>1919</v>
      </c>
      <c r="J341" s="34">
        <v>30</v>
      </c>
      <c r="K341" s="34">
        <v>115</v>
      </c>
      <c r="L341" s="34">
        <v>3</v>
      </c>
    </row>
    <row r="342" spans="2:12">
      <c r="B342" s="32">
        <v>340</v>
      </c>
      <c r="C342" s="31" t="s">
        <v>2192</v>
      </c>
      <c r="D342" s="36">
        <v>30</v>
      </c>
      <c r="E342" s="36">
        <v>116</v>
      </c>
      <c r="F342" s="36" t="s">
        <v>7558</v>
      </c>
      <c r="G342" s="36" t="s">
        <v>2193</v>
      </c>
      <c r="I342" s="33" t="s">
        <v>2192</v>
      </c>
      <c r="J342" s="34">
        <v>30</v>
      </c>
      <c r="K342" s="34">
        <v>116</v>
      </c>
      <c r="L342" s="34">
        <v>1</v>
      </c>
    </row>
    <row r="343" spans="2:12">
      <c r="B343" s="32">
        <v>341</v>
      </c>
      <c r="C343" s="31" t="s">
        <v>4745</v>
      </c>
      <c r="D343" s="36">
        <v>30</v>
      </c>
      <c r="E343" s="36">
        <v>116</v>
      </c>
      <c r="F343" s="36" t="s">
        <v>7559</v>
      </c>
      <c r="G343" s="36" t="s">
        <v>4746</v>
      </c>
      <c r="I343" s="33" t="s">
        <v>4745</v>
      </c>
      <c r="J343" s="34">
        <v>30</v>
      </c>
      <c r="K343" s="34">
        <v>116</v>
      </c>
      <c r="L343" s="34">
        <v>2</v>
      </c>
    </row>
    <row r="344" spans="2:12">
      <c r="B344" s="32">
        <v>342</v>
      </c>
      <c r="C344" s="31" t="s">
        <v>3974</v>
      </c>
      <c r="D344" s="36">
        <v>30</v>
      </c>
      <c r="E344" s="36">
        <v>116</v>
      </c>
      <c r="F344" s="36" t="s">
        <v>7560</v>
      </c>
      <c r="G344" s="36" t="s">
        <v>3975</v>
      </c>
      <c r="I344" s="33" t="s">
        <v>3974</v>
      </c>
      <c r="J344" s="34">
        <v>30</v>
      </c>
      <c r="K344" s="34">
        <v>116</v>
      </c>
      <c r="L344" s="34">
        <v>3</v>
      </c>
    </row>
    <row r="345" spans="2:12">
      <c r="B345" s="32">
        <v>343</v>
      </c>
      <c r="C345" s="31" t="s">
        <v>2028</v>
      </c>
      <c r="D345" s="36">
        <v>30</v>
      </c>
      <c r="E345" s="36">
        <v>117</v>
      </c>
      <c r="F345" s="36" t="s">
        <v>7561</v>
      </c>
      <c r="G345" s="36" t="s">
        <v>2029</v>
      </c>
      <c r="I345" s="33" t="s">
        <v>2028</v>
      </c>
      <c r="J345" s="34">
        <v>30</v>
      </c>
      <c r="K345" s="34">
        <v>117</v>
      </c>
      <c r="L345" s="34">
        <v>1</v>
      </c>
    </row>
    <row r="346" spans="2:12">
      <c r="B346" s="32">
        <v>344</v>
      </c>
      <c r="C346" s="31" t="s">
        <v>2512</v>
      </c>
      <c r="D346" s="36">
        <v>30</v>
      </c>
      <c r="E346" s="36">
        <v>117</v>
      </c>
      <c r="F346" s="36" t="s">
        <v>7562</v>
      </c>
      <c r="G346" s="36" t="s">
        <v>2513</v>
      </c>
      <c r="I346" s="33" t="s">
        <v>2512</v>
      </c>
      <c r="J346" s="34">
        <v>30</v>
      </c>
      <c r="K346" s="34">
        <v>117</v>
      </c>
      <c r="L346" s="34">
        <v>2</v>
      </c>
    </row>
    <row r="347" spans="2:12">
      <c r="B347" s="32">
        <v>345</v>
      </c>
      <c r="C347" s="31" t="s">
        <v>5006</v>
      </c>
      <c r="D347" s="36">
        <v>30</v>
      </c>
      <c r="E347" s="36">
        <v>117</v>
      </c>
      <c r="F347" s="36" t="s">
        <v>7563</v>
      </c>
      <c r="G347" s="36" t="s">
        <v>5007</v>
      </c>
      <c r="I347" s="33" t="s">
        <v>5006</v>
      </c>
      <c r="J347" s="34">
        <v>30</v>
      </c>
      <c r="K347" s="34">
        <v>117</v>
      </c>
      <c r="L347" s="34">
        <v>3</v>
      </c>
    </row>
    <row r="348" spans="2:12">
      <c r="B348" s="32">
        <v>346</v>
      </c>
      <c r="C348" s="31" t="s">
        <v>5552</v>
      </c>
      <c r="D348" s="36">
        <v>30</v>
      </c>
      <c r="E348" s="36">
        <v>118</v>
      </c>
      <c r="F348" s="36" t="s">
        <v>7564</v>
      </c>
      <c r="G348" s="36" t="s">
        <v>5553</v>
      </c>
      <c r="I348" s="33" t="s">
        <v>5552</v>
      </c>
      <c r="J348" s="34">
        <v>30</v>
      </c>
      <c r="K348" s="34">
        <v>118</v>
      </c>
      <c r="L348" s="34">
        <v>1</v>
      </c>
    </row>
    <row r="349" spans="2:12">
      <c r="B349" s="32">
        <v>347</v>
      </c>
      <c r="C349" s="31" t="s">
        <v>4207</v>
      </c>
      <c r="D349" s="36">
        <v>30</v>
      </c>
      <c r="E349" s="36">
        <v>118</v>
      </c>
      <c r="F349" s="36" t="s">
        <v>7565</v>
      </c>
      <c r="G349" s="36" t="s">
        <v>4208</v>
      </c>
      <c r="I349" s="33" t="s">
        <v>4207</v>
      </c>
      <c r="J349" s="34">
        <v>30</v>
      </c>
      <c r="K349" s="34">
        <v>118</v>
      </c>
      <c r="L349" s="34">
        <v>2</v>
      </c>
    </row>
    <row r="350" spans="2:12">
      <c r="B350" s="32">
        <v>348</v>
      </c>
      <c r="C350" s="31" t="s">
        <v>191</v>
      </c>
      <c r="D350" s="36">
        <v>30</v>
      </c>
      <c r="E350" s="36">
        <v>118</v>
      </c>
      <c r="F350" s="36" t="s">
        <v>7566</v>
      </c>
      <c r="G350" s="36" t="s">
        <v>192</v>
      </c>
      <c r="I350" s="33" t="s">
        <v>191</v>
      </c>
      <c r="J350" s="34">
        <v>30</v>
      </c>
      <c r="K350" s="34">
        <v>118</v>
      </c>
      <c r="L350" s="34">
        <v>3</v>
      </c>
    </row>
    <row r="351" spans="2:12">
      <c r="B351" s="32">
        <v>349</v>
      </c>
      <c r="C351" s="31" t="s">
        <v>2808</v>
      </c>
      <c r="D351" s="36">
        <v>30</v>
      </c>
      <c r="E351" s="36">
        <v>119</v>
      </c>
      <c r="F351" s="36" t="s">
        <v>7567</v>
      </c>
      <c r="G351" s="36" t="s">
        <v>2809</v>
      </c>
      <c r="I351" s="33" t="s">
        <v>2808</v>
      </c>
      <c r="J351" s="34">
        <v>30</v>
      </c>
      <c r="K351" s="34">
        <v>119</v>
      </c>
      <c r="L351" s="34">
        <v>1</v>
      </c>
    </row>
    <row r="352" spans="2:12">
      <c r="B352" s="32">
        <v>350</v>
      </c>
      <c r="C352" s="31" t="s">
        <v>2283</v>
      </c>
      <c r="D352" s="36">
        <v>30</v>
      </c>
      <c r="E352" s="36">
        <v>119</v>
      </c>
      <c r="F352" s="36" t="s">
        <v>7568</v>
      </c>
      <c r="G352" s="36" t="s">
        <v>2284</v>
      </c>
      <c r="I352" s="33" t="s">
        <v>2283</v>
      </c>
      <c r="J352" s="34">
        <v>30</v>
      </c>
      <c r="K352" s="34">
        <v>119</v>
      </c>
      <c r="L352" s="34">
        <v>2</v>
      </c>
    </row>
    <row r="353" spans="2:12">
      <c r="B353" s="32">
        <v>351</v>
      </c>
      <c r="C353" s="31" t="s">
        <v>2898</v>
      </c>
      <c r="D353" s="36">
        <v>30</v>
      </c>
      <c r="E353" s="36">
        <v>120</v>
      </c>
      <c r="F353" s="36" t="s">
        <v>7569</v>
      </c>
      <c r="G353" s="36" t="s">
        <v>2899</v>
      </c>
      <c r="I353" s="33" t="s">
        <v>2898</v>
      </c>
      <c r="J353" s="34">
        <v>30</v>
      </c>
      <c r="K353" s="34">
        <v>120</v>
      </c>
      <c r="L353" s="34">
        <v>1</v>
      </c>
    </row>
    <row r="354" spans="2:12">
      <c r="B354" s="32">
        <v>352</v>
      </c>
      <c r="C354" s="31" t="s">
        <v>2224</v>
      </c>
      <c r="D354" s="36">
        <v>30</v>
      </c>
      <c r="E354" s="36">
        <v>120</v>
      </c>
      <c r="F354" s="36" t="s">
        <v>7570</v>
      </c>
      <c r="G354" s="36" t="s">
        <v>2225</v>
      </c>
      <c r="I354" s="33" t="s">
        <v>2224</v>
      </c>
      <c r="J354" s="34">
        <v>30</v>
      </c>
      <c r="K354" s="34">
        <v>120</v>
      </c>
      <c r="L354" s="34">
        <v>2</v>
      </c>
    </row>
    <row r="355" spans="2:12">
      <c r="B355" s="32">
        <v>353</v>
      </c>
      <c r="C355" s="31" t="s">
        <v>1485</v>
      </c>
      <c r="D355" s="36">
        <v>30</v>
      </c>
      <c r="E355" s="36">
        <v>201</v>
      </c>
      <c r="F355" s="36" t="s">
        <v>7571</v>
      </c>
      <c r="G355" s="36" t="s">
        <v>1486</v>
      </c>
      <c r="I355" s="33" t="s">
        <v>1485</v>
      </c>
      <c r="J355" s="34">
        <v>30</v>
      </c>
      <c r="K355" s="34">
        <v>201</v>
      </c>
      <c r="L355" s="34">
        <v>1</v>
      </c>
    </row>
    <row r="356" spans="2:12">
      <c r="B356" s="32">
        <v>354</v>
      </c>
      <c r="C356" s="31" t="s">
        <v>5459</v>
      </c>
      <c r="D356" s="36">
        <v>30</v>
      </c>
      <c r="E356" s="36">
        <v>201</v>
      </c>
      <c r="F356" s="36" t="s">
        <v>7572</v>
      </c>
      <c r="G356" s="36" t="s">
        <v>5460</v>
      </c>
      <c r="I356" s="33" t="s">
        <v>5459</v>
      </c>
      <c r="J356" s="34">
        <v>30</v>
      </c>
      <c r="K356" s="34">
        <v>201</v>
      </c>
      <c r="L356" s="34">
        <v>2</v>
      </c>
    </row>
    <row r="357" spans="2:12">
      <c r="B357" s="32">
        <v>355</v>
      </c>
      <c r="C357" s="31" t="s">
        <v>985</v>
      </c>
      <c r="D357" s="36">
        <v>30</v>
      </c>
      <c r="E357" s="36">
        <v>201</v>
      </c>
      <c r="F357" s="36" t="s">
        <v>7573</v>
      </c>
      <c r="G357" s="36" t="s">
        <v>986</v>
      </c>
      <c r="I357" s="33" t="s">
        <v>985</v>
      </c>
      <c r="J357" s="34">
        <v>30</v>
      </c>
      <c r="K357" s="34">
        <v>201</v>
      </c>
      <c r="L357" s="34">
        <v>3</v>
      </c>
    </row>
    <row r="358" spans="2:12">
      <c r="B358" s="32">
        <v>356</v>
      </c>
      <c r="C358" s="31" t="s">
        <v>3241</v>
      </c>
      <c r="D358" s="36">
        <v>30</v>
      </c>
      <c r="E358" s="36">
        <v>202</v>
      </c>
      <c r="F358" s="36" t="s">
        <v>7574</v>
      </c>
      <c r="G358" s="36" t="s">
        <v>3242</v>
      </c>
      <c r="I358" s="33" t="s">
        <v>3241</v>
      </c>
      <c r="J358" s="34">
        <v>30</v>
      </c>
      <c r="K358" s="34">
        <v>202</v>
      </c>
      <c r="L358" s="34">
        <v>1</v>
      </c>
    </row>
    <row r="359" spans="2:12">
      <c r="B359" s="32">
        <v>357</v>
      </c>
      <c r="C359" s="31" t="s">
        <v>3290</v>
      </c>
      <c r="D359" s="36">
        <v>30</v>
      </c>
      <c r="E359" s="36">
        <v>202</v>
      </c>
      <c r="F359" s="36" t="s">
        <v>7575</v>
      </c>
      <c r="G359" s="36" t="s">
        <v>3291</v>
      </c>
      <c r="I359" s="33" t="s">
        <v>3290</v>
      </c>
      <c r="J359" s="34">
        <v>30</v>
      </c>
      <c r="K359" s="34">
        <v>202</v>
      </c>
      <c r="L359" s="34">
        <v>2</v>
      </c>
    </row>
    <row r="360" spans="2:12">
      <c r="B360" s="32">
        <v>358</v>
      </c>
      <c r="C360" s="31" t="s">
        <v>3533</v>
      </c>
      <c r="D360" s="36">
        <v>30</v>
      </c>
      <c r="E360" s="36">
        <v>202</v>
      </c>
      <c r="F360" s="36" t="s">
        <v>7576</v>
      </c>
      <c r="G360" s="36" t="s">
        <v>3534</v>
      </c>
      <c r="I360" s="33" t="s">
        <v>3533</v>
      </c>
      <c r="J360" s="34">
        <v>30</v>
      </c>
      <c r="K360" s="34">
        <v>202</v>
      </c>
      <c r="L360" s="34">
        <v>3</v>
      </c>
    </row>
    <row r="361" spans="2:12">
      <c r="B361" s="32">
        <v>359</v>
      </c>
      <c r="C361" s="31" t="s">
        <v>5210</v>
      </c>
      <c r="D361" s="36">
        <v>30</v>
      </c>
      <c r="E361" s="36">
        <v>203</v>
      </c>
      <c r="F361" s="36" t="s">
        <v>7577</v>
      </c>
      <c r="G361" s="36" t="s">
        <v>5211</v>
      </c>
      <c r="I361" s="33" t="s">
        <v>5210</v>
      </c>
      <c r="J361" s="34">
        <v>30</v>
      </c>
      <c r="K361" s="34">
        <v>203</v>
      </c>
      <c r="L361" s="34">
        <v>1</v>
      </c>
    </row>
    <row r="362" spans="2:12">
      <c r="B362" s="32">
        <v>360</v>
      </c>
      <c r="C362" s="31" t="s">
        <v>3476</v>
      </c>
      <c r="D362" s="36">
        <v>30</v>
      </c>
      <c r="E362" s="36">
        <v>203</v>
      </c>
      <c r="F362" s="36" t="s">
        <v>7578</v>
      </c>
      <c r="G362" s="36" t="s">
        <v>3477</v>
      </c>
      <c r="I362" s="33" t="s">
        <v>3476</v>
      </c>
      <c r="J362" s="34">
        <v>30</v>
      </c>
      <c r="K362" s="34">
        <v>203</v>
      </c>
      <c r="L362" s="34">
        <v>2</v>
      </c>
    </row>
    <row r="363" spans="2:12">
      <c r="B363" s="32">
        <v>361</v>
      </c>
      <c r="C363" s="31" t="s">
        <v>4146</v>
      </c>
      <c r="D363" s="36">
        <v>30</v>
      </c>
      <c r="E363" s="36">
        <v>203</v>
      </c>
      <c r="F363" s="36" t="s">
        <v>7579</v>
      </c>
      <c r="G363" s="36" t="s">
        <v>4147</v>
      </c>
      <c r="I363" s="33" t="s">
        <v>4146</v>
      </c>
      <c r="J363" s="34">
        <v>30</v>
      </c>
      <c r="K363" s="34">
        <v>203</v>
      </c>
      <c r="L363" s="34">
        <v>3</v>
      </c>
    </row>
    <row r="364" spans="2:12">
      <c r="B364" s="32">
        <v>362</v>
      </c>
      <c r="C364" s="31" t="s">
        <v>434</v>
      </c>
      <c r="D364" s="36">
        <v>30</v>
      </c>
      <c r="E364" s="36">
        <v>204</v>
      </c>
      <c r="F364" s="36" t="s">
        <v>3618</v>
      </c>
      <c r="G364" s="36" t="s">
        <v>435</v>
      </c>
      <c r="I364" s="33" t="s">
        <v>434</v>
      </c>
      <c r="J364" s="34">
        <v>30</v>
      </c>
      <c r="K364" s="34">
        <v>204</v>
      </c>
      <c r="L364" s="34">
        <v>1</v>
      </c>
    </row>
    <row r="365" spans="2:12">
      <c r="B365" s="32">
        <v>363</v>
      </c>
      <c r="C365" s="31" t="s">
        <v>650</v>
      </c>
      <c r="D365" s="36">
        <v>30</v>
      </c>
      <c r="E365" s="36">
        <v>204</v>
      </c>
      <c r="F365" s="36" t="s">
        <v>3609</v>
      </c>
      <c r="G365" s="36" t="s">
        <v>651</v>
      </c>
      <c r="I365" s="33" t="s">
        <v>650</v>
      </c>
      <c r="J365" s="34">
        <v>30</v>
      </c>
      <c r="K365" s="34">
        <v>204</v>
      </c>
      <c r="L365" s="34">
        <v>2</v>
      </c>
    </row>
    <row r="366" spans="2:12">
      <c r="B366" s="32">
        <v>364</v>
      </c>
      <c r="C366" s="31" t="s">
        <v>2256</v>
      </c>
      <c r="D366" s="36">
        <v>30</v>
      </c>
      <c r="E366" s="36">
        <v>204</v>
      </c>
      <c r="F366" s="36" t="s">
        <v>3590</v>
      </c>
      <c r="G366" s="36" t="s">
        <v>2257</v>
      </c>
      <c r="I366" s="33" t="s">
        <v>2256</v>
      </c>
      <c r="J366" s="34">
        <v>30</v>
      </c>
      <c r="K366" s="34">
        <v>204</v>
      </c>
      <c r="L366" s="34">
        <v>3</v>
      </c>
    </row>
    <row r="367" spans="2:12">
      <c r="B367" s="32">
        <v>365</v>
      </c>
      <c r="C367" s="31" t="s">
        <v>1871</v>
      </c>
      <c r="D367" s="36">
        <v>30</v>
      </c>
      <c r="E367" s="36">
        <v>205</v>
      </c>
      <c r="F367" s="36" t="s">
        <v>3580</v>
      </c>
      <c r="G367" s="36" t="s">
        <v>1872</v>
      </c>
      <c r="I367" s="33" t="s">
        <v>1871</v>
      </c>
      <c r="J367" s="34">
        <v>30</v>
      </c>
      <c r="K367" s="34">
        <v>205</v>
      </c>
      <c r="L367" s="34">
        <v>1</v>
      </c>
    </row>
    <row r="368" spans="2:12">
      <c r="B368" s="32">
        <v>366</v>
      </c>
      <c r="C368" s="31" t="s">
        <v>1941</v>
      </c>
      <c r="D368" s="36">
        <v>30</v>
      </c>
      <c r="E368" s="36">
        <v>205</v>
      </c>
      <c r="F368" s="36" t="s">
        <v>3600</v>
      </c>
      <c r="G368" s="36" t="s">
        <v>1942</v>
      </c>
      <c r="I368" s="33" t="s">
        <v>1941</v>
      </c>
      <c r="J368" s="34">
        <v>30</v>
      </c>
      <c r="K368" s="34">
        <v>205</v>
      </c>
      <c r="L368" s="34">
        <v>2</v>
      </c>
    </row>
    <row r="369" spans="2:12">
      <c r="B369" s="32">
        <v>367</v>
      </c>
      <c r="C369" s="31" t="s">
        <v>2501</v>
      </c>
      <c r="D369" s="36">
        <v>30</v>
      </c>
      <c r="E369" s="36">
        <v>205</v>
      </c>
      <c r="F369" s="36" t="s">
        <v>44</v>
      </c>
      <c r="G369" s="36" t="s">
        <v>2502</v>
      </c>
      <c r="I369" s="33" t="s">
        <v>2501</v>
      </c>
      <c r="J369" s="34">
        <v>30</v>
      </c>
      <c r="K369" s="34">
        <v>205</v>
      </c>
      <c r="L369" s="34">
        <v>3</v>
      </c>
    </row>
    <row r="370" spans="2:12">
      <c r="B370" s="32">
        <v>368</v>
      </c>
      <c r="C370" s="31" t="s">
        <v>2294</v>
      </c>
      <c r="D370" s="36">
        <v>30</v>
      </c>
      <c r="E370" s="36">
        <v>206</v>
      </c>
      <c r="F370" s="36" t="s">
        <v>7580</v>
      </c>
      <c r="G370" s="36" t="s">
        <v>2295</v>
      </c>
      <c r="I370" s="33" t="s">
        <v>2294</v>
      </c>
      <c r="J370" s="34">
        <v>30</v>
      </c>
      <c r="K370" s="34">
        <v>206</v>
      </c>
      <c r="L370" s="34">
        <v>1</v>
      </c>
    </row>
    <row r="371" spans="2:12">
      <c r="B371" s="32">
        <v>369</v>
      </c>
      <c r="C371" s="31" t="s">
        <v>4667</v>
      </c>
      <c r="D371" s="36">
        <v>30</v>
      </c>
      <c r="E371" s="36">
        <v>206</v>
      </c>
      <c r="F371" s="36" t="s">
        <v>7581</v>
      </c>
      <c r="G371" s="36" t="s">
        <v>4668</v>
      </c>
      <c r="I371" s="33" t="s">
        <v>4667</v>
      </c>
      <c r="J371" s="34">
        <v>30</v>
      </c>
      <c r="K371" s="34">
        <v>206</v>
      </c>
      <c r="L371" s="34">
        <v>2</v>
      </c>
    </row>
    <row r="372" spans="2:12">
      <c r="B372" s="32">
        <v>370</v>
      </c>
      <c r="C372" s="31" t="s">
        <v>7944</v>
      </c>
      <c r="D372" s="36">
        <v>30</v>
      </c>
      <c r="E372" s="36">
        <v>206</v>
      </c>
      <c r="F372" s="36" t="s">
        <v>7582</v>
      </c>
      <c r="G372" s="36" t="s">
        <v>3140</v>
      </c>
      <c r="I372" s="33" t="s">
        <v>7944</v>
      </c>
      <c r="J372" s="34">
        <v>30</v>
      </c>
      <c r="K372" s="34">
        <v>206</v>
      </c>
      <c r="L372" s="34">
        <v>3</v>
      </c>
    </row>
    <row r="373" spans="2:12">
      <c r="B373" s="32">
        <v>371</v>
      </c>
      <c r="C373" s="31" t="s">
        <v>1848</v>
      </c>
      <c r="D373" s="36">
        <v>30</v>
      </c>
      <c r="E373" s="36">
        <v>207</v>
      </c>
      <c r="F373" s="36" t="s">
        <v>7583</v>
      </c>
      <c r="G373" s="36" t="s">
        <v>1849</v>
      </c>
      <c r="I373" s="33" t="s">
        <v>1848</v>
      </c>
      <c r="J373" s="34">
        <v>30</v>
      </c>
      <c r="K373" s="34">
        <v>207</v>
      </c>
      <c r="L373" s="34">
        <v>1</v>
      </c>
    </row>
    <row r="374" spans="2:12">
      <c r="B374" s="32">
        <v>372</v>
      </c>
      <c r="C374" s="31" t="s">
        <v>4080</v>
      </c>
      <c r="D374" s="36">
        <v>30</v>
      </c>
      <c r="E374" s="36">
        <v>207</v>
      </c>
      <c r="F374" s="36" t="s">
        <v>7584</v>
      </c>
      <c r="G374" s="36" t="s">
        <v>4081</v>
      </c>
      <c r="I374" s="33" t="s">
        <v>4080</v>
      </c>
      <c r="J374" s="34">
        <v>30</v>
      </c>
      <c r="K374" s="34">
        <v>207</v>
      </c>
      <c r="L374" s="34">
        <v>2</v>
      </c>
    </row>
    <row r="375" spans="2:12">
      <c r="B375" s="32">
        <v>373</v>
      </c>
      <c r="C375" s="31" t="s">
        <v>3318</v>
      </c>
      <c r="D375" s="36">
        <v>30</v>
      </c>
      <c r="E375" s="36">
        <v>207</v>
      </c>
      <c r="F375" s="36" t="s">
        <v>7585</v>
      </c>
      <c r="G375" s="36" t="s">
        <v>3319</v>
      </c>
      <c r="I375" s="33" t="s">
        <v>3318</v>
      </c>
      <c r="J375" s="34">
        <v>30</v>
      </c>
      <c r="K375" s="34">
        <v>207</v>
      </c>
      <c r="L375" s="34">
        <v>3</v>
      </c>
    </row>
    <row r="376" ht="14.65" customHeight="1" spans="2:12">
      <c r="B376" s="32">
        <v>374</v>
      </c>
      <c r="C376" s="31" t="s">
        <v>2170</v>
      </c>
      <c r="D376" s="36">
        <v>30</v>
      </c>
      <c r="E376" s="36">
        <v>208</v>
      </c>
      <c r="F376" s="36" t="s">
        <v>7586</v>
      </c>
      <c r="G376" s="36" t="s">
        <v>2171</v>
      </c>
      <c r="I376" s="33" t="s">
        <v>2170</v>
      </c>
      <c r="J376" s="34">
        <v>30</v>
      </c>
      <c r="K376" s="34">
        <v>208</v>
      </c>
      <c r="L376" s="34">
        <v>1</v>
      </c>
    </row>
    <row r="377" spans="2:12">
      <c r="B377" s="32">
        <v>375</v>
      </c>
      <c r="C377" s="31" t="s">
        <v>4256</v>
      </c>
      <c r="D377" s="36">
        <v>30</v>
      </c>
      <c r="E377" s="36">
        <v>208</v>
      </c>
      <c r="F377" s="36" t="s">
        <v>7587</v>
      </c>
      <c r="G377" s="36" t="s">
        <v>4257</v>
      </c>
      <c r="I377" s="33" t="s">
        <v>4256</v>
      </c>
      <c r="J377" s="34">
        <v>30</v>
      </c>
      <c r="K377" s="34">
        <v>208</v>
      </c>
      <c r="L377" s="34">
        <v>2</v>
      </c>
    </row>
    <row r="378" spans="2:12">
      <c r="B378" s="32">
        <v>376</v>
      </c>
      <c r="C378" s="31" t="s">
        <v>4589</v>
      </c>
      <c r="D378" s="36">
        <v>30</v>
      </c>
      <c r="E378" s="36">
        <v>209</v>
      </c>
      <c r="F378" s="36" t="s">
        <v>7588</v>
      </c>
      <c r="G378" s="36" t="s">
        <v>4590</v>
      </c>
      <c r="I378" s="33" t="s">
        <v>4589</v>
      </c>
      <c r="J378" s="34">
        <v>30</v>
      </c>
      <c r="K378" s="34">
        <v>209</v>
      </c>
      <c r="L378" s="34">
        <v>1</v>
      </c>
    </row>
    <row r="379" spans="2:12">
      <c r="B379" s="32">
        <v>377</v>
      </c>
      <c r="C379" s="31" t="s">
        <v>3678</v>
      </c>
      <c r="D379" s="36">
        <v>30</v>
      </c>
      <c r="E379" s="36">
        <v>209</v>
      </c>
      <c r="F379" s="36" t="s">
        <v>7589</v>
      </c>
      <c r="G379" s="36" t="s">
        <v>3679</v>
      </c>
      <c r="I379" s="33" t="s">
        <v>3678</v>
      </c>
      <c r="J379" s="34">
        <v>30</v>
      </c>
      <c r="K379" s="34">
        <v>209</v>
      </c>
      <c r="L379" s="34">
        <v>2</v>
      </c>
    </row>
    <row r="380" spans="2:12">
      <c r="B380" s="32">
        <v>378</v>
      </c>
      <c r="C380" s="31" t="s">
        <v>5817</v>
      </c>
      <c r="D380" s="36">
        <v>30</v>
      </c>
      <c r="E380" s="36">
        <v>209</v>
      </c>
      <c r="F380" s="36" t="s">
        <v>7590</v>
      </c>
      <c r="G380" s="36" t="s">
        <v>5818</v>
      </c>
      <c r="I380" s="33" t="s">
        <v>5817</v>
      </c>
      <c r="J380" s="34">
        <v>30</v>
      </c>
      <c r="K380" s="34">
        <v>209</v>
      </c>
      <c r="L380" s="34">
        <v>3</v>
      </c>
    </row>
    <row r="381" spans="2:12">
      <c r="B381" s="32">
        <v>379</v>
      </c>
      <c r="C381" s="31" t="s">
        <v>2826</v>
      </c>
      <c r="D381" s="36">
        <v>30</v>
      </c>
      <c r="E381" s="36">
        <v>210</v>
      </c>
      <c r="F381" s="36" t="s">
        <v>7591</v>
      </c>
      <c r="G381" s="36" t="s">
        <v>2827</v>
      </c>
      <c r="I381" s="33" t="s">
        <v>2826</v>
      </c>
      <c r="J381" s="34">
        <v>30</v>
      </c>
      <c r="K381" s="34">
        <v>210</v>
      </c>
      <c r="L381" s="34">
        <v>1</v>
      </c>
    </row>
    <row r="382" spans="2:12">
      <c r="B382" s="32">
        <v>380</v>
      </c>
      <c r="C382" s="31" t="s">
        <v>1730</v>
      </c>
      <c r="D382" s="36">
        <v>30</v>
      </c>
      <c r="E382" s="36">
        <v>210</v>
      </c>
      <c r="F382" s="36" t="s">
        <v>7592</v>
      </c>
      <c r="G382" s="36" t="s">
        <v>1731</v>
      </c>
      <c r="I382" s="33" t="s">
        <v>1730</v>
      </c>
      <c r="J382" s="34">
        <v>30</v>
      </c>
      <c r="K382" s="34">
        <v>210</v>
      </c>
      <c r="L382" s="34">
        <v>2</v>
      </c>
    </row>
    <row r="383" spans="2:12">
      <c r="B383" s="32">
        <v>381</v>
      </c>
      <c r="C383" s="31" t="s">
        <v>2181</v>
      </c>
      <c r="D383" s="36">
        <v>30</v>
      </c>
      <c r="E383" s="36">
        <v>210</v>
      </c>
      <c r="F383" s="36" t="s">
        <v>7593</v>
      </c>
      <c r="G383" s="36" t="s">
        <v>2182</v>
      </c>
      <c r="I383" s="33" t="s">
        <v>2181</v>
      </c>
      <c r="J383" s="34">
        <v>30</v>
      </c>
      <c r="K383" s="34">
        <v>210</v>
      </c>
      <c r="L383" s="34">
        <v>3</v>
      </c>
    </row>
    <row r="384" ht="14.65" customHeight="1" spans="2:12">
      <c r="B384" s="32">
        <v>382</v>
      </c>
      <c r="C384" s="31" t="s">
        <v>22</v>
      </c>
      <c r="D384" s="36">
        <v>30</v>
      </c>
      <c r="E384" s="36">
        <v>211</v>
      </c>
      <c r="F384" s="36" t="s">
        <v>7594</v>
      </c>
      <c r="G384" s="36" t="s">
        <v>23</v>
      </c>
      <c r="I384" s="33" t="s">
        <v>22</v>
      </c>
      <c r="J384" s="34">
        <v>30</v>
      </c>
      <c r="K384" s="34">
        <v>211</v>
      </c>
      <c r="L384" s="34">
        <v>1</v>
      </c>
    </row>
    <row r="385" spans="2:12">
      <c r="B385" s="32">
        <v>383</v>
      </c>
      <c r="C385" s="31" t="s">
        <v>502</v>
      </c>
      <c r="D385" s="36">
        <v>30</v>
      </c>
      <c r="E385" s="36">
        <v>211</v>
      </c>
      <c r="F385" s="36" t="s">
        <v>7595</v>
      </c>
      <c r="G385" s="36" t="s">
        <v>503</v>
      </c>
      <c r="I385" s="33" t="s">
        <v>502</v>
      </c>
      <c r="J385" s="34">
        <v>30</v>
      </c>
      <c r="K385" s="34">
        <v>211</v>
      </c>
      <c r="L385" s="34">
        <v>2</v>
      </c>
    </row>
    <row r="386" spans="2:12">
      <c r="B386" s="32">
        <v>384</v>
      </c>
      <c r="C386" s="31" t="s">
        <v>3955</v>
      </c>
      <c r="D386" s="36">
        <v>30</v>
      </c>
      <c r="E386" s="36">
        <v>211</v>
      </c>
      <c r="F386" s="36" t="s">
        <v>7596</v>
      </c>
      <c r="G386" s="36" t="s">
        <v>3956</v>
      </c>
      <c r="I386" s="33" t="s">
        <v>3955</v>
      </c>
      <c r="J386" s="34">
        <v>30</v>
      </c>
      <c r="K386" s="34">
        <v>211</v>
      </c>
      <c r="L386" s="34">
        <v>3</v>
      </c>
    </row>
    <row r="387" spans="2:12">
      <c r="B387" s="32">
        <v>385</v>
      </c>
      <c r="C387" s="31" t="s">
        <v>2486</v>
      </c>
      <c r="D387" s="36">
        <v>30</v>
      </c>
      <c r="E387" s="36">
        <v>212</v>
      </c>
      <c r="F387" s="36" t="s">
        <v>7597</v>
      </c>
      <c r="G387" s="36" t="s">
        <v>2487</v>
      </c>
      <c r="I387" s="33" t="s">
        <v>2486</v>
      </c>
      <c r="J387" s="34">
        <v>30</v>
      </c>
      <c r="K387" s="34">
        <v>212</v>
      </c>
      <c r="L387" s="34">
        <v>1</v>
      </c>
    </row>
    <row r="388" spans="2:12">
      <c r="B388" s="32">
        <v>386</v>
      </c>
      <c r="C388" s="31" t="s">
        <v>2187</v>
      </c>
      <c r="D388" s="36">
        <v>30</v>
      </c>
      <c r="E388" s="36">
        <v>212</v>
      </c>
      <c r="F388" s="36" t="s">
        <v>7598</v>
      </c>
      <c r="G388" s="36" t="s">
        <v>2188</v>
      </c>
      <c r="I388" s="33" t="s">
        <v>2187</v>
      </c>
      <c r="J388" s="34">
        <v>30</v>
      </c>
      <c r="K388" s="34">
        <v>212</v>
      </c>
      <c r="L388" s="34">
        <v>2</v>
      </c>
    </row>
    <row r="389" spans="2:12">
      <c r="B389" s="32">
        <v>387</v>
      </c>
      <c r="C389" s="31" t="s">
        <v>216</v>
      </c>
      <c r="D389" s="36">
        <v>30</v>
      </c>
      <c r="E389" s="36">
        <v>212</v>
      </c>
      <c r="F389" s="36" t="s">
        <v>7599</v>
      </c>
      <c r="G389" s="36" t="s">
        <v>217</v>
      </c>
      <c r="I389" s="33" t="s">
        <v>216</v>
      </c>
      <c r="J389" s="34">
        <v>30</v>
      </c>
      <c r="K389" s="34">
        <v>212</v>
      </c>
      <c r="L389" s="34">
        <v>3</v>
      </c>
    </row>
    <row r="390" spans="2:12">
      <c r="B390" s="32">
        <v>388</v>
      </c>
      <c r="C390" s="31" t="s">
        <v>5396</v>
      </c>
      <c r="D390" s="36">
        <v>30</v>
      </c>
      <c r="E390" s="36">
        <v>213</v>
      </c>
      <c r="F390" s="36" t="s">
        <v>7600</v>
      </c>
      <c r="G390" s="36" t="s">
        <v>5397</v>
      </c>
      <c r="I390" s="33" t="s">
        <v>5396</v>
      </c>
      <c r="J390" s="34">
        <v>30</v>
      </c>
      <c r="K390" s="34">
        <v>213</v>
      </c>
      <c r="L390" s="34">
        <v>1</v>
      </c>
    </row>
    <row r="391" spans="2:12">
      <c r="B391" s="32">
        <v>389</v>
      </c>
      <c r="C391" s="31" t="s">
        <v>26</v>
      </c>
      <c r="D391" s="36">
        <v>30</v>
      </c>
      <c r="E391" s="36">
        <v>213</v>
      </c>
      <c r="F391" s="36" t="s">
        <v>7601</v>
      </c>
      <c r="G391" s="36" t="s">
        <v>27</v>
      </c>
      <c r="I391" s="33" t="s">
        <v>26</v>
      </c>
      <c r="J391" s="34">
        <v>30</v>
      </c>
      <c r="K391" s="34">
        <v>213</v>
      </c>
      <c r="L391" s="34">
        <v>2</v>
      </c>
    </row>
    <row r="392" ht="14.65" customHeight="1" spans="2:12">
      <c r="B392" s="32">
        <v>390</v>
      </c>
      <c r="C392" s="31" t="s">
        <v>1513</v>
      </c>
      <c r="D392" s="36">
        <v>30</v>
      </c>
      <c r="E392" s="36">
        <v>213</v>
      </c>
      <c r="F392" s="36" t="s">
        <v>7602</v>
      </c>
      <c r="G392" s="36" t="s">
        <v>1514</v>
      </c>
      <c r="I392" s="33" t="s">
        <v>1513</v>
      </c>
      <c r="J392" s="34">
        <v>30</v>
      </c>
      <c r="K392" s="34">
        <v>213</v>
      </c>
      <c r="L392" s="34">
        <v>3</v>
      </c>
    </row>
    <row r="393" spans="2:12">
      <c r="B393" s="32">
        <v>391</v>
      </c>
      <c r="C393" s="31" t="s">
        <v>4893</v>
      </c>
      <c r="D393" s="36">
        <v>30</v>
      </c>
      <c r="E393" s="36">
        <v>214</v>
      </c>
      <c r="F393" s="36" t="s">
        <v>7603</v>
      </c>
      <c r="G393" s="36" t="s">
        <v>4894</v>
      </c>
      <c r="I393" s="33" t="s">
        <v>4893</v>
      </c>
      <c r="J393" s="34">
        <v>30</v>
      </c>
      <c r="K393" s="34">
        <v>214</v>
      </c>
      <c r="L393" s="34">
        <v>1</v>
      </c>
    </row>
    <row r="394" spans="2:12">
      <c r="B394" s="32">
        <v>392</v>
      </c>
      <c r="C394" s="31" t="s">
        <v>7945</v>
      </c>
      <c r="D394" s="36">
        <v>30</v>
      </c>
      <c r="E394" s="36">
        <v>214</v>
      </c>
      <c r="F394" s="36" t="s">
        <v>7946</v>
      </c>
      <c r="G394" s="36" t="s">
        <v>3448</v>
      </c>
      <c r="I394" s="33" t="s">
        <v>7945</v>
      </c>
      <c r="J394" s="34">
        <v>30</v>
      </c>
      <c r="K394" s="34">
        <v>214</v>
      </c>
      <c r="L394" s="34">
        <v>2</v>
      </c>
    </row>
    <row r="395" spans="2:12">
      <c r="B395" s="32">
        <v>393</v>
      </c>
      <c r="C395" s="31" t="s">
        <v>2782</v>
      </c>
      <c r="D395" s="36">
        <v>30</v>
      </c>
      <c r="E395" s="36">
        <v>214</v>
      </c>
      <c r="F395" s="36" t="s">
        <v>7605</v>
      </c>
      <c r="G395" s="36" t="s">
        <v>2783</v>
      </c>
      <c r="I395" s="33" t="s">
        <v>2782</v>
      </c>
      <c r="J395" s="34">
        <v>30</v>
      </c>
      <c r="K395" s="34">
        <v>214</v>
      </c>
      <c r="L395" s="34">
        <v>3</v>
      </c>
    </row>
    <row r="396" spans="2:12">
      <c r="B396" s="32">
        <v>394</v>
      </c>
      <c r="C396" s="31" t="s">
        <v>1882</v>
      </c>
      <c r="D396" s="36">
        <v>30</v>
      </c>
      <c r="E396" s="36">
        <v>215</v>
      </c>
      <c r="F396" s="36" t="s">
        <v>7606</v>
      </c>
      <c r="G396" s="36" t="s">
        <v>1883</v>
      </c>
      <c r="I396" s="33" t="s">
        <v>1882</v>
      </c>
      <c r="J396" s="34">
        <v>30</v>
      </c>
      <c r="K396" s="34">
        <v>215</v>
      </c>
      <c r="L396" s="34">
        <v>1</v>
      </c>
    </row>
    <row r="397" spans="2:12">
      <c r="B397" s="32">
        <v>395</v>
      </c>
      <c r="C397" s="31" t="s">
        <v>3003</v>
      </c>
      <c r="D397" s="36">
        <v>30</v>
      </c>
      <c r="E397" s="36">
        <v>215</v>
      </c>
      <c r="F397" s="36" t="s">
        <v>7607</v>
      </c>
      <c r="G397" s="36" t="s">
        <v>3004</v>
      </c>
      <c r="I397" s="33" t="s">
        <v>3003</v>
      </c>
      <c r="J397" s="34">
        <v>30</v>
      </c>
      <c r="K397" s="34">
        <v>215</v>
      </c>
      <c r="L397" s="34">
        <v>2</v>
      </c>
    </row>
    <row r="398" spans="2:12">
      <c r="B398" s="32">
        <v>396</v>
      </c>
      <c r="C398" s="31" t="s">
        <v>4506</v>
      </c>
      <c r="D398" s="36">
        <v>30</v>
      </c>
      <c r="E398" s="36">
        <v>216</v>
      </c>
      <c r="F398" s="36" t="s">
        <v>7608</v>
      </c>
      <c r="G398" s="36" t="s">
        <v>4507</v>
      </c>
      <c r="I398" s="33" t="s">
        <v>4506</v>
      </c>
      <c r="J398" s="34">
        <v>30</v>
      </c>
      <c r="K398" s="34">
        <v>216</v>
      </c>
      <c r="L398" s="34">
        <v>1</v>
      </c>
    </row>
    <row r="399" spans="2:12">
      <c r="B399" s="32">
        <v>397</v>
      </c>
      <c r="C399" s="31" t="s">
        <v>1936</v>
      </c>
      <c r="D399" s="36">
        <v>30</v>
      </c>
      <c r="E399" s="36">
        <v>216</v>
      </c>
      <c r="F399" s="36" t="s">
        <v>7609</v>
      </c>
      <c r="G399" s="36" t="s">
        <v>1937</v>
      </c>
      <c r="I399" s="33" t="s">
        <v>1936</v>
      </c>
      <c r="J399" s="34">
        <v>30</v>
      </c>
      <c r="K399" s="34">
        <v>216</v>
      </c>
      <c r="L399" s="34">
        <v>2</v>
      </c>
    </row>
    <row r="400" spans="2:12">
      <c r="B400" s="32">
        <v>398</v>
      </c>
      <c r="C400" s="31" t="s">
        <v>3637</v>
      </c>
      <c r="D400" s="36">
        <v>30</v>
      </c>
      <c r="E400" s="36">
        <v>217</v>
      </c>
      <c r="F400" s="36" t="s">
        <v>7610</v>
      </c>
      <c r="G400" s="36" t="s">
        <v>3638</v>
      </c>
      <c r="I400" s="33" t="s">
        <v>3637</v>
      </c>
      <c r="J400" s="34">
        <v>30</v>
      </c>
      <c r="K400" s="34">
        <v>217</v>
      </c>
      <c r="L400" s="34">
        <v>1</v>
      </c>
    </row>
    <row r="401" spans="2:12">
      <c r="B401" s="32">
        <v>399</v>
      </c>
      <c r="C401" s="31" t="s">
        <v>1035</v>
      </c>
      <c r="D401" s="36">
        <v>30</v>
      </c>
      <c r="E401" s="36">
        <v>217</v>
      </c>
      <c r="F401" s="36" t="s">
        <v>7611</v>
      </c>
      <c r="G401" s="36" t="s">
        <v>1036</v>
      </c>
      <c r="I401" s="33" t="s">
        <v>1035</v>
      </c>
      <c r="J401" s="34">
        <v>30</v>
      </c>
      <c r="K401" s="34">
        <v>217</v>
      </c>
      <c r="L401" s="34">
        <v>2</v>
      </c>
    </row>
    <row r="402" spans="2:12">
      <c r="B402" s="32">
        <v>400</v>
      </c>
      <c r="C402" s="31" t="s">
        <v>2988</v>
      </c>
      <c r="D402" s="36">
        <v>30</v>
      </c>
      <c r="E402" s="36">
        <v>217</v>
      </c>
      <c r="F402" s="36" t="s">
        <v>6869</v>
      </c>
      <c r="G402" s="36" t="s">
        <v>2989</v>
      </c>
      <c r="I402" s="33" t="s">
        <v>2988</v>
      </c>
      <c r="J402" s="34">
        <v>30</v>
      </c>
      <c r="K402" s="34">
        <v>217</v>
      </c>
      <c r="L402" s="34">
        <v>3</v>
      </c>
    </row>
    <row r="403" spans="2:12">
      <c r="B403" s="32">
        <v>401</v>
      </c>
      <c r="C403" s="31" t="s">
        <v>2311</v>
      </c>
      <c r="D403" s="36">
        <v>30</v>
      </c>
      <c r="E403" s="36">
        <v>218</v>
      </c>
      <c r="F403" s="36" t="s">
        <v>6885</v>
      </c>
      <c r="G403" s="36" t="s">
        <v>2312</v>
      </c>
      <c r="I403" s="33" t="s">
        <v>2311</v>
      </c>
      <c r="J403" s="34">
        <v>30</v>
      </c>
      <c r="K403" s="34">
        <v>218</v>
      </c>
      <c r="L403" s="34">
        <v>1</v>
      </c>
    </row>
    <row r="404" spans="2:12">
      <c r="B404" s="32">
        <v>402</v>
      </c>
      <c r="C404" s="31" t="s">
        <v>1424</v>
      </c>
      <c r="D404" s="36">
        <v>30</v>
      </c>
      <c r="E404" s="36">
        <v>218</v>
      </c>
      <c r="F404" s="36" t="s">
        <v>6694</v>
      </c>
      <c r="G404" s="36" t="s">
        <v>1425</v>
      </c>
      <c r="I404" s="33" t="s">
        <v>1424</v>
      </c>
      <c r="J404" s="34">
        <v>30</v>
      </c>
      <c r="K404" s="34">
        <v>218</v>
      </c>
      <c r="L404" s="34">
        <v>2</v>
      </c>
    </row>
    <row r="405" spans="2:12">
      <c r="B405" s="32">
        <v>403</v>
      </c>
      <c r="C405" s="31" t="s">
        <v>5117</v>
      </c>
      <c r="D405" s="36">
        <v>30</v>
      </c>
      <c r="E405" s="36">
        <v>218</v>
      </c>
      <c r="F405" s="36" t="s">
        <v>7612</v>
      </c>
      <c r="G405" s="36" t="s">
        <v>5118</v>
      </c>
      <c r="I405" s="33" t="s">
        <v>5117</v>
      </c>
      <c r="J405" s="34">
        <v>30</v>
      </c>
      <c r="K405" s="34">
        <v>218</v>
      </c>
      <c r="L405" s="34">
        <v>3</v>
      </c>
    </row>
    <row r="406" spans="2:12">
      <c r="B406" s="32">
        <v>404</v>
      </c>
      <c r="C406" s="31" t="s">
        <v>5798</v>
      </c>
      <c r="D406" s="36">
        <v>30</v>
      </c>
      <c r="E406" s="36">
        <v>219</v>
      </c>
      <c r="F406" s="36" t="s">
        <v>6711</v>
      </c>
      <c r="G406" s="36" t="s">
        <v>5799</v>
      </c>
      <c r="I406" s="33" t="s">
        <v>5798</v>
      </c>
      <c r="J406" s="34">
        <v>30</v>
      </c>
      <c r="K406" s="34">
        <v>219</v>
      </c>
      <c r="L406" s="34">
        <v>1</v>
      </c>
    </row>
    <row r="407" spans="2:12">
      <c r="B407" s="32">
        <v>405</v>
      </c>
      <c r="C407" s="31" t="s">
        <v>4164</v>
      </c>
      <c r="D407" s="36">
        <v>30</v>
      </c>
      <c r="E407" s="36">
        <v>219</v>
      </c>
      <c r="F407" s="36" t="s">
        <v>7324</v>
      </c>
      <c r="G407" s="36" t="s">
        <v>4165</v>
      </c>
      <c r="I407" s="33" t="s">
        <v>4164</v>
      </c>
      <c r="J407" s="34">
        <v>30</v>
      </c>
      <c r="K407" s="34">
        <v>219</v>
      </c>
      <c r="L407" s="34">
        <v>2</v>
      </c>
    </row>
    <row r="408" spans="2:12">
      <c r="B408" s="32">
        <v>406</v>
      </c>
      <c r="C408" s="31" t="s">
        <v>4797</v>
      </c>
      <c r="D408" s="36">
        <v>30</v>
      </c>
      <c r="E408" s="36">
        <v>219</v>
      </c>
      <c r="F408" s="36" t="s">
        <v>6713</v>
      </c>
      <c r="G408" s="36" t="s">
        <v>4798</v>
      </c>
      <c r="I408" s="33" t="s">
        <v>4797</v>
      </c>
      <c r="J408" s="34">
        <v>30</v>
      </c>
      <c r="K408" s="34">
        <v>219</v>
      </c>
      <c r="L408" s="34">
        <v>3</v>
      </c>
    </row>
    <row r="409" spans="2:12">
      <c r="B409" s="32">
        <v>407</v>
      </c>
      <c r="C409" s="31" t="s">
        <v>5264</v>
      </c>
      <c r="D409" s="36">
        <v>30</v>
      </c>
      <c r="E409" s="36">
        <v>220</v>
      </c>
      <c r="F409" s="36" t="s">
        <v>6654</v>
      </c>
      <c r="G409" s="36" t="s">
        <v>5265</v>
      </c>
      <c r="I409" s="33" t="s">
        <v>5264</v>
      </c>
      <c r="J409" s="34">
        <v>30</v>
      </c>
      <c r="K409" s="34">
        <v>220</v>
      </c>
      <c r="L409" s="34">
        <v>1</v>
      </c>
    </row>
    <row r="410" spans="2:12">
      <c r="B410" s="32">
        <v>408</v>
      </c>
      <c r="C410" s="31" t="s">
        <v>4750</v>
      </c>
      <c r="D410" s="36">
        <v>30</v>
      </c>
      <c r="E410" s="36">
        <v>220</v>
      </c>
      <c r="F410" s="36" t="s">
        <v>7613</v>
      </c>
      <c r="G410" s="36" t="s">
        <v>4751</v>
      </c>
      <c r="I410" s="33" t="s">
        <v>4750</v>
      </c>
      <c r="J410" s="34">
        <v>30</v>
      </c>
      <c r="K410" s="34">
        <v>220</v>
      </c>
      <c r="L410" s="34">
        <v>2</v>
      </c>
    </row>
    <row r="411" spans="2:12">
      <c r="B411" s="32">
        <v>409</v>
      </c>
      <c r="C411" s="31" t="s">
        <v>2047</v>
      </c>
      <c r="D411" s="36">
        <v>30</v>
      </c>
      <c r="E411" s="36">
        <v>220</v>
      </c>
      <c r="F411" s="36" t="s">
        <v>7614</v>
      </c>
      <c r="G411" s="36" t="s">
        <v>2048</v>
      </c>
      <c r="I411" s="33" t="s">
        <v>2047</v>
      </c>
      <c r="J411" s="34">
        <v>30</v>
      </c>
      <c r="K411" s="34">
        <v>220</v>
      </c>
      <c r="L411" s="34">
        <v>3</v>
      </c>
    </row>
    <row r="412" spans="2:12">
      <c r="B412" s="32">
        <v>410</v>
      </c>
      <c r="C412" s="31" t="s">
        <v>2088</v>
      </c>
      <c r="D412" s="36">
        <v>31</v>
      </c>
      <c r="E412" s="36">
        <v>101</v>
      </c>
      <c r="F412" s="36" t="s">
        <v>7616</v>
      </c>
      <c r="G412" s="36" t="s">
        <v>2089</v>
      </c>
      <c r="I412" s="33" t="s">
        <v>2088</v>
      </c>
      <c r="J412" s="34">
        <v>31</v>
      </c>
      <c r="K412" s="34">
        <v>101</v>
      </c>
      <c r="L412" s="34">
        <v>1</v>
      </c>
    </row>
    <row r="413" spans="2:12">
      <c r="B413" s="32">
        <v>411</v>
      </c>
      <c r="C413" s="31" t="s">
        <v>1800</v>
      </c>
      <c r="D413" s="36">
        <v>31</v>
      </c>
      <c r="E413" s="36">
        <v>101</v>
      </c>
      <c r="F413" s="36" t="s">
        <v>6768</v>
      </c>
      <c r="G413" s="36" t="s">
        <v>1801</v>
      </c>
      <c r="I413" s="33" t="s">
        <v>1800</v>
      </c>
      <c r="J413" s="34">
        <v>31</v>
      </c>
      <c r="K413" s="34">
        <v>101</v>
      </c>
      <c r="L413" s="34">
        <v>2</v>
      </c>
    </row>
    <row r="414" spans="2:12">
      <c r="B414" s="32">
        <v>412</v>
      </c>
      <c r="C414" s="31" t="s">
        <v>1947</v>
      </c>
      <c r="D414" s="36">
        <v>31</v>
      </c>
      <c r="E414" s="36">
        <v>101</v>
      </c>
      <c r="F414" s="36" t="s">
        <v>6744</v>
      </c>
      <c r="G414" s="36" t="s">
        <v>1948</v>
      </c>
      <c r="I414" s="33" t="s">
        <v>1947</v>
      </c>
      <c r="J414" s="34">
        <v>31</v>
      </c>
      <c r="K414" s="34">
        <v>101</v>
      </c>
      <c r="L414" s="34">
        <v>3</v>
      </c>
    </row>
    <row r="415" spans="2:12">
      <c r="B415" s="32">
        <v>413</v>
      </c>
      <c r="C415" s="31" t="s">
        <v>883</v>
      </c>
      <c r="D415" s="36">
        <v>31</v>
      </c>
      <c r="E415" s="36">
        <v>102</v>
      </c>
      <c r="F415" s="36" t="s">
        <v>7617</v>
      </c>
      <c r="G415" s="36" t="s">
        <v>884</v>
      </c>
      <c r="I415" s="33" t="s">
        <v>883</v>
      </c>
      <c r="J415" s="34">
        <v>31</v>
      </c>
      <c r="K415" s="34">
        <v>102</v>
      </c>
      <c r="L415" s="34">
        <v>1</v>
      </c>
    </row>
    <row r="416" spans="2:12">
      <c r="B416" s="32">
        <v>414</v>
      </c>
      <c r="C416" s="31" t="s">
        <v>4715</v>
      </c>
      <c r="D416" s="36">
        <v>31</v>
      </c>
      <c r="E416" s="36">
        <v>102</v>
      </c>
      <c r="F416" s="36" t="s">
        <v>6734</v>
      </c>
      <c r="G416" s="36" t="s">
        <v>4716</v>
      </c>
      <c r="I416" s="33" t="s">
        <v>4715</v>
      </c>
      <c r="J416" s="34">
        <v>31</v>
      </c>
      <c r="K416" s="34">
        <v>102</v>
      </c>
      <c r="L416" s="34">
        <v>2</v>
      </c>
    </row>
    <row r="417" spans="2:12">
      <c r="B417" s="32">
        <v>415</v>
      </c>
      <c r="C417" s="31" t="s">
        <v>1757</v>
      </c>
      <c r="D417" s="36">
        <v>31</v>
      </c>
      <c r="E417" s="36">
        <v>102</v>
      </c>
      <c r="F417" s="36" t="s">
        <v>7618</v>
      </c>
      <c r="G417" s="36" t="s">
        <v>1758</v>
      </c>
      <c r="I417" s="33" t="s">
        <v>1757</v>
      </c>
      <c r="J417" s="34">
        <v>31</v>
      </c>
      <c r="K417" s="34">
        <v>102</v>
      </c>
      <c r="L417" s="34">
        <v>3</v>
      </c>
    </row>
    <row r="418" spans="2:12">
      <c r="B418" s="32">
        <v>416</v>
      </c>
      <c r="C418" s="31" t="s">
        <v>1893</v>
      </c>
      <c r="D418" s="36">
        <v>31</v>
      </c>
      <c r="E418" s="36">
        <v>103</v>
      </c>
      <c r="F418" s="36" t="s">
        <v>7619</v>
      </c>
      <c r="G418" s="36" t="s">
        <v>1894</v>
      </c>
      <c r="I418" s="33" t="s">
        <v>1893</v>
      </c>
      <c r="J418" s="34">
        <v>31</v>
      </c>
      <c r="K418" s="34">
        <v>103</v>
      </c>
      <c r="L418" s="34">
        <v>1</v>
      </c>
    </row>
    <row r="419" spans="2:12">
      <c r="B419" s="32">
        <v>417</v>
      </c>
      <c r="C419" s="31" t="s">
        <v>2208</v>
      </c>
      <c r="D419" s="36">
        <v>31</v>
      </c>
      <c r="E419" s="36">
        <v>103</v>
      </c>
      <c r="F419" s="36" t="s">
        <v>7620</v>
      </c>
      <c r="G419" s="36" t="s">
        <v>2209</v>
      </c>
      <c r="I419" s="33" t="s">
        <v>2208</v>
      </c>
      <c r="J419" s="34">
        <v>31</v>
      </c>
      <c r="K419" s="34">
        <v>103</v>
      </c>
      <c r="L419" s="34">
        <v>2</v>
      </c>
    </row>
    <row r="420" spans="2:12">
      <c r="B420" s="32">
        <v>418</v>
      </c>
      <c r="C420" s="31" t="s">
        <v>1254</v>
      </c>
      <c r="D420" s="36">
        <v>31</v>
      </c>
      <c r="E420" s="36">
        <v>103</v>
      </c>
      <c r="F420" s="36" t="s">
        <v>7621</v>
      </c>
      <c r="G420" s="36" t="s">
        <v>1255</v>
      </c>
      <c r="I420" s="33" t="s">
        <v>1254</v>
      </c>
      <c r="J420" s="34">
        <v>31</v>
      </c>
      <c r="K420" s="34">
        <v>103</v>
      </c>
      <c r="L420" s="34">
        <v>3</v>
      </c>
    </row>
    <row r="421" spans="2:12">
      <c r="B421" s="32">
        <v>419</v>
      </c>
      <c r="C421" s="31" t="s">
        <v>2017</v>
      </c>
      <c r="D421" s="36">
        <v>31</v>
      </c>
      <c r="E421" s="36">
        <v>104</v>
      </c>
      <c r="F421" s="36" t="s">
        <v>7622</v>
      </c>
      <c r="G421" s="36" t="s">
        <v>2018</v>
      </c>
      <c r="I421" s="33" t="s">
        <v>2017</v>
      </c>
      <c r="J421" s="34">
        <v>31</v>
      </c>
      <c r="K421" s="34">
        <v>104</v>
      </c>
      <c r="L421" s="34">
        <v>1</v>
      </c>
    </row>
    <row r="422" spans="2:12">
      <c r="B422" s="32">
        <v>420</v>
      </c>
      <c r="C422" s="31" t="s">
        <v>7947</v>
      </c>
      <c r="D422" s="36">
        <v>31</v>
      </c>
      <c r="E422" s="36">
        <v>104</v>
      </c>
      <c r="F422" s="36" t="s">
        <v>7623</v>
      </c>
      <c r="G422" s="36" t="s">
        <v>5242</v>
      </c>
      <c r="I422" s="33" t="s">
        <v>7947</v>
      </c>
      <c r="J422" s="34">
        <v>31</v>
      </c>
      <c r="K422" s="34">
        <v>104</v>
      </c>
      <c r="L422" s="34">
        <v>2</v>
      </c>
    </row>
    <row r="423" spans="2:12">
      <c r="B423" s="32">
        <v>421</v>
      </c>
      <c r="C423" s="31" t="s">
        <v>1409</v>
      </c>
      <c r="D423" s="36">
        <v>31</v>
      </c>
      <c r="E423" s="36">
        <v>104</v>
      </c>
      <c r="F423" s="36" t="s">
        <v>6773</v>
      </c>
      <c r="G423" s="36" t="s">
        <v>1410</v>
      </c>
      <c r="I423" s="33" t="s">
        <v>1409</v>
      </c>
      <c r="J423" s="34">
        <v>31</v>
      </c>
      <c r="K423" s="34">
        <v>104</v>
      </c>
      <c r="L423" s="34">
        <v>3</v>
      </c>
    </row>
    <row r="424" spans="2:12">
      <c r="B424" s="32">
        <v>422</v>
      </c>
      <c r="C424" s="31" t="s">
        <v>5026</v>
      </c>
      <c r="D424" s="36">
        <v>31</v>
      </c>
      <c r="E424" s="36">
        <v>105</v>
      </c>
      <c r="F424" s="36" t="s">
        <v>7624</v>
      </c>
      <c r="G424" s="36" t="s">
        <v>5027</v>
      </c>
      <c r="I424" s="33" t="s">
        <v>5026</v>
      </c>
      <c r="J424" s="34">
        <v>31</v>
      </c>
      <c r="K424" s="34">
        <v>105</v>
      </c>
      <c r="L424" s="34">
        <v>1</v>
      </c>
    </row>
    <row r="425" spans="2:12">
      <c r="B425" s="32">
        <v>423</v>
      </c>
      <c r="C425" s="31" t="s">
        <v>245</v>
      </c>
      <c r="D425" s="36">
        <v>31</v>
      </c>
      <c r="E425" s="36">
        <v>105</v>
      </c>
      <c r="F425" s="36" t="s">
        <v>7625</v>
      </c>
      <c r="G425" s="36" t="s">
        <v>246</v>
      </c>
      <c r="I425" s="33" t="s">
        <v>245</v>
      </c>
      <c r="J425" s="34">
        <v>31</v>
      </c>
      <c r="K425" s="34">
        <v>105</v>
      </c>
      <c r="L425" s="34">
        <v>2</v>
      </c>
    </row>
    <row r="426" spans="2:12">
      <c r="B426" s="32">
        <v>424</v>
      </c>
      <c r="C426" s="31" t="s">
        <v>5704</v>
      </c>
      <c r="D426" s="36">
        <v>31</v>
      </c>
      <c r="E426" s="36">
        <v>105</v>
      </c>
      <c r="F426" s="36" t="s">
        <v>7626</v>
      </c>
      <c r="G426" s="36" t="s">
        <v>5705</v>
      </c>
      <c r="I426" s="33" t="s">
        <v>5704</v>
      </c>
      <c r="J426" s="34">
        <v>31</v>
      </c>
      <c r="K426" s="34">
        <v>105</v>
      </c>
      <c r="L426" s="34">
        <v>3</v>
      </c>
    </row>
    <row r="427" spans="2:12">
      <c r="B427" s="32">
        <v>425</v>
      </c>
      <c r="C427" s="31" t="s">
        <v>4427</v>
      </c>
      <c r="D427" s="36">
        <v>31</v>
      </c>
      <c r="E427" s="36">
        <v>106</v>
      </c>
      <c r="F427" s="36" t="s">
        <v>7627</v>
      </c>
      <c r="G427" s="36" t="s">
        <v>4428</v>
      </c>
      <c r="I427" s="33" t="s">
        <v>4427</v>
      </c>
      <c r="J427" s="34">
        <v>31</v>
      </c>
      <c r="K427" s="34">
        <v>106</v>
      </c>
      <c r="L427" s="34">
        <v>1</v>
      </c>
    </row>
    <row r="428" spans="2:12">
      <c r="B428" s="32">
        <v>426</v>
      </c>
      <c r="C428" s="31" t="s">
        <v>3523</v>
      </c>
      <c r="D428" s="36">
        <v>31</v>
      </c>
      <c r="E428" s="36">
        <v>106</v>
      </c>
      <c r="F428" s="36" t="s">
        <v>7628</v>
      </c>
      <c r="G428" s="36" t="s">
        <v>3524</v>
      </c>
      <c r="I428" s="33" t="s">
        <v>3523</v>
      </c>
      <c r="J428" s="34">
        <v>31</v>
      </c>
      <c r="K428" s="34">
        <v>106</v>
      </c>
      <c r="L428" s="34">
        <v>2</v>
      </c>
    </row>
    <row r="429" spans="2:12">
      <c r="B429" s="32">
        <v>427</v>
      </c>
      <c r="C429" s="31" t="s">
        <v>2148</v>
      </c>
      <c r="D429" s="36">
        <v>31</v>
      </c>
      <c r="E429" s="36">
        <v>106</v>
      </c>
      <c r="F429" s="36" t="s">
        <v>7629</v>
      </c>
      <c r="G429" s="36" t="s">
        <v>2149</v>
      </c>
      <c r="I429" s="33" t="s">
        <v>2148</v>
      </c>
      <c r="J429" s="34">
        <v>31</v>
      </c>
      <c r="K429" s="34">
        <v>106</v>
      </c>
      <c r="L429" s="34">
        <v>3</v>
      </c>
    </row>
    <row r="430" spans="2:12">
      <c r="B430" s="32">
        <v>428</v>
      </c>
      <c r="C430" s="31" t="s">
        <v>274</v>
      </c>
      <c r="D430" s="36">
        <v>31</v>
      </c>
      <c r="E430" s="36">
        <v>107</v>
      </c>
      <c r="F430" s="36" t="s">
        <v>7630</v>
      </c>
      <c r="G430" s="36" t="s">
        <v>275</v>
      </c>
      <c r="I430" s="33" t="s">
        <v>274</v>
      </c>
      <c r="J430" s="34">
        <v>31</v>
      </c>
      <c r="K430" s="34">
        <v>107</v>
      </c>
      <c r="L430" s="34">
        <v>1</v>
      </c>
    </row>
    <row r="431" spans="2:12">
      <c r="B431" s="32">
        <v>429</v>
      </c>
      <c r="C431" s="31" t="s">
        <v>1105</v>
      </c>
      <c r="D431" s="36">
        <v>31</v>
      </c>
      <c r="E431" s="36">
        <v>107</v>
      </c>
      <c r="F431" s="36" t="s">
        <v>7631</v>
      </c>
      <c r="G431" s="36" t="s">
        <v>1106</v>
      </c>
      <c r="I431" s="33" t="s">
        <v>1105</v>
      </c>
      <c r="J431" s="34">
        <v>31</v>
      </c>
      <c r="K431" s="34">
        <v>107</v>
      </c>
      <c r="L431" s="34">
        <v>2</v>
      </c>
    </row>
    <row r="432" spans="2:12">
      <c r="B432" s="32">
        <v>430</v>
      </c>
      <c r="C432" s="31" t="s">
        <v>1811</v>
      </c>
      <c r="D432" s="36">
        <v>31</v>
      </c>
      <c r="E432" s="36">
        <v>107</v>
      </c>
      <c r="F432" s="36" t="s">
        <v>7632</v>
      </c>
      <c r="G432" s="36" t="s">
        <v>1812</v>
      </c>
      <c r="I432" s="33" t="s">
        <v>1811</v>
      </c>
      <c r="J432" s="34">
        <v>31</v>
      </c>
      <c r="K432" s="34">
        <v>107</v>
      </c>
      <c r="L432" s="34">
        <v>3</v>
      </c>
    </row>
    <row r="433" spans="2:12">
      <c r="B433" s="32">
        <v>431</v>
      </c>
      <c r="C433" s="31" t="s">
        <v>4942</v>
      </c>
      <c r="D433" s="36">
        <v>31</v>
      </c>
      <c r="E433" s="36">
        <v>108</v>
      </c>
      <c r="F433" s="36" t="s">
        <v>7633</v>
      </c>
      <c r="G433" s="36" t="s">
        <v>4943</v>
      </c>
      <c r="I433" s="33" t="s">
        <v>4942</v>
      </c>
      <c r="J433" s="34">
        <v>31</v>
      </c>
      <c r="K433" s="34">
        <v>108</v>
      </c>
      <c r="L433" s="34">
        <v>1</v>
      </c>
    </row>
    <row r="434" spans="2:12">
      <c r="B434" s="32">
        <v>432</v>
      </c>
      <c r="C434" s="31" t="s">
        <v>127</v>
      </c>
      <c r="D434" s="36">
        <v>31</v>
      </c>
      <c r="E434" s="36">
        <v>108</v>
      </c>
      <c r="F434" s="36" t="s">
        <v>6740</v>
      </c>
      <c r="G434" s="36" t="s">
        <v>128</v>
      </c>
      <c r="I434" s="33" t="s">
        <v>127</v>
      </c>
      <c r="J434" s="34">
        <v>31</v>
      </c>
      <c r="K434" s="34">
        <v>108</v>
      </c>
      <c r="L434" s="34">
        <v>2</v>
      </c>
    </row>
    <row r="435" spans="2:12">
      <c r="B435" s="32">
        <v>433</v>
      </c>
      <c r="C435" s="31" t="s">
        <v>2547</v>
      </c>
      <c r="D435" s="36">
        <v>31</v>
      </c>
      <c r="E435" s="36">
        <v>108</v>
      </c>
      <c r="F435" s="36" t="s">
        <v>6769</v>
      </c>
      <c r="G435" s="36" t="s">
        <v>2548</v>
      </c>
      <c r="I435" s="33" t="s">
        <v>2547</v>
      </c>
      <c r="J435" s="34">
        <v>31</v>
      </c>
      <c r="K435" s="34">
        <v>108</v>
      </c>
      <c r="L435" s="34">
        <v>3</v>
      </c>
    </row>
    <row r="436" spans="2:12">
      <c r="B436" s="32">
        <v>434</v>
      </c>
      <c r="C436" s="31" t="s">
        <v>3844</v>
      </c>
      <c r="D436" s="36">
        <v>31</v>
      </c>
      <c r="E436" s="36">
        <v>109</v>
      </c>
      <c r="F436" s="36" t="s">
        <v>6720</v>
      </c>
      <c r="G436" s="36" t="s">
        <v>3845</v>
      </c>
      <c r="I436" s="33" t="s">
        <v>3844</v>
      </c>
      <c r="J436" s="34">
        <v>31</v>
      </c>
      <c r="K436" s="34">
        <v>109</v>
      </c>
      <c r="L436" s="34">
        <v>1</v>
      </c>
    </row>
    <row r="437" spans="2:12">
      <c r="B437" s="32">
        <v>435</v>
      </c>
      <c r="C437" s="31" t="s">
        <v>3799</v>
      </c>
      <c r="D437" s="36">
        <v>31</v>
      </c>
      <c r="E437" s="36">
        <v>109</v>
      </c>
      <c r="F437" s="36" t="s">
        <v>7634</v>
      </c>
      <c r="G437" s="36" t="s">
        <v>3800</v>
      </c>
      <c r="I437" s="33" t="s">
        <v>3799</v>
      </c>
      <c r="J437" s="34">
        <v>31</v>
      </c>
      <c r="K437" s="34">
        <v>109</v>
      </c>
      <c r="L437" s="34">
        <v>2</v>
      </c>
    </row>
    <row r="438" spans="2:12">
      <c r="B438" s="32">
        <v>436</v>
      </c>
      <c r="C438" s="31" t="s">
        <v>5431</v>
      </c>
      <c r="D438" s="36">
        <v>31</v>
      </c>
      <c r="E438" s="36">
        <v>110</v>
      </c>
      <c r="F438" s="36" t="s">
        <v>7635</v>
      </c>
      <c r="G438" s="36" t="s">
        <v>5432</v>
      </c>
      <c r="I438" s="33" t="s">
        <v>5431</v>
      </c>
      <c r="J438" s="34">
        <v>31</v>
      </c>
      <c r="K438" s="34">
        <v>110</v>
      </c>
      <c r="L438" s="34">
        <v>1</v>
      </c>
    </row>
    <row r="439" spans="2:12">
      <c r="B439" s="32">
        <v>437</v>
      </c>
      <c r="C439" s="31" t="s">
        <v>3835</v>
      </c>
      <c r="D439" s="36">
        <v>31</v>
      </c>
      <c r="E439" s="36">
        <v>110</v>
      </c>
      <c r="F439" s="36" t="s">
        <v>7636</v>
      </c>
      <c r="G439" s="36" t="s">
        <v>3836</v>
      </c>
      <c r="I439" s="33" t="s">
        <v>3835</v>
      </c>
      <c r="J439" s="34">
        <v>31</v>
      </c>
      <c r="K439" s="34">
        <v>110</v>
      </c>
      <c r="L439" s="34">
        <v>2</v>
      </c>
    </row>
    <row r="440" spans="2:12">
      <c r="B440" s="32">
        <v>438</v>
      </c>
      <c r="C440" s="31" t="s">
        <v>3097</v>
      </c>
      <c r="D440" s="36">
        <v>31</v>
      </c>
      <c r="E440" s="36">
        <v>110</v>
      </c>
      <c r="F440" s="36" t="s">
        <v>7637</v>
      </c>
      <c r="G440" s="36" t="s">
        <v>3098</v>
      </c>
      <c r="I440" s="33" t="s">
        <v>3097</v>
      </c>
      <c r="J440" s="34">
        <v>31</v>
      </c>
      <c r="K440" s="34">
        <v>110</v>
      </c>
      <c r="L440" s="34">
        <v>3</v>
      </c>
    </row>
    <row r="441" spans="2:12">
      <c r="B441" s="32">
        <v>439</v>
      </c>
      <c r="C441" s="31" t="s">
        <v>741</v>
      </c>
      <c r="D441" s="36">
        <v>31</v>
      </c>
      <c r="E441" s="36">
        <v>111</v>
      </c>
      <c r="F441" s="36" t="s">
        <v>7638</v>
      </c>
      <c r="G441" s="36" t="s">
        <v>742</v>
      </c>
      <c r="I441" s="33" t="s">
        <v>741</v>
      </c>
      <c r="J441" s="34">
        <v>31</v>
      </c>
      <c r="K441" s="34">
        <v>111</v>
      </c>
      <c r="L441" s="34">
        <v>1</v>
      </c>
    </row>
    <row r="442" spans="2:12">
      <c r="B442" s="32">
        <v>440</v>
      </c>
      <c r="C442" s="31" t="s">
        <v>372</v>
      </c>
      <c r="D442" s="36">
        <v>31</v>
      </c>
      <c r="E442" s="36">
        <v>111</v>
      </c>
      <c r="F442" s="36" t="s">
        <v>7639</v>
      </c>
      <c r="G442" s="36" t="s">
        <v>373</v>
      </c>
      <c r="I442" s="33" t="s">
        <v>372</v>
      </c>
      <c r="J442" s="34">
        <v>31</v>
      </c>
      <c r="K442" s="34">
        <v>111</v>
      </c>
      <c r="L442" s="34">
        <v>2</v>
      </c>
    </row>
    <row r="443" spans="2:12">
      <c r="B443" s="32">
        <v>441</v>
      </c>
      <c r="C443" s="31" t="s">
        <v>1418</v>
      </c>
      <c r="D443" s="36">
        <v>31</v>
      </c>
      <c r="E443" s="36">
        <v>112</v>
      </c>
      <c r="F443" s="36" t="s">
        <v>7640</v>
      </c>
      <c r="G443" s="36" t="s">
        <v>1419</v>
      </c>
      <c r="I443" s="33" t="s">
        <v>1418</v>
      </c>
      <c r="J443" s="34">
        <v>31</v>
      </c>
      <c r="K443" s="34">
        <v>112</v>
      </c>
      <c r="L443" s="34">
        <v>1</v>
      </c>
    </row>
    <row r="444" spans="2:12">
      <c r="B444" s="32">
        <v>442</v>
      </c>
      <c r="C444" s="31" t="s">
        <v>2000</v>
      </c>
      <c r="D444" s="36">
        <v>31</v>
      </c>
      <c r="E444" s="36">
        <v>112</v>
      </c>
      <c r="F444" s="36" t="s">
        <v>6701</v>
      </c>
      <c r="G444" s="36" t="s">
        <v>2001</v>
      </c>
      <c r="I444" s="33" t="s">
        <v>2000</v>
      </c>
      <c r="J444" s="34">
        <v>31</v>
      </c>
      <c r="K444" s="34">
        <v>112</v>
      </c>
      <c r="L444" s="34">
        <v>2</v>
      </c>
    </row>
    <row r="445" spans="2:12">
      <c r="B445" s="32">
        <v>447</v>
      </c>
      <c r="C445" s="31" t="s">
        <v>3308</v>
      </c>
      <c r="D445" s="36">
        <v>31</v>
      </c>
      <c r="E445" s="36">
        <v>114</v>
      </c>
      <c r="F445" s="36" t="s">
        <v>6754</v>
      </c>
      <c r="G445" s="36" t="s">
        <v>3309</v>
      </c>
      <c r="I445" s="33" t="s">
        <v>3308</v>
      </c>
      <c r="J445" s="34">
        <v>31</v>
      </c>
      <c r="K445" s="34">
        <v>113</v>
      </c>
      <c r="L445" s="34">
        <v>1</v>
      </c>
    </row>
    <row r="446" spans="2:12">
      <c r="B446" s="32">
        <v>444</v>
      </c>
      <c r="C446" s="31" t="s">
        <v>3059</v>
      </c>
      <c r="D446" s="36">
        <v>31</v>
      </c>
      <c r="E446" s="36">
        <v>113</v>
      </c>
      <c r="F446" s="36" t="s">
        <v>7642</v>
      </c>
      <c r="G446" s="36" t="s">
        <v>3060</v>
      </c>
      <c r="I446" s="33" t="s">
        <v>3059</v>
      </c>
      <c r="J446" s="34">
        <v>31</v>
      </c>
      <c r="K446" s="34">
        <v>113</v>
      </c>
      <c r="L446" s="34">
        <v>2</v>
      </c>
    </row>
    <row r="447" spans="2:12">
      <c r="B447" s="32">
        <v>445</v>
      </c>
      <c r="C447" s="31" t="s">
        <v>2526</v>
      </c>
      <c r="D447" s="36">
        <v>31</v>
      </c>
      <c r="E447" s="36">
        <v>113</v>
      </c>
      <c r="F447" s="36" t="s">
        <v>7643</v>
      </c>
      <c r="G447" s="36" t="s">
        <v>2527</v>
      </c>
      <c r="I447" s="33" t="s">
        <v>2526</v>
      </c>
      <c r="J447" s="34">
        <v>31</v>
      </c>
      <c r="K447" s="34">
        <v>113</v>
      </c>
      <c r="L447" s="34">
        <v>3</v>
      </c>
    </row>
    <row r="448" spans="2:12">
      <c r="B448" s="32">
        <v>446</v>
      </c>
      <c r="C448" s="31" t="s">
        <v>5849</v>
      </c>
      <c r="D448" s="36">
        <v>31</v>
      </c>
      <c r="E448" s="36">
        <v>114</v>
      </c>
      <c r="F448" s="36" t="s">
        <v>6725</v>
      </c>
      <c r="G448" s="36" t="s">
        <v>5850</v>
      </c>
      <c r="I448" s="33" t="s">
        <v>5849</v>
      </c>
      <c r="J448" s="34">
        <v>31</v>
      </c>
      <c r="K448" s="34">
        <v>114</v>
      </c>
      <c r="L448" s="34">
        <v>1</v>
      </c>
    </row>
    <row r="449" spans="2:12">
      <c r="B449" s="32">
        <v>443</v>
      </c>
      <c r="C449" s="31" t="s">
        <v>92</v>
      </c>
      <c r="D449" s="36">
        <v>31</v>
      </c>
      <c r="E449" s="36">
        <v>113</v>
      </c>
      <c r="F449" s="36" t="s">
        <v>7641</v>
      </c>
      <c r="G449" s="36" t="s">
        <v>93</v>
      </c>
      <c r="I449" s="33" t="s">
        <v>92</v>
      </c>
      <c r="J449" s="34">
        <v>31</v>
      </c>
      <c r="K449" s="34">
        <v>114</v>
      </c>
      <c r="L449" s="34">
        <v>2</v>
      </c>
    </row>
    <row r="450" spans="2:12">
      <c r="B450" s="32">
        <v>448</v>
      </c>
      <c r="C450" s="31" t="s">
        <v>4054</v>
      </c>
      <c r="D450" s="36">
        <v>31</v>
      </c>
      <c r="E450" s="36">
        <v>114</v>
      </c>
      <c r="F450" s="36" t="s">
        <v>7644</v>
      </c>
      <c r="G450" s="36" t="s">
        <v>4055</v>
      </c>
      <c r="I450" s="33" t="s">
        <v>4054</v>
      </c>
      <c r="J450" s="34">
        <v>31</v>
      </c>
      <c r="K450" s="34">
        <v>114</v>
      </c>
      <c r="L450" s="34">
        <v>3</v>
      </c>
    </row>
    <row r="451" spans="2:12">
      <c r="B451" s="32">
        <v>449</v>
      </c>
      <c r="C451" s="31" t="s">
        <v>2873</v>
      </c>
      <c r="D451" s="36">
        <v>31</v>
      </c>
      <c r="E451" s="36">
        <v>115</v>
      </c>
      <c r="F451" s="36" t="s">
        <v>7645</v>
      </c>
      <c r="G451" s="36" t="s">
        <v>2874</v>
      </c>
      <c r="I451" s="33" t="s">
        <v>2873</v>
      </c>
      <c r="J451" s="34">
        <v>31</v>
      </c>
      <c r="K451" s="34">
        <v>115</v>
      </c>
      <c r="L451" s="34">
        <v>1</v>
      </c>
    </row>
    <row r="452" spans="2:12">
      <c r="B452" s="32">
        <v>450</v>
      </c>
      <c r="C452" s="31" t="s">
        <v>2835</v>
      </c>
      <c r="D452" s="36">
        <v>31</v>
      </c>
      <c r="E452" s="36">
        <v>115</v>
      </c>
      <c r="F452" s="36" t="s">
        <v>6707</v>
      </c>
      <c r="G452" s="36" t="s">
        <v>2836</v>
      </c>
      <c r="I452" s="33" t="s">
        <v>2835</v>
      </c>
      <c r="J452" s="34">
        <v>31</v>
      </c>
      <c r="K452" s="34">
        <v>115</v>
      </c>
      <c r="L452" s="34">
        <v>2</v>
      </c>
    </row>
    <row r="453" spans="2:12">
      <c r="B453" s="32">
        <v>451</v>
      </c>
      <c r="C453" s="31" t="s">
        <v>679</v>
      </c>
      <c r="D453" s="36">
        <v>31</v>
      </c>
      <c r="E453" s="36">
        <v>115</v>
      </c>
      <c r="F453" s="36" t="s">
        <v>7646</v>
      </c>
      <c r="G453" s="36" t="s">
        <v>680</v>
      </c>
      <c r="I453" s="33" t="s">
        <v>679</v>
      </c>
      <c r="J453" s="34">
        <v>31</v>
      </c>
      <c r="K453" s="34">
        <v>115</v>
      </c>
      <c r="L453" s="34">
        <v>3</v>
      </c>
    </row>
    <row r="454" spans="2:12">
      <c r="B454" s="32">
        <v>452</v>
      </c>
      <c r="C454" s="31" t="s">
        <v>2446</v>
      </c>
      <c r="D454" s="36">
        <v>31</v>
      </c>
      <c r="E454" s="36">
        <v>116</v>
      </c>
      <c r="F454" s="36" t="s">
        <v>7648</v>
      </c>
      <c r="G454" s="36" t="s">
        <v>2447</v>
      </c>
      <c r="I454" s="33" t="s">
        <v>2446</v>
      </c>
      <c r="J454" s="34">
        <v>31</v>
      </c>
      <c r="K454" s="34">
        <v>116</v>
      </c>
      <c r="L454" s="34">
        <v>1</v>
      </c>
    </row>
    <row r="455" spans="2:12">
      <c r="B455" s="32">
        <v>453</v>
      </c>
      <c r="C455" s="31" t="s">
        <v>1566</v>
      </c>
      <c r="D455" s="36">
        <v>31</v>
      </c>
      <c r="E455" s="36">
        <v>116</v>
      </c>
      <c r="F455" s="36" t="s">
        <v>7649</v>
      </c>
      <c r="G455" s="36" t="s">
        <v>1567</v>
      </c>
      <c r="I455" s="33" t="s">
        <v>1566</v>
      </c>
      <c r="J455" s="34">
        <v>31</v>
      </c>
      <c r="K455" s="34">
        <v>116</v>
      </c>
      <c r="L455" s="34">
        <v>2</v>
      </c>
    </row>
    <row r="456" spans="2:12">
      <c r="B456" s="32">
        <v>454</v>
      </c>
      <c r="C456" s="31" t="s">
        <v>5205</v>
      </c>
      <c r="D456" s="36">
        <v>31</v>
      </c>
      <c r="E456" s="36">
        <v>116</v>
      </c>
      <c r="F456" s="36" t="s">
        <v>7650</v>
      </c>
      <c r="G456" s="36" t="s">
        <v>5206</v>
      </c>
      <c r="I456" s="33" t="s">
        <v>5205</v>
      </c>
      <c r="J456" s="34">
        <v>31</v>
      </c>
      <c r="K456" s="34">
        <v>116</v>
      </c>
      <c r="L456" s="34">
        <v>3</v>
      </c>
    </row>
    <row r="457" spans="2:12">
      <c r="B457" s="32">
        <v>455</v>
      </c>
      <c r="C457" s="31" t="s">
        <v>7948</v>
      </c>
      <c r="D457" s="36">
        <v>31</v>
      </c>
      <c r="E457" s="36">
        <v>117</v>
      </c>
      <c r="F457" s="36" t="s">
        <v>7651</v>
      </c>
      <c r="G457" s="36" t="s">
        <v>493</v>
      </c>
      <c r="I457" s="33" t="s">
        <v>7948</v>
      </c>
      <c r="J457" s="34">
        <v>31</v>
      </c>
      <c r="K457" s="34">
        <v>117</v>
      </c>
      <c r="L457" s="34">
        <v>1</v>
      </c>
    </row>
    <row r="458" spans="2:12">
      <c r="B458" s="32">
        <v>456</v>
      </c>
      <c r="C458" s="31" t="s">
        <v>684</v>
      </c>
      <c r="D458" s="36">
        <v>31</v>
      </c>
      <c r="E458" s="36">
        <v>117</v>
      </c>
      <c r="F458" s="36" t="s">
        <v>7652</v>
      </c>
      <c r="G458" s="36" t="s">
        <v>685</v>
      </c>
      <c r="I458" s="33" t="s">
        <v>684</v>
      </c>
      <c r="J458" s="34">
        <v>31</v>
      </c>
      <c r="K458" s="34">
        <v>117</v>
      </c>
      <c r="L458" s="34">
        <v>2</v>
      </c>
    </row>
    <row r="459" spans="2:12">
      <c r="B459" s="32">
        <v>457</v>
      </c>
      <c r="C459" s="31" t="s">
        <v>1550</v>
      </c>
      <c r="D459" s="36">
        <v>31</v>
      </c>
      <c r="E459" s="36">
        <v>118</v>
      </c>
      <c r="F459" s="36" t="s">
        <v>7653</v>
      </c>
      <c r="G459" s="36" t="s">
        <v>1551</v>
      </c>
      <c r="I459" s="33" t="s">
        <v>1550</v>
      </c>
      <c r="J459" s="34">
        <v>31</v>
      </c>
      <c r="K459" s="34">
        <v>118</v>
      </c>
      <c r="L459" s="34">
        <v>1</v>
      </c>
    </row>
    <row r="460" spans="2:12">
      <c r="B460" s="32">
        <v>458</v>
      </c>
      <c r="C460" s="31" t="s">
        <v>1953</v>
      </c>
      <c r="D460" s="36">
        <v>31</v>
      </c>
      <c r="E460" s="36">
        <v>118</v>
      </c>
      <c r="F460" s="36" t="s">
        <v>7654</v>
      </c>
      <c r="G460" s="36" t="s">
        <v>1954</v>
      </c>
      <c r="I460" s="33" t="s">
        <v>1953</v>
      </c>
      <c r="J460" s="34">
        <v>31</v>
      </c>
      <c r="K460" s="34">
        <v>118</v>
      </c>
      <c r="L460" s="34">
        <v>2</v>
      </c>
    </row>
    <row r="461" spans="2:12">
      <c r="B461" s="32">
        <v>459</v>
      </c>
      <c r="C461" s="31" t="s">
        <v>3078</v>
      </c>
      <c r="D461" s="36">
        <v>31</v>
      </c>
      <c r="E461" s="36">
        <v>118</v>
      </c>
      <c r="F461" s="36" t="s">
        <v>7655</v>
      </c>
      <c r="G461" s="36" t="s">
        <v>3079</v>
      </c>
      <c r="I461" s="33" t="s">
        <v>3078</v>
      </c>
      <c r="J461" s="34">
        <v>31</v>
      </c>
      <c r="K461" s="34">
        <v>118</v>
      </c>
      <c r="L461" s="34">
        <v>3</v>
      </c>
    </row>
    <row r="462" spans="2:12">
      <c r="B462" s="32">
        <v>460</v>
      </c>
      <c r="C462" s="31" t="s">
        <v>863</v>
      </c>
      <c r="D462" s="36">
        <v>31</v>
      </c>
      <c r="E462" s="36">
        <v>119</v>
      </c>
      <c r="F462" s="36" t="s">
        <v>7656</v>
      </c>
      <c r="G462" s="36" t="s">
        <v>864</v>
      </c>
      <c r="I462" s="33" t="s">
        <v>863</v>
      </c>
      <c r="J462" s="34">
        <v>31</v>
      </c>
      <c r="K462" s="34">
        <v>119</v>
      </c>
      <c r="L462" s="34">
        <v>1</v>
      </c>
    </row>
    <row r="463" spans="2:12">
      <c r="B463" s="32">
        <v>461</v>
      </c>
      <c r="C463" s="31" t="s">
        <v>2737</v>
      </c>
      <c r="D463" s="36">
        <v>31</v>
      </c>
      <c r="E463" s="36">
        <v>119</v>
      </c>
      <c r="F463" s="36" t="s">
        <v>7657</v>
      </c>
      <c r="G463" s="36" t="s">
        <v>2738</v>
      </c>
      <c r="I463" s="33" t="s">
        <v>2737</v>
      </c>
      <c r="J463" s="34">
        <v>31</v>
      </c>
      <c r="K463" s="34">
        <v>119</v>
      </c>
      <c r="L463" s="34">
        <v>2</v>
      </c>
    </row>
    <row r="464" spans="2:12">
      <c r="B464" s="32">
        <v>462</v>
      </c>
      <c r="C464" s="31" t="s">
        <v>1175</v>
      </c>
      <c r="D464" s="36">
        <v>31</v>
      </c>
      <c r="E464" s="36">
        <v>119</v>
      </c>
      <c r="F464" s="36" t="s">
        <v>7658</v>
      </c>
      <c r="G464" s="36" t="s">
        <v>1176</v>
      </c>
      <c r="I464" s="33" t="s">
        <v>1175</v>
      </c>
      <c r="J464" s="34">
        <v>31</v>
      </c>
      <c r="K464" s="34">
        <v>119</v>
      </c>
      <c r="L464" s="34">
        <v>3</v>
      </c>
    </row>
    <row r="465" spans="2:12">
      <c r="B465" s="32">
        <v>463</v>
      </c>
      <c r="C465" s="31" t="s">
        <v>2803</v>
      </c>
      <c r="D465" s="36">
        <v>31</v>
      </c>
      <c r="E465" s="36">
        <v>120</v>
      </c>
      <c r="F465" s="36" t="s">
        <v>7659</v>
      </c>
      <c r="G465" s="36" t="s">
        <v>2804</v>
      </c>
      <c r="I465" s="33" t="s">
        <v>2803</v>
      </c>
      <c r="J465" s="34">
        <v>31</v>
      </c>
      <c r="K465" s="34">
        <v>120</v>
      </c>
      <c r="L465" s="34">
        <v>1</v>
      </c>
    </row>
    <row r="466" spans="2:12">
      <c r="B466" s="32">
        <v>464</v>
      </c>
      <c r="C466" s="31" t="s">
        <v>5237</v>
      </c>
      <c r="D466" s="36">
        <v>31</v>
      </c>
      <c r="E466" s="36">
        <v>120</v>
      </c>
      <c r="F466" s="36" t="s">
        <v>7660</v>
      </c>
      <c r="G466" s="36" t="s">
        <v>5238</v>
      </c>
      <c r="I466" s="33" t="s">
        <v>5237</v>
      </c>
      <c r="J466" s="34">
        <v>31</v>
      </c>
      <c r="K466" s="34">
        <v>120</v>
      </c>
      <c r="L466" s="34">
        <v>2</v>
      </c>
    </row>
    <row r="467" spans="2:12">
      <c r="B467" s="32">
        <v>465</v>
      </c>
      <c r="C467" s="31" t="s">
        <v>5865</v>
      </c>
      <c r="D467" s="36">
        <v>31</v>
      </c>
      <c r="E467" s="36">
        <v>120</v>
      </c>
      <c r="F467" s="36" t="s">
        <v>6699</v>
      </c>
      <c r="G467" s="36" t="s">
        <v>5866</v>
      </c>
      <c r="I467" s="33" t="s">
        <v>5865</v>
      </c>
      <c r="J467" s="34">
        <v>31</v>
      </c>
      <c r="K467" s="34">
        <v>120</v>
      </c>
      <c r="L467" s="34">
        <v>3</v>
      </c>
    </row>
    <row r="468" spans="2:12">
      <c r="B468" s="32">
        <v>466</v>
      </c>
      <c r="C468" s="31" t="s">
        <v>4767</v>
      </c>
      <c r="D468" s="36">
        <v>31</v>
      </c>
      <c r="E468" s="36">
        <v>201</v>
      </c>
      <c r="F468" s="36" t="s">
        <v>7661</v>
      </c>
      <c r="G468" s="36" t="s">
        <v>4768</v>
      </c>
      <c r="I468" s="33" t="s">
        <v>4767</v>
      </c>
      <c r="J468" s="34">
        <v>31</v>
      </c>
      <c r="K468" s="34">
        <v>201</v>
      </c>
      <c r="L468" s="34">
        <v>1</v>
      </c>
    </row>
    <row r="469" spans="2:12">
      <c r="B469" s="32">
        <v>467</v>
      </c>
      <c r="C469" s="31" t="s">
        <v>3914</v>
      </c>
      <c r="D469" s="36">
        <v>31</v>
      </c>
      <c r="E469" s="36">
        <v>201</v>
      </c>
      <c r="F469" s="36" t="s">
        <v>7662</v>
      </c>
      <c r="G469" s="36" t="s">
        <v>3915</v>
      </c>
      <c r="I469" s="33" t="s">
        <v>3914</v>
      </c>
      <c r="J469" s="34">
        <v>31</v>
      </c>
      <c r="K469" s="34">
        <v>201</v>
      </c>
      <c r="L469" s="34">
        <v>2</v>
      </c>
    </row>
    <row r="470" spans="2:12">
      <c r="B470" s="32">
        <v>468</v>
      </c>
      <c r="C470" s="31" t="s">
        <v>3121</v>
      </c>
      <c r="D470" s="36">
        <v>31</v>
      </c>
      <c r="E470" s="36">
        <v>202</v>
      </c>
      <c r="F470" s="36" t="s">
        <v>7663</v>
      </c>
      <c r="G470" s="36" t="s">
        <v>3122</v>
      </c>
      <c r="I470" s="33" t="s">
        <v>3121</v>
      </c>
      <c r="J470" s="34">
        <v>31</v>
      </c>
      <c r="K470" s="34">
        <v>202</v>
      </c>
      <c r="L470" s="34">
        <v>1</v>
      </c>
    </row>
    <row r="471" spans="2:12">
      <c r="B471" s="32">
        <v>469</v>
      </c>
      <c r="C471" s="31" t="s">
        <v>975</v>
      </c>
      <c r="D471" s="36">
        <v>31</v>
      </c>
      <c r="E471" s="36">
        <v>202</v>
      </c>
      <c r="F471" s="36" t="s">
        <v>6670</v>
      </c>
      <c r="G471" s="36" t="s">
        <v>976</v>
      </c>
      <c r="I471" s="33" t="s">
        <v>975</v>
      </c>
      <c r="J471" s="34">
        <v>31</v>
      </c>
      <c r="K471" s="34">
        <v>202</v>
      </c>
      <c r="L471" s="34">
        <v>2</v>
      </c>
    </row>
    <row r="472" spans="2:12">
      <c r="B472" s="32">
        <v>470</v>
      </c>
      <c r="C472" s="31" t="s">
        <v>3904</v>
      </c>
      <c r="D472" s="36">
        <v>31</v>
      </c>
      <c r="E472" s="36">
        <v>203</v>
      </c>
      <c r="F472" s="36" t="s">
        <v>6736</v>
      </c>
      <c r="G472" s="36" t="s">
        <v>3905</v>
      </c>
      <c r="I472" s="33" t="s">
        <v>3904</v>
      </c>
      <c r="J472" s="34">
        <v>31</v>
      </c>
      <c r="K472" s="34">
        <v>203</v>
      </c>
      <c r="L472" s="34">
        <v>1</v>
      </c>
    </row>
    <row r="473" spans="2:12">
      <c r="B473" s="32">
        <v>471</v>
      </c>
      <c r="C473" s="31" t="s">
        <v>5977</v>
      </c>
      <c r="D473" s="36">
        <v>31</v>
      </c>
      <c r="E473" s="36">
        <v>203</v>
      </c>
      <c r="F473" s="36" t="s">
        <v>7664</v>
      </c>
      <c r="G473" s="36" t="s">
        <v>5978</v>
      </c>
      <c r="I473" s="33" t="s">
        <v>5977</v>
      </c>
      <c r="J473" s="34">
        <v>31</v>
      </c>
      <c r="K473" s="34">
        <v>203</v>
      </c>
      <c r="L473" s="34">
        <v>2</v>
      </c>
    </row>
    <row r="474" spans="2:12">
      <c r="B474" s="32">
        <v>472</v>
      </c>
      <c r="C474" s="31" t="s">
        <v>3509</v>
      </c>
      <c r="D474" s="36">
        <v>31</v>
      </c>
      <c r="E474" s="36">
        <v>204</v>
      </c>
      <c r="F474" s="36" t="s">
        <v>6666</v>
      </c>
      <c r="G474" s="36" t="s">
        <v>3510</v>
      </c>
      <c r="I474" s="33" t="s">
        <v>3509</v>
      </c>
      <c r="J474" s="34">
        <v>31</v>
      </c>
      <c r="K474" s="34">
        <v>204</v>
      </c>
      <c r="L474" s="34">
        <v>1</v>
      </c>
    </row>
    <row r="475" spans="2:12">
      <c r="B475" s="32">
        <v>473</v>
      </c>
      <c r="C475" s="31" t="s">
        <v>3466</v>
      </c>
      <c r="D475" s="36">
        <v>31</v>
      </c>
      <c r="E475" s="36">
        <v>204</v>
      </c>
      <c r="F475" s="36" t="s">
        <v>7665</v>
      </c>
      <c r="G475" s="36" t="s">
        <v>3467</v>
      </c>
      <c r="I475" s="33" t="s">
        <v>3466</v>
      </c>
      <c r="J475" s="34">
        <v>31</v>
      </c>
      <c r="K475" s="34">
        <v>204</v>
      </c>
      <c r="L475" s="34">
        <v>2</v>
      </c>
    </row>
    <row r="476" spans="2:12">
      <c r="B476" s="32">
        <v>474</v>
      </c>
      <c r="C476" s="31" t="s">
        <v>5068</v>
      </c>
      <c r="D476" s="36">
        <v>31</v>
      </c>
      <c r="E476" s="36">
        <v>204</v>
      </c>
      <c r="F476" s="36" t="s">
        <v>7666</v>
      </c>
      <c r="G476" s="36" t="s">
        <v>5069</v>
      </c>
      <c r="I476" s="33" t="s">
        <v>5068</v>
      </c>
      <c r="J476" s="34">
        <v>31</v>
      </c>
      <c r="K476" s="34">
        <v>204</v>
      </c>
      <c r="L476" s="34">
        <v>3</v>
      </c>
    </row>
    <row r="477" spans="2:12">
      <c r="B477" s="32">
        <v>475</v>
      </c>
      <c r="C477" s="31" t="s">
        <v>7949</v>
      </c>
      <c r="D477" s="36">
        <v>31</v>
      </c>
      <c r="E477" s="36">
        <v>205</v>
      </c>
      <c r="F477" s="36" t="s">
        <v>7938</v>
      </c>
      <c r="G477" s="36" t="s">
        <v>4958</v>
      </c>
      <c r="I477" s="33" t="s">
        <v>7949</v>
      </c>
      <c r="J477" s="34">
        <v>31</v>
      </c>
      <c r="K477" s="34">
        <v>205</v>
      </c>
      <c r="L477" s="34">
        <v>1</v>
      </c>
    </row>
    <row r="478" spans="2:12">
      <c r="B478" s="32">
        <v>476</v>
      </c>
      <c r="C478" s="31" t="s">
        <v>7950</v>
      </c>
      <c r="D478" s="36">
        <v>31</v>
      </c>
      <c r="E478" s="36">
        <v>205</v>
      </c>
      <c r="F478" s="36" t="s">
        <v>7667</v>
      </c>
      <c r="G478" s="36" t="s">
        <v>1959</v>
      </c>
      <c r="I478" s="33" t="s">
        <v>1958</v>
      </c>
      <c r="J478" s="34">
        <v>31</v>
      </c>
      <c r="K478" s="34">
        <v>205</v>
      </c>
      <c r="L478" s="34">
        <v>2</v>
      </c>
    </row>
    <row r="479" spans="2:12">
      <c r="B479" s="32">
        <v>477</v>
      </c>
      <c r="C479" s="31" t="s">
        <v>6019</v>
      </c>
      <c r="D479" s="36">
        <v>31</v>
      </c>
      <c r="E479" s="36">
        <v>206</v>
      </c>
      <c r="F479" s="36" t="s">
        <v>6756</v>
      </c>
      <c r="G479" s="36" t="s">
        <v>6020</v>
      </c>
      <c r="I479" s="33" t="s">
        <v>6019</v>
      </c>
      <c r="J479" s="34">
        <v>31</v>
      </c>
      <c r="K479" s="34">
        <v>206</v>
      </c>
      <c r="L479" s="34">
        <v>1</v>
      </c>
    </row>
    <row r="480" spans="2:12">
      <c r="B480" s="32">
        <v>478</v>
      </c>
      <c r="C480" s="31" t="s">
        <v>2159</v>
      </c>
      <c r="D480" s="36">
        <v>31</v>
      </c>
      <c r="E480" s="36">
        <v>206</v>
      </c>
      <c r="F480" s="36" t="s">
        <v>7668</v>
      </c>
      <c r="G480" s="36" t="s">
        <v>2160</v>
      </c>
      <c r="I480" s="33" t="s">
        <v>2159</v>
      </c>
      <c r="J480" s="34">
        <v>31</v>
      </c>
      <c r="K480" s="34">
        <v>206</v>
      </c>
      <c r="L480" s="34">
        <v>2</v>
      </c>
    </row>
    <row r="481" spans="2:12">
      <c r="B481" s="32">
        <v>479</v>
      </c>
      <c r="C481" s="31" t="s">
        <v>5541</v>
      </c>
      <c r="D481" s="36">
        <v>31</v>
      </c>
      <c r="E481" s="36">
        <v>207</v>
      </c>
      <c r="F481" s="36" t="s">
        <v>6664</v>
      </c>
      <c r="G481" s="36" t="s">
        <v>5542</v>
      </c>
      <c r="I481" s="33" t="s">
        <v>5541</v>
      </c>
      <c r="J481" s="34">
        <v>31</v>
      </c>
      <c r="K481" s="34">
        <v>207</v>
      </c>
      <c r="L481" s="34">
        <v>1</v>
      </c>
    </row>
    <row r="482" spans="2:12">
      <c r="B482" s="32">
        <v>480</v>
      </c>
      <c r="C482" s="31" t="s">
        <v>4320</v>
      </c>
      <c r="D482" s="36">
        <v>31</v>
      </c>
      <c r="E482" s="36">
        <v>207</v>
      </c>
      <c r="F482" s="36" t="s">
        <v>7669</v>
      </c>
      <c r="G482" s="36" t="s">
        <v>4321</v>
      </c>
      <c r="I482" s="33" t="s">
        <v>4320</v>
      </c>
      <c r="J482" s="34">
        <v>31</v>
      </c>
      <c r="K482" s="34">
        <v>207</v>
      </c>
      <c r="L482" s="34">
        <v>2</v>
      </c>
    </row>
    <row r="483" spans="2:12">
      <c r="B483" s="32">
        <v>481</v>
      </c>
      <c r="C483" s="31" t="s">
        <v>5417</v>
      </c>
      <c r="D483" s="36">
        <v>31</v>
      </c>
      <c r="E483" s="36">
        <v>208</v>
      </c>
      <c r="F483" s="36" t="s">
        <v>7670</v>
      </c>
      <c r="G483" s="36" t="s">
        <v>5418</v>
      </c>
      <c r="I483" s="33" t="s">
        <v>5417</v>
      </c>
      <c r="J483" s="34">
        <v>31</v>
      </c>
      <c r="K483" s="34">
        <v>208</v>
      </c>
      <c r="L483" s="34">
        <v>1</v>
      </c>
    </row>
    <row r="484" spans="2:12">
      <c r="B484" s="32">
        <v>482</v>
      </c>
      <c r="C484" s="31" t="s">
        <v>4127</v>
      </c>
      <c r="D484" s="36">
        <v>31</v>
      </c>
      <c r="E484" s="36">
        <v>208</v>
      </c>
      <c r="F484" s="36" t="s">
        <v>6767</v>
      </c>
      <c r="G484" s="36" t="s">
        <v>4128</v>
      </c>
      <c r="I484" s="33" t="s">
        <v>4127</v>
      </c>
      <c r="J484" s="34">
        <v>31</v>
      </c>
      <c r="K484" s="34">
        <v>208</v>
      </c>
      <c r="L484" s="34">
        <v>2</v>
      </c>
    </row>
    <row r="485" spans="2:12">
      <c r="B485" s="32">
        <v>483</v>
      </c>
      <c r="C485" s="31" t="s">
        <v>2073</v>
      </c>
      <c r="D485" s="36">
        <v>31</v>
      </c>
      <c r="E485" s="36">
        <v>209</v>
      </c>
      <c r="F485" s="36" t="s">
        <v>7389</v>
      </c>
      <c r="G485" s="36" t="s">
        <v>2074</v>
      </c>
      <c r="I485" s="33" t="s">
        <v>2073</v>
      </c>
      <c r="J485" s="34">
        <v>31</v>
      </c>
      <c r="K485" s="34">
        <v>209</v>
      </c>
      <c r="L485" s="34">
        <v>1</v>
      </c>
    </row>
    <row r="486" spans="2:12">
      <c r="B486" s="32">
        <v>484</v>
      </c>
      <c r="C486" s="31" t="s">
        <v>2983</v>
      </c>
      <c r="D486" s="36">
        <v>31</v>
      </c>
      <c r="E486" s="36">
        <v>210</v>
      </c>
      <c r="F486" s="36" t="s">
        <v>7671</v>
      </c>
      <c r="G486" s="36" t="s">
        <v>2984</v>
      </c>
      <c r="I486" s="33" t="s">
        <v>2983</v>
      </c>
      <c r="J486" s="34">
        <v>31</v>
      </c>
      <c r="K486" s="34">
        <v>210</v>
      </c>
      <c r="L486" s="34">
        <v>1</v>
      </c>
    </row>
    <row r="487" spans="2:12">
      <c r="B487" s="32">
        <v>485</v>
      </c>
      <c r="C487" s="31" t="s">
        <v>2615</v>
      </c>
      <c r="D487" s="36">
        <v>31</v>
      </c>
      <c r="E487" s="36">
        <v>210</v>
      </c>
      <c r="F487" s="36" t="s">
        <v>7672</v>
      </c>
      <c r="G487" s="36" t="s">
        <v>2616</v>
      </c>
      <c r="I487" s="33" t="s">
        <v>2615</v>
      </c>
      <c r="J487" s="34">
        <v>31</v>
      </c>
      <c r="K487" s="34">
        <v>210</v>
      </c>
      <c r="L487" s="34">
        <v>2</v>
      </c>
    </row>
    <row r="488" spans="2:12">
      <c r="B488" s="32">
        <v>486</v>
      </c>
      <c r="C488" s="31" t="s">
        <v>2368</v>
      </c>
      <c r="D488" s="36">
        <v>31</v>
      </c>
      <c r="E488" s="36">
        <v>211</v>
      </c>
      <c r="F488" s="36" t="s">
        <v>7673</v>
      </c>
      <c r="G488" s="36" t="s">
        <v>2369</v>
      </c>
      <c r="I488" s="33" t="s">
        <v>2368</v>
      </c>
      <c r="J488" s="34">
        <v>31</v>
      </c>
      <c r="K488" s="34">
        <v>211</v>
      </c>
      <c r="L488" s="34">
        <v>1</v>
      </c>
    </row>
    <row r="489" spans="2:12">
      <c r="B489" s="32">
        <v>487</v>
      </c>
      <c r="C489" s="31" t="s">
        <v>5514</v>
      </c>
      <c r="D489" s="36">
        <v>31</v>
      </c>
      <c r="E489" s="36">
        <v>211</v>
      </c>
      <c r="F489" s="36" t="s">
        <v>7674</v>
      </c>
      <c r="G489" s="36" t="s">
        <v>5515</v>
      </c>
      <c r="I489" s="33" t="s">
        <v>5514</v>
      </c>
      <c r="J489" s="34">
        <v>31</v>
      </c>
      <c r="K489" s="34">
        <v>211</v>
      </c>
      <c r="L489" s="34">
        <v>2</v>
      </c>
    </row>
    <row r="490" spans="2:12">
      <c r="B490" s="32">
        <v>488</v>
      </c>
      <c r="C490" s="31" t="s">
        <v>466</v>
      </c>
      <c r="D490" s="36">
        <v>31</v>
      </c>
      <c r="E490" s="36">
        <v>212</v>
      </c>
      <c r="F490" s="36" t="s">
        <v>7675</v>
      </c>
      <c r="G490" s="36" t="s">
        <v>467</v>
      </c>
      <c r="I490" s="33" t="s">
        <v>466</v>
      </c>
      <c r="J490" s="34">
        <v>31</v>
      </c>
      <c r="K490" s="34">
        <v>212</v>
      </c>
      <c r="L490" s="34">
        <v>1</v>
      </c>
    </row>
    <row r="491" spans="2:12">
      <c r="B491" s="32">
        <v>489</v>
      </c>
      <c r="C491" s="31" t="s">
        <v>5666</v>
      </c>
      <c r="D491" s="36">
        <v>31</v>
      </c>
      <c r="E491" s="36">
        <v>213</v>
      </c>
      <c r="F491" s="36" t="s">
        <v>7676</v>
      </c>
      <c r="G491" s="36" t="s">
        <v>5667</v>
      </c>
      <c r="I491" s="33" t="s">
        <v>5666</v>
      </c>
      <c r="J491" s="34">
        <v>31</v>
      </c>
      <c r="K491" s="34">
        <v>213</v>
      </c>
      <c r="L491" s="34">
        <v>1</v>
      </c>
    </row>
    <row r="492" spans="2:12">
      <c r="B492" s="32">
        <v>490</v>
      </c>
      <c r="C492" s="31" t="s">
        <v>220</v>
      </c>
      <c r="D492" s="36">
        <v>31</v>
      </c>
      <c r="E492" s="36">
        <v>213</v>
      </c>
      <c r="F492" s="36" t="s">
        <v>7677</v>
      </c>
      <c r="G492" s="36" t="s">
        <v>221</v>
      </c>
      <c r="I492" s="33" t="s">
        <v>220</v>
      </c>
      <c r="J492" s="34">
        <v>31</v>
      </c>
      <c r="K492" s="34">
        <v>213</v>
      </c>
      <c r="L492" s="34">
        <v>2</v>
      </c>
    </row>
    <row r="493" spans="2:12">
      <c r="B493" s="32">
        <v>491</v>
      </c>
      <c r="C493" s="31" t="s">
        <v>2998</v>
      </c>
      <c r="D493" s="36">
        <v>31</v>
      </c>
      <c r="E493" s="36">
        <v>214</v>
      </c>
      <c r="F493" s="36" t="s">
        <v>7678</v>
      </c>
      <c r="G493" s="36" t="s">
        <v>2999</v>
      </c>
      <c r="I493" s="33" t="s">
        <v>2998</v>
      </c>
      <c r="J493" s="34">
        <v>31</v>
      </c>
      <c r="K493" s="34">
        <v>214</v>
      </c>
      <c r="L493" s="34">
        <v>1</v>
      </c>
    </row>
    <row r="494" spans="2:12">
      <c r="B494" s="32">
        <v>492</v>
      </c>
      <c r="C494" s="31" t="s">
        <v>1496</v>
      </c>
      <c r="D494" s="36">
        <v>31</v>
      </c>
      <c r="E494" s="36">
        <v>214</v>
      </c>
      <c r="F494" s="36" t="s">
        <v>7679</v>
      </c>
      <c r="G494" s="36" t="s">
        <v>1497</v>
      </c>
      <c r="I494" s="33" t="s">
        <v>1496</v>
      </c>
      <c r="J494" s="34">
        <v>31</v>
      </c>
      <c r="K494" s="34">
        <v>214</v>
      </c>
      <c r="L494" s="34">
        <v>2</v>
      </c>
    </row>
    <row r="495" spans="2:12">
      <c r="B495" s="32">
        <v>493</v>
      </c>
      <c r="C495" s="31" t="s">
        <v>3414</v>
      </c>
      <c r="D495" s="36">
        <v>31</v>
      </c>
      <c r="E495" s="36">
        <v>215</v>
      </c>
      <c r="F495" s="36" t="s">
        <v>7680</v>
      </c>
      <c r="G495" s="36" t="s">
        <v>3415</v>
      </c>
      <c r="I495" s="33" t="s">
        <v>3414</v>
      </c>
      <c r="J495" s="34">
        <v>31</v>
      </c>
      <c r="K495" s="34">
        <v>215</v>
      </c>
      <c r="L495" s="34">
        <v>1</v>
      </c>
    </row>
    <row r="496" spans="2:12">
      <c r="B496" s="32">
        <v>494</v>
      </c>
      <c r="C496" s="31" t="s">
        <v>1328</v>
      </c>
      <c r="D496" s="36">
        <v>31</v>
      </c>
      <c r="E496" s="36">
        <v>215</v>
      </c>
      <c r="F496" s="36" t="s">
        <v>7681</v>
      </c>
      <c r="G496" s="36" t="s">
        <v>1329</v>
      </c>
      <c r="I496" s="33" t="s">
        <v>1328</v>
      </c>
      <c r="J496" s="34">
        <v>31</v>
      </c>
      <c r="K496" s="34">
        <v>215</v>
      </c>
      <c r="L496" s="34">
        <v>2</v>
      </c>
    </row>
    <row r="497" spans="2:12">
      <c r="B497" s="32">
        <v>495</v>
      </c>
      <c r="C497" s="31" t="s">
        <v>7951</v>
      </c>
      <c r="D497" s="36">
        <v>31</v>
      </c>
      <c r="E497" s="36">
        <v>216</v>
      </c>
      <c r="F497" s="36" t="s">
        <v>7682</v>
      </c>
      <c r="G497" s="36" t="s">
        <v>5032</v>
      </c>
      <c r="I497" s="33" t="s">
        <v>7951</v>
      </c>
      <c r="J497" s="34">
        <v>31</v>
      </c>
      <c r="K497" s="34">
        <v>216</v>
      </c>
      <c r="L497" s="34">
        <v>1</v>
      </c>
    </row>
    <row r="498" spans="2:12">
      <c r="B498" s="32">
        <v>496</v>
      </c>
      <c r="C498" s="31" t="s">
        <v>7952</v>
      </c>
      <c r="D498" s="36">
        <v>31</v>
      </c>
      <c r="E498" s="36">
        <v>216</v>
      </c>
      <c r="F498" s="36" t="s">
        <v>7683</v>
      </c>
      <c r="G498" s="36" t="s">
        <v>642</v>
      </c>
      <c r="I498" s="33" t="s">
        <v>641</v>
      </c>
      <c r="J498" s="34">
        <v>31</v>
      </c>
      <c r="K498" s="34">
        <v>216</v>
      </c>
      <c r="L498" s="34">
        <v>2</v>
      </c>
    </row>
    <row r="499" spans="2:12">
      <c r="B499" s="32">
        <v>497</v>
      </c>
      <c r="C499" s="31" t="s">
        <v>7953</v>
      </c>
      <c r="D499" s="36">
        <v>31</v>
      </c>
      <c r="E499" s="36">
        <v>216</v>
      </c>
      <c r="F499" s="36" t="s">
        <v>7684</v>
      </c>
      <c r="G499" s="36" t="s">
        <v>2124</v>
      </c>
      <c r="I499" s="33" t="s">
        <v>2123</v>
      </c>
      <c r="J499" s="34">
        <v>31</v>
      </c>
      <c r="K499" s="34">
        <v>216</v>
      </c>
      <c r="L499" s="34">
        <v>3</v>
      </c>
    </row>
    <row r="500" spans="2:12">
      <c r="B500" s="32">
        <v>498</v>
      </c>
      <c r="C500" s="31" t="s">
        <v>900</v>
      </c>
      <c r="D500" s="36">
        <v>31</v>
      </c>
      <c r="E500" s="36">
        <v>217</v>
      </c>
      <c r="F500" s="36" t="s">
        <v>7685</v>
      </c>
      <c r="G500" s="36" t="s">
        <v>901</v>
      </c>
      <c r="I500" s="33" t="s">
        <v>900</v>
      </c>
      <c r="J500" s="34">
        <v>31</v>
      </c>
      <c r="K500" s="34">
        <v>217</v>
      </c>
      <c r="L500" s="34">
        <v>1</v>
      </c>
    </row>
    <row r="501" spans="2:12">
      <c r="B501" s="32">
        <v>499</v>
      </c>
      <c r="C501" s="31" t="s">
        <v>778</v>
      </c>
      <c r="D501" s="36">
        <v>31</v>
      </c>
      <c r="E501" s="36">
        <v>217</v>
      </c>
      <c r="F501" s="36" t="s">
        <v>7686</v>
      </c>
      <c r="G501" s="36" t="s">
        <v>779</v>
      </c>
      <c r="I501" s="33" t="s">
        <v>778</v>
      </c>
      <c r="J501" s="34">
        <v>31</v>
      </c>
      <c r="K501" s="34">
        <v>217</v>
      </c>
      <c r="L501" s="34">
        <v>2</v>
      </c>
    </row>
    <row r="502" spans="2:12">
      <c r="B502" s="32">
        <v>500</v>
      </c>
      <c r="C502" s="31" t="s">
        <v>1634</v>
      </c>
      <c r="D502" s="36">
        <v>31</v>
      </c>
      <c r="E502" s="36">
        <v>217</v>
      </c>
      <c r="F502" s="36" t="s">
        <v>7687</v>
      </c>
      <c r="G502" s="36" t="s">
        <v>1635</v>
      </c>
      <c r="I502" s="33" t="s">
        <v>1634</v>
      </c>
      <c r="J502" s="34">
        <v>31</v>
      </c>
      <c r="K502" s="34">
        <v>217</v>
      </c>
      <c r="L502" s="34">
        <v>3</v>
      </c>
    </row>
    <row r="503" spans="2:12">
      <c r="B503" s="32">
        <v>501</v>
      </c>
      <c r="C503" s="31" t="s">
        <v>2062</v>
      </c>
      <c r="D503" s="36">
        <v>31</v>
      </c>
      <c r="E503" s="36">
        <v>218</v>
      </c>
      <c r="F503" s="36" t="s">
        <v>7688</v>
      </c>
      <c r="G503" s="36" t="s">
        <v>2063</v>
      </c>
      <c r="I503" s="33" t="s">
        <v>2062</v>
      </c>
      <c r="J503" s="34">
        <v>31</v>
      </c>
      <c r="K503" s="34">
        <v>218</v>
      </c>
      <c r="L503" s="34">
        <v>1</v>
      </c>
    </row>
    <row r="504" spans="2:12">
      <c r="B504" s="32">
        <v>502</v>
      </c>
      <c r="C504" s="31" t="s">
        <v>5887</v>
      </c>
      <c r="D504" s="36">
        <v>31</v>
      </c>
      <c r="E504" s="36">
        <v>218</v>
      </c>
      <c r="F504" s="36" t="s">
        <v>7689</v>
      </c>
      <c r="G504" s="36" t="s">
        <v>5888</v>
      </c>
      <c r="I504" s="33" t="s">
        <v>5887</v>
      </c>
      <c r="J504" s="34">
        <v>31</v>
      </c>
      <c r="K504" s="34">
        <v>218</v>
      </c>
      <c r="L504" s="34">
        <v>2</v>
      </c>
    </row>
    <row r="505" spans="2:12">
      <c r="B505" s="32">
        <v>503</v>
      </c>
      <c r="C505" s="31" t="s">
        <v>7954</v>
      </c>
      <c r="D505" s="36">
        <v>31</v>
      </c>
      <c r="E505" s="36">
        <v>218</v>
      </c>
      <c r="F505" s="36" t="s">
        <v>7690</v>
      </c>
      <c r="G505" s="36" t="s">
        <v>5002</v>
      </c>
      <c r="I505" s="33" t="s">
        <v>7954</v>
      </c>
      <c r="J505" s="34">
        <v>31</v>
      </c>
      <c r="K505" s="34">
        <v>218</v>
      </c>
      <c r="L505" s="34">
        <v>3</v>
      </c>
    </row>
    <row r="506" spans="2:12">
      <c r="B506" s="32">
        <v>504</v>
      </c>
      <c r="C506" s="31" t="s">
        <v>3272</v>
      </c>
      <c r="D506" s="36">
        <v>31</v>
      </c>
      <c r="E506" s="36">
        <v>219</v>
      </c>
      <c r="F506" s="36" t="s">
        <v>7955</v>
      </c>
      <c r="G506" s="36" t="s">
        <v>3273</v>
      </c>
      <c r="I506" s="33" t="s">
        <v>3272</v>
      </c>
      <c r="J506" s="34">
        <v>31</v>
      </c>
      <c r="K506" s="34">
        <v>219</v>
      </c>
      <c r="L506" s="34">
        <v>1</v>
      </c>
    </row>
    <row r="507" spans="2:12">
      <c r="B507" s="32">
        <v>505</v>
      </c>
      <c r="C507" s="31" t="s">
        <v>7956</v>
      </c>
      <c r="D507" s="36">
        <v>31</v>
      </c>
      <c r="E507" s="36">
        <v>219</v>
      </c>
      <c r="F507" s="36" t="s">
        <v>7957</v>
      </c>
      <c r="G507" s="36" t="s">
        <v>3396</v>
      </c>
      <c r="I507" s="33" t="s">
        <v>7956</v>
      </c>
      <c r="J507" s="34">
        <v>31</v>
      </c>
      <c r="K507" s="34">
        <v>219</v>
      </c>
      <c r="L507" s="34">
        <v>2</v>
      </c>
    </row>
    <row r="508" spans="2:12">
      <c r="B508" s="32">
        <v>506</v>
      </c>
      <c r="C508" s="31" t="s">
        <v>4315</v>
      </c>
      <c r="D508" s="36">
        <v>31</v>
      </c>
      <c r="E508" s="36">
        <v>220</v>
      </c>
      <c r="F508" s="36" t="s">
        <v>7691</v>
      </c>
      <c r="G508" s="36" t="s">
        <v>5730</v>
      </c>
      <c r="I508" s="33" t="s">
        <v>4315</v>
      </c>
      <c r="J508" s="34">
        <v>31</v>
      </c>
      <c r="K508" s="34">
        <v>220</v>
      </c>
      <c r="L508" s="34">
        <v>1</v>
      </c>
    </row>
    <row r="509" spans="2:12">
      <c r="B509" s="32">
        <v>507</v>
      </c>
      <c r="C509" s="31" t="s">
        <v>1015</v>
      </c>
      <c r="D509" s="36">
        <v>31</v>
      </c>
      <c r="E509" s="36">
        <v>220</v>
      </c>
      <c r="F509" s="36" t="s">
        <v>7692</v>
      </c>
      <c r="G509" s="36" t="s">
        <v>1016</v>
      </c>
      <c r="I509" s="33" t="s">
        <v>1015</v>
      </c>
      <c r="J509" s="34">
        <v>31</v>
      </c>
      <c r="K509" s="34">
        <v>220</v>
      </c>
      <c r="L509" s="34">
        <v>2</v>
      </c>
    </row>
    <row r="510" spans="2:12">
      <c r="B510" s="32">
        <v>586</v>
      </c>
      <c r="C510" s="31" t="s">
        <v>7958</v>
      </c>
      <c r="D510" s="36">
        <v>33</v>
      </c>
      <c r="E510" s="36">
        <v>211</v>
      </c>
      <c r="F510" s="36" t="s">
        <v>7938</v>
      </c>
      <c r="G510" s="36" t="s">
        <v>7938</v>
      </c>
      <c r="I510" s="33" t="s">
        <v>1277</v>
      </c>
      <c r="J510" s="34">
        <v>32</v>
      </c>
      <c r="K510" s="34">
        <v>202</v>
      </c>
      <c r="L510" s="34">
        <v>1</v>
      </c>
    </row>
    <row r="511" spans="2:12">
      <c r="B511" s="32">
        <v>508</v>
      </c>
      <c r="C511" s="31" t="s">
        <v>6602</v>
      </c>
      <c r="D511" s="36">
        <v>32</v>
      </c>
      <c r="E511" s="36">
        <v>201</v>
      </c>
      <c r="F511" s="36" t="s">
        <v>7938</v>
      </c>
      <c r="G511" s="36" t="s">
        <v>3195</v>
      </c>
      <c r="I511" s="33" t="s">
        <v>3194</v>
      </c>
      <c r="J511" s="34">
        <v>32</v>
      </c>
      <c r="K511" s="34">
        <v>203</v>
      </c>
      <c r="L511" s="34">
        <v>1</v>
      </c>
    </row>
    <row r="512" spans="2:12">
      <c r="B512" s="32">
        <v>585</v>
      </c>
      <c r="C512" s="31" t="s">
        <v>7958</v>
      </c>
      <c r="D512" s="36">
        <v>33</v>
      </c>
      <c r="E512" s="36">
        <v>211</v>
      </c>
      <c r="F512" s="36" t="s">
        <v>7938</v>
      </c>
      <c r="G512" s="36" t="s">
        <v>7938</v>
      </c>
      <c r="I512" s="33" t="s">
        <v>1121</v>
      </c>
      <c r="J512" s="34">
        <v>32</v>
      </c>
      <c r="K512" s="34">
        <v>204</v>
      </c>
      <c r="L512" s="34">
        <v>1</v>
      </c>
    </row>
    <row r="513" spans="2:12">
      <c r="B513" s="32">
        <v>523</v>
      </c>
      <c r="C513" s="31" t="s">
        <v>6601</v>
      </c>
      <c r="D513" s="36">
        <v>32</v>
      </c>
      <c r="E513" s="36">
        <v>220</v>
      </c>
      <c r="F513" s="36" t="s">
        <v>7938</v>
      </c>
      <c r="G513" s="36" t="s">
        <v>1726</v>
      </c>
      <c r="I513" s="33" t="s">
        <v>1725</v>
      </c>
      <c r="J513" s="34">
        <v>32</v>
      </c>
      <c r="K513" s="34">
        <v>204</v>
      </c>
      <c r="L513" s="34">
        <v>2</v>
      </c>
    </row>
    <row r="514" spans="2:12">
      <c r="B514" s="32">
        <v>513</v>
      </c>
      <c r="C514" s="31" t="s">
        <v>2568</v>
      </c>
      <c r="D514" s="36">
        <v>32</v>
      </c>
      <c r="E514" s="36">
        <v>208</v>
      </c>
      <c r="F514" s="36" t="s">
        <v>7938</v>
      </c>
      <c r="G514" s="36" t="s">
        <v>7938</v>
      </c>
      <c r="I514" s="33" t="s">
        <v>2568</v>
      </c>
      <c r="J514" s="34">
        <v>32</v>
      </c>
      <c r="K514" s="34">
        <v>208</v>
      </c>
      <c r="L514" s="34">
        <v>1</v>
      </c>
    </row>
    <row r="515" spans="2:12">
      <c r="B515" s="32">
        <v>512</v>
      </c>
      <c r="C515" s="31" t="s">
        <v>309</v>
      </c>
      <c r="D515" s="36">
        <v>32</v>
      </c>
      <c r="E515" s="36">
        <v>208</v>
      </c>
      <c r="F515" s="36" t="s">
        <v>7938</v>
      </c>
      <c r="G515" s="36" t="s">
        <v>7938</v>
      </c>
      <c r="I515" s="33" t="s">
        <v>309</v>
      </c>
      <c r="J515" s="34">
        <v>32</v>
      </c>
      <c r="K515" s="34">
        <v>208</v>
      </c>
      <c r="L515" s="34">
        <v>2</v>
      </c>
    </row>
    <row r="516" spans="2:12">
      <c r="B516" s="32">
        <v>511</v>
      </c>
      <c r="C516" s="31" t="s">
        <v>7959</v>
      </c>
      <c r="D516" s="36">
        <v>32</v>
      </c>
      <c r="E516" s="36">
        <v>208</v>
      </c>
      <c r="F516" s="36" t="s">
        <v>7938</v>
      </c>
      <c r="G516" s="36" t="s">
        <v>7938</v>
      </c>
      <c r="I516" s="33" t="s">
        <v>7959</v>
      </c>
      <c r="J516" s="34">
        <v>32</v>
      </c>
      <c r="K516" s="34">
        <v>208</v>
      </c>
      <c r="L516" s="34">
        <v>3</v>
      </c>
    </row>
    <row r="517" spans="2:12">
      <c r="B517" s="32">
        <v>510</v>
      </c>
      <c r="C517" s="31" t="s">
        <v>7960</v>
      </c>
      <c r="D517" s="36">
        <v>32</v>
      </c>
      <c r="E517" s="36">
        <v>208</v>
      </c>
      <c r="F517" s="36" t="s">
        <v>7938</v>
      </c>
      <c r="G517" s="36" t="s">
        <v>7938</v>
      </c>
      <c r="I517" s="33" t="s">
        <v>7960</v>
      </c>
      <c r="J517" s="34">
        <v>32</v>
      </c>
      <c r="K517" s="34">
        <v>208</v>
      </c>
      <c r="L517" s="34">
        <v>4</v>
      </c>
    </row>
    <row r="518" spans="2:12">
      <c r="B518" s="32">
        <v>514</v>
      </c>
      <c r="C518" s="31" t="s">
        <v>7961</v>
      </c>
      <c r="D518" s="36">
        <v>32</v>
      </c>
      <c r="E518" s="36">
        <v>210</v>
      </c>
      <c r="F518" s="36" t="s">
        <v>7938</v>
      </c>
      <c r="G518" s="36" t="s">
        <v>7938</v>
      </c>
      <c r="I518" s="33" t="s">
        <v>7961</v>
      </c>
      <c r="J518" s="34">
        <v>32</v>
      </c>
      <c r="K518" s="34">
        <v>210</v>
      </c>
      <c r="L518" s="34">
        <v>1</v>
      </c>
    </row>
    <row r="519" spans="2:12">
      <c r="B519" s="32">
        <v>516</v>
      </c>
      <c r="C519" s="31" t="s">
        <v>7962</v>
      </c>
      <c r="D519" s="36">
        <v>32</v>
      </c>
      <c r="E519" s="36">
        <v>210</v>
      </c>
      <c r="F519" s="36" t="s">
        <v>7938</v>
      </c>
      <c r="G519" s="36" t="s">
        <v>7938</v>
      </c>
      <c r="I519" s="33" t="s">
        <v>7962</v>
      </c>
      <c r="J519" s="34">
        <v>32</v>
      </c>
      <c r="K519" s="34">
        <v>210</v>
      </c>
      <c r="L519" s="34">
        <v>2</v>
      </c>
    </row>
    <row r="520" spans="2:12">
      <c r="B520" s="32">
        <v>515</v>
      </c>
      <c r="C520" s="31" t="s">
        <v>7963</v>
      </c>
      <c r="D520" s="36">
        <v>32</v>
      </c>
      <c r="E520" s="36">
        <v>210</v>
      </c>
      <c r="F520" s="36" t="s">
        <v>7938</v>
      </c>
      <c r="G520" s="36" t="s">
        <v>7938</v>
      </c>
      <c r="I520" s="33" t="s">
        <v>7963</v>
      </c>
      <c r="J520" s="34">
        <v>32</v>
      </c>
      <c r="K520" s="34">
        <v>210</v>
      </c>
      <c r="L520" s="34">
        <v>3</v>
      </c>
    </row>
    <row r="521" spans="2:12">
      <c r="B521" s="32">
        <v>517</v>
      </c>
      <c r="C521" s="31" t="s">
        <v>7964</v>
      </c>
      <c r="D521" s="36">
        <v>32</v>
      </c>
      <c r="E521" s="36">
        <v>210</v>
      </c>
      <c r="F521" s="36" t="s">
        <v>7938</v>
      </c>
      <c r="G521" s="36" t="s">
        <v>7938</v>
      </c>
      <c r="I521" s="33" t="s">
        <v>7964</v>
      </c>
      <c r="J521" s="34">
        <v>32</v>
      </c>
      <c r="K521" s="34">
        <v>210</v>
      </c>
      <c r="L521" s="34">
        <v>4</v>
      </c>
    </row>
    <row r="522" spans="2:12">
      <c r="B522" s="32"/>
      <c r="C522" s="31" t="s">
        <v>2467</v>
      </c>
      <c r="D522" s="36">
        <v>32</v>
      </c>
      <c r="E522" s="36">
        <v>211</v>
      </c>
      <c r="F522" s="36"/>
      <c r="G522" s="36"/>
      <c r="I522" s="33" t="s">
        <v>2467</v>
      </c>
      <c r="J522" s="34">
        <v>32</v>
      </c>
      <c r="K522" s="34">
        <v>211</v>
      </c>
      <c r="L522" s="34">
        <v>1</v>
      </c>
    </row>
    <row r="523" spans="2:12">
      <c r="B523" s="32">
        <v>518</v>
      </c>
      <c r="C523" s="31" t="s">
        <v>2118</v>
      </c>
      <c r="D523" s="36">
        <v>32</v>
      </c>
      <c r="E523" s="36">
        <v>212</v>
      </c>
      <c r="F523" s="36" t="s">
        <v>7938</v>
      </c>
      <c r="G523" s="36" t="s">
        <v>7938</v>
      </c>
      <c r="I523" s="33" t="s">
        <v>2118</v>
      </c>
      <c r="J523" s="34">
        <v>32</v>
      </c>
      <c r="K523" s="34">
        <v>212</v>
      </c>
      <c r="L523" s="34">
        <v>1</v>
      </c>
    </row>
    <row r="524" spans="2:12">
      <c r="B524" s="32">
        <v>519</v>
      </c>
      <c r="C524" s="31" t="s">
        <v>5756</v>
      </c>
      <c r="D524" s="36">
        <v>32</v>
      </c>
      <c r="E524" s="36">
        <v>212</v>
      </c>
      <c r="F524" s="36" t="s">
        <v>7938</v>
      </c>
      <c r="G524" s="36" t="s">
        <v>7938</v>
      </c>
      <c r="I524" s="33" t="s">
        <v>5756</v>
      </c>
      <c r="J524" s="34">
        <v>32</v>
      </c>
      <c r="K524" s="34">
        <v>212</v>
      </c>
      <c r="L524" s="34">
        <v>2</v>
      </c>
    </row>
    <row r="525" spans="2:12">
      <c r="B525" s="32">
        <v>520</v>
      </c>
      <c r="C525" s="31" t="s">
        <v>4499</v>
      </c>
      <c r="D525" s="36">
        <v>32</v>
      </c>
      <c r="E525" s="36">
        <v>212</v>
      </c>
      <c r="F525" s="36" t="s">
        <v>7938</v>
      </c>
      <c r="G525" s="36" t="s">
        <v>7938</v>
      </c>
      <c r="I525" s="33" t="s">
        <v>4499</v>
      </c>
      <c r="J525" s="34">
        <v>32</v>
      </c>
      <c r="K525" s="34">
        <v>212</v>
      </c>
      <c r="L525" s="34">
        <v>3</v>
      </c>
    </row>
    <row r="526" spans="2:12">
      <c r="B526" s="32">
        <v>521</v>
      </c>
      <c r="C526" s="31" t="s">
        <v>2732</v>
      </c>
      <c r="D526" s="36">
        <v>32</v>
      </c>
      <c r="E526" s="36">
        <v>212</v>
      </c>
      <c r="F526" s="36" t="s">
        <v>7938</v>
      </c>
      <c r="G526" s="36" t="s">
        <v>7938</v>
      </c>
      <c r="I526" s="33" t="s">
        <v>2732</v>
      </c>
      <c r="J526" s="34">
        <v>32</v>
      </c>
      <c r="K526" s="34">
        <v>212</v>
      </c>
      <c r="L526" s="34">
        <v>4</v>
      </c>
    </row>
    <row r="527" spans="2:12">
      <c r="B527" s="32">
        <v>522</v>
      </c>
      <c r="C527" s="31" t="s">
        <v>6603</v>
      </c>
      <c r="D527" s="36">
        <v>32</v>
      </c>
      <c r="E527" s="36">
        <v>219</v>
      </c>
      <c r="F527" s="36" t="s">
        <v>7938</v>
      </c>
      <c r="G527" s="36" t="s">
        <v>4696</v>
      </c>
      <c r="I527" s="33" t="s">
        <v>4695</v>
      </c>
      <c r="J527" s="34">
        <v>32</v>
      </c>
      <c r="K527" s="34">
        <v>216</v>
      </c>
      <c r="L527" s="34">
        <v>1</v>
      </c>
    </row>
    <row r="528" spans="2:12">
      <c r="B528" s="32">
        <v>524</v>
      </c>
      <c r="C528" s="31" t="s">
        <v>747</v>
      </c>
      <c r="D528" s="36">
        <v>33</v>
      </c>
      <c r="E528" s="36">
        <v>101</v>
      </c>
      <c r="F528" s="36" t="s">
        <v>7709</v>
      </c>
      <c r="G528" s="36" t="s">
        <v>748</v>
      </c>
      <c r="I528" s="33" t="s">
        <v>747</v>
      </c>
      <c r="J528" s="34">
        <v>33</v>
      </c>
      <c r="K528" s="34">
        <v>101</v>
      </c>
      <c r="L528" s="34">
        <v>1</v>
      </c>
    </row>
    <row r="529" spans="2:12">
      <c r="B529" s="32">
        <v>525</v>
      </c>
      <c r="C529" s="31" t="s">
        <v>2521</v>
      </c>
      <c r="D529" s="36">
        <v>33</v>
      </c>
      <c r="E529" s="36">
        <v>101</v>
      </c>
      <c r="F529" s="36" t="s">
        <v>7710</v>
      </c>
      <c r="G529" s="36" t="s">
        <v>2522</v>
      </c>
      <c r="I529" s="33" t="s">
        <v>2521</v>
      </c>
      <c r="J529" s="34">
        <v>33</v>
      </c>
      <c r="K529" s="34">
        <v>101</v>
      </c>
      <c r="L529" s="34">
        <v>2</v>
      </c>
    </row>
    <row r="530" spans="2:12">
      <c r="B530" s="32">
        <v>526</v>
      </c>
      <c r="C530" s="31" t="s">
        <v>1969</v>
      </c>
      <c r="D530" s="36">
        <v>33</v>
      </c>
      <c r="E530" s="36">
        <v>102</v>
      </c>
      <c r="F530" s="36" t="s">
        <v>7711</v>
      </c>
      <c r="G530" s="36" t="s">
        <v>1970</v>
      </c>
      <c r="I530" s="33" t="s">
        <v>1969</v>
      </c>
      <c r="J530" s="34">
        <v>33</v>
      </c>
      <c r="K530" s="34">
        <v>102</v>
      </c>
      <c r="L530" s="34">
        <v>1</v>
      </c>
    </row>
    <row r="531" spans="2:12">
      <c r="B531" s="32">
        <v>527</v>
      </c>
      <c r="C531" s="31" t="s">
        <v>2749</v>
      </c>
      <c r="D531" s="36">
        <v>33</v>
      </c>
      <c r="E531" s="36">
        <v>102</v>
      </c>
      <c r="F531" s="36" t="s">
        <v>7712</v>
      </c>
      <c r="G531" s="36" t="s">
        <v>2750</v>
      </c>
      <c r="I531" s="33" t="s">
        <v>2749</v>
      </c>
      <c r="J531" s="34">
        <v>33</v>
      </c>
      <c r="K531" s="34">
        <v>102</v>
      </c>
      <c r="L531" s="34">
        <v>2</v>
      </c>
    </row>
    <row r="532" spans="2:12">
      <c r="B532" s="32">
        <v>528</v>
      </c>
      <c r="C532" s="31" t="s">
        <v>5828</v>
      </c>
      <c r="D532" s="36">
        <v>33</v>
      </c>
      <c r="E532" s="36">
        <v>103</v>
      </c>
      <c r="F532" s="36" t="s">
        <v>7713</v>
      </c>
      <c r="G532" s="36" t="s">
        <v>5829</v>
      </c>
      <c r="I532" s="33" t="s">
        <v>5828</v>
      </c>
      <c r="J532" s="34">
        <v>33</v>
      </c>
      <c r="K532" s="34">
        <v>103</v>
      </c>
      <c r="L532" s="34">
        <v>1</v>
      </c>
    </row>
    <row r="533" spans="2:12">
      <c r="B533" s="32">
        <v>529</v>
      </c>
      <c r="C533" s="31" t="s">
        <v>3033</v>
      </c>
      <c r="D533" s="36">
        <v>33</v>
      </c>
      <c r="E533" s="36">
        <v>103</v>
      </c>
      <c r="F533" s="36" t="s">
        <v>7714</v>
      </c>
      <c r="G533" s="36" t="s">
        <v>3034</v>
      </c>
      <c r="I533" s="33" t="s">
        <v>3033</v>
      </c>
      <c r="J533" s="34">
        <v>33</v>
      </c>
      <c r="K533" s="34">
        <v>103</v>
      </c>
      <c r="L533" s="34">
        <v>2</v>
      </c>
    </row>
    <row r="534" spans="2:12">
      <c r="B534" s="32">
        <v>530</v>
      </c>
      <c r="C534" s="31" t="s">
        <v>5201</v>
      </c>
      <c r="D534" s="36">
        <v>33</v>
      </c>
      <c r="E534" s="36">
        <v>104</v>
      </c>
      <c r="F534" s="36" t="s">
        <v>7715</v>
      </c>
      <c r="G534" s="36" t="s">
        <v>5202</v>
      </c>
      <c r="I534" s="33" t="s">
        <v>5201</v>
      </c>
      <c r="J534" s="34">
        <v>33</v>
      </c>
      <c r="K534" s="34">
        <v>104</v>
      </c>
      <c r="L534" s="34">
        <v>1</v>
      </c>
    </row>
    <row r="535" spans="2:12">
      <c r="B535" s="32">
        <v>531</v>
      </c>
      <c r="C535" s="31" t="s">
        <v>3268</v>
      </c>
      <c r="D535" s="36">
        <v>33</v>
      </c>
      <c r="E535" s="36">
        <v>104</v>
      </c>
      <c r="F535" s="36" t="s">
        <v>7716</v>
      </c>
      <c r="G535" s="36" t="s">
        <v>3269</v>
      </c>
      <c r="I535" s="33" t="s">
        <v>3268</v>
      </c>
      <c r="J535" s="34">
        <v>33</v>
      </c>
      <c r="K535" s="34">
        <v>104</v>
      </c>
      <c r="L535" s="34">
        <v>2</v>
      </c>
    </row>
    <row r="536" spans="2:12">
      <c r="B536" s="32">
        <v>532</v>
      </c>
      <c r="C536" s="31" t="s">
        <v>7965</v>
      </c>
      <c r="D536" s="36">
        <v>33</v>
      </c>
      <c r="E536" s="36">
        <v>105</v>
      </c>
      <c r="F536" s="36" t="s">
        <v>7717</v>
      </c>
      <c r="G536" s="36" t="s">
        <v>869</v>
      </c>
      <c r="I536" s="33" t="s">
        <v>7965</v>
      </c>
      <c r="J536" s="34">
        <v>33</v>
      </c>
      <c r="K536" s="34">
        <v>105</v>
      </c>
      <c r="L536" s="34">
        <v>1</v>
      </c>
    </row>
    <row r="537" spans="2:12">
      <c r="B537" s="32">
        <v>533</v>
      </c>
      <c r="C537" s="31" t="s">
        <v>1762</v>
      </c>
      <c r="D537" s="36">
        <v>33</v>
      </c>
      <c r="E537" s="36">
        <v>105</v>
      </c>
      <c r="F537" s="36" t="s">
        <v>7718</v>
      </c>
      <c r="G537" s="36" t="s">
        <v>1763</v>
      </c>
      <c r="I537" s="33" t="s">
        <v>1762</v>
      </c>
      <c r="J537" s="34">
        <v>33</v>
      </c>
      <c r="K537" s="34">
        <v>105</v>
      </c>
      <c r="L537" s="34">
        <v>2</v>
      </c>
    </row>
    <row r="538" spans="2:12">
      <c r="B538" s="32">
        <v>534</v>
      </c>
      <c r="C538" s="31" t="s">
        <v>4523</v>
      </c>
      <c r="D538" s="36">
        <v>33</v>
      </c>
      <c r="E538" s="36">
        <v>106</v>
      </c>
      <c r="F538" s="36" t="s">
        <v>7720</v>
      </c>
      <c r="G538" s="36" t="s">
        <v>4524</v>
      </c>
      <c r="I538" s="33" t="s">
        <v>4523</v>
      </c>
      <c r="J538" s="34">
        <v>33</v>
      </c>
      <c r="K538" s="34">
        <v>106</v>
      </c>
      <c r="L538" s="34">
        <v>1</v>
      </c>
    </row>
    <row r="539" spans="2:12">
      <c r="B539" s="32">
        <v>535</v>
      </c>
      <c r="C539" s="31" t="s">
        <v>2961</v>
      </c>
      <c r="D539" s="36">
        <v>33</v>
      </c>
      <c r="E539" s="36">
        <v>106</v>
      </c>
      <c r="F539" s="36" t="s">
        <v>7721</v>
      </c>
      <c r="G539" s="36" t="s">
        <v>2962</v>
      </c>
      <c r="I539" s="33" t="s">
        <v>2961</v>
      </c>
      <c r="J539" s="34">
        <v>33</v>
      </c>
      <c r="K539" s="34">
        <v>106</v>
      </c>
      <c r="L539" s="34">
        <v>2</v>
      </c>
    </row>
    <row r="540" spans="2:12">
      <c r="B540" s="32">
        <v>536</v>
      </c>
      <c r="C540" s="31" t="s">
        <v>7966</v>
      </c>
      <c r="D540" s="36">
        <v>33</v>
      </c>
      <c r="E540" s="36">
        <v>107</v>
      </c>
      <c r="F540" s="36" t="s">
        <v>7967</v>
      </c>
      <c r="G540" s="36" t="s">
        <v>2958</v>
      </c>
      <c r="I540" s="33" t="s">
        <v>7966</v>
      </c>
      <c r="J540" s="34">
        <v>33</v>
      </c>
      <c r="K540" s="34">
        <v>107</v>
      </c>
      <c r="L540" s="34">
        <v>1</v>
      </c>
    </row>
    <row r="541" spans="2:12">
      <c r="B541" s="32">
        <v>537</v>
      </c>
      <c r="C541" s="31" t="s">
        <v>7968</v>
      </c>
      <c r="D541" s="36">
        <v>33</v>
      </c>
      <c r="E541" s="36">
        <v>107</v>
      </c>
      <c r="F541" s="36" t="s">
        <v>7969</v>
      </c>
      <c r="G541" s="36" t="s">
        <v>1745</v>
      </c>
      <c r="I541" s="33" t="s">
        <v>7968</v>
      </c>
      <c r="J541" s="34">
        <v>33</v>
      </c>
      <c r="K541" s="34">
        <v>107</v>
      </c>
      <c r="L541" s="34">
        <v>2</v>
      </c>
    </row>
    <row r="542" spans="2:12">
      <c r="B542" s="32">
        <v>538</v>
      </c>
      <c r="C542" s="31" t="s">
        <v>7970</v>
      </c>
      <c r="D542" s="36">
        <v>33</v>
      </c>
      <c r="E542" s="36">
        <v>108</v>
      </c>
      <c r="F542" s="36" t="s">
        <v>7724</v>
      </c>
      <c r="G542" s="36" t="s">
        <v>3305</v>
      </c>
      <c r="I542" s="33" t="s">
        <v>3304</v>
      </c>
      <c r="J542" s="34">
        <v>33</v>
      </c>
      <c r="K542" s="34">
        <v>108</v>
      </c>
      <c r="L542" s="34">
        <v>1</v>
      </c>
    </row>
    <row r="543" spans="2:12">
      <c r="B543" s="32">
        <v>539</v>
      </c>
      <c r="C543" s="31" t="s">
        <v>7971</v>
      </c>
      <c r="D543" s="36">
        <v>33</v>
      </c>
      <c r="E543" s="36">
        <v>108</v>
      </c>
      <c r="F543" s="36" t="s">
        <v>7725</v>
      </c>
      <c r="G543" s="36" t="s">
        <v>4043</v>
      </c>
      <c r="I543" s="33" t="s">
        <v>4042</v>
      </c>
      <c r="J543" s="34">
        <v>33</v>
      </c>
      <c r="K543" s="34">
        <v>108</v>
      </c>
      <c r="L543" s="34">
        <v>2</v>
      </c>
    </row>
    <row r="544" spans="2:12">
      <c r="B544" s="32">
        <v>540</v>
      </c>
      <c r="C544" s="31" t="s">
        <v>4931</v>
      </c>
      <c r="D544" s="36">
        <v>33</v>
      </c>
      <c r="E544" s="36">
        <v>109</v>
      </c>
      <c r="F544" s="36" t="s">
        <v>7938</v>
      </c>
      <c r="G544" s="36" t="s">
        <v>4932</v>
      </c>
      <c r="I544" s="33" t="s">
        <v>4931</v>
      </c>
      <c r="J544" s="34">
        <v>33</v>
      </c>
      <c r="K544" s="34">
        <v>109</v>
      </c>
      <c r="L544" s="34">
        <v>1</v>
      </c>
    </row>
    <row r="545" spans="2:12">
      <c r="B545" s="32">
        <v>541</v>
      </c>
      <c r="C545" s="31" t="s">
        <v>6636</v>
      </c>
      <c r="D545" s="36">
        <v>33</v>
      </c>
      <c r="E545" s="36">
        <v>110</v>
      </c>
      <c r="F545" s="36" t="s">
        <v>7938</v>
      </c>
      <c r="G545" s="36" t="s">
        <v>7938</v>
      </c>
      <c r="I545" s="33" t="s">
        <v>6636</v>
      </c>
      <c r="J545" s="34">
        <v>33</v>
      </c>
      <c r="K545" s="34">
        <v>110</v>
      </c>
      <c r="L545" s="34">
        <v>1</v>
      </c>
    </row>
    <row r="546" spans="2:12">
      <c r="B546" s="32">
        <v>542</v>
      </c>
      <c r="C546" s="31" t="s">
        <v>7972</v>
      </c>
      <c r="D546" s="36">
        <v>33</v>
      </c>
      <c r="E546" s="36">
        <v>111</v>
      </c>
      <c r="F546" s="36" t="s">
        <v>7938</v>
      </c>
      <c r="G546" s="36" t="s">
        <v>7938</v>
      </c>
      <c r="I546" s="33" t="s">
        <v>7972</v>
      </c>
      <c r="J546" s="34">
        <v>33</v>
      </c>
      <c r="K546" s="34">
        <v>111</v>
      </c>
      <c r="L546" s="34">
        <v>1</v>
      </c>
    </row>
    <row r="547" spans="2:12">
      <c r="B547" s="32">
        <v>543</v>
      </c>
      <c r="C547" s="31" t="s">
        <v>199</v>
      </c>
      <c r="D547" s="36">
        <v>33</v>
      </c>
      <c r="E547" s="36">
        <v>112</v>
      </c>
      <c r="F547" s="36" t="s">
        <v>7938</v>
      </c>
      <c r="G547" s="36" t="s">
        <v>200</v>
      </c>
      <c r="I547" s="33" t="s">
        <v>199</v>
      </c>
      <c r="J547" s="34">
        <v>33</v>
      </c>
      <c r="K547" s="34">
        <v>112</v>
      </c>
      <c r="L547" s="34">
        <v>1</v>
      </c>
    </row>
    <row r="548" spans="2:12">
      <c r="B548" s="32">
        <v>545</v>
      </c>
      <c r="C548" s="31" t="s">
        <v>3250</v>
      </c>
      <c r="D548" s="36">
        <v>33</v>
      </c>
      <c r="E548" s="36">
        <v>113</v>
      </c>
      <c r="F548" s="36" t="s">
        <v>7938</v>
      </c>
      <c r="G548" s="36" t="s">
        <v>3251</v>
      </c>
      <c r="I548" s="33" t="s">
        <v>3250</v>
      </c>
      <c r="J548" s="34">
        <v>33</v>
      </c>
      <c r="K548" s="34">
        <v>113</v>
      </c>
      <c r="L548" s="34">
        <v>1</v>
      </c>
    </row>
    <row r="549" spans="2:12">
      <c r="B549" s="32">
        <v>546</v>
      </c>
      <c r="C549" s="31" t="s">
        <v>4510</v>
      </c>
      <c r="D549" s="36">
        <v>33</v>
      </c>
      <c r="E549" s="36">
        <v>114</v>
      </c>
      <c r="F549" s="36" t="s">
        <v>7726</v>
      </c>
      <c r="G549" s="36" t="s">
        <v>4511</v>
      </c>
      <c r="I549" s="33" t="s">
        <v>4510</v>
      </c>
      <c r="J549" s="34">
        <v>33</v>
      </c>
      <c r="K549" s="34">
        <v>114</v>
      </c>
      <c r="L549" s="34">
        <v>1</v>
      </c>
    </row>
    <row r="550" spans="2:12">
      <c r="B550" s="32">
        <v>547</v>
      </c>
      <c r="C550" s="31" t="s">
        <v>3498</v>
      </c>
      <c r="D550" s="36">
        <v>33</v>
      </c>
      <c r="E550" s="36">
        <v>114</v>
      </c>
      <c r="F550" s="36" t="s">
        <v>7727</v>
      </c>
      <c r="G550" s="36" t="s">
        <v>3499</v>
      </c>
      <c r="I550" s="33" t="s">
        <v>3498</v>
      </c>
      <c r="J550" s="34">
        <v>33</v>
      </c>
      <c r="K550" s="34">
        <v>114</v>
      </c>
      <c r="L550" s="34">
        <v>2</v>
      </c>
    </row>
    <row r="551" spans="2:12">
      <c r="B551" s="32">
        <v>548</v>
      </c>
      <c r="C551" s="31" t="s">
        <v>7973</v>
      </c>
      <c r="D551" s="36">
        <v>33</v>
      </c>
      <c r="E551" s="36">
        <v>115</v>
      </c>
      <c r="F551" s="36" t="s">
        <v>7974</v>
      </c>
      <c r="G551" s="36" t="s">
        <v>2043</v>
      </c>
      <c r="I551" s="33" t="s">
        <v>7973</v>
      </c>
      <c r="J551" s="34">
        <v>33</v>
      </c>
      <c r="K551" s="34">
        <v>115</v>
      </c>
      <c r="L551" s="34">
        <v>1</v>
      </c>
    </row>
    <row r="552" spans="2:12">
      <c r="B552" s="32">
        <v>549</v>
      </c>
      <c r="C552" s="31" t="s">
        <v>1166</v>
      </c>
      <c r="D552" s="36">
        <v>33</v>
      </c>
      <c r="E552" s="36">
        <v>115</v>
      </c>
      <c r="F552" s="36" t="s">
        <v>7729</v>
      </c>
      <c r="G552" s="36" t="s">
        <v>1167</v>
      </c>
      <c r="I552" s="33" t="s">
        <v>1166</v>
      </c>
      <c r="J552" s="34">
        <v>33</v>
      </c>
      <c r="K552" s="34">
        <v>115</v>
      </c>
      <c r="L552" s="34">
        <v>2</v>
      </c>
    </row>
    <row r="553" spans="2:12">
      <c r="B553" s="32">
        <v>550</v>
      </c>
      <c r="C553" s="31" t="s">
        <v>85</v>
      </c>
      <c r="D553" s="36">
        <v>33</v>
      </c>
      <c r="E553" s="36">
        <v>116</v>
      </c>
      <c r="F553" s="36" t="s">
        <v>7731</v>
      </c>
      <c r="G553" s="36" t="s">
        <v>86</v>
      </c>
      <c r="I553" s="33" t="s">
        <v>85</v>
      </c>
      <c r="J553" s="34">
        <v>33</v>
      </c>
      <c r="K553" s="34">
        <v>116</v>
      </c>
      <c r="L553" s="34">
        <v>1</v>
      </c>
    </row>
    <row r="554" spans="2:12">
      <c r="B554" s="32">
        <v>551</v>
      </c>
      <c r="C554" s="31" t="s">
        <v>7975</v>
      </c>
      <c r="D554" s="36">
        <v>33</v>
      </c>
      <c r="E554" s="36">
        <v>116</v>
      </c>
      <c r="F554" s="36" t="s">
        <v>7732</v>
      </c>
      <c r="G554" s="36" t="s">
        <v>3685</v>
      </c>
      <c r="I554" s="33" t="s">
        <v>7975</v>
      </c>
      <c r="J554" s="34">
        <v>33</v>
      </c>
      <c r="K554" s="34">
        <v>116</v>
      </c>
      <c r="L554" s="34">
        <v>3</v>
      </c>
    </row>
    <row r="555" spans="2:12">
      <c r="B555" s="32">
        <v>552</v>
      </c>
      <c r="C555" s="31" t="s">
        <v>2621</v>
      </c>
      <c r="D555" s="36">
        <v>33</v>
      </c>
      <c r="E555" s="36">
        <v>117</v>
      </c>
      <c r="F555" s="36" t="s">
        <v>7734</v>
      </c>
      <c r="G555" s="36" t="s">
        <v>2622</v>
      </c>
      <c r="I555" s="33" t="s">
        <v>2621</v>
      </c>
      <c r="J555" s="34">
        <v>33</v>
      </c>
      <c r="K555" s="34">
        <v>117</v>
      </c>
      <c r="L555" s="34">
        <v>1</v>
      </c>
    </row>
    <row r="556" spans="2:12">
      <c r="B556" s="32">
        <v>553</v>
      </c>
      <c r="C556" s="31" t="s">
        <v>7976</v>
      </c>
      <c r="D556" s="36">
        <v>33</v>
      </c>
      <c r="E556" s="36">
        <v>117</v>
      </c>
      <c r="F556" s="36" t="s">
        <v>7735</v>
      </c>
      <c r="G556" s="36" t="s">
        <v>291</v>
      </c>
      <c r="I556" s="33" t="s">
        <v>7976</v>
      </c>
      <c r="J556" s="34">
        <v>33</v>
      </c>
      <c r="K556" s="34">
        <v>117</v>
      </c>
      <c r="L556" s="34">
        <v>2</v>
      </c>
    </row>
    <row r="557" spans="2:12">
      <c r="B557" s="32">
        <v>554</v>
      </c>
      <c r="C557" s="31" t="s">
        <v>7977</v>
      </c>
      <c r="D557" s="36">
        <v>33</v>
      </c>
      <c r="E557" s="36">
        <v>117</v>
      </c>
      <c r="F557" s="36" t="s">
        <v>7736</v>
      </c>
      <c r="G557" s="36" t="s">
        <v>5920</v>
      </c>
      <c r="I557" s="33" t="s">
        <v>7977</v>
      </c>
      <c r="J557" s="34">
        <v>33</v>
      </c>
      <c r="K557" s="34">
        <v>117</v>
      </c>
      <c r="L557" s="34">
        <v>3</v>
      </c>
    </row>
    <row r="558" spans="2:12">
      <c r="B558" s="32">
        <v>555</v>
      </c>
      <c r="C558" s="31" t="s">
        <v>7978</v>
      </c>
      <c r="D558" s="36">
        <v>33</v>
      </c>
      <c r="E558" s="36">
        <v>118</v>
      </c>
      <c r="F558" s="36" t="s">
        <v>7737</v>
      </c>
      <c r="G558" s="36" t="s">
        <v>916</v>
      </c>
      <c r="I558" s="33" t="s">
        <v>7978</v>
      </c>
      <c r="J558" s="34">
        <v>33</v>
      </c>
      <c r="K558" s="34">
        <v>118</v>
      </c>
      <c r="L558" s="34">
        <v>1</v>
      </c>
    </row>
    <row r="559" spans="2:12">
      <c r="B559" s="32">
        <v>556</v>
      </c>
      <c r="C559" s="31" t="s">
        <v>853</v>
      </c>
      <c r="D559" s="36">
        <v>33</v>
      </c>
      <c r="E559" s="36">
        <v>118</v>
      </c>
      <c r="F559" s="36" t="s">
        <v>7738</v>
      </c>
      <c r="G559" s="36" t="s">
        <v>854</v>
      </c>
      <c r="I559" s="33" t="s">
        <v>853</v>
      </c>
      <c r="J559" s="34">
        <v>33</v>
      </c>
      <c r="K559" s="34">
        <v>118</v>
      </c>
      <c r="L559" s="34">
        <v>2</v>
      </c>
    </row>
    <row r="560" spans="2:12">
      <c r="B560" s="32">
        <v>557</v>
      </c>
      <c r="C560" s="31" t="s">
        <v>4632</v>
      </c>
      <c r="D560" s="36">
        <v>33</v>
      </c>
      <c r="E560" s="36">
        <v>118</v>
      </c>
      <c r="F560" s="36" t="s">
        <v>7739</v>
      </c>
      <c r="G560" s="36" t="s">
        <v>4633</v>
      </c>
      <c r="I560" s="33" t="s">
        <v>4632</v>
      </c>
      <c r="J560" s="34">
        <v>33</v>
      </c>
      <c r="K560" s="34">
        <v>118</v>
      </c>
      <c r="L560" s="34">
        <v>3</v>
      </c>
    </row>
    <row r="561" spans="2:12">
      <c r="B561" s="32">
        <v>558</v>
      </c>
      <c r="C561" s="31" t="s">
        <v>4417</v>
      </c>
      <c r="D561" s="36">
        <v>33</v>
      </c>
      <c r="E561" s="36">
        <v>119</v>
      </c>
      <c r="F561" s="36" t="s">
        <v>7740</v>
      </c>
      <c r="G561" s="36" t="s">
        <v>4418</v>
      </c>
      <c r="I561" s="33" t="s">
        <v>4417</v>
      </c>
      <c r="J561" s="34">
        <v>33</v>
      </c>
      <c r="K561" s="34">
        <v>119</v>
      </c>
      <c r="L561" s="34">
        <v>1</v>
      </c>
    </row>
    <row r="562" spans="2:12">
      <c r="B562" s="32">
        <v>559</v>
      </c>
      <c r="C562" s="31" t="s">
        <v>4412</v>
      </c>
      <c r="D562" s="36">
        <v>33</v>
      </c>
      <c r="E562" s="36">
        <v>119</v>
      </c>
      <c r="F562" s="36" t="s">
        <v>7741</v>
      </c>
      <c r="G562" s="36" t="s">
        <v>4413</v>
      </c>
      <c r="I562" s="33" t="s">
        <v>4412</v>
      </c>
      <c r="J562" s="34">
        <v>33</v>
      </c>
      <c r="K562" s="34">
        <v>119</v>
      </c>
      <c r="L562" s="34">
        <v>2</v>
      </c>
    </row>
    <row r="563" spans="2:12">
      <c r="B563" s="32">
        <v>560</v>
      </c>
      <c r="C563" s="31" t="s">
        <v>63</v>
      </c>
      <c r="D563" s="36">
        <v>33</v>
      </c>
      <c r="E563" s="36">
        <v>119</v>
      </c>
      <c r="F563" s="36" t="s">
        <v>7742</v>
      </c>
      <c r="G563" s="36" t="s">
        <v>64</v>
      </c>
      <c r="I563" s="33" t="s">
        <v>63</v>
      </c>
      <c r="J563" s="34">
        <v>33</v>
      </c>
      <c r="K563" s="34">
        <v>119</v>
      </c>
      <c r="L563" s="34">
        <v>3</v>
      </c>
    </row>
    <row r="564" spans="2:12">
      <c r="B564" s="32">
        <v>561</v>
      </c>
      <c r="C564" s="31" t="s">
        <v>1307</v>
      </c>
      <c r="D564" s="36">
        <v>33</v>
      </c>
      <c r="E564" s="36">
        <v>120</v>
      </c>
      <c r="F564" s="36" t="s">
        <v>7743</v>
      </c>
      <c r="G564" s="36" t="s">
        <v>1308</v>
      </c>
      <c r="I564" s="33" t="s">
        <v>1307</v>
      </c>
      <c r="J564" s="34">
        <v>33</v>
      </c>
      <c r="K564" s="34">
        <v>120</v>
      </c>
      <c r="L564" s="34">
        <v>1</v>
      </c>
    </row>
    <row r="565" spans="2:12">
      <c r="B565" s="32">
        <v>562</v>
      </c>
      <c r="C565" s="31" t="s">
        <v>2037</v>
      </c>
      <c r="D565" s="36">
        <v>33</v>
      </c>
      <c r="E565" s="36">
        <v>120</v>
      </c>
      <c r="F565" s="36" t="s">
        <v>7744</v>
      </c>
      <c r="G565" s="36" t="s">
        <v>2038</v>
      </c>
      <c r="I565" s="33" t="s">
        <v>2037</v>
      </c>
      <c r="J565" s="34">
        <v>33</v>
      </c>
      <c r="K565" s="34">
        <v>120</v>
      </c>
      <c r="L565" s="34">
        <v>2</v>
      </c>
    </row>
    <row r="566" spans="2:12">
      <c r="B566" s="32">
        <v>563</v>
      </c>
      <c r="C566" s="31" t="s">
        <v>1429</v>
      </c>
      <c r="D566" s="36">
        <v>33</v>
      </c>
      <c r="E566" s="36">
        <v>201</v>
      </c>
      <c r="F566" s="36" t="s">
        <v>7254</v>
      </c>
      <c r="G566" s="36" t="s">
        <v>1430</v>
      </c>
      <c r="I566" s="33" t="s">
        <v>1429</v>
      </c>
      <c r="J566" s="34">
        <v>33</v>
      </c>
      <c r="K566" s="34">
        <v>201</v>
      </c>
      <c r="L566" s="34">
        <v>1</v>
      </c>
    </row>
    <row r="567" spans="2:12">
      <c r="B567" s="32">
        <v>564</v>
      </c>
      <c r="C567" s="31" t="s">
        <v>2389</v>
      </c>
      <c r="D567" s="36">
        <v>33</v>
      </c>
      <c r="E567" s="36">
        <v>201</v>
      </c>
      <c r="F567" s="36" t="s">
        <v>7745</v>
      </c>
      <c r="G567" s="36" t="s">
        <v>2390</v>
      </c>
      <c r="I567" s="33" t="s">
        <v>2389</v>
      </c>
      <c r="J567" s="34">
        <v>33</v>
      </c>
      <c r="K567" s="34">
        <v>201</v>
      </c>
      <c r="L567" s="34">
        <v>2</v>
      </c>
    </row>
    <row r="568" spans="2:12">
      <c r="B568" s="32">
        <v>565</v>
      </c>
      <c r="C568" s="31" t="s">
        <v>617</v>
      </c>
      <c r="D568" s="36">
        <v>33</v>
      </c>
      <c r="E568" s="36">
        <v>202</v>
      </c>
      <c r="F568" s="36" t="s">
        <v>7746</v>
      </c>
      <c r="G568" s="36" t="s">
        <v>618</v>
      </c>
      <c r="I568" s="33" t="s">
        <v>617</v>
      </c>
      <c r="J568" s="34">
        <v>33</v>
      </c>
      <c r="K568" s="34">
        <v>202</v>
      </c>
      <c r="L568" s="34">
        <v>1</v>
      </c>
    </row>
    <row r="569" spans="2:12">
      <c r="B569" s="32">
        <v>566</v>
      </c>
      <c r="C569" s="31" t="s">
        <v>2472</v>
      </c>
      <c r="D569" s="36">
        <v>33</v>
      </c>
      <c r="E569" s="36">
        <v>202</v>
      </c>
      <c r="F569" s="36" t="s">
        <v>7747</v>
      </c>
      <c r="G569" s="36" t="s">
        <v>2473</v>
      </c>
      <c r="I569" s="33" t="s">
        <v>2472</v>
      </c>
      <c r="J569" s="34">
        <v>33</v>
      </c>
      <c r="K569" s="34">
        <v>202</v>
      </c>
      <c r="L569" s="34">
        <v>2</v>
      </c>
    </row>
    <row r="570" spans="2:12">
      <c r="B570" s="32">
        <v>567</v>
      </c>
      <c r="C570" s="31" t="s">
        <v>34</v>
      </c>
      <c r="D570" s="36">
        <v>33</v>
      </c>
      <c r="E570" s="36">
        <v>203</v>
      </c>
      <c r="F570" s="36" t="s">
        <v>7410</v>
      </c>
      <c r="G570" s="36" t="s">
        <v>35</v>
      </c>
      <c r="I570" s="33" t="s">
        <v>34</v>
      </c>
      <c r="J570" s="34">
        <v>33</v>
      </c>
      <c r="K570" s="34">
        <v>203</v>
      </c>
      <c r="L570" s="34">
        <v>1</v>
      </c>
    </row>
    <row r="571" spans="2:12">
      <c r="B571" s="32">
        <v>568</v>
      </c>
      <c r="C571" s="31" t="s">
        <v>2535</v>
      </c>
      <c r="D571" s="36">
        <v>33</v>
      </c>
      <c r="E571" s="36">
        <v>203</v>
      </c>
      <c r="F571" s="36" t="s">
        <v>7748</v>
      </c>
      <c r="G571" s="36" t="s">
        <v>2536</v>
      </c>
      <c r="I571" s="33" t="s">
        <v>2535</v>
      </c>
      <c r="J571" s="34">
        <v>33</v>
      </c>
      <c r="K571" s="34">
        <v>203</v>
      </c>
      <c r="L571" s="34">
        <v>2</v>
      </c>
    </row>
    <row r="572" spans="2:12">
      <c r="B572" s="32">
        <v>571</v>
      </c>
      <c r="C572" s="31" t="s">
        <v>3336</v>
      </c>
      <c r="D572" s="36">
        <v>33</v>
      </c>
      <c r="E572" s="36">
        <v>204</v>
      </c>
      <c r="F572" s="36" t="s">
        <v>7751</v>
      </c>
      <c r="G572" s="36" t="s">
        <v>3337</v>
      </c>
      <c r="I572" s="33" t="s">
        <v>3336</v>
      </c>
      <c r="J572" s="34">
        <v>33</v>
      </c>
      <c r="K572" s="34">
        <v>204</v>
      </c>
      <c r="L572" s="34">
        <v>1</v>
      </c>
    </row>
    <row r="573" spans="2:12">
      <c r="B573" s="32">
        <v>569</v>
      </c>
      <c r="C573" s="31" t="s">
        <v>5997</v>
      </c>
      <c r="D573" s="36">
        <v>33</v>
      </c>
      <c r="E573" s="36">
        <v>204</v>
      </c>
      <c r="F573" s="36" t="s">
        <v>7749</v>
      </c>
      <c r="G573" s="36" t="s">
        <v>5998</v>
      </c>
      <c r="I573" s="33" t="s">
        <v>5997</v>
      </c>
      <c r="J573" s="34">
        <v>33</v>
      </c>
      <c r="K573" s="34">
        <v>204</v>
      </c>
      <c r="L573" s="34">
        <v>2</v>
      </c>
    </row>
    <row r="574" spans="2:12">
      <c r="B574" s="32">
        <v>570</v>
      </c>
      <c r="C574" s="31" t="s">
        <v>39</v>
      </c>
      <c r="D574" s="36">
        <v>33</v>
      </c>
      <c r="E574" s="36">
        <v>204</v>
      </c>
      <c r="F574" s="36" t="s">
        <v>7750</v>
      </c>
      <c r="G574" s="36" t="s">
        <v>40</v>
      </c>
      <c r="I574" s="33" t="s">
        <v>39</v>
      </c>
      <c r="J574" s="34">
        <v>33</v>
      </c>
      <c r="K574" s="34">
        <v>204</v>
      </c>
      <c r="L574" s="34">
        <v>3</v>
      </c>
    </row>
    <row r="575" spans="2:12">
      <c r="B575" s="32">
        <v>574</v>
      </c>
      <c r="C575" s="31" t="s">
        <v>460</v>
      </c>
      <c r="D575" s="36">
        <v>33</v>
      </c>
      <c r="E575" s="36">
        <v>205</v>
      </c>
      <c r="F575" s="36" t="s">
        <v>7754</v>
      </c>
      <c r="G575" s="36" t="s">
        <v>461</v>
      </c>
      <c r="I575" s="33" t="s">
        <v>460</v>
      </c>
      <c r="J575" s="34">
        <v>33</v>
      </c>
      <c r="K575" s="34">
        <v>205</v>
      </c>
      <c r="L575" s="34">
        <v>1</v>
      </c>
    </row>
    <row r="576" spans="2:12">
      <c r="B576" s="32">
        <v>572</v>
      </c>
      <c r="C576" s="31" t="s">
        <v>2821</v>
      </c>
      <c r="D576" s="36">
        <v>33</v>
      </c>
      <c r="E576" s="36">
        <v>205</v>
      </c>
      <c r="F576" s="36" t="s">
        <v>7752</v>
      </c>
      <c r="G576" s="36" t="s">
        <v>2822</v>
      </c>
      <c r="I576" s="33" t="s">
        <v>2821</v>
      </c>
      <c r="J576" s="34">
        <v>33</v>
      </c>
      <c r="K576" s="34">
        <v>205</v>
      </c>
      <c r="L576" s="34">
        <v>2</v>
      </c>
    </row>
    <row r="577" spans="2:12">
      <c r="B577" s="32">
        <v>573</v>
      </c>
      <c r="C577" s="31" t="s">
        <v>522</v>
      </c>
      <c r="D577" s="36">
        <v>33</v>
      </c>
      <c r="E577" s="36">
        <v>205</v>
      </c>
      <c r="F577" s="36" t="s">
        <v>7753</v>
      </c>
      <c r="G577" s="36" t="s">
        <v>523</v>
      </c>
      <c r="I577" s="33" t="s">
        <v>522</v>
      </c>
      <c r="J577" s="34">
        <v>33</v>
      </c>
      <c r="K577" s="34">
        <v>205</v>
      </c>
      <c r="L577" s="34">
        <v>3</v>
      </c>
    </row>
    <row r="578" spans="2:12">
      <c r="B578" s="32">
        <v>575</v>
      </c>
      <c r="C578" s="31" t="s">
        <v>7958</v>
      </c>
      <c r="D578" s="36">
        <v>33</v>
      </c>
      <c r="E578" s="36">
        <v>206</v>
      </c>
      <c r="F578" s="36" t="s">
        <v>7938</v>
      </c>
      <c r="G578" s="36" t="s">
        <v>7938</v>
      </c>
      <c r="I578" s="33" t="s">
        <v>7979</v>
      </c>
      <c r="J578" s="34">
        <v>33</v>
      </c>
      <c r="K578" s="34">
        <v>206</v>
      </c>
      <c r="L578" s="34">
        <v>1</v>
      </c>
    </row>
    <row r="579" spans="2:12">
      <c r="B579" s="32">
        <v>576</v>
      </c>
      <c r="C579" s="31" t="s">
        <v>7958</v>
      </c>
      <c r="D579" s="36">
        <v>33</v>
      </c>
      <c r="E579" s="36">
        <v>206</v>
      </c>
      <c r="F579" s="36" t="s">
        <v>7938</v>
      </c>
      <c r="G579" s="36" t="s">
        <v>7938</v>
      </c>
      <c r="I579" s="33" t="s">
        <v>7979</v>
      </c>
      <c r="J579" s="34">
        <v>33</v>
      </c>
      <c r="K579" s="34">
        <v>207</v>
      </c>
      <c r="L579" s="34">
        <v>1</v>
      </c>
    </row>
    <row r="580" spans="2:12">
      <c r="B580" s="32">
        <v>577</v>
      </c>
      <c r="C580" s="31" t="s">
        <v>7958</v>
      </c>
      <c r="D580" s="36">
        <v>33</v>
      </c>
      <c r="E580" s="36">
        <v>207</v>
      </c>
      <c r="F580" s="36" t="s">
        <v>7938</v>
      </c>
      <c r="G580" s="36" t="s">
        <v>7938</v>
      </c>
      <c r="I580" s="33" t="s">
        <v>7979</v>
      </c>
      <c r="J580" s="34">
        <v>33</v>
      </c>
      <c r="K580" s="34">
        <v>208</v>
      </c>
      <c r="L580" s="34">
        <v>1</v>
      </c>
    </row>
    <row r="581" spans="2:12">
      <c r="B581" s="32">
        <v>578</v>
      </c>
      <c r="C581" s="31" t="s">
        <v>7958</v>
      </c>
      <c r="D581" s="36">
        <v>33</v>
      </c>
      <c r="E581" s="36">
        <v>207</v>
      </c>
      <c r="F581" s="36" t="s">
        <v>7938</v>
      </c>
      <c r="G581" s="36" t="s">
        <v>7938</v>
      </c>
      <c r="I581" s="33" t="s">
        <v>7979</v>
      </c>
      <c r="J581" s="34">
        <v>33</v>
      </c>
      <c r="K581" s="34">
        <v>209</v>
      </c>
      <c r="L581" s="34">
        <v>1</v>
      </c>
    </row>
    <row r="582" spans="2:12">
      <c r="B582" s="32">
        <v>579</v>
      </c>
      <c r="C582" s="31" t="s">
        <v>7958</v>
      </c>
      <c r="D582" s="36">
        <v>33</v>
      </c>
      <c r="E582" s="36">
        <v>208</v>
      </c>
      <c r="F582" s="36" t="s">
        <v>7938</v>
      </c>
      <c r="G582" s="36" t="s">
        <v>7938</v>
      </c>
      <c r="I582" s="33" t="s">
        <v>7979</v>
      </c>
      <c r="J582" s="34">
        <v>33</v>
      </c>
      <c r="K582" s="34">
        <v>210</v>
      </c>
      <c r="L582" s="34">
        <v>1</v>
      </c>
    </row>
    <row r="583" spans="2:12">
      <c r="B583" s="32">
        <v>580</v>
      </c>
      <c r="C583" s="31" t="s">
        <v>7958</v>
      </c>
      <c r="D583" s="36">
        <v>33</v>
      </c>
      <c r="E583" s="36">
        <v>208</v>
      </c>
      <c r="F583" s="36" t="s">
        <v>7938</v>
      </c>
      <c r="G583" s="36" t="s">
        <v>7938</v>
      </c>
      <c r="I583" s="33" t="s">
        <v>7979</v>
      </c>
      <c r="J583" s="34">
        <v>33</v>
      </c>
      <c r="K583" s="34">
        <v>211</v>
      </c>
      <c r="L583" s="34">
        <v>1</v>
      </c>
    </row>
    <row r="584" spans="2:12">
      <c r="B584" s="32">
        <v>581</v>
      </c>
      <c r="C584" s="31" t="s">
        <v>7958</v>
      </c>
      <c r="D584" s="36">
        <v>33</v>
      </c>
      <c r="E584" s="36">
        <v>209</v>
      </c>
      <c r="F584" s="36" t="s">
        <v>7938</v>
      </c>
      <c r="G584" s="36" t="s">
        <v>7938</v>
      </c>
      <c r="I584" s="33" t="s">
        <v>7979</v>
      </c>
      <c r="J584" s="34">
        <v>33</v>
      </c>
      <c r="K584" s="34">
        <v>212</v>
      </c>
      <c r="L584" s="34">
        <v>1</v>
      </c>
    </row>
    <row r="585" spans="2:12">
      <c r="B585" s="32">
        <v>582</v>
      </c>
      <c r="C585" s="31" t="s">
        <v>7958</v>
      </c>
      <c r="D585" s="36">
        <v>33</v>
      </c>
      <c r="E585" s="36">
        <v>209</v>
      </c>
      <c r="F585" s="36" t="s">
        <v>7938</v>
      </c>
      <c r="G585" s="36" t="s">
        <v>7938</v>
      </c>
      <c r="I585" s="33" t="s">
        <v>7979</v>
      </c>
      <c r="J585" s="34">
        <v>33</v>
      </c>
      <c r="K585" s="34">
        <v>213</v>
      </c>
      <c r="L585" s="34">
        <v>1</v>
      </c>
    </row>
    <row r="586" spans="2:12">
      <c r="B586" s="32">
        <v>583</v>
      </c>
      <c r="C586" s="31" t="s">
        <v>7958</v>
      </c>
      <c r="D586" s="36">
        <v>33</v>
      </c>
      <c r="E586" s="36">
        <v>210</v>
      </c>
      <c r="F586" s="36" t="s">
        <v>7938</v>
      </c>
      <c r="G586" s="36" t="s">
        <v>7938</v>
      </c>
      <c r="I586" s="33" t="s">
        <v>7979</v>
      </c>
      <c r="J586" s="34">
        <v>33</v>
      </c>
      <c r="K586" s="34">
        <v>214</v>
      </c>
      <c r="L586" s="34">
        <v>1</v>
      </c>
    </row>
    <row r="587" spans="2:12">
      <c r="B587" s="32">
        <v>584</v>
      </c>
      <c r="C587" s="31" t="s">
        <v>7958</v>
      </c>
      <c r="D587" s="36">
        <v>33</v>
      </c>
      <c r="E587" s="36">
        <v>210</v>
      </c>
      <c r="F587" s="36" t="s">
        <v>7938</v>
      </c>
      <c r="G587" s="36" t="s">
        <v>7938</v>
      </c>
      <c r="I587" s="33" t="s">
        <v>7979</v>
      </c>
      <c r="J587" s="34">
        <v>33</v>
      </c>
      <c r="K587" s="34">
        <v>215</v>
      </c>
      <c r="L587" s="34">
        <v>1</v>
      </c>
    </row>
    <row r="588" spans="2:12">
      <c r="B588" s="32">
        <v>596</v>
      </c>
      <c r="C588" s="31" t="s">
        <v>1301</v>
      </c>
      <c r="D588" s="36">
        <v>33</v>
      </c>
      <c r="E588" s="36">
        <v>217</v>
      </c>
      <c r="F588" s="36" t="s">
        <v>7757</v>
      </c>
      <c r="G588" s="36" t="s">
        <v>1302</v>
      </c>
      <c r="I588" s="33" t="s">
        <v>1301</v>
      </c>
      <c r="J588" s="34">
        <v>33</v>
      </c>
      <c r="K588" s="34">
        <v>217</v>
      </c>
      <c r="L588" s="34">
        <v>1</v>
      </c>
    </row>
    <row r="589" spans="2:12">
      <c r="B589" s="32">
        <v>597</v>
      </c>
      <c r="C589" s="31" t="s">
        <v>889</v>
      </c>
      <c r="D589" s="36">
        <v>33</v>
      </c>
      <c r="E589" s="36">
        <v>217</v>
      </c>
      <c r="F589" s="36" t="s">
        <v>7758</v>
      </c>
      <c r="G589" s="36" t="s">
        <v>890</v>
      </c>
      <c r="I589" s="33" t="s">
        <v>889</v>
      </c>
      <c r="J589" s="34">
        <v>33</v>
      </c>
      <c r="K589" s="34">
        <v>217</v>
      </c>
      <c r="L589" s="34">
        <v>2</v>
      </c>
    </row>
    <row r="590" spans="2:12">
      <c r="B590" s="32">
        <v>598</v>
      </c>
      <c r="C590" s="31" t="s">
        <v>3574</v>
      </c>
      <c r="D590" s="36">
        <v>33</v>
      </c>
      <c r="E590" s="36">
        <v>217</v>
      </c>
      <c r="F590" s="36" t="s">
        <v>7759</v>
      </c>
      <c r="G590" s="36" t="s">
        <v>3575</v>
      </c>
      <c r="I590" s="33" t="s">
        <v>3574</v>
      </c>
      <c r="J590" s="34">
        <v>33</v>
      </c>
      <c r="K590" s="34">
        <v>217</v>
      </c>
      <c r="L590" s="34">
        <v>3</v>
      </c>
    </row>
    <row r="591" spans="2:12">
      <c r="B591" s="32">
        <v>599</v>
      </c>
      <c r="C591" s="31" t="s">
        <v>1989</v>
      </c>
      <c r="D591" s="36">
        <v>33</v>
      </c>
      <c r="E591" s="36">
        <v>218</v>
      </c>
      <c r="F591" s="36" t="s">
        <v>7760</v>
      </c>
      <c r="G591" s="36" t="s">
        <v>1990</v>
      </c>
      <c r="I591" s="33" t="s">
        <v>1989</v>
      </c>
      <c r="J591" s="34">
        <v>33</v>
      </c>
      <c r="K591" s="34">
        <v>218</v>
      </c>
      <c r="L591" s="34">
        <v>1</v>
      </c>
    </row>
    <row r="592" spans="2:12">
      <c r="B592" s="32">
        <v>600</v>
      </c>
      <c r="C592" s="31" t="s">
        <v>4229</v>
      </c>
      <c r="D592" s="36">
        <v>33</v>
      </c>
      <c r="E592" s="36">
        <v>218</v>
      </c>
      <c r="F592" s="36" t="s">
        <v>7761</v>
      </c>
      <c r="G592" s="36" t="s">
        <v>4230</v>
      </c>
      <c r="I592" s="33" t="s">
        <v>4229</v>
      </c>
      <c r="J592" s="34">
        <v>33</v>
      </c>
      <c r="K592" s="34">
        <v>218</v>
      </c>
      <c r="L592" s="34">
        <v>2</v>
      </c>
    </row>
    <row r="593" spans="2:12">
      <c r="B593" s="32">
        <v>601</v>
      </c>
      <c r="C593" s="31" t="s">
        <v>4610</v>
      </c>
      <c r="D593" s="36">
        <v>33</v>
      </c>
      <c r="E593" s="36">
        <v>219</v>
      </c>
      <c r="F593" s="36" t="s">
        <v>7762</v>
      </c>
      <c r="G593" s="36" t="s">
        <v>4611</v>
      </c>
      <c r="I593" s="33" t="s">
        <v>4610</v>
      </c>
      <c r="J593" s="34">
        <v>33</v>
      </c>
      <c r="K593" s="34">
        <v>219</v>
      </c>
      <c r="L593" s="34">
        <v>1</v>
      </c>
    </row>
    <row r="594" spans="2:12">
      <c r="B594" s="32">
        <v>602</v>
      </c>
      <c r="C594" s="31" t="s">
        <v>795</v>
      </c>
      <c r="D594" s="36">
        <v>33</v>
      </c>
      <c r="E594" s="36">
        <v>219</v>
      </c>
      <c r="F594" s="36" t="s">
        <v>6635</v>
      </c>
      <c r="G594" s="36" t="s">
        <v>796</v>
      </c>
      <c r="I594" s="33" t="s">
        <v>795</v>
      </c>
      <c r="J594" s="34">
        <v>33</v>
      </c>
      <c r="K594" s="34">
        <v>219</v>
      </c>
      <c r="L594" s="34">
        <v>2</v>
      </c>
    </row>
    <row r="595" spans="2:12">
      <c r="B595" s="32">
        <v>603</v>
      </c>
      <c r="C595" s="31" t="s">
        <v>4024</v>
      </c>
      <c r="D595" s="36">
        <v>33</v>
      </c>
      <c r="E595" s="36">
        <v>220</v>
      </c>
      <c r="F595" s="36" t="s">
        <v>7763</v>
      </c>
      <c r="G595" s="36" t="s">
        <v>4025</v>
      </c>
      <c r="I595" s="33" t="s">
        <v>4024</v>
      </c>
      <c r="J595" s="34">
        <v>33</v>
      </c>
      <c r="K595" s="34">
        <v>220</v>
      </c>
      <c r="L595" s="34">
        <v>1</v>
      </c>
    </row>
    <row r="596" spans="2:12">
      <c r="B596" s="32">
        <v>604</v>
      </c>
      <c r="C596" s="31" t="s">
        <v>2005</v>
      </c>
      <c r="D596" s="36">
        <v>33</v>
      </c>
      <c r="E596" s="36">
        <v>220</v>
      </c>
      <c r="F596" s="36" t="s">
        <v>7764</v>
      </c>
      <c r="G596" s="36" t="s">
        <v>2006</v>
      </c>
      <c r="I596" s="33" t="s">
        <v>2005</v>
      </c>
      <c r="J596" s="34">
        <v>33</v>
      </c>
      <c r="K596" s="34">
        <v>220</v>
      </c>
      <c r="L596" s="34">
        <v>2</v>
      </c>
    </row>
    <row r="597" spans="2:12">
      <c r="B597" s="32">
        <v>605</v>
      </c>
      <c r="C597" s="31" t="s">
        <v>2630</v>
      </c>
      <c r="D597" s="32">
        <v>34</v>
      </c>
      <c r="E597" s="32">
        <v>101</v>
      </c>
      <c r="F597" s="36" t="s">
        <v>7414</v>
      </c>
      <c r="G597" s="36" t="s">
        <v>2631</v>
      </c>
      <c r="I597" s="33" t="s">
        <v>2630</v>
      </c>
      <c r="J597" s="34">
        <v>34</v>
      </c>
      <c r="K597" s="34">
        <v>101</v>
      </c>
      <c r="L597" s="34">
        <v>1</v>
      </c>
    </row>
    <row r="598" spans="2:12">
      <c r="B598" s="32">
        <v>606</v>
      </c>
      <c r="C598" s="31" t="s">
        <v>429</v>
      </c>
      <c r="D598" s="36">
        <v>34</v>
      </c>
      <c r="E598" s="36">
        <v>101</v>
      </c>
      <c r="F598" s="36" t="s">
        <v>7766</v>
      </c>
      <c r="G598" s="36" t="s">
        <v>430</v>
      </c>
      <c r="I598" s="33" t="s">
        <v>429</v>
      </c>
      <c r="J598" s="34">
        <v>34</v>
      </c>
      <c r="K598" s="34">
        <v>101</v>
      </c>
      <c r="L598" s="34">
        <v>2</v>
      </c>
    </row>
    <row r="599" spans="2:12">
      <c r="B599" s="32">
        <v>607</v>
      </c>
      <c r="C599" s="31" t="s">
        <v>2052</v>
      </c>
      <c r="D599" s="36">
        <v>34</v>
      </c>
      <c r="E599" s="36">
        <v>101</v>
      </c>
      <c r="F599" s="36" t="s">
        <v>7767</v>
      </c>
      <c r="G599" s="36" t="s">
        <v>2053</v>
      </c>
      <c r="I599" s="33" t="s">
        <v>2052</v>
      </c>
      <c r="J599" s="34">
        <v>34</v>
      </c>
      <c r="K599" s="34">
        <v>101</v>
      </c>
      <c r="L599" s="34">
        <v>3</v>
      </c>
    </row>
    <row r="600" spans="2:12">
      <c r="B600" s="32">
        <v>608</v>
      </c>
      <c r="C600" s="31" t="s">
        <v>3204</v>
      </c>
      <c r="D600" s="36">
        <v>34</v>
      </c>
      <c r="E600" s="36">
        <v>102</v>
      </c>
      <c r="F600" s="36" t="s">
        <v>7768</v>
      </c>
      <c r="G600" s="36" t="s">
        <v>3205</v>
      </c>
      <c r="I600" s="33" t="s">
        <v>3204</v>
      </c>
      <c r="J600" s="34">
        <v>34</v>
      </c>
      <c r="K600" s="34">
        <v>102</v>
      </c>
      <c r="L600" s="34">
        <v>1</v>
      </c>
    </row>
    <row r="601" spans="2:12">
      <c r="B601" s="32">
        <v>609</v>
      </c>
      <c r="C601" s="31" t="s">
        <v>269</v>
      </c>
      <c r="D601" s="36">
        <v>34</v>
      </c>
      <c r="E601" s="36">
        <v>102</v>
      </c>
      <c r="F601" s="36" t="s">
        <v>7769</v>
      </c>
      <c r="G601" s="36" t="s">
        <v>270</v>
      </c>
      <c r="I601" s="33" t="s">
        <v>269</v>
      </c>
      <c r="J601" s="34">
        <v>34</v>
      </c>
      <c r="K601" s="34">
        <v>102</v>
      </c>
      <c r="L601" s="34">
        <v>2</v>
      </c>
    </row>
    <row r="602" spans="2:12">
      <c r="B602" s="32">
        <v>610</v>
      </c>
      <c r="C602" s="31" t="s">
        <v>5603</v>
      </c>
      <c r="D602" s="36">
        <v>34</v>
      </c>
      <c r="E602" s="36">
        <v>102</v>
      </c>
      <c r="F602" s="36" t="s">
        <v>7770</v>
      </c>
      <c r="G602" s="36" t="s">
        <v>5604</v>
      </c>
      <c r="I602" s="33" t="s">
        <v>5603</v>
      </c>
      <c r="J602" s="34">
        <v>34</v>
      </c>
      <c r="K602" s="34">
        <v>102</v>
      </c>
      <c r="L602" s="34">
        <v>3</v>
      </c>
    </row>
    <row r="603" spans="2:12">
      <c r="B603" s="32">
        <v>611</v>
      </c>
      <c r="C603" s="31" t="s">
        <v>3174</v>
      </c>
      <c r="D603" s="36">
        <v>34</v>
      </c>
      <c r="E603" s="36">
        <v>103</v>
      </c>
      <c r="F603" s="36" t="s">
        <v>7771</v>
      </c>
      <c r="G603" s="36" t="s">
        <v>3175</v>
      </c>
      <c r="I603" s="33" t="s">
        <v>3174</v>
      </c>
      <c r="J603" s="34">
        <v>34</v>
      </c>
      <c r="K603" s="34">
        <v>103</v>
      </c>
      <c r="L603" s="34">
        <v>1</v>
      </c>
    </row>
    <row r="604" spans="2:12">
      <c r="B604" s="32">
        <v>612</v>
      </c>
      <c r="C604" s="31" t="s">
        <v>2969</v>
      </c>
      <c r="D604" s="36">
        <v>34</v>
      </c>
      <c r="E604" s="36">
        <v>103</v>
      </c>
      <c r="F604" s="36" t="s">
        <v>7772</v>
      </c>
      <c r="G604" s="36" t="s">
        <v>2970</v>
      </c>
      <c r="I604" s="33" t="s">
        <v>2969</v>
      </c>
      <c r="J604" s="34">
        <v>34</v>
      </c>
      <c r="K604" s="34">
        <v>103</v>
      </c>
      <c r="L604" s="34">
        <v>2</v>
      </c>
    </row>
    <row r="605" spans="2:12">
      <c r="B605" s="32">
        <v>613</v>
      </c>
      <c r="C605" s="31" t="s">
        <v>144</v>
      </c>
      <c r="D605" s="36">
        <v>34</v>
      </c>
      <c r="E605" s="36">
        <v>103</v>
      </c>
      <c r="F605" s="36" t="s">
        <v>7241</v>
      </c>
      <c r="G605" s="36" t="s">
        <v>145</v>
      </c>
      <c r="I605" s="33" t="s">
        <v>144</v>
      </c>
      <c r="J605" s="34">
        <v>34</v>
      </c>
      <c r="K605" s="34">
        <v>103</v>
      </c>
      <c r="L605" s="34">
        <v>3</v>
      </c>
    </row>
    <row r="606" spans="2:12">
      <c r="B606" s="32">
        <v>614</v>
      </c>
      <c r="C606" s="31" t="s">
        <v>4029</v>
      </c>
      <c r="D606" s="36">
        <v>34</v>
      </c>
      <c r="E606" s="36">
        <v>104</v>
      </c>
      <c r="F606" s="36" t="s">
        <v>7312</v>
      </c>
      <c r="G606" s="36" t="s">
        <v>4030</v>
      </c>
      <c r="I606" s="33" t="s">
        <v>4029</v>
      </c>
      <c r="J606" s="34">
        <v>34</v>
      </c>
      <c r="K606" s="34">
        <v>104</v>
      </c>
      <c r="L606" s="34">
        <v>1</v>
      </c>
    </row>
    <row r="607" spans="2:12">
      <c r="B607" s="32">
        <v>615</v>
      </c>
      <c r="C607" s="31" t="s">
        <v>5694</v>
      </c>
      <c r="D607" s="36">
        <v>34</v>
      </c>
      <c r="E607" s="36">
        <v>104</v>
      </c>
      <c r="F607" s="36" t="s">
        <v>7207</v>
      </c>
      <c r="G607" s="36" t="s">
        <v>5695</v>
      </c>
      <c r="I607" s="33" t="s">
        <v>5694</v>
      </c>
      <c r="J607" s="34">
        <v>34</v>
      </c>
      <c r="K607" s="34">
        <v>104</v>
      </c>
      <c r="L607" s="34">
        <v>2</v>
      </c>
    </row>
    <row r="608" spans="2:12">
      <c r="B608" s="32">
        <v>616</v>
      </c>
      <c r="C608" s="31" t="s">
        <v>5058</v>
      </c>
      <c r="D608" s="36">
        <v>34</v>
      </c>
      <c r="E608" s="36">
        <v>104</v>
      </c>
      <c r="F608" s="36" t="s">
        <v>7773</v>
      </c>
      <c r="G608" s="36" t="s">
        <v>5059</v>
      </c>
      <c r="I608" s="33" t="s">
        <v>5058</v>
      </c>
      <c r="J608" s="34">
        <v>34</v>
      </c>
      <c r="K608" s="34">
        <v>104</v>
      </c>
      <c r="L608" s="34">
        <v>3</v>
      </c>
    </row>
    <row r="609" spans="2:12">
      <c r="B609" s="32">
        <v>617</v>
      </c>
      <c r="C609" s="31" t="s">
        <v>2913</v>
      </c>
      <c r="D609" s="36">
        <v>34</v>
      </c>
      <c r="E609" s="36">
        <v>105</v>
      </c>
      <c r="F609" s="36" t="s">
        <v>7774</v>
      </c>
      <c r="G609" s="36" t="s">
        <v>2914</v>
      </c>
      <c r="I609" s="33" t="s">
        <v>2913</v>
      </c>
      <c r="J609" s="34">
        <v>34</v>
      </c>
      <c r="K609" s="34">
        <v>105</v>
      </c>
      <c r="L609" s="34">
        <v>1</v>
      </c>
    </row>
    <row r="610" spans="2:12">
      <c r="B610" s="32">
        <v>618</v>
      </c>
      <c r="C610" s="31" t="s">
        <v>5903</v>
      </c>
      <c r="D610" s="36">
        <v>34</v>
      </c>
      <c r="E610" s="36">
        <v>105</v>
      </c>
      <c r="F610" s="36" t="s">
        <v>7775</v>
      </c>
      <c r="G610" s="36" t="s">
        <v>5904</v>
      </c>
      <c r="I610" s="33" t="s">
        <v>5903</v>
      </c>
      <c r="J610" s="34">
        <v>34</v>
      </c>
      <c r="K610" s="34">
        <v>105</v>
      </c>
      <c r="L610" s="34">
        <v>2</v>
      </c>
    </row>
    <row r="611" spans="2:12">
      <c r="B611" s="32">
        <v>588</v>
      </c>
      <c r="C611" s="31" t="s">
        <v>7958</v>
      </c>
      <c r="D611" s="36">
        <v>33</v>
      </c>
      <c r="E611" s="36">
        <v>212</v>
      </c>
      <c r="F611" s="36" t="s">
        <v>7938</v>
      </c>
      <c r="G611" s="36" t="s">
        <v>7938</v>
      </c>
      <c r="I611" s="33" t="s">
        <v>725</v>
      </c>
      <c r="J611" s="34">
        <v>34</v>
      </c>
      <c r="K611" s="34">
        <v>105</v>
      </c>
      <c r="L611" s="34">
        <v>3</v>
      </c>
    </row>
    <row r="612" spans="2:12">
      <c r="B612" s="32">
        <v>619</v>
      </c>
      <c r="C612" s="31" t="s">
        <v>3456</v>
      </c>
      <c r="D612" s="36">
        <v>34</v>
      </c>
      <c r="E612" s="36">
        <v>106</v>
      </c>
      <c r="F612" s="36" t="s">
        <v>7776</v>
      </c>
      <c r="G612" s="36" t="s">
        <v>3457</v>
      </c>
      <c r="I612" s="33" t="s">
        <v>3456</v>
      </c>
      <c r="J612" s="34">
        <v>34</v>
      </c>
      <c r="K612" s="34">
        <v>106</v>
      </c>
      <c r="L612" s="34">
        <v>1</v>
      </c>
    </row>
    <row r="613" spans="2:12">
      <c r="B613" s="32">
        <v>620</v>
      </c>
      <c r="C613" s="31" t="s">
        <v>2918</v>
      </c>
      <c r="D613" s="36">
        <v>34</v>
      </c>
      <c r="E613" s="36">
        <v>106</v>
      </c>
      <c r="F613" s="36" t="s">
        <v>7777</v>
      </c>
      <c r="G613" s="36" t="s">
        <v>2919</v>
      </c>
      <c r="I613" s="33" t="s">
        <v>2918</v>
      </c>
      <c r="J613" s="34">
        <v>34</v>
      </c>
      <c r="K613" s="34">
        <v>106</v>
      </c>
      <c r="L613" s="34">
        <v>2</v>
      </c>
    </row>
    <row r="614" spans="2:12">
      <c r="B614" s="32">
        <v>621</v>
      </c>
      <c r="C614" s="31" t="s">
        <v>2103</v>
      </c>
      <c r="D614" s="36">
        <v>34</v>
      </c>
      <c r="E614" s="36">
        <v>106</v>
      </c>
      <c r="F614" s="36" t="s">
        <v>7778</v>
      </c>
      <c r="G614" s="36" t="s">
        <v>2104</v>
      </c>
      <c r="I614" s="33" t="s">
        <v>2103</v>
      </c>
      <c r="J614" s="34">
        <v>34</v>
      </c>
      <c r="K614" s="34">
        <v>106</v>
      </c>
      <c r="L614" s="34">
        <v>3</v>
      </c>
    </row>
    <row r="615" spans="2:12">
      <c r="B615" s="32">
        <v>622</v>
      </c>
      <c r="C615" s="31" t="s">
        <v>2108</v>
      </c>
      <c r="D615" s="36">
        <v>34</v>
      </c>
      <c r="E615" s="36">
        <v>107</v>
      </c>
      <c r="F615" s="36" t="s">
        <v>7779</v>
      </c>
      <c r="G615" s="36" t="s">
        <v>2109</v>
      </c>
      <c r="I615" s="33" t="s">
        <v>2108</v>
      </c>
      <c r="J615" s="34">
        <v>34</v>
      </c>
      <c r="K615" s="34">
        <v>107</v>
      </c>
      <c r="L615" s="34">
        <v>1</v>
      </c>
    </row>
    <row r="616" spans="2:12">
      <c r="B616" s="32">
        <v>623</v>
      </c>
      <c r="C616" s="31" t="s">
        <v>1040</v>
      </c>
      <c r="D616" s="36">
        <v>34</v>
      </c>
      <c r="E616" s="36">
        <v>107</v>
      </c>
      <c r="F616" s="36" t="s">
        <v>7780</v>
      </c>
      <c r="G616" s="36" t="s">
        <v>1041</v>
      </c>
      <c r="I616" s="33" t="s">
        <v>1040</v>
      </c>
      <c r="J616" s="34">
        <v>34</v>
      </c>
      <c r="K616" s="34">
        <v>107</v>
      </c>
      <c r="L616" s="34">
        <v>2</v>
      </c>
    </row>
    <row r="617" spans="2:12">
      <c r="B617" s="32">
        <v>624</v>
      </c>
      <c r="C617" s="31" t="s">
        <v>1228</v>
      </c>
      <c r="D617" s="36">
        <v>34</v>
      </c>
      <c r="E617" s="36">
        <v>107</v>
      </c>
      <c r="F617" s="36" t="s">
        <v>7781</v>
      </c>
      <c r="G617" s="36" t="s">
        <v>1229</v>
      </c>
      <c r="I617" s="33" t="s">
        <v>1228</v>
      </c>
      <c r="J617" s="34">
        <v>34</v>
      </c>
      <c r="K617" s="34">
        <v>107</v>
      </c>
      <c r="L617" s="34">
        <v>3</v>
      </c>
    </row>
    <row r="618" spans="2:12">
      <c r="B618" s="32">
        <v>625</v>
      </c>
      <c r="C618" s="31" t="s">
        <v>2336</v>
      </c>
      <c r="D618" s="36">
        <v>34</v>
      </c>
      <c r="E618" s="36">
        <v>108</v>
      </c>
      <c r="F618" s="36" t="s">
        <v>7782</v>
      </c>
      <c r="G618" s="36" t="s">
        <v>2337</v>
      </c>
      <c r="I618" s="33" t="s">
        <v>2336</v>
      </c>
      <c r="J618" s="34">
        <v>34</v>
      </c>
      <c r="K618" s="34">
        <v>108</v>
      </c>
      <c r="L618" s="34">
        <v>1</v>
      </c>
    </row>
    <row r="619" spans="2:12">
      <c r="B619" s="32">
        <v>626</v>
      </c>
      <c r="C619" s="31" t="s">
        <v>5186</v>
      </c>
      <c r="D619" s="36">
        <v>34</v>
      </c>
      <c r="E619" s="36">
        <v>108</v>
      </c>
      <c r="F619" s="36" t="s">
        <v>7783</v>
      </c>
      <c r="G619" s="36" t="s">
        <v>5187</v>
      </c>
      <c r="I619" s="33" t="s">
        <v>5186</v>
      </c>
      <c r="J619" s="34">
        <v>34</v>
      </c>
      <c r="K619" s="34">
        <v>108</v>
      </c>
      <c r="L619" s="34">
        <v>2</v>
      </c>
    </row>
    <row r="620" spans="2:12">
      <c r="B620" s="32">
        <v>627</v>
      </c>
      <c r="C620" s="31" t="s">
        <v>674</v>
      </c>
      <c r="D620" s="36">
        <v>34</v>
      </c>
      <c r="E620" s="36">
        <v>108</v>
      </c>
      <c r="F620" s="36" t="s">
        <v>7784</v>
      </c>
      <c r="G620" s="36" t="s">
        <v>675</v>
      </c>
      <c r="I620" s="33" t="s">
        <v>674</v>
      </c>
      <c r="J620" s="34">
        <v>34</v>
      </c>
      <c r="K620" s="34">
        <v>108</v>
      </c>
      <c r="L620" s="34">
        <v>3</v>
      </c>
    </row>
    <row r="621" spans="2:12">
      <c r="B621" s="32">
        <v>628</v>
      </c>
      <c r="C621" s="31" t="s">
        <v>4183</v>
      </c>
      <c r="D621" s="36">
        <v>34</v>
      </c>
      <c r="E621" s="36">
        <v>109</v>
      </c>
      <c r="F621" s="36" t="s">
        <v>7785</v>
      </c>
      <c r="G621" s="36" t="s">
        <v>4184</v>
      </c>
      <c r="I621" s="33" t="s">
        <v>4183</v>
      </c>
      <c r="J621" s="34">
        <v>34</v>
      </c>
      <c r="K621" s="34">
        <v>109</v>
      </c>
      <c r="L621" s="34">
        <v>1</v>
      </c>
    </row>
    <row r="622" spans="2:12">
      <c r="B622" s="32">
        <v>629</v>
      </c>
      <c r="C622" s="31" t="s">
        <v>553</v>
      </c>
      <c r="D622" s="36">
        <v>34</v>
      </c>
      <c r="E622" s="36">
        <v>109</v>
      </c>
      <c r="F622" s="36" t="s">
        <v>7786</v>
      </c>
      <c r="G622" s="36" t="s">
        <v>554</v>
      </c>
      <c r="I622" s="33" t="s">
        <v>553</v>
      </c>
      <c r="J622" s="34">
        <v>34</v>
      </c>
      <c r="K622" s="34">
        <v>109</v>
      </c>
      <c r="L622" s="34">
        <v>2</v>
      </c>
    </row>
    <row r="623" spans="2:12">
      <c r="B623" s="32">
        <v>630</v>
      </c>
      <c r="C623" s="31" t="s">
        <v>2853</v>
      </c>
      <c r="D623" s="36">
        <v>34</v>
      </c>
      <c r="E623" s="36">
        <v>109</v>
      </c>
      <c r="F623" s="36" t="s">
        <v>7787</v>
      </c>
      <c r="G623" s="36" t="s">
        <v>2854</v>
      </c>
      <c r="I623" s="33" t="s">
        <v>2853</v>
      </c>
      <c r="J623" s="34">
        <v>34</v>
      </c>
      <c r="K623" s="34">
        <v>109</v>
      </c>
      <c r="L623" s="34">
        <v>3</v>
      </c>
    </row>
    <row r="624" spans="2:12">
      <c r="B624" s="32">
        <v>631</v>
      </c>
      <c r="C624" s="31" t="s">
        <v>135</v>
      </c>
      <c r="D624" s="36">
        <v>34</v>
      </c>
      <c r="E624" s="36">
        <v>110</v>
      </c>
      <c r="F624" s="36" t="s">
        <v>7788</v>
      </c>
      <c r="G624" s="36" t="s">
        <v>136</v>
      </c>
      <c r="I624" s="33" t="s">
        <v>135</v>
      </c>
      <c r="J624" s="34">
        <v>34</v>
      </c>
      <c r="K624" s="34">
        <v>110</v>
      </c>
      <c r="L624" s="34">
        <v>1</v>
      </c>
    </row>
    <row r="625" spans="2:12">
      <c r="B625" s="32">
        <v>632</v>
      </c>
      <c r="C625" s="31" t="s">
        <v>1822</v>
      </c>
      <c r="D625" s="36">
        <v>34</v>
      </c>
      <c r="E625" s="36">
        <v>110</v>
      </c>
      <c r="F625" s="36" t="s">
        <v>7789</v>
      </c>
      <c r="G625" s="36" t="s">
        <v>1823</v>
      </c>
      <c r="I625" s="33" t="s">
        <v>1822</v>
      </c>
      <c r="J625" s="34">
        <v>34</v>
      </c>
      <c r="K625" s="34">
        <v>110</v>
      </c>
      <c r="L625" s="34">
        <v>2</v>
      </c>
    </row>
    <row r="626" spans="2:12">
      <c r="B626" s="32">
        <v>589</v>
      </c>
      <c r="C626" s="31" t="s">
        <v>7958</v>
      </c>
      <c r="D626" s="36">
        <v>33</v>
      </c>
      <c r="E626" s="36">
        <v>213</v>
      </c>
      <c r="F626" s="36" t="s">
        <v>7938</v>
      </c>
      <c r="G626" s="36" t="s">
        <v>7938</v>
      </c>
      <c r="I626" s="33" t="s">
        <v>725</v>
      </c>
      <c r="J626" s="34">
        <v>34</v>
      </c>
      <c r="K626" s="34">
        <v>110</v>
      </c>
      <c r="L626" s="34">
        <v>3</v>
      </c>
    </row>
    <row r="627" spans="2:12">
      <c r="B627" s="32">
        <v>633</v>
      </c>
      <c r="C627" s="31" t="s">
        <v>2462</v>
      </c>
      <c r="D627" s="36">
        <v>34</v>
      </c>
      <c r="E627" s="36">
        <v>111</v>
      </c>
      <c r="F627" s="36" t="s">
        <v>7790</v>
      </c>
      <c r="G627" s="36" t="s">
        <v>2463</v>
      </c>
      <c r="I627" s="33" t="s">
        <v>2462</v>
      </c>
      <c r="J627" s="34">
        <v>34</v>
      </c>
      <c r="K627" s="34">
        <v>111</v>
      </c>
      <c r="L627" s="34">
        <v>1</v>
      </c>
    </row>
    <row r="628" spans="2:12">
      <c r="B628" s="32">
        <v>634</v>
      </c>
      <c r="C628" s="31" t="s">
        <v>7980</v>
      </c>
      <c r="D628" s="36">
        <v>34</v>
      </c>
      <c r="E628" s="36">
        <v>111</v>
      </c>
      <c r="F628" s="36" t="s">
        <v>7791</v>
      </c>
      <c r="G628" s="36" t="s">
        <v>2058</v>
      </c>
      <c r="I628" s="33" t="s">
        <v>7980</v>
      </c>
      <c r="J628" s="34">
        <v>34</v>
      </c>
      <c r="K628" s="34">
        <v>111</v>
      </c>
      <c r="L628" s="34">
        <v>2</v>
      </c>
    </row>
    <row r="629" spans="2:12">
      <c r="B629" s="32">
        <v>635</v>
      </c>
      <c r="C629" s="31" t="s">
        <v>848</v>
      </c>
      <c r="D629" s="36">
        <v>34</v>
      </c>
      <c r="E629" s="36">
        <v>111</v>
      </c>
      <c r="F629" s="36" t="s">
        <v>7792</v>
      </c>
      <c r="G629" s="36" t="s">
        <v>849</v>
      </c>
      <c r="I629" s="33" t="s">
        <v>848</v>
      </c>
      <c r="J629" s="34">
        <v>34</v>
      </c>
      <c r="K629" s="34">
        <v>111</v>
      </c>
      <c r="L629" s="34">
        <v>3</v>
      </c>
    </row>
    <row r="630" spans="2:12">
      <c r="B630" s="32">
        <v>636</v>
      </c>
      <c r="C630" s="31" t="s">
        <v>1323</v>
      </c>
      <c r="D630" s="36">
        <v>34</v>
      </c>
      <c r="E630" s="36">
        <v>112</v>
      </c>
      <c r="F630" s="36" t="s">
        <v>7793</v>
      </c>
      <c r="G630" s="36" t="s">
        <v>1324</v>
      </c>
      <c r="I630" s="33" t="s">
        <v>1323</v>
      </c>
      <c r="J630" s="34">
        <v>34</v>
      </c>
      <c r="K630" s="34">
        <v>112</v>
      </c>
      <c r="L630" s="34">
        <v>1</v>
      </c>
    </row>
    <row r="631" spans="2:12">
      <c r="B631" s="32">
        <v>637</v>
      </c>
      <c r="C631" s="31" t="s">
        <v>3548</v>
      </c>
      <c r="D631" s="36">
        <v>34</v>
      </c>
      <c r="E631" s="36">
        <v>112</v>
      </c>
      <c r="F631" s="36" t="s">
        <v>7794</v>
      </c>
      <c r="G631" s="36" t="s">
        <v>3549</v>
      </c>
      <c r="I631" s="33" t="s">
        <v>3548</v>
      </c>
      <c r="J631" s="34">
        <v>34</v>
      </c>
      <c r="K631" s="34">
        <v>112</v>
      </c>
      <c r="L631" s="34">
        <v>2</v>
      </c>
    </row>
    <row r="632" spans="2:12">
      <c r="B632" s="32">
        <v>590</v>
      </c>
      <c r="C632" s="31" t="s">
        <v>7958</v>
      </c>
      <c r="D632" s="36">
        <v>33</v>
      </c>
      <c r="E632" s="36">
        <v>213</v>
      </c>
      <c r="F632" s="36" t="s">
        <v>7938</v>
      </c>
      <c r="G632" s="36" t="s">
        <v>7938</v>
      </c>
      <c r="I632" s="33" t="s">
        <v>725</v>
      </c>
      <c r="J632" s="34">
        <v>34</v>
      </c>
      <c r="K632" s="34">
        <v>112</v>
      </c>
      <c r="L632" s="34">
        <v>3</v>
      </c>
    </row>
    <row r="633" spans="2:12">
      <c r="B633" s="32">
        <v>638</v>
      </c>
      <c r="C633" s="31" t="s">
        <v>1806</v>
      </c>
      <c r="D633" s="36">
        <v>34</v>
      </c>
      <c r="E633" s="36">
        <v>113</v>
      </c>
      <c r="F633" s="36" t="s">
        <v>7795</v>
      </c>
      <c r="G633" s="36" t="s">
        <v>1807</v>
      </c>
      <c r="I633" s="33" t="s">
        <v>1806</v>
      </c>
      <c r="J633" s="34">
        <v>34</v>
      </c>
      <c r="K633" s="34">
        <v>113</v>
      </c>
      <c r="L633" s="34">
        <v>1</v>
      </c>
    </row>
    <row r="634" spans="2:12">
      <c r="B634" s="32">
        <v>639</v>
      </c>
      <c r="C634" s="31" t="s">
        <v>4616</v>
      </c>
      <c r="D634" s="36">
        <v>34</v>
      </c>
      <c r="E634" s="36">
        <v>113</v>
      </c>
      <c r="F634" s="36" t="s">
        <v>7796</v>
      </c>
      <c r="G634" s="36" t="s">
        <v>4617</v>
      </c>
      <c r="I634" s="33" t="s">
        <v>4616</v>
      </c>
      <c r="J634" s="34">
        <v>34</v>
      </c>
      <c r="K634" s="34">
        <v>113</v>
      </c>
      <c r="L634" s="34">
        <v>2</v>
      </c>
    </row>
    <row r="635" spans="2:12">
      <c r="B635" s="32">
        <v>640</v>
      </c>
      <c r="C635" s="31" t="s">
        <v>4343</v>
      </c>
      <c r="D635" s="36">
        <v>34</v>
      </c>
      <c r="E635" s="36">
        <v>113</v>
      </c>
      <c r="F635" s="36" t="s">
        <v>7797</v>
      </c>
      <c r="G635" s="36" t="s">
        <v>4344</v>
      </c>
      <c r="I635" s="33" t="s">
        <v>4343</v>
      </c>
      <c r="J635" s="34">
        <v>34</v>
      </c>
      <c r="K635" s="34">
        <v>113</v>
      </c>
      <c r="L635" s="34">
        <v>3</v>
      </c>
    </row>
    <row r="636" spans="2:12">
      <c r="B636" s="32">
        <v>641</v>
      </c>
      <c r="C636" s="31" t="s">
        <v>2353</v>
      </c>
      <c r="D636" s="36">
        <v>34</v>
      </c>
      <c r="E636" s="36">
        <v>114</v>
      </c>
      <c r="F636" s="36" t="s">
        <v>7798</v>
      </c>
      <c r="G636" s="36" t="s">
        <v>2354</v>
      </c>
      <c r="I636" s="33" t="s">
        <v>2353</v>
      </c>
      <c r="J636" s="34">
        <v>34</v>
      </c>
      <c r="K636" s="34">
        <v>114</v>
      </c>
      <c r="L636" s="34">
        <v>1</v>
      </c>
    </row>
    <row r="637" spans="2:12">
      <c r="B637" s="32">
        <v>642</v>
      </c>
      <c r="C637" s="31" t="s">
        <v>3850</v>
      </c>
      <c r="D637" s="36">
        <v>34</v>
      </c>
      <c r="E637" s="36">
        <v>114</v>
      </c>
      <c r="F637" s="36" t="s">
        <v>7799</v>
      </c>
      <c r="G637" s="36" t="s">
        <v>3851</v>
      </c>
      <c r="I637" s="33" t="s">
        <v>3850</v>
      </c>
      <c r="J637" s="34">
        <v>34</v>
      </c>
      <c r="K637" s="34">
        <v>114</v>
      </c>
      <c r="L637" s="34">
        <v>2</v>
      </c>
    </row>
    <row r="638" spans="2:12">
      <c r="B638" s="32">
        <v>643</v>
      </c>
      <c r="C638" s="31" t="s">
        <v>3013</v>
      </c>
      <c r="D638" s="36">
        <v>34</v>
      </c>
      <c r="E638" s="36">
        <v>114</v>
      </c>
      <c r="F638" s="36" t="s">
        <v>7800</v>
      </c>
      <c r="G638" s="36" t="s">
        <v>3014</v>
      </c>
      <c r="I638" s="33" t="s">
        <v>3013</v>
      </c>
      <c r="J638" s="34">
        <v>34</v>
      </c>
      <c r="K638" s="34">
        <v>114</v>
      </c>
      <c r="L638" s="34">
        <v>3</v>
      </c>
    </row>
    <row r="639" spans="2:12">
      <c r="B639" s="32">
        <v>644</v>
      </c>
      <c r="C639" s="31" t="s">
        <v>4915</v>
      </c>
      <c r="D639" s="36">
        <v>34</v>
      </c>
      <c r="E639" s="36">
        <v>115</v>
      </c>
      <c r="F639" s="36" t="s">
        <v>7801</v>
      </c>
      <c r="G639" s="36" t="s">
        <v>4916</v>
      </c>
      <c r="I639" s="33" t="s">
        <v>4915</v>
      </c>
      <c r="J639" s="34">
        <v>34</v>
      </c>
      <c r="K639" s="34">
        <v>115</v>
      </c>
      <c r="L639" s="34">
        <v>1</v>
      </c>
    </row>
    <row r="640" spans="2:12">
      <c r="B640" s="32">
        <v>645</v>
      </c>
      <c r="C640" s="31" t="s">
        <v>2974</v>
      </c>
      <c r="D640" s="36">
        <v>34</v>
      </c>
      <c r="E640" s="36">
        <v>115</v>
      </c>
      <c r="F640" s="36" t="s">
        <v>7802</v>
      </c>
      <c r="G640" s="36" t="s">
        <v>2975</v>
      </c>
      <c r="I640" s="33" t="s">
        <v>2974</v>
      </c>
      <c r="J640" s="34">
        <v>34</v>
      </c>
      <c r="K640" s="34">
        <v>115</v>
      </c>
      <c r="L640" s="34">
        <v>2</v>
      </c>
    </row>
    <row r="641" spans="2:12">
      <c r="B641" s="32">
        <v>646</v>
      </c>
      <c r="C641" s="31" t="s">
        <v>5688</v>
      </c>
      <c r="D641" s="36">
        <v>34</v>
      </c>
      <c r="E641" s="36">
        <v>115</v>
      </c>
      <c r="F641" s="36" t="s">
        <v>6668</v>
      </c>
      <c r="G641" s="36" t="s">
        <v>5689</v>
      </c>
      <c r="I641" s="33" t="s">
        <v>5688</v>
      </c>
      <c r="J641" s="34">
        <v>34</v>
      </c>
      <c r="K641" s="34">
        <v>115</v>
      </c>
      <c r="L641" s="34">
        <v>3</v>
      </c>
    </row>
    <row r="642" spans="2:12">
      <c r="B642" s="32">
        <v>647</v>
      </c>
      <c r="C642" s="31" t="s">
        <v>3373</v>
      </c>
      <c r="D642" s="36">
        <v>34</v>
      </c>
      <c r="E642" s="36">
        <v>116</v>
      </c>
      <c r="F642" s="36" t="s">
        <v>7804</v>
      </c>
      <c r="G642" s="36" t="s">
        <v>3374</v>
      </c>
      <c r="I642" s="33" t="s">
        <v>3373</v>
      </c>
      <c r="J642" s="34">
        <v>34</v>
      </c>
      <c r="K642" s="34">
        <v>116</v>
      </c>
      <c r="L642" s="34">
        <v>1</v>
      </c>
    </row>
    <row r="643" spans="2:12">
      <c r="B643" s="32">
        <v>648</v>
      </c>
      <c r="C643" s="31" t="s">
        <v>2415</v>
      </c>
      <c r="D643" s="36">
        <v>34</v>
      </c>
      <c r="E643" s="36">
        <v>116</v>
      </c>
      <c r="F643" s="36" t="s">
        <v>7805</v>
      </c>
      <c r="G643" s="36" t="s">
        <v>2416</v>
      </c>
      <c r="I643" s="33" t="s">
        <v>2415</v>
      </c>
      <c r="J643" s="34">
        <v>34</v>
      </c>
      <c r="K643" s="34">
        <v>116</v>
      </c>
      <c r="L643" s="34">
        <v>2</v>
      </c>
    </row>
    <row r="644" spans="2:12">
      <c r="B644" s="32">
        <v>649</v>
      </c>
      <c r="C644" s="31" t="s">
        <v>564</v>
      </c>
      <c r="D644" s="36">
        <v>34</v>
      </c>
      <c r="E644" s="36">
        <v>116</v>
      </c>
      <c r="F644" s="36" t="s">
        <v>7806</v>
      </c>
      <c r="G644" s="36" t="s">
        <v>565</v>
      </c>
      <c r="I644" s="33" t="s">
        <v>564</v>
      </c>
      <c r="J644" s="34">
        <v>34</v>
      </c>
      <c r="K644" s="34">
        <v>116</v>
      </c>
      <c r="L644" s="34">
        <v>3</v>
      </c>
    </row>
    <row r="645" spans="2:12">
      <c r="B645" s="32">
        <v>650</v>
      </c>
      <c r="C645" s="31" t="s">
        <v>1666</v>
      </c>
      <c r="D645" s="36">
        <v>34</v>
      </c>
      <c r="E645" s="36">
        <v>117</v>
      </c>
      <c r="F645" s="36" t="s">
        <v>7808</v>
      </c>
      <c r="G645" s="36" t="s">
        <v>1667</v>
      </c>
      <c r="I645" s="33" t="s">
        <v>1666</v>
      </c>
      <c r="J645" s="34">
        <v>34</v>
      </c>
      <c r="K645" s="34">
        <v>117</v>
      </c>
      <c r="L645" s="34">
        <v>1</v>
      </c>
    </row>
    <row r="646" spans="2:12">
      <c r="B646" s="32">
        <v>651</v>
      </c>
      <c r="C646" s="31" t="s">
        <v>2703</v>
      </c>
      <c r="D646" s="36">
        <v>34</v>
      </c>
      <c r="E646" s="36">
        <v>117</v>
      </c>
      <c r="F646" s="36" t="s">
        <v>7809</v>
      </c>
      <c r="G646" s="36" t="s">
        <v>2704</v>
      </c>
      <c r="I646" s="33" t="s">
        <v>2703</v>
      </c>
      <c r="J646" s="34">
        <v>34</v>
      </c>
      <c r="K646" s="34">
        <v>117</v>
      </c>
      <c r="L646" s="34">
        <v>2</v>
      </c>
    </row>
    <row r="647" spans="2:12">
      <c r="B647" s="32">
        <v>652</v>
      </c>
      <c r="C647" s="31" t="s">
        <v>5258</v>
      </c>
      <c r="D647" s="36">
        <v>34</v>
      </c>
      <c r="E647" s="36">
        <v>117</v>
      </c>
      <c r="F647" s="36" t="s">
        <v>7810</v>
      </c>
      <c r="G647" s="36" t="s">
        <v>5259</v>
      </c>
      <c r="I647" s="33" t="s">
        <v>5258</v>
      </c>
      <c r="J647" s="34">
        <v>34</v>
      </c>
      <c r="K647" s="34">
        <v>117</v>
      </c>
      <c r="L647" s="34">
        <v>3</v>
      </c>
    </row>
    <row r="648" spans="2:12">
      <c r="B648" s="32">
        <v>653</v>
      </c>
      <c r="C648" s="31" t="s">
        <v>182</v>
      </c>
      <c r="D648" s="36">
        <v>34</v>
      </c>
      <c r="E648" s="36">
        <v>118</v>
      </c>
      <c r="F648" s="36" t="s">
        <v>7811</v>
      </c>
      <c r="G648" s="36" t="s">
        <v>183</v>
      </c>
      <c r="I648" s="33" t="s">
        <v>182</v>
      </c>
      <c r="J648" s="34">
        <v>34</v>
      </c>
      <c r="K648" s="34">
        <v>118</v>
      </c>
      <c r="L648" s="34">
        <v>1</v>
      </c>
    </row>
    <row r="649" spans="2:12">
      <c r="B649" s="32">
        <v>654</v>
      </c>
      <c r="C649" s="31" t="s">
        <v>2580</v>
      </c>
      <c r="D649" s="36">
        <v>34</v>
      </c>
      <c r="E649" s="36">
        <v>118</v>
      </c>
      <c r="F649" s="36" t="s">
        <v>7812</v>
      </c>
      <c r="G649" s="36" t="s">
        <v>2581</v>
      </c>
      <c r="I649" s="33" t="s">
        <v>2580</v>
      </c>
      <c r="J649" s="34">
        <v>34</v>
      </c>
      <c r="K649" s="34">
        <v>118</v>
      </c>
      <c r="L649" s="34">
        <v>2</v>
      </c>
    </row>
    <row r="650" spans="2:12">
      <c r="B650" s="32">
        <v>655</v>
      </c>
      <c r="C650" s="31" t="s">
        <v>229</v>
      </c>
      <c r="D650" s="36">
        <v>34</v>
      </c>
      <c r="E650" s="36">
        <v>118</v>
      </c>
      <c r="F650" s="36" t="s">
        <v>7813</v>
      </c>
      <c r="G650" s="36" t="s">
        <v>230</v>
      </c>
      <c r="I650" s="33" t="s">
        <v>229</v>
      </c>
      <c r="J650" s="34">
        <v>34</v>
      </c>
      <c r="K650" s="34">
        <v>118</v>
      </c>
      <c r="L650" s="34">
        <v>3</v>
      </c>
    </row>
    <row r="651" spans="2:12">
      <c r="B651" s="32">
        <v>656</v>
      </c>
      <c r="C651" s="31" t="s">
        <v>5290</v>
      </c>
      <c r="D651" s="36">
        <v>34</v>
      </c>
      <c r="E651" s="36">
        <v>119</v>
      </c>
      <c r="F651" s="36" t="s">
        <v>7814</v>
      </c>
      <c r="G651" s="36" t="s">
        <v>5291</v>
      </c>
      <c r="I651" s="33" t="s">
        <v>5290</v>
      </c>
      <c r="J651" s="34">
        <v>34</v>
      </c>
      <c r="K651" s="34">
        <v>119</v>
      </c>
      <c r="L651" s="34">
        <v>1</v>
      </c>
    </row>
    <row r="652" spans="2:12">
      <c r="B652" s="32">
        <v>657</v>
      </c>
      <c r="C652" s="31" t="s">
        <v>1671</v>
      </c>
      <c r="D652" s="36">
        <v>34</v>
      </c>
      <c r="E652" s="36">
        <v>119</v>
      </c>
      <c r="F652" s="36" t="s">
        <v>7815</v>
      </c>
      <c r="G652" s="36" t="s">
        <v>1672</v>
      </c>
      <c r="I652" s="33" t="s">
        <v>1671</v>
      </c>
      <c r="J652" s="34">
        <v>34</v>
      </c>
      <c r="K652" s="34">
        <v>119</v>
      </c>
      <c r="L652" s="34">
        <v>2</v>
      </c>
    </row>
    <row r="653" spans="2:12">
      <c r="B653" s="32">
        <v>658</v>
      </c>
      <c r="C653" s="31" t="s">
        <v>5961</v>
      </c>
      <c r="D653" s="36">
        <v>34</v>
      </c>
      <c r="E653" s="36">
        <v>119</v>
      </c>
      <c r="F653" s="36" t="s">
        <v>7816</v>
      </c>
      <c r="G653" s="36" t="s">
        <v>5962</v>
      </c>
      <c r="I653" s="33" t="s">
        <v>5961</v>
      </c>
      <c r="J653" s="34">
        <v>34</v>
      </c>
      <c r="K653" s="34">
        <v>119</v>
      </c>
      <c r="L653" s="34">
        <v>3</v>
      </c>
    </row>
    <row r="654" spans="2:12">
      <c r="B654" s="32">
        <v>659</v>
      </c>
      <c r="C654" s="31" t="s">
        <v>573</v>
      </c>
      <c r="D654" s="36">
        <v>34</v>
      </c>
      <c r="E654" s="36">
        <v>120</v>
      </c>
      <c r="F654" s="36" t="s">
        <v>7817</v>
      </c>
      <c r="G654" s="36" t="s">
        <v>574</v>
      </c>
      <c r="I654" s="33" t="s">
        <v>573</v>
      </c>
      <c r="J654" s="34">
        <v>34</v>
      </c>
      <c r="K654" s="34">
        <v>120</v>
      </c>
      <c r="L654" s="34">
        <v>1</v>
      </c>
    </row>
    <row r="655" spans="2:12">
      <c r="B655" s="32">
        <v>660</v>
      </c>
      <c r="C655" s="31" t="s">
        <v>2078</v>
      </c>
      <c r="D655" s="36">
        <v>34</v>
      </c>
      <c r="E655" s="36">
        <v>120</v>
      </c>
      <c r="F655" s="36" t="s">
        <v>7818</v>
      </c>
      <c r="G655" s="36" t="s">
        <v>2079</v>
      </c>
      <c r="I655" s="33" t="s">
        <v>2078</v>
      </c>
      <c r="J655" s="34">
        <v>34</v>
      </c>
      <c r="K655" s="34">
        <v>120</v>
      </c>
      <c r="L655" s="34">
        <v>2</v>
      </c>
    </row>
    <row r="656" spans="2:12">
      <c r="B656" s="32">
        <v>591</v>
      </c>
      <c r="C656" s="31" t="s">
        <v>7958</v>
      </c>
      <c r="D656" s="36">
        <v>33</v>
      </c>
      <c r="E656" s="36">
        <v>214</v>
      </c>
      <c r="F656" s="36" t="s">
        <v>7938</v>
      </c>
      <c r="G656" s="36" t="s">
        <v>7938</v>
      </c>
      <c r="I656" s="33" t="s">
        <v>725</v>
      </c>
      <c r="J656" s="34">
        <v>34</v>
      </c>
      <c r="K656" s="34">
        <v>120</v>
      </c>
      <c r="L656" s="34">
        <v>3</v>
      </c>
    </row>
    <row r="657" spans="2:12">
      <c r="B657" s="32">
        <v>661</v>
      </c>
      <c r="C657" s="31" t="s">
        <v>2132</v>
      </c>
      <c r="D657" s="36">
        <v>34</v>
      </c>
      <c r="E657" s="36">
        <v>201</v>
      </c>
      <c r="F657" s="36" t="s">
        <v>7819</v>
      </c>
      <c r="G657" s="36" t="s">
        <v>2133</v>
      </c>
      <c r="I657" s="33" t="s">
        <v>2132</v>
      </c>
      <c r="J657" s="34">
        <v>34</v>
      </c>
      <c r="K657" s="34">
        <v>201</v>
      </c>
      <c r="L657" s="34">
        <v>1</v>
      </c>
    </row>
    <row r="658" spans="2:12">
      <c r="B658" s="32">
        <v>592</v>
      </c>
      <c r="C658" s="31" t="s">
        <v>7958</v>
      </c>
      <c r="D658" s="36">
        <v>33</v>
      </c>
      <c r="E658" s="36">
        <v>214</v>
      </c>
      <c r="F658" s="36" t="s">
        <v>7938</v>
      </c>
      <c r="G658" s="36" t="s">
        <v>7938</v>
      </c>
      <c r="I658" s="33" t="s">
        <v>725</v>
      </c>
      <c r="J658" s="34">
        <v>34</v>
      </c>
      <c r="K658" s="34">
        <v>201</v>
      </c>
      <c r="L658" s="34">
        <v>2</v>
      </c>
    </row>
    <row r="659" spans="2:12">
      <c r="B659" s="32">
        <v>663</v>
      </c>
      <c r="C659" s="31" t="s">
        <v>148</v>
      </c>
      <c r="D659" s="36">
        <v>34</v>
      </c>
      <c r="E659" s="36">
        <v>202</v>
      </c>
      <c r="F659" s="36" t="s">
        <v>7261</v>
      </c>
      <c r="G659" s="36" t="s">
        <v>149</v>
      </c>
      <c r="I659" s="33" t="s">
        <v>148</v>
      </c>
      <c r="J659" s="34">
        <v>34</v>
      </c>
      <c r="K659" s="34">
        <v>202</v>
      </c>
      <c r="L659" s="34">
        <v>1</v>
      </c>
    </row>
    <row r="660" spans="2:12">
      <c r="B660" s="32">
        <v>664</v>
      </c>
      <c r="C660" s="31" t="s">
        <v>3213</v>
      </c>
      <c r="D660" s="36">
        <v>34</v>
      </c>
      <c r="E660" s="36">
        <v>202</v>
      </c>
      <c r="F660" s="36" t="s">
        <v>6826</v>
      </c>
      <c r="G660" s="36" t="s">
        <v>3214</v>
      </c>
      <c r="I660" s="33" t="s">
        <v>3213</v>
      </c>
      <c r="J660" s="34">
        <v>34</v>
      </c>
      <c r="K660" s="34">
        <v>202</v>
      </c>
      <c r="L660" s="34">
        <v>2</v>
      </c>
    </row>
    <row r="661" spans="2:12">
      <c r="B661" s="32">
        <v>665</v>
      </c>
      <c r="C661" s="31" t="s">
        <v>3313</v>
      </c>
      <c r="D661" s="36">
        <v>34</v>
      </c>
      <c r="E661" s="36">
        <v>203</v>
      </c>
      <c r="F661" s="36" t="s">
        <v>7820</v>
      </c>
      <c r="G661" s="36" t="s">
        <v>3314</v>
      </c>
      <c r="I661" s="33" t="s">
        <v>3313</v>
      </c>
      <c r="J661" s="34">
        <v>34</v>
      </c>
      <c r="K661" s="34">
        <v>203</v>
      </c>
      <c r="L661" s="34">
        <v>1</v>
      </c>
    </row>
    <row r="662" spans="2:12">
      <c r="B662" s="32">
        <v>666</v>
      </c>
      <c r="C662" s="31" t="s">
        <v>7981</v>
      </c>
      <c r="D662" s="36">
        <v>34</v>
      </c>
      <c r="E662" s="36">
        <v>203</v>
      </c>
      <c r="F662" s="36" t="s">
        <v>7821</v>
      </c>
      <c r="G662" s="36" t="s">
        <v>5626</v>
      </c>
      <c r="I662" s="33" t="s">
        <v>7981</v>
      </c>
      <c r="J662" s="34">
        <v>34</v>
      </c>
      <c r="K662" s="34">
        <v>203</v>
      </c>
      <c r="L662" s="34">
        <v>2</v>
      </c>
    </row>
    <row r="663" spans="2:12">
      <c r="B663" s="32">
        <v>667</v>
      </c>
      <c r="C663" s="31" t="s">
        <v>805</v>
      </c>
      <c r="D663" s="36">
        <v>34</v>
      </c>
      <c r="E663" s="36">
        <v>204</v>
      </c>
      <c r="F663" s="36" t="s">
        <v>7822</v>
      </c>
      <c r="G663" s="36" t="s">
        <v>806</v>
      </c>
      <c r="I663" s="33" t="s">
        <v>805</v>
      </c>
      <c r="J663" s="34">
        <v>34</v>
      </c>
      <c r="K663" s="34">
        <v>204</v>
      </c>
      <c r="L663" s="34">
        <v>1</v>
      </c>
    </row>
    <row r="664" spans="2:12">
      <c r="B664" s="32">
        <v>668</v>
      </c>
      <c r="C664" s="31" t="s">
        <v>5615</v>
      </c>
      <c r="D664" s="36">
        <v>34</v>
      </c>
      <c r="E664" s="36">
        <v>204</v>
      </c>
      <c r="F664" s="36" t="s">
        <v>7823</v>
      </c>
      <c r="G664" s="36" t="s">
        <v>5616</v>
      </c>
      <c r="I664" s="33" t="s">
        <v>5615</v>
      </c>
      <c r="J664" s="34">
        <v>34</v>
      </c>
      <c r="K664" s="34">
        <v>204</v>
      </c>
      <c r="L664" s="34">
        <v>2</v>
      </c>
    </row>
    <row r="665" spans="2:12">
      <c r="B665" s="32">
        <v>669</v>
      </c>
      <c r="C665" s="31" t="s">
        <v>2481</v>
      </c>
      <c r="D665" s="36">
        <v>34</v>
      </c>
      <c r="E665" s="36">
        <v>205</v>
      </c>
      <c r="F665" s="36" t="s">
        <v>7824</v>
      </c>
      <c r="G665" s="36" t="s">
        <v>2482</v>
      </c>
      <c r="I665" s="33" t="s">
        <v>2481</v>
      </c>
      <c r="J665" s="34">
        <v>34</v>
      </c>
      <c r="K665" s="34">
        <v>205</v>
      </c>
      <c r="L665" s="34">
        <v>1</v>
      </c>
    </row>
    <row r="666" spans="2:12">
      <c r="B666" s="32">
        <v>670</v>
      </c>
      <c r="C666" s="31" t="s">
        <v>5465</v>
      </c>
      <c r="D666" s="36">
        <v>34</v>
      </c>
      <c r="E666" s="36">
        <v>205</v>
      </c>
      <c r="F666" s="36" t="s">
        <v>7825</v>
      </c>
      <c r="G666" s="36" t="s">
        <v>5466</v>
      </c>
      <c r="I666" s="33" t="s">
        <v>5465</v>
      </c>
      <c r="J666" s="34">
        <v>34</v>
      </c>
      <c r="K666" s="34">
        <v>205</v>
      </c>
      <c r="L666" s="34">
        <v>2</v>
      </c>
    </row>
    <row r="667" spans="2:12">
      <c r="B667" s="32">
        <v>672</v>
      </c>
      <c r="C667" s="31" t="s">
        <v>2175</v>
      </c>
      <c r="D667" s="36">
        <v>34</v>
      </c>
      <c r="E667" s="36">
        <v>206</v>
      </c>
      <c r="F667" s="36" t="s">
        <v>7826</v>
      </c>
      <c r="G667" s="36" t="s">
        <v>2176</v>
      </c>
      <c r="I667" s="33" t="s">
        <v>2175</v>
      </c>
      <c r="J667" s="34">
        <v>34</v>
      </c>
      <c r="K667" s="34">
        <v>206</v>
      </c>
      <c r="L667" s="34">
        <v>1</v>
      </c>
    </row>
    <row r="668" spans="2:12">
      <c r="B668" s="32">
        <v>671</v>
      </c>
      <c r="C668" s="31" t="s">
        <v>4369</v>
      </c>
      <c r="D668" s="36">
        <v>34</v>
      </c>
      <c r="E668" s="36">
        <v>206</v>
      </c>
      <c r="F668" s="36" t="s">
        <v>6833</v>
      </c>
      <c r="G668" s="36" t="s">
        <v>4370</v>
      </c>
      <c r="I668" s="33" t="s">
        <v>4369</v>
      </c>
      <c r="J668" s="34">
        <v>34</v>
      </c>
      <c r="K668" s="34">
        <v>206</v>
      </c>
      <c r="L668" s="34">
        <v>2</v>
      </c>
    </row>
    <row r="669" spans="2:12">
      <c r="B669" s="32">
        <v>673</v>
      </c>
      <c r="C669" s="31" t="s">
        <v>1576</v>
      </c>
      <c r="D669" s="36">
        <v>34</v>
      </c>
      <c r="E669" s="36">
        <v>207</v>
      </c>
      <c r="F669" s="36" t="s">
        <v>7827</v>
      </c>
      <c r="G669" s="36" t="s">
        <v>1577</v>
      </c>
      <c r="I669" s="33" t="s">
        <v>1576</v>
      </c>
      <c r="J669" s="34">
        <v>34</v>
      </c>
      <c r="K669" s="34">
        <v>207</v>
      </c>
      <c r="L669" s="34">
        <v>1</v>
      </c>
    </row>
    <row r="670" spans="2:12">
      <c r="B670" s="32">
        <v>674</v>
      </c>
      <c r="C670" s="31" t="s">
        <v>5682</v>
      </c>
      <c r="D670" s="36">
        <v>34</v>
      </c>
      <c r="E670" s="36">
        <v>207</v>
      </c>
      <c r="F670" s="36" t="s">
        <v>7828</v>
      </c>
      <c r="G670" s="36" t="s">
        <v>5683</v>
      </c>
      <c r="I670" s="33" t="s">
        <v>5682</v>
      </c>
      <c r="J670" s="34">
        <v>34</v>
      </c>
      <c r="K670" s="34">
        <v>207</v>
      </c>
      <c r="L670" s="34">
        <v>2</v>
      </c>
    </row>
    <row r="671" spans="2:12">
      <c r="B671" s="32">
        <v>675</v>
      </c>
      <c r="C671" s="31" t="s">
        <v>3144</v>
      </c>
      <c r="D671" s="36">
        <v>34</v>
      </c>
      <c r="E671" s="36">
        <v>208</v>
      </c>
      <c r="F671" s="36" t="s">
        <v>7829</v>
      </c>
      <c r="G671" s="36" t="s">
        <v>3145</v>
      </c>
      <c r="I671" s="33" t="s">
        <v>3144</v>
      </c>
      <c r="J671" s="34">
        <v>34</v>
      </c>
      <c r="K671" s="34">
        <v>208</v>
      </c>
      <c r="L671" s="34">
        <v>1</v>
      </c>
    </row>
    <row r="672" spans="2:12">
      <c r="B672" s="32">
        <v>676</v>
      </c>
      <c r="C672" s="31" t="s">
        <v>5274</v>
      </c>
      <c r="D672" s="36">
        <v>34</v>
      </c>
      <c r="E672" s="36">
        <v>208</v>
      </c>
      <c r="F672" s="36" t="s">
        <v>7830</v>
      </c>
      <c r="G672" s="36" t="s">
        <v>5275</v>
      </c>
      <c r="I672" s="33" t="s">
        <v>5274</v>
      </c>
      <c r="J672" s="34">
        <v>34</v>
      </c>
      <c r="K672" s="34">
        <v>208</v>
      </c>
      <c r="L672" s="34">
        <v>2</v>
      </c>
    </row>
    <row r="673" spans="2:12">
      <c r="B673" s="32">
        <v>677</v>
      </c>
      <c r="C673" s="31" t="s">
        <v>4740</v>
      </c>
      <c r="D673" s="36">
        <v>34</v>
      </c>
      <c r="E673" s="36">
        <v>209</v>
      </c>
      <c r="F673" s="36" t="s">
        <v>7831</v>
      </c>
      <c r="G673" s="36" t="s">
        <v>4741</v>
      </c>
      <c r="I673" s="33" t="s">
        <v>4740</v>
      </c>
      <c r="J673" s="34">
        <v>34</v>
      </c>
      <c r="K673" s="34">
        <v>209</v>
      </c>
      <c r="L673" s="34">
        <v>1</v>
      </c>
    </row>
    <row r="674" spans="2:12">
      <c r="B674" s="32">
        <v>678</v>
      </c>
      <c r="C674" s="31" t="s">
        <v>878</v>
      </c>
      <c r="D674" s="36">
        <v>34</v>
      </c>
      <c r="E674" s="36">
        <v>209</v>
      </c>
      <c r="F674" s="36" t="s">
        <v>7832</v>
      </c>
      <c r="G674" s="36" t="s">
        <v>879</v>
      </c>
      <c r="I674" s="33" t="s">
        <v>878</v>
      </c>
      <c r="J674" s="34">
        <v>34</v>
      </c>
      <c r="K674" s="34">
        <v>209</v>
      </c>
      <c r="L674" s="34">
        <v>2</v>
      </c>
    </row>
    <row r="675" spans="2:12">
      <c r="B675" s="32">
        <v>679</v>
      </c>
      <c r="C675" s="31" t="s">
        <v>5377</v>
      </c>
      <c r="D675" s="36">
        <v>34</v>
      </c>
      <c r="E675" s="36">
        <v>210</v>
      </c>
      <c r="F675" s="36" t="s">
        <v>7833</v>
      </c>
      <c r="G675" s="36" t="s">
        <v>5378</v>
      </c>
      <c r="I675" s="33" t="s">
        <v>5377</v>
      </c>
      <c r="J675" s="34">
        <v>34</v>
      </c>
      <c r="K675" s="34">
        <v>210</v>
      </c>
      <c r="L675" s="34">
        <v>1</v>
      </c>
    </row>
    <row r="676" spans="2:12">
      <c r="B676" s="32">
        <v>680</v>
      </c>
      <c r="C676" s="31" t="s">
        <v>58</v>
      </c>
      <c r="D676" s="36">
        <v>34</v>
      </c>
      <c r="E676" s="36">
        <v>210</v>
      </c>
      <c r="F676" s="36" t="s">
        <v>7834</v>
      </c>
      <c r="G676" s="36" t="s">
        <v>59</v>
      </c>
      <c r="I676" s="33" t="s">
        <v>58</v>
      </c>
      <c r="J676" s="34">
        <v>34</v>
      </c>
      <c r="K676" s="34">
        <v>210</v>
      </c>
      <c r="L676" s="34">
        <v>2</v>
      </c>
    </row>
    <row r="677" spans="2:12">
      <c r="B677" s="32">
        <v>681</v>
      </c>
      <c r="C677" s="31" t="s">
        <v>5924</v>
      </c>
      <c r="D677" s="36">
        <v>34</v>
      </c>
      <c r="E677" s="36">
        <v>211</v>
      </c>
      <c r="F677" s="36" t="s">
        <v>7835</v>
      </c>
      <c r="G677" s="36" t="s">
        <v>5925</v>
      </c>
      <c r="I677" s="33" t="s">
        <v>5924</v>
      </c>
      <c r="J677" s="34">
        <v>34</v>
      </c>
      <c r="K677" s="34">
        <v>211</v>
      </c>
      <c r="L677" s="34">
        <v>1</v>
      </c>
    </row>
    <row r="678" spans="2:12">
      <c r="B678" s="32">
        <v>682</v>
      </c>
      <c r="C678" s="31" t="s">
        <v>1470</v>
      </c>
      <c r="D678" s="36">
        <v>34</v>
      </c>
      <c r="E678" s="36">
        <v>211</v>
      </c>
      <c r="F678" s="36" t="s">
        <v>7836</v>
      </c>
      <c r="G678" s="36" t="s">
        <v>1471</v>
      </c>
      <c r="I678" s="33" t="s">
        <v>1470</v>
      </c>
      <c r="J678" s="34">
        <v>34</v>
      </c>
      <c r="K678" s="34">
        <v>211</v>
      </c>
      <c r="L678" s="34">
        <v>2</v>
      </c>
    </row>
    <row r="679" spans="2:12">
      <c r="B679" s="32">
        <v>683</v>
      </c>
      <c r="C679" s="31" t="s">
        <v>5570</v>
      </c>
      <c r="D679" s="36">
        <v>34</v>
      </c>
      <c r="E679" s="36">
        <v>212</v>
      </c>
      <c r="F679" s="36" t="s">
        <v>6655</v>
      </c>
      <c r="G679" s="36" t="s">
        <v>5571</v>
      </c>
      <c r="I679" s="33" t="s">
        <v>5570</v>
      </c>
      <c r="J679" s="34">
        <v>34</v>
      </c>
      <c r="K679" s="34">
        <v>212</v>
      </c>
      <c r="L679" s="34">
        <v>1</v>
      </c>
    </row>
    <row r="680" spans="2:12">
      <c r="B680" s="32">
        <v>684</v>
      </c>
      <c r="C680" s="31" t="s">
        <v>329</v>
      </c>
      <c r="D680" s="36">
        <v>34</v>
      </c>
      <c r="E680" s="36">
        <v>212</v>
      </c>
      <c r="F680" s="36" t="s">
        <v>7197</v>
      </c>
      <c r="G680" s="36" t="s">
        <v>330</v>
      </c>
      <c r="I680" s="33" t="s">
        <v>329</v>
      </c>
      <c r="J680" s="34">
        <v>34</v>
      </c>
      <c r="K680" s="34">
        <v>212</v>
      </c>
      <c r="L680" s="34">
        <v>2</v>
      </c>
    </row>
    <row r="681" spans="2:12">
      <c r="B681" s="32">
        <v>685</v>
      </c>
      <c r="C681" s="31" t="s">
        <v>2558</v>
      </c>
      <c r="D681" s="36">
        <v>34</v>
      </c>
      <c r="E681" s="36">
        <v>212</v>
      </c>
      <c r="F681" s="36" t="s">
        <v>6797</v>
      </c>
      <c r="G681" s="36" t="s">
        <v>2559</v>
      </c>
      <c r="I681" s="33" t="s">
        <v>2558</v>
      </c>
      <c r="J681" s="34">
        <v>34</v>
      </c>
      <c r="K681" s="34">
        <v>212</v>
      </c>
      <c r="L681" s="34">
        <v>3</v>
      </c>
    </row>
    <row r="682" spans="2:12">
      <c r="B682" s="32">
        <v>686</v>
      </c>
      <c r="C682" s="31" t="s">
        <v>1778</v>
      </c>
      <c r="D682" s="36">
        <v>34</v>
      </c>
      <c r="E682" s="36">
        <v>213</v>
      </c>
      <c r="F682" s="36" t="s">
        <v>6793</v>
      </c>
      <c r="G682" s="36" t="s">
        <v>1779</v>
      </c>
      <c r="I682" s="33" t="s">
        <v>1778</v>
      </c>
      <c r="J682" s="34">
        <v>34</v>
      </c>
      <c r="K682" s="34">
        <v>213</v>
      </c>
      <c r="L682" s="34">
        <v>1</v>
      </c>
    </row>
    <row r="683" spans="2:12">
      <c r="B683" s="32">
        <v>687</v>
      </c>
      <c r="C683" s="31" t="s">
        <v>719</v>
      </c>
      <c r="D683" s="36">
        <v>34</v>
      </c>
      <c r="E683" s="36">
        <v>213</v>
      </c>
      <c r="F683" s="36" t="s">
        <v>7380</v>
      </c>
      <c r="G683" s="36" t="s">
        <v>720</v>
      </c>
      <c r="I683" s="33" t="s">
        <v>719</v>
      </c>
      <c r="J683" s="34">
        <v>34</v>
      </c>
      <c r="K683" s="34">
        <v>213</v>
      </c>
      <c r="L683" s="34">
        <v>2</v>
      </c>
    </row>
    <row r="684" spans="2:12">
      <c r="B684" s="32">
        <v>688</v>
      </c>
      <c r="C684" s="31" t="s">
        <v>4439</v>
      </c>
      <c r="D684" s="36">
        <v>34</v>
      </c>
      <c r="E684" s="36">
        <v>213</v>
      </c>
      <c r="F684" s="36" t="s">
        <v>7233</v>
      </c>
      <c r="G684" s="36" t="s">
        <v>4440</v>
      </c>
      <c r="I684" s="33" t="s">
        <v>4439</v>
      </c>
      <c r="J684" s="34">
        <v>34</v>
      </c>
      <c r="K684" s="34">
        <v>213</v>
      </c>
      <c r="L684" s="34">
        <v>3</v>
      </c>
    </row>
    <row r="685" spans="2:12">
      <c r="B685" s="32">
        <v>690</v>
      </c>
      <c r="C685" s="31" t="s">
        <v>5720</v>
      </c>
      <c r="D685" s="36">
        <v>34</v>
      </c>
      <c r="E685" s="36">
        <v>214</v>
      </c>
      <c r="F685" s="36" t="s">
        <v>7837</v>
      </c>
      <c r="G685" s="36" t="s">
        <v>5721</v>
      </c>
      <c r="I685" s="33" t="s">
        <v>5720</v>
      </c>
      <c r="J685" s="34">
        <v>34</v>
      </c>
      <c r="K685" s="34">
        <v>214</v>
      </c>
      <c r="L685" s="34">
        <v>1</v>
      </c>
    </row>
    <row r="686" spans="2:12">
      <c r="B686" s="32">
        <v>689</v>
      </c>
      <c r="C686" s="31" t="s">
        <v>2600</v>
      </c>
      <c r="D686" s="36">
        <v>34</v>
      </c>
      <c r="E686" s="36">
        <v>214</v>
      </c>
      <c r="F686" s="36" t="s">
        <v>6759</v>
      </c>
      <c r="G686" s="36" t="s">
        <v>2601</v>
      </c>
      <c r="I686" s="33" t="s">
        <v>2600</v>
      </c>
      <c r="J686" s="34">
        <v>34</v>
      </c>
      <c r="K686" s="34">
        <v>214</v>
      </c>
      <c r="L686" s="34">
        <v>2</v>
      </c>
    </row>
    <row r="687" spans="2:12">
      <c r="B687" s="32">
        <v>691</v>
      </c>
      <c r="C687" s="31" t="s">
        <v>5476</v>
      </c>
      <c r="D687" s="36">
        <v>34</v>
      </c>
      <c r="E687" s="36">
        <v>215</v>
      </c>
      <c r="F687" s="36" t="s">
        <v>6789</v>
      </c>
      <c r="G687" s="36" t="s">
        <v>5477</v>
      </c>
      <c r="I687" s="33" t="s">
        <v>5476</v>
      </c>
      <c r="J687" s="34">
        <v>34</v>
      </c>
      <c r="K687" s="34">
        <v>215</v>
      </c>
      <c r="L687" s="34">
        <v>1</v>
      </c>
    </row>
    <row r="688" spans="2:12">
      <c r="B688" s="32">
        <v>692</v>
      </c>
      <c r="C688" s="31" t="s">
        <v>2942</v>
      </c>
      <c r="D688" s="36">
        <v>34</v>
      </c>
      <c r="E688" s="36">
        <v>215</v>
      </c>
      <c r="F688" s="36" t="s">
        <v>6746</v>
      </c>
      <c r="G688" s="36" t="s">
        <v>2943</v>
      </c>
      <c r="I688" s="33" t="s">
        <v>2942</v>
      </c>
      <c r="J688" s="34">
        <v>34</v>
      </c>
      <c r="K688" s="34">
        <v>215</v>
      </c>
      <c r="L688" s="34">
        <v>2</v>
      </c>
    </row>
    <row r="689" spans="2:12">
      <c r="B689" s="32">
        <v>694</v>
      </c>
      <c r="C689" s="31" t="s">
        <v>5592</v>
      </c>
      <c r="D689" s="36">
        <v>34</v>
      </c>
      <c r="E689" s="36">
        <v>216</v>
      </c>
      <c r="F689" s="36" t="s">
        <v>7839</v>
      </c>
      <c r="G689" s="36" t="s">
        <v>5593</v>
      </c>
      <c r="I689" s="33" t="s">
        <v>5592</v>
      </c>
      <c r="J689" s="34">
        <v>34</v>
      </c>
      <c r="K689" s="34">
        <v>216</v>
      </c>
      <c r="L689" s="34">
        <v>1</v>
      </c>
    </row>
    <row r="690" spans="2:12">
      <c r="B690" s="32">
        <v>693</v>
      </c>
      <c r="C690" s="31" t="s">
        <v>5280</v>
      </c>
      <c r="D690" s="36">
        <v>34</v>
      </c>
      <c r="E690" s="36">
        <v>216</v>
      </c>
      <c r="F690" s="36" t="s">
        <v>7838</v>
      </c>
      <c r="G690" s="36" t="s">
        <v>5281</v>
      </c>
      <c r="I690" s="33" t="s">
        <v>5280</v>
      </c>
      <c r="J690" s="34">
        <v>34</v>
      </c>
      <c r="K690" s="34">
        <v>216</v>
      </c>
      <c r="L690" s="34">
        <v>2</v>
      </c>
    </row>
    <row r="691" spans="2:12">
      <c r="B691" s="32">
        <v>701</v>
      </c>
      <c r="C691" s="31" t="s">
        <v>920</v>
      </c>
      <c r="D691" s="36">
        <v>34</v>
      </c>
      <c r="E691" s="36">
        <v>220</v>
      </c>
      <c r="F691" s="36" t="s">
        <v>7274</v>
      </c>
      <c r="G691" s="36" t="s">
        <v>921</v>
      </c>
      <c r="I691" s="33" t="s">
        <v>920</v>
      </c>
      <c r="J691" s="34">
        <v>34</v>
      </c>
      <c r="K691" s="34">
        <v>217</v>
      </c>
      <c r="L691" s="34">
        <v>1</v>
      </c>
    </row>
    <row r="692" spans="2:12">
      <c r="B692" s="32">
        <v>702</v>
      </c>
      <c r="C692" s="31" t="s">
        <v>2947</v>
      </c>
      <c r="D692" s="36">
        <v>34</v>
      </c>
      <c r="E692" s="36">
        <v>220</v>
      </c>
      <c r="F692" s="36" t="s">
        <v>6728</v>
      </c>
      <c r="G692" s="36" t="s">
        <v>2948</v>
      </c>
      <c r="I692" s="33" t="s">
        <v>2947</v>
      </c>
      <c r="J692" s="34">
        <v>34</v>
      </c>
      <c r="K692" s="34">
        <v>217</v>
      </c>
      <c r="L692" s="34">
        <v>2</v>
      </c>
    </row>
    <row r="693" spans="2:12">
      <c r="B693" s="32">
        <v>697</v>
      </c>
      <c r="C693" s="31" t="s">
        <v>1311</v>
      </c>
      <c r="D693" s="36">
        <v>34</v>
      </c>
      <c r="E693" s="36">
        <v>218</v>
      </c>
      <c r="F693" s="36" t="s">
        <v>6709</v>
      </c>
      <c r="G693" s="36" t="s">
        <v>1312</v>
      </c>
      <c r="I693" s="33" t="s">
        <v>1311</v>
      </c>
      <c r="J693" s="34">
        <v>34</v>
      </c>
      <c r="K693" s="34">
        <v>218</v>
      </c>
      <c r="L693" s="34">
        <v>1</v>
      </c>
    </row>
    <row r="694" spans="2:12">
      <c r="B694" s="32">
        <v>698</v>
      </c>
      <c r="C694" s="31" t="s">
        <v>1913</v>
      </c>
      <c r="D694" s="36">
        <v>34</v>
      </c>
      <c r="E694" s="36">
        <v>218</v>
      </c>
      <c r="F694" s="36" t="s">
        <v>6782</v>
      </c>
      <c r="G694" s="36" t="s">
        <v>1914</v>
      </c>
      <c r="I694" s="33" t="s">
        <v>1913</v>
      </c>
      <c r="J694" s="34">
        <v>34</v>
      </c>
      <c r="K694" s="34">
        <v>218</v>
      </c>
      <c r="L694" s="34">
        <v>2</v>
      </c>
    </row>
    <row r="695" spans="2:12">
      <c r="B695" s="32">
        <v>699</v>
      </c>
      <c r="C695" s="31" t="s">
        <v>4075</v>
      </c>
      <c r="D695" s="36">
        <v>34</v>
      </c>
      <c r="E695" s="36">
        <v>219</v>
      </c>
      <c r="F695" s="36" t="s">
        <v>6716</v>
      </c>
      <c r="G695" s="36" t="s">
        <v>4076</v>
      </c>
      <c r="I695" s="33" t="s">
        <v>4075</v>
      </c>
      <c r="J695" s="34">
        <v>34</v>
      </c>
      <c r="K695" s="34">
        <v>219</v>
      </c>
      <c r="L695" s="34">
        <v>1</v>
      </c>
    </row>
    <row r="696" spans="2:12">
      <c r="B696" s="32">
        <v>700</v>
      </c>
      <c r="C696" s="31" t="s">
        <v>3419</v>
      </c>
      <c r="D696" s="36">
        <v>34</v>
      </c>
      <c r="E696" s="36">
        <v>219</v>
      </c>
      <c r="F696" s="36" t="s">
        <v>6932</v>
      </c>
      <c r="G696" s="36" t="s">
        <v>3420</v>
      </c>
      <c r="I696" s="33" t="s">
        <v>3419</v>
      </c>
      <c r="J696" s="34">
        <v>34</v>
      </c>
      <c r="K696" s="34">
        <v>219</v>
      </c>
      <c r="L696" s="34">
        <v>2</v>
      </c>
    </row>
    <row r="697" spans="2:12">
      <c r="B697" s="32"/>
      <c r="D697" s="36"/>
      <c r="E697" s="36"/>
      <c r="F697" s="36"/>
      <c r="G697" s="36"/>
      <c r="I697" s="33" t="s">
        <v>920</v>
      </c>
      <c r="J697" s="34">
        <v>34</v>
      </c>
      <c r="K697" s="34">
        <v>220</v>
      </c>
      <c r="L697" s="34">
        <v>1</v>
      </c>
    </row>
    <row r="698" spans="2:12">
      <c r="B698" s="32"/>
      <c r="D698" s="36"/>
      <c r="E698" s="36"/>
      <c r="F698" s="36"/>
      <c r="G698" s="36"/>
      <c r="I698" s="33" t="s">
        <v>2947</v>
      </c>
      <c r="J698" s="34">
        <v>34</v>
      </c>
      <c r="K698" s="34">
        <v>220</v>
      </c>
      <c r="L698" s="34">
        <v>2</v>
      </c>
    </row>
    <row r="699" spans="2:12">
      <c r="B699" s="32">
        <v>703</v>
      </c>
      <c r="C699" s="31" t="s">
        <v>3188</v>
      </c>
      <c r="D699" s="32">
        <v>35</v>
      </c>
      <c r="E699" s="32">
        <v>101</v>
      </c>
      <c r="F699" s="36" t="s">
        <v>6632</v>
      </c>
      <c r="G699" s="36" t="s">
        <v>3189</v>
      </c>
      <c r="I699" s="33" t="s">
        <v>3188</v>
      </c>
      <c r="J699" s="34">
        <v>35</v>
      </c>
      <c r="K699" s="34">
        <v>101</v>
      </c>
      <c r="L699" s="34">
        <v>1</v>
      </c>
    </row>
    <row r="700" spans="2:12">
      <c r="B700" s="32">
        <v>704</v>
      </c>
      <c r="C700" s="31" t="s">
        <v>1317</v>
      </c>
      <c r="D700" s="36">
        <v>35</v>
      </c>
      <c r="E700" s="36">
        <v>101</v>
      </c>
      <c r="F700" s="36" t="s">
        <v>7258</v>
      </c>
      <c r="G700" s="36" t="s">
        <v>1318</v>
      </c>
      <c r="I700" s="33" t="s">
        <v>1317</v>
      </c>
      <c r="J700" s="34">
        <v>35</v>
      </c>
      <c r="K700" s="34">
        <v>101</v>
      </c>
      <c r="L700" s="34">
        <v>2</v>
      </c>
    </row>
    <row r="701" spans="2:12">
      <c r="B701" s="32">
        <v>705</v>
      </c>
      <c r="C701" s="31" t="s">
        <v>4353</v>
      </c>
      <c r="D701" s="36">
        <v>35</v>
      </c>
      <c r="E701" s="36">
        <v>101</v>
      </c>
      <c r="F701" s="36" t="s">
        <v>6857</v>
      </c>
      <c r="G701" s="36" t="s">
        <v>4354</v>
      </c>
      <c r="I701" s="33" t="s">
        <v>4353</v>
      </c>
      <c r="J701" s="34">
        <v>35</v>
      </c>
      <c r="K701" s="34">
        <v>101</v>
      </c>
      <c r="L701" s="34">
        <v>3</v>
      </c>
    </row>
    <row r="702" spans="2:12">
      <c r="B702" s="32">
        <v>706</v>
      </c>
      <c r="C702" s="31" t="s">
        <v>2395</v>
      </c>
      <c r="D702" s="36">
        <v>35</v>
      </c>
      <c r="E702" s="36">
        <v>102</v>
      </c>
      <c r="F702" s="36" t="s">
        <v>7841</v>
      </c>
      <c r="G702" s="36" t="s">
        <v>2396</v>
      </c>
      <c r="I702" s="33" t="s">
        <v>2395</v>
      </c>
      <c r="J702" s="34">
        <v>35</v>
      </c>
      <c r="K702" s="34">
        <v>102</v>
      </c>
      <c r="L702" s="34">
        <v>1</v>
      </c>
    </row>
    <row r="703" spans="2:12">
      <c r="B703" s="32">
        <v>707</v>
      </c>
      <c r="C703" s="31" t="s">
        <v>5536</v>
      </c>
      <c r="D703" s="36">
        <v>35</v>
      </c>
      <c r="E703" s="36">
        <v>102</v>
      </c>
      <c r="F703" s="36" t="s">
        <v>6764</v>
      </c>
      <c r="G703" s="36" t="s">
        <v>5537</v>
      </c>
      <c r="I703" s="33" t="s">
        <v>5536</v>
      </c>
      <c r="J703" s="34">
        <v>35</v>
      </c>
      <c r="K703" s="34">
        <v>102</v>
      </c>
      <c r="L703" s="34">
        <v>2</v>
      </c>
    </row>
    <row r="704" spans="2:12">
      <c r="B704" s="32">
        <v>708</v>
      </c>
      <c r="C704" s="31" t="s">
        <v>114</v>
      </c>
      <c r="D704" s="36">
        <v>35</v>
      </c>
      <c r="E704" s="36">
        <v>102</v>
      </c>
      <c r="F704" s="36" t="s">
        <v>7300</v>
      </c>
      <c r="G704" s="36" t="s">
        <v>115</v>
      </c>
      <c r="I704" s="33" t="s">
        <v>114</v>
      </c>
      <c r="J704" s="34">
        <v>35</v>
      </c>
      <c r="K704" s="34">
        <v>102</v>
      </c>
      <c r="L704" s="34">
        <v>3</v>
      </c>
    </row>
    <row r="705" spans="2:12">
      <c r="B705" s="32">
        <v>709</v>
      </c>
      <c r="C705" s="31" t="s">
        <v>5498</v>
      </c>
      <c r="D705" s="36">
        <v>35</v>
      </c>
      <c r="E705" s="36">
        <v>103</v>
      </c>
      <c r="F705" s="36" t="s">
        <v>7842</v>
      </c>
      <c r="G705" s="36" t="s">
        <v>5499</v>
      </c>
      <c r="I705" s="33" t="s">
        <v>5498</v>
      </c>
      <c r="J705" s="34">
        <v>35</v>
      </c>
      <c r="K705" s="34">
        <v>103</v>
      </c>
      <c r="L705" s="34">
        <v>1</v>
      </c>
    </row>
    <row r="706" spans="2:12">
      <c r="B706" s="32">
        <v>710</v>
      </c>
      <c r="C706" s="31" t="s">
        <v>1127</v>
      </c>
      <c r="D706" s="36">
        <v>35</v>
      </c>
      <c r="E706" s="36">
        <v>103</v>
      </c>
      <c r="F706" s="36" t="s">
        <v>6776</v>
      </c>
      <c r="G706" s="36" t="s">
        <v>1128</v>
      </c>
      <c r="I706" s="33" t="s">
        <v>1127</v>
      </c>
      <c r="J706" s="34">
        <v>35</v>
      </c>
      <c r="K706" s="34">
        <v>103</v>
      </c>
      <c r="L706" s="34">
        <v>2</v>
      </c>
    </row>
    <row r="707" spans="2:12">
      <c r="B707" s="32">
        <v>711</v>
      </c>
      <c r="C707" s="31" t="s">
        <v>3179</v>
      </c>
      <c r="D707" s="36">
        <v>35</v>
      </c>
      <c r="E707" s="36">
        <v>103</v>
      </c>
      <c r="F707" s="36" t="s">
        <v>6665</v>
      </c>
      <c r="G707" s="36" t="s">
        <v>3180</v>
      </c>
      <c r="I707" s="33" t="s">
        <v>3179</v>
      </c>
      <c r="J707" s="34">
        <v>35</v>
      </c>
      <c r="K707" s="34">
        <v>103</v>
      </c>
      <c r="L707" s="34">
        <v>3</v>
      </c>
    </row>
    <row r="708" spans="2:12">
      <c r="B708" s="32">
        <v>712</v>
      </c>
      <c r="C708" s="31" t="s">
        <v>5715</v>
      </c>
      <c r="D708" s="36">
        <v>35</v>
      </c>
      <c r="E708" s="36">
        <v>104</v>
      </c>
      <c r="F708" s="36" t="s">
        <v>6719</v>
      </c>
      <c r="G708" s="36" t="s">
        <v>5716</v>
      </c>
      <c r="I708" s="33" t="s">
        <v>5715</v>
      </c>
      <c r="J708" s="34">
        <v>35</v>
      </c>
      <c r="K708" s="34">
        <v>104</v>
      </c>
      <c r="L708" s="34">
        <v>1</v>
      </c>
    </row>
    <row r="709" spans="2:12">
      <c r="B709" s="32">
        <v>713</v>
      </c>
      <c r="C709" s="31" t="s">
        <v>600</v>
      </c>
      <c r="D709" s="36">
        <v>35</v>
      </c>
      <c r="E709" s="36">
        <v>104</v>
      </c>
      <c r="F709" s="36" t="s">
        <v>7843</v>
      </c>
      <c r="G709" s="36" t="s">
        <v>601</v>
      </c>
      <c r="I709" s="33" t="s">
        <v>600</v>
      </c>
      <c r="J709" s="34">
        <v>35</v>
      </c>
      <c r="K709" s="34">
        <v>104</v>
      </c>
      <c r="L709" s="34">
        <v>2</v>
      </c>
    </row>
    <row r="710" spans="2:12">
      <c r="B710" s="32">
        <v>714</v>
      </c>
      <c r="C710" s="31" t="s">
        <v>1508</v>
      </c>
      <c r="D710" s="36">
        <v>35</v>
      </c>
      <c r="E710" s="36">
        <v>104</v>
      </c>
      <c r="F710" s="36" t="s">
        <v>7302</v>
      </c>
      <c r="G710" s="36" t="s">
        <v>1509</v>
      </c>
      <c r="I710" s="33" t="s">
        <v>1508</v>
      </c>
      <c r="J710" s="34">
        <v>35</v>
      </c>
      <c r="K710" s="34">
        <v>104</v>
      </c>
      <c r="L710" s="34">
        <v>3</v>
      </c>
    </row>
    <row r="711" spans="2:12">
      <c r="B711" s="32">
        <v>715</v>
      </c>
      <c r="C711" s="31" t="s">
        <v>5620</v>
      </c>
      <c r="D711" s="36">
        <v>35</v>
      </c>
      <c r="E711" s="36">
        <v>105</v>
      </c>
      <c r="F711" s="36" t="s">
        <v>7124</v>
      </c>
      <c r="G711" s="36" t="s">
        <v>5621</v>
      </c>
      <c r="I711" s="33" t="s">
        <v>5620</v>
      </c>
      <c r="J711" s="34">
        <v>35</v>
      </c>
      <c r="K711" s="34">
        <v>105</v>
      </c>
      <c r="L711" s="34">
        <v>1</v>
      </c>
    </row>
    <row r="712" spans="2:12">
      <c r="B712" s="32">
        <v>716</v>
      </c>
      <c r="C712" s="31" t="s">
        <v>2651</v>
      </c>
      <c r="D712" s="36">
        <v>35</v>
      </c>
      <c r="E712" s="36">
        <v>105</v>
      </c>
      <c r="F712" s="36" t="s">
        <v>7219</v>
      </c>
      <c r="G712" s="36" t="s">
        <v>2652</v>
      </c>
      <c r="I712" s="33" t="s">
        <v>2651</v>
      </c>
      <c r="J712" s="34">
        <v>35</v>
      </c>
      <c r="K712" s="34">
        <v>105</v>
      </c>
      <c r="L712" s="34">
        <v>2</v>
      </c>
    </row>
    <row r="713" spans="2:12">
      <c r="B713" s="32">
        <v>717</v>
      </c>
      <c r="C713" s="31" t="s">
        <v>5492</v>
      </c>
      <c r="D713" s="36">
        <v>35</v>
      </c>
      <c r="E713" s="36">
        <v>105</v>
      </c>
      <c r="F713" s="36" t="s">
        <v>6879</v>
      </c>
      <c r="G713" s="36" t="s">
        <v>5493</v>
      </c>
      <c r="I713" s="33" t="s">
        <v>5492</v>
      </c>
      <c r="J713" s="34">
        <v>35</v>
      </c>
      <c r="K713" s="34">
        <v>105</v>
      </c>
      <c r="L713" s="34">
        <v>3</v>
      </c>
    </row>
    <row r="714" spans="2:12">
      <c r="B714" s="32">
        <v>718</v>
      </c>
      <c r="C714" s="31" t="s">
        <v>4489</v>
      </c>
      <c r="D714" s="36">
        <v>35</v>
      </c>
      <c r="E714" s="36">
        <v>106</v>
      </c>
      <c r="F714" s="36" t="s">
        <v>7844</v>
      </c>
      <c r="G714" s="36" t="s">
        <v>4490</v>
      </c>
      <c r="I714" s="33" t="s">
        <v>4489</v>
      </c>
      <c r="J714" s="34">
        <v>35</v>
      </c>
      <c r="K714" s="34">
        <v>106</v>
      </c>
      <c r="L714" s="34">
        <v>1</v>
      </c>
    </row>
    <row r="715" spans="2:12">
      <c r="B715" s="32">
        <v>719</v>
      </c>
      <c r="C715" s="31" t="s">
        <v>1384</v>
      </c>
      <c r="D715" s="36">
        <v>35</v>
      </c>
      <c r="E715" s="36">
        <v>106</v>
      </c>
      <c r="F715" s="36" t="s">
        <v>6652</v>
      </c>
      <c r="G715" s="36" t="s">
        <v>1385</v>
      </c>
      <c r="I715" s="33" t="s">
        <v>1384</v>
      </c>
      <c r="J715" s="34">
        <v>35</v>
      </c>
      <c r="K715" s="34">
        <v>106</v>
      </c>
      <c r="L715" s="34">
        <v>2</v>
      </c>
    </row>
    <row r="716" spans="2:12">
      <c r="B716" s="32">
        <v>720</v>
      </c>
      <c r="C716" s="31" t="s">
        <v>242</v>
      </c>
      <c r="D716" s="36">
        <v>35</v>
      </c>
      <c r="E716" s="36">
        <v>106</v>
      </c>
      <c r="F716" s="36" t="s">
        <v>6774</v>
      </c>
      <c r="G716" s="36" t="s">
        <v>243</v>
      </c>
      <c r="I716" s="33" t="s">
        <v>242</v>
      </c>
      <c r="J716" s="34">
        <v>35</v>
      </c>
      <c r="K716" s="34">
        <v>106</v>
      </c>
      <c r="L716" s="34">
        <v>3</v>
      </c>
    </row>
    <row r="717" spans="2:12">
      <c r="B717" s="32">
        <v>721</v>
      </c>
      <c r="C717" s="31" t="s">
        <v>1837</v>
      </c>
      <c r="D717" s="36">
        <v>35</v>
      </c>
      <c r="E717" s="36">
        <v>107</v>
      </c>
      <c r="F717" s="36" t="s">
        <v>7119</v>
      </c>
      <c r="G717" s="36" t="s">
        <v>1838</v>
      </c>
      <c r="I717" s="33" t="s">
        <v>1837</v>
      </c>
      <c r="J717" s="34">
        <v>35</v>
      </c>
      <c r="K717" s="34">
        <v>107</v>
      </c>
      <c r="L717" s="34">
        <v>1</v>
      </c>
    </row>
    <row r="718" spans="2:12">
      <c r="B718" s="32">
        <v>722</v>
      </c>
      <c r="C718" s="31" t="s">
        <v>5363</v>
      </c>
      <c r="D718" s="36">
        <v>35</v>
      </c>
      <c r="E718" s="36">
        <v>107</v>
      </c>
      <c r="F718" s="36" t="s">
        <v>6863</v>
      </c>
      <c r="G718" s="36" t="s">
        <v>5364</v>
      </c>
      <c r="I718" s="33" t="s">
        <v>5363</v>
      </c>
      <c r="J718" s="34">
        <v>35</v>
      </c>
      <c r="K718" s="34">
        <v>107</v>
      </c>
      <c r="L718" s="34">
        <v>2</v>
      </c>
    </row>
    <row r="719" spans="2:12">
      <c r="B719" s="32">
        <v>723</v>
      </c>
      <c r="C719" s="31" t="s">
        <v>3092</v>
      </c>
      <c r="D719" s="36">
        <v>35</v>
      </c>
      <c r="E719" s="36">
        <v>107</v>
      </c>
      <c r="F719" s="36" t="s">
        <v>7209</v>
      </c>
      <c r="G719" s="36" t="s">
        <v>3093</v>
      </c>
      <c r="I719" s="33" t="s">
        <v>3092</v>
      </c>
      <c r="J719" s="34">
        <v>35</v>
      </c>
      <c r="K719" s="34">
        <v>107</v>
      </c>
      <c r="L719" s="34">
        <v>3</v>
      </c>
    </row>
    <row r="720" spans="2:12">
      <c r="B720" s="32">
        <v>724</v>
      </c>
      <c r="C720" s="31" t="s">
        <v>1464</v>
      </c>
      <c r="D720" s="36">
        <v>35</v>
      </c>
      <c r="E720" s="36">
        <v>108</v>
      </c>
      <c r="F720" s="36" t="s">
        <v>6792</v>
      </c>
      <c r="G720" s="36" t="s">
        <v>1465</v>
      </c>
      <c r="I720" s="33" t="s">
        <v>1464</v>
      </c>
      <c r="J720" s="34">
        <v>35</v>
      </c>
      <c r="K720" s="34">
        <v>108</v>
      </c>
      <c r="L720" s="34">
        <v>1</v>
      </c>
    </row>
    <row r="721" spans="2:12">
      <c r="B721" s="32">
        <v>725</v>
      </c>
      <c r="C721" s="31" t="s">
        <v>7982</v>
      </c>
      <c r="D721" s="36">
        <v>35</v>
      </c>
      <c r="E721" s="36">
        <v>108</v>
      </c>
      <c r="F721" s="36" t="s">
        <v>6795</v>
      </c>
      <c r="G721" s="36" t="s">
        <v>4788</v>
      </c>
      <c r="I721" s="33" t="s">
        <v>7982</v>
      </c>
      <c r="J721" s="34">
        <v>35</v>
      </c>
      <c r="K721" s="34">
        <v>108</v>
      </c>
      <c r="L721" s="34">
        <v>2</v>
      </c>
    </row>
    <row r="722" spans="2:12">
      <c r="B722" s="32">
        <v>726</v>
      </c>
      <c r="C722" s="31" t="s">
        <v>7983</v>
      </c>
      <c r="D722" s="36">
        <v>35</v>
      </c>
      <c r="E722" s="36">
        <v>108</v>
      </c>
      <c r="F722" s="36" t="s">
        <v>6798</v>
      </c>
      <c r="G722" s="36" t="s">
        <v>1855</v>
      </c>
      <c r="I722" s="33" t="s">
        <v>7983</v>
      </c>
      <c r="J722" s="34">
        <v>35</v>
      </c>
      <c r="K722" s="34">
        <v>108</v>
      </c>
      <c r="L722" s="34">
        <v>3</v>
      </c>
    </row>
    <row r="723" spans="2:12">
      <c r="B723" s="32">
        <v>727</v>
      </c>
      <c r="C723" s="31" t="s">
        <v>4648</v>
      </c>
      <c r="D723" s="36">
        <v>35</v>
      </c>
      <c r="E723" s="36">
        <v>109</v>
      </c>
      <c r="F723" s="36" t="s">
        <v>6861</v>
      </c>
      <c r="G723" s="36" t="s">
        <v>4649</v>
      </c>
      <c r="I723" s="33" t="s">
        <v>4648</v>
      </c>
      <c r="J723" s="34">
        <v>35</v>
      </c>
      <c r="K723" s="34">
        <v>109</v>
      </c>
      <c r="L723" s="34">
        <v>1</v>
      </c>
    </row>
    <row r="724" spans="2:12">
      <c r="B724" s="32">
        <v>728</v>
      </c>
      <c r="C724" s="31" t="s">
        <v>3960</v>
      </c>
      <c r="D724" s="36">
        <v>35</v>
      </c>
      <c r="E724" s="36">
        <v>109</v>
      </c>
      <c r="F724" s="36" t="s">
        <v>7845</v>
      </c>
      <c r="G724" s="36" t="s">
        <v>3961</v>
      </c>
      <c r="I724" s="33" t="s">
        <v>3960</v>
      </c>
      <c r="J724" s="34">
        <v>35</v>
      </c>
      <c r="K724" s="34">
        <v>109</v>
      </c>
      <c r="L724" s="34">
        <v>2</v>
      </c>
    </row>
    <row r="725" spans="2:12">
      <c r="B725" s="32">
        <v>729</v>
      </c>
      <c r="C725" s="31" t="s">
        <v>4919</v>
      </c>
      <c r="D725" s="36">
        <v>35</v>
      </c>
      <c r="E725" s="36">
        <v>109</v>
      </c>
      <c r="F725" s="36" t="s">
        <v>6638</v>
      </c>
      <c r="G725" s="36" t="s">
        <v>4920</v>
      </c>
      <c r="I725" s="33" t="s">
        <v>4919</v>
      </c>
      <c r="J725" s="34">
        <v>35</v>
      </c>
      <c r="K725" s="34">
        <v>109</v>
      </c>
      <c r="L725" s="34">
        <v>3</v>
      </c>
    </row>
    <row r="726" spans="2:12">
      <c r="B726" s="32">
        <v>730</v>
      </c>
      <c r="C726" s="31" t="s">
        <v>4224</v>
      </c>
      <c r="D726" s="36">
        <v>35</v>
      </c>
      <c r="E726" s="36">
        <v>110</v>
      </c>
      <c r="F726" s="36" t="s">
        <v>6848</v>
      </c>
      <c r="G726" s="36" t="s">
        <v>4225</v>
      </c>
      <c r="I726" s="33" t="s">
        <v>4224</v>
      </c>
      <c r="J726" s="34">
        <v>35</v>
      </c>
      <c r="K726" s="34">
        <v>110</v>
      </c>
      <c r="L726" s="34">
        <v>1</v>
      </c>
    </row>
    <row r="727" spans="2:12">
      <c r="B727" s="32">
        <v>731</v>
      </c>
      <c r="C727" s="31" t="s">
        <v>2798</v>
      </c>
      <c r="D727" s="36">
        <v>35</v>
      </c>
      <c r="E727" s="36">
        <v>110</v>
      </c>
      <c r="F727" s="36" t="s">
        <v>6809</v>
      </c>
      <c r="G727" s="36" t="s">
        <v>2799</v>
      </c>
      <c r="I727" s="33" t="s">
        <v>2798</v>
      </c>
      <c r="J727" s="34">
        <v>35</v>
      </c>
      <c r="K727" s="34">
        <v>110</v>
      </c>
      <c r="L727" s="34">
        <v>2</v>
      </c>
    </row>
    <row r="728" spans="2:12">
      <c r="B728" s="32">
        <v>732</v>
      </c>
      <c r="C728" s="31" t="s">
        <v>5253</v>
      </c>
      <c r="D728" s="36">
        <v>35</v>
      </c>
      <c r="E728" s="36">
        <v>110</v>
      </c>
      <c r="F728" s="36" t="s">
        <v>6659</v>
      </c>
      <c r="G728" s="36" t="s">
        <v>5254</v>
      </c>
      <c r="I728" s="33" t="s">
        <v>5253</v>
      </c>
      <c r="J728" s="34">
        <v>35</v>
      </c>
      <c r="K728" s="34">
        <v>110</v>
      </c>
      <c r="L728" s="34">
        <v>3</v>
      </c>
    </row>
    <row r="729" spans="2:12">
      <c r="B729" s="32">
        <v>733</v>
      </c>
      <c r="C729" s="31" t="s">
        <v>2709</v>
      </c>
      <c r="D729" s="36">
        <v>35</v>
      </c>
      <c r="E729" s="36">
        <v>111</v>
      </c>
      <c r="F729" s="36" t="s">
        <v>6758</v>
      </c>
      <c r="G729" s="36" t="s">
        <v>2710</v>
      </c>
      <c r="I729" s="33" t="s">
        <v>2709</v>
      </c>
      <c r="J729" s="34">
        <v>35</v>
      </c>
      <c r="K729" s="34">
        <v>111</v>
      </c>
      <c r="L729" s="34">
        <v>1</v>
      </c>
    </row>
    <row r="730" spans="2:12">
      <c r="B730" s="32">
        <v>734</v>
      </c>
      <c r="C730" s="31" t="s">
        <v>1491</v>
      </c>
      <c r="D730" s="36">
        <v>35</v>
      </c>
      <c r="E730" s="36">
        <v>111</v>
      </c>
      <c r="F730" s="36" t="s">
        <v>6730</v>
      </c>
      <c r="G730" s="36" t="s">
        <v>1492</v>
      </c>
      <c r="I730" s="33" t="s">
        <v>1491</v>
      </c>
      <c r="J730" s="34">
        <v>35</v>
      </c>
      <c r="K730" s="34">
        <v>111</v>
      </c>
      <c r="L730" s="34">
        <v>2</v>
      </c>
    </row>
    <row r="731" spans="2:12">
      <c r="B731" s="32">
        <v>735</v>
      </c>
      <c r="C731" s="31" t="s">
        <v>3584</v>
      </c>
      <c r="D731" s="36">
        <v>35</v>
      </c>
      <c r="E731" s="36">
        <v>111</v>
      </c>
      <c r="F731" s="36" t="s">
        <v>6846</v>
      </c>
      <c r="G731" s="36" t="s">
        <v>3585</v>
      </c>
      <c r="I731" s="33" t="s">
        <v>3584</v>
      </c>
      <c r="J731" s="34">
        <v>35</v>
      </c>
      <c r="K731" s="34">
        <v>111</v>
      </c>
      <c r="L731" s="34">
        <v>3</v>
      </c>
    </row>
    <row r="732" spans="2:12">
      <c r="B732" s="32">
        <v>736</v>
      </c>
      <c r="C732" s="31" t="s">
        <v>2645</v>
      </c>
      <c r="D732" s="36">
        <v>35</v>
      </c>
      <c r="E732" s="36">
        <v>112</v>
      </c>
      <c r="F732" s="36" t="s">
        <v>7157</v>
      </c>
      <c r="G732" s="36" t="s">
        <v>2646</v>
      </c>
      <c r="I732" s="33" t="s">
        <v>2645</v>
      </c>
      <c r="J732" s="34">
        <v>35</v>
      </c>
      <c r="K732" s="34">
        <v>112</v>
      </c>
      <c r="L732" s="34">
        <v>1</v>
      </c>
    </row>
    <row r="733" spans="2:12">
      <c r="B733" s="32">
        <v>737</v>
      </c>
      <c r="C733" s="31" t="s">
        <v>2246</v>
      </c>
      <c r="D733" s="36">
        <v>35</v>
      </c>
      <c r="E733" s="36">
        <v>112</v>
      </c>
      <c r="F733" s="36" t="s">
        <v>6742</v>
      </c>
      <c r="G733" s="36" t="s">
        <v>2247</v>
      </c>
      <c r="I733" s="33" t="s">
        <v>2246</v>
      </c>
      <c r="J733" s="34">
        <v>35</v>
      </c>
      <c r="K733" s="34">
        <v>112</v>
      </c>
      <c r="L733" s="34">
        <v>2</v>
      </c>
    </row>
    <row r="734" spans="2:12">
      <c r="B734" s="32">
        <v>738</v>
      </c>
      <c r="C734" s="31" t="s">
        <v>1748</v>
      </c>
      <c r="D734" s="36">
        <v>35</v>
      </c>
      <c r="E734" s="36">
        <v>112</v>
      </c>
      <c r="F734" s="36" t="s">
        <v>7270</v>
      </c>
      <c r="G734" s="36" t="s">
        <v>1749</v>
      </c>
      <c r="I734" s="33" t="s">
        <v>1748</v>
      </c>
      <c r="J734" s="34">
        <v>35</v>
      </c>
      <c r="K734" s="34">
        <v>112</v>
      </c>
      <c r="L734" s="34">
        <v>3</v>
      </c>
    </row>
    <row r="735" spans="2:12">
      <c r="B735" s="32">
        <v>739</v>
      </c>
      <c r="C735" s="31" t="s">
        <v>5085</v>
      </c>
      <c r="D735" s="36">
        <v>35</v>
      </c>
      <c r="E735" s="36">
        <v>113</v>
      </c>
      <c r="F735" s="36" t="s">
        <v>6777</v>
      </c>
      <c r="G735" s="36" t="s">
        <v>5086</v>
      </c>
      <c r="I735" s="33" t="s">
        <v>5085</v>
      </c>
      <c r="J735" s="34">
        <v>35</v>
      </c>
      <c r="K735" s="34">
        <v>113</v>
      </c>
      <c r="L735" s="34">
        <v>1</v>
      </c>
    </row>
    <row r="736" spans="2:12">
      <c r="B736" s="32">
        <v>740</v>
      </c>
      <c r="C736" s="31" t="s">
        <v>3299</v>
      </c>
      <c r="D736" s="36">
        <v>35</v>
      </c>
      <c r="E736" s="36">
        <v>113</v>
      </c>
      <c r="F736" s="36" t="s">
        <v>6806</v>
      </c>
      <c r="G736" s="36" t="s">
        <v>3300</v>
      </c>
      <c r="I736" s="33" t="s">
        <v>3299</v>
      </c>
      <c r="J736" s="34">
        <v>35</v>
      </c>
      <c r="K736" s="34">
        <v>113</v>
      </c>
      <c r="L736" s="34">
        <v>2</v>
      </c>
    </row>
    <row r="737" spans="2:12">
      <c r="B737" s="32">
        <v>741</v>
      </c>
      <c r="C737" s="31" t="s">
        <v>5169</v>
      </c>
      <c r="D737" s="36">
        <v>35</v>
      </c>
      <c r="E737" s="36">
        <v>113</v>
      </c>
      <c r="F737" s="36" t="s">
        <v>7213</v>
      </c>
      <c r="G737" s="36" t="s">
        <v>5170</v>
      </c>
      <c r="I737" s="33" t="s">
        <v>5169</v>
      </c>
      <c r="J737" s="34">
        <v>35</v>
      </c>
      <c r="K737" s="34">
        <v>113</v>
      </c>
      <c r="L737" s="34">
        <v>3</v>
      </c>
    </row>
    <row r="738" spans="2:12">
      <c r="B738" s="32">
        <v>742</v>
      </c>
      <c r="C738" s="31" t="s">
        <v>5781</v>
      </c>
      <c r="D738" s="36">
        <v>35</v>
      </c>
      <c r="E738" s="36">
        <v>114</v>
      </c>
      <c r="F738" s="36" t="s">
        <v>7235</v>
      </c>
      <c r="G738" s="36" t="s">
        <v>5782</v>
      </c>
      <c r="I738" s="33" t="s">
        <v>5781</v>
      </c>
      <c r="J738" s="34">
        <v>35</v>
      </c>
      <c r="K738" s="34">
        <v>114</v>
      </c>
      <c r="L738" s="34">
        <v>1</v>
      </c>
    </row>
    <row r="739" spans="2:12">
      <c r="B739" s="32">
        <v>743</v>
      </c>
      <c r="C739" s="31" t="s">
        <v>4391</v>
      </c>
      <c r="D739" s="36">
        <v>35</v>
      </c>
      <c r="E739" s="36">
        <v>114</v>
      </c>
      <c r="F739" s="36" t="s">
        <v>7177</v>
      </c>
      <c r="G739" s="36" t="s">
        <v>4392</v>
      </c>
      <c r="I739" s="33" t="s">
        <v>4391</v>
      </c>
      <c r="J739" s="34">
        <v>35</v>
      </c>
      <c r="K739" s="34">
        <v>114</v>
      </c>
      <c r="L739" s="34">
        <v>2</v>
      </c>
    </row>
    <row r="740" spans="2:12">
      <c r="B740" s="32">
        <v>744</v>
      </c>
      <c r="C740" s="31" t="s">
        <v>4422</v>
      </c>
      <c r="D740" s="36">
        <v>35</v>
      </c>
      <c r="E740" s="36">
        <v>115</v>
      </c>
      <c r="F740" s="36" t="s">
        <v>7846</v>
      </c>
      <c r="G740" s="36" t="s">
        <v>4423</v>
      </c>
      <c r="I740" s="33" t="s">
        <v>4422</v>
      </c>
      <c r="J740" s="34">
        <v>35</v>
      </c>
      <c r="K740" s="34">
        <v>115</v>
      </c>
      <c r="L740" s="34">
        <v>1</v>
      </c>
    </row>
    <row r="741" spans="2:12">
      <c r="B741" s="32">
        <v>745</v>
      </c>
      <c r="C741" s="31" t="s">
        <v>6599</v>
      </c>
      <c r="D741" s="36">
        <v>35</v>
      </c>
      <c r="E741" s="36">
        <v>115</v>
      </c>
      <c r="F741" s="36" t="s">
        <v>7847</v>
      </c>
      <c r="G741" s="36" t="s">
        <v>5444</v>
      </c>
      <c r="I741" s="33" t="s">
        <v>6600</v>
      </c>
      <c r="J741" s="34">
        <v>35</v>
      </c>
      <c r="K741" s="34">
        <v>115</v>
      </c>
      <c r="L741" s="34">
        <v>2</v>
      </c>
    </row>
    <row r="742" spans="2:12">
      <c r="B742" s="32">
        <v>746</v>
      </c>
      <c r="C742" s="31" t="s">
        <v>2457</v>
      </c>
      <c r="D742" s="36">
        <v>35</v>
      </c>
      <c r="E742" s="36">
        <v>115</v>
      </c>
      <c r="F742" s="36" t="s">
        <v>6927</v>
      </c>
      <c r="G742" s="36" t="s">
        <v>2458</v>
      </c>
      <c r="I742" s="33" t="s">
        <v>2457</v>
      </c>
      <c r="J742" s="34">
        <v>35</v>
      </c>
      <c r="K742" s="34">
        <v>115</v>
      </c>
      <c r="L742" s="34">
        <v>3</v>
      </c>
    </row>
    <row r="743" spans="2:12">
      <c r="B743" s="32">
        <v>747</v>
      </c>
      <c r="C743" s="31" t="s">
        <v>3169</v>
      </c>
      <c r="D743" s="36">
        <v>35</v>
      </c>
      <c r="E743" s="36">
        <v>116</v>
      </c>
      <c r="F743" s="36" t="s">
        <v>6682</v>
      </c>
      <c r="G743" s="36" t="s">
        <v>3170</v>
      </c>
      <c r="I743" s="33" t="s">
        <v>3169</v>
      </c>
      <c r="J743" s="34">
        <v>35</v>
      </c>
      <c r="K743" s="34">
        <v>116</v>
      </c>
      <c r="L743" s="34">
        <v>1</v>
      </c>
    </row>
    <row r="744" spans="2:12">
      <c r="B744" s="32">
        <v>748</v>
      </c>
      <c r="C744" s="31" t="s">
        <v>3603</v>
      </c>
      <c r="D744" s="36">
        <v>35</v>
      </c>
      <c r="E744" s="36">
        <v>116</v>
      </c>
      <c r="F744" s="36" t="s">
        <v>6867</v>
      </c>
      <c r="G744" s="36" t="s">
        <v>3604</v>
      </c>
      <c r="I744" s="33" t="s">
        <v>3603</v>
      </c>
      <c r="J744" s="34">
        <v>35</v>
      </c>
      <c r="K744" s="34">
        <v>116</v>
      </c>
      <c r="L744" s="34">
        <v>2</v>
      </c>
    </row>
    <row r="745" spans="2:12">
      <c r="B745" s="32">
        <v>749</v>
      </c>
      <c r="C745" s="31" t="s">
        <v>4334</v>
      </c>
      <c r="D745" s="36">
        <v>35</v>
      </c>
      <c r="E745" s="36">
        <v>116</v>
      </c>
      <c r="F745" s="36" t="s">
        <v>6812</v>
      </c>
      <c r="G745" s="36" t="s">
        <v>4335</v>
      </c>
      <c r="I745" s="33" t="s">
        <v>4334</v>
      </c>
      <c r="J745" s="34">
        <v>35</v>
      </c>
      <c r="K745" s="34">
        <v>116</v>
      </c>
      <c r="L745" s="34">
        <v>3</v>
      </c>
    </row>
    <row r="746" spans="2:12">
      <c r="B746" s="32">
        <v>750</v>
      </c>
      <c r="C746" s="31" t="s">
        <v>937</v>
      </c>
      <c r="D746" s="36">
        <v>35</v>
      </c>
      <c r="E746" s="36">
        <v>117</v>
      </c>
      <c r="F746" s="36" t="s">
        <v>7231</v>
      </c>
      <c r="G746" s="36" t="s">
        <v>938</v>
      </c>
      <c r="I746" s="33" t="s">
        <v>937</v>
      </c>
      <c r="J746" s="34">
        <v>35</v>
      </c>
      <c r="K746" s="34">
        <v>117</v>
      </c>
      <c r="L746" s="34">
        <v>1</v>
      </c>
    </row>
    <row r="747" spans="2:12">
      <c r="B747" s="32">
        <v>751</v>
      </c>
      <c r="C747" s="31" t="s">
        <v>1190</v>
      </c>
      <c r="D747" s="36">
        <v>35</v>
      </c>
      <c r="E747" s="36">
        <v>117</v>
      </c>
      <c r="F747" s="36" t="s">
        <v>6770</v>
      </c>
      <c r="G747" s="36" t="s">
        <v>1191</v>
      </c>
      <c r="I747" s="33" t="s">
        <v>1190</v>
      </c>
      <c r="J747" s="34">
        <v>35</v>
      </c>
      <c r="K747" s="34">
        <v>117</v>
      </c>
      <c r="L747" s="34">
        <v>2</v>
      </c>
    </row>
    <row r="748" spans="2:12">
      <c r="B748" s="32">
        <v>752</v>
      </c>
      <c r="C748" s="31" t="s">
        <v>349</v>
      </c>
      <c r="D748" s="36">
        <v>35</v>
      </c>
      <c r="E748" s="36">
        <v>117</v>
      </c>
      <c r="F748" s="36" t="s">
        <v>6831</v>
      </c>
      <c r="G748" s="36" t="s">
        <v>350</v>
      </c>
      <c r="I748" s="33" t="s">
        <v>349</v>
      </c>
      <c r="J748" s="34">
        <v>35</v>
      </c>
      <c r="K748" s="34">
        <v>117</v>
      </c>
      <c r="L748" s="34">
        <v>3</v>
      </c>
    </row>
    <row r="749" spans="2:12">
      <c r="B749" s="32">
        <v>753</v>
      </c>
      <c r="C749" s="31" t="s">
        <v>1613</v>
      </c>
      <c r="D749" s="36">
        <v>35</v>
      </c>
      <c r="E749" s="36">
        <v>118</v>
      </c>
      <c r="F749" s="36" t="s">
        <v>7849</v>
      </c>
      <c r="G749" s="36" t="s">
        <v>1614</v>
      </c>
      <c r="I749" s="33" t="s">
        <v>1613</v>
      </c>
      <c r="J749" s="34">
        <v>35</v>
      </c>
      <c r="K749" s="34">
        <v>118</v>
      </c>
      <c r="L749" s="34">
        <v>1</v>
      </c>
    </row>
    <row r="750" spans="2:12">
      <c r="B750" s="32">
        <v>754</v>
      </c>
      <c r="C750" s="31" t="s">
        <v>4013</v>
      </c>
      <c r="D750" s="36">
        <v>35</v>
      </c>
      <c r="E750" s="36">
        <v>118</v>
      </c>
      <c r="F750" s="36" t="s">
        <v>6787</v>
      </c>
      <c r="G750" s="36" t="s">
        <v>4014</v>
      </c>
      <c r="I750" s="33" t="s">
        <v>4013</v>
      </c>
      <c r="J750" s="34">
        <v>35</v>
      </c>
      <c r="K750" s="34">
        <v>118</v>
      </c>
      <c r="L750" s="34">
        <v>2</v>
      </c>
    </row>
    <row r="751" spans="2:12">
      <c r="B751" s="32">
        <v>755</v>
      </c>
      <c r="C751" s="31" t="s">
        <v>1374</v>
      </c>
      <c r="D751" s="36">
        <v>35</v>
      </c>
      <c r="E751" s="36">
        <v>118</v>
      </c>
      <c r="F751" s="36" t="s">
        <v>7851</v>
      </c>
      <c r="G751" s="36" t="s">
        <v>1375</v>
      </c>
      <c r="I751" s="33" t="s">
        <v>1374</v>
      </c>
      <c r="J751" s="34">
        <v>35</v>
      </c>
      <c r="K751" s="34">
        <v>118</v>
      </c>
      <c r="L751" s="34">
        <v>3</v>
      </c>
    </row>
    <row r="752" spans="2:12">
      <c r="B752" s="32">
        <v>756</v>
      </c>
      <c r="C752" s="31" t="s">
        <v>1056</v>
      </c>
      <c r="D752" s="36">
        <v>35</v>
      </c>
      <c r="E752" s="36">
        <v>119</v>
      </c>
      <c r="F752" s="36" t="s">
        <v>7852</v>
      </c>
      <c r="G752" s="36" t="s">
        <v>1057</v>
      </c>
      <c r="I752" s="33" t="s">
        <v>1056</v>
      </c>
      <c r="J752" s="34">
        <v>35</v>
      </c>
      <c r="K752" s="34">
        <v>119</v>
      </c>
      <c r="L752" s="34">
        <v>1</v>
      </c>
    </row>
    <row r="753" spans="2:12">
      <c r="B753" s="32">
        <v>757</v>
      </c>
      <c r="C753" s="31" t="s">
        <v>3154</v>
      </c>
      <c r="D753" s="36">
        <v>35</v>
      </c>
      <c r="E753" s="36">
        <v>119</v>
      </c>
      <c r="F753" s="36" t="s">
        <v>7853</v>
      </c>
      <c r="G753" s="36" t="s">
        <v>3155</v>
      </c>
      <c r="I753" s="33" t="s">
        <v>3154</v>
      </c>
      <c r="J753" s="34">
        <v>35</v>
      </c>
      <c r="K753" s="34">
        <v>119</v>
      </c>
      <c r="L753" s="34">
        <v>2</v>
      </c>
    </row>
    <row r="754" spans="2:12">
      <c r="B754" s="32">
        <v>758</v>
      </c>
      <c r="C754" s="31" t="s">
        <v>3390</v>
      </c>
      <c r="D754" s="36">
        <v>35</v>
      </c>
      <c r="E754" s="36">
        <v>119</v>
      </c>
      <c r="F754" s="36" t="s">
        <v>6778</v>
      </c>
      <c r="G754" s="36" t="s">
        <v>3391</v>
      </c>
      <c r="I754" s="33" t="s">
        <v>3390</v>
      </c>
      <c r="J754" s="34">
        <v>35</v>
      </c>
      <c r="K754" s="34">
        <v>119</v>
      </c>
      <c r="L754" s="34">
        <v>3</v>
      </c>
    </row>
    <row r="755" spans="2:12">
      <c r="B755" s="32">
        <v>759</v>
      </c>
      <c r="C755" s="31" t="s">
        <v>2541</v>
      </c>
      <c r="D755" s="36">
        <v>35</v>
      </c>
      <c r="E755" s="36">
        <v>120</v>
      </c>
      <c r="F755" s="36" t="s">
        <v>7346</v>
      </c>
      <c r="G755" s="36" t="s">
        <v>2542</v>
      </c>
      <c r="I755" s="33" t="s">
        <v>2541</v>
      </c>
      <c r="J755" s="34">
        <v>35</v>
      </c>
      <c r="K755" s="34">
        <v>120</v>
      </c>
      <c r="L755" s="34">
        <v>1</v>
      </c>
    </row>
    <row r="756" spans="2:12">
      <c r="B756" s="32">
        <v>760</v>
      </c>
      <c r="C756" s="31" t="s">
        <v>2720</v>
      </c>
      <c r="D756" s="36">
        <v>35</v>
      </c>
      <c r="E756" s="36">
        <v>120</v>
      </c>
      <c r="F756" s="36" t="s">
        <v>6818</v>
      </c>
      <c r="G756" s="36" t="s">
        <v>2721</v>
      </c>
      <c r="I756" s="33" t="s">
        <v>2720</v>
      </c>
      <c r="J756" s="34">
        <v>35</v>
      </c>
      <c r="K756" s="34">
        <v>120</v>
      </c>
      <c r="L756" s="34">
        <v>2</v>
      </c>
    </row>
    <row r="757" spans="2:12">
      <c r="B757" s="32">
        <v>761</v>
      </c>
      <c r="C757" s="31" t="s">
        <v>2574</v>
      </c>
      <c r="D757" s="36">
        <v>35</v>
      </c>
      <c r="E757" s="36">
        <v>120</v>
      </c>
      <c r="F757" s="36" t="s">
        <v>6836</v>
      </c>
      <c r="G757" s="36" t="s">
        <v>2575</v>
      </c>
      <c r="I757" s="33" t="s">
        <v>2574</v>
      </c>
      <c r="J757" s="34">
        <v>35</v>
      </c>
      <c r="K757" s="34">
        <v>120</v>
      </c>
      <c r="L757" s="34">
        <v>3</v>
      </c>
    </row>
    <row r="758" spans="2:12">
      <c r="B758" s="32">
        <v>762</v>
      </c>
      <c r="C758" s="31" t="s">
        <v>5296</v>
      </c>
      <c r="D758" s="36">
        <v>35</v>
      </c>
      <c r="E758" s="36">
        <v>201</v>
      </c>
      <c r="F758" s="36" t="s">
        <v>7221</v>
      </c>
      <c r="G758" s="36" t="s">
        <v>5297</v>
      </c>
      <c r="I758" s="33" t="s">
        <v>5296</v>
      </c>
      <c r="J758" s="34">
        <v>35</v>
      </c>
      <c r="K758" s="34">
        <v>201</v>
      </c>
      <c r="L758" s="34">
        <v>1</v>
      </c>
    </row>
    <row r="759" spans="2:12">
      <c r="B759" s="32">
        <v>763</v>
      </c>
      <c r="C759" s="31" t="s">
        <v>1789</v>
      </c>
      <c r="D759" s="36">
        <v>35</v>
      </c>
      <c r="E759" s="36">
        <v>201</v>
      </c>
      <c r="F759" s="36" t="s">
        <v>7179</v>
      </c>
      <c r="G759" s="36" t="s">
        <v>1790</v>
      </c>
      <c r="I759" s="33" t="s">
        <v>1789</v>
      </c>
      <c r="J759" s="34">
        <v>35</v>
      </c>
      <c r="K759" s="34">
        <v>201</v>
      </c>
      <c r="L759" s="34">
        <v>2</v>
      </c>
    </row>
    <row r="760" spans="2:12">
      <c r="B760" s="32">
        <v>764</v>
      </c>
      <c r="C760" s="31" t="s">
        <v>178</v>
      </c>
      <c r="D760" s="36">
        <v>35</v>
      </c>
      <c r="E760" s="36">
        <v>202</v>
      </c>
      <c r="F760" s="36" t="s">
        <v>6645</v>
      </c>
      <c r="G760" s="36" t="s">
        <v>179</v>
      </c>
      <c r="I760" s="33" t="s">
        <v>178</v>
      </c>
      <c r="J760" s="34">
        <v>35</v>
      </c>
      <c r="K760" s="34">
        <v>202</v>
      </c>
      <c r="L760" s="34">
        <v>1</v>
      </c>
    </row>
    <row r="761" spans="2:12">
      <c r="B761" s="32">
        <v>765</v>
      </c>
      <c r="C761" s="31" t="s">
        <v>2305</v>
      </c>
      <c r="D761" s="36">
        <v>35</v>
      </c>
      <c r="E761" s="36">
        <v>202</v>
      </c>
      <c r="F761" s="36" t="s">
        <v>6840</v>
      </c>
      <c r="G761" s="36" t="s">
        <v>2306</v>
      </c>
      <c r="I761" s="33" t="s">
        <v>2305</v>
      </c>
      <c r="J761" s="34">
        <v>35</v>
      </c>
      <c r="K761" s="34">
        <v>202</v>
      </c>
      <c r="L761" s="34">
        <v>2</v>
      </c>
    </row>
    <row r="762" spans="2:12">
      <c r="B762" s="32">
        <v>766</v>
      </c>
      <c r="C762" s="31" t="s">
        <v>5091</v>
      </c>
      <c r="D762" s="36">
        <v>35</v>
      </c>
      <c r="E762" s="36">
        <v>203</v>
      </c>
      <c r="F762" s="36" t="s">
        <v>6871</v>
      </c>
      <c r="G762" s="36" t="s">
        <v>5092</v>
      </c>
      <c r="I762" s="33" t="s">
        <v>5091</v>
      </c>
      <c r="J762" s="34">
        <v>35</v>
      </c>
      <c r="K762" s="34">
        <v>203</v>
      </c>
      <c r="L762" s="34">
        <v>1</v>
      </c>
    </row>
    <row r="763" spans="2:12">
      <c r="B763" s="32">
        <v>767</v>
      </c>
      <c r="C763" s="31" t="s">
        <v>5411</v>
      </c>
      <c r="D763" s="36">
        <v>35</v>
      </c>
      <c r="E763" s="36">
        <v>203</v>
      </c>
      <c r="F763" s="36" t="s">
        <v>7149</v>
      </c>
      <c r="G763" s="36" t="s">
        <v>5412</v>
      </c>
      <c r="I763" s="33" t="s">
        <v>5411</v>
      </c>
      <c r="J763" s="34">
        <v>35</v>
      </c>
      <c r="K763" s="34">
        <v>203</v>
      </c>
      <c r="L763" s="34">
        <v>2</v>
      </c>
    </row>
    <row r="764" spans="2:12">
      <c r="B764" s="32">
        <v>768</v>
      </c>
      <c r="C764" s="31" t="s">
        <v>3438</v>
      </c>
      <c r="D764" s="36">
        <v>35</v>
      </c>
      <c r="E764" s="36">
        <v>204</v>
      </c>
      <c r="F764" s="36" t="s">
        <v>6732</v>
      </c>
      <c r="G764" s="36" t="s">
        <v>3439</v>
      </c>
      <c r="I764" s="33" t="s">
        <v>3438</v>
      </c>
      <c r="J764" s="34">
        <v>35</v>
      </c>
      <c r="K764" s="34">
        <v>204</v>
      </c>
      <c r="L764" s="34">
        <v>1</v>
      </c>
    </row>
    <row r="765" spans="2:12">
      <c r="B765" s="32">
        <v>769</v>
      </c>
      <c r="C765" s="31" t="s">
        <v>4972</v>
      </c>
      <c r="D765" s="36">
        <v>35</v>
      </c>
      <c r="E765" s="36">
        <v>204</v>
      </c>
      <c r="F765" s="36" t="s">
        <v>7854</v>
      </c>
      <c r="G765" s="36" t="s">
        <v>4973</v>
      </c>
      <c r="I765" s="33" t="s">
        <v>4972</v>
      </c>
      <c r="J765" s="34">
        <v>35</v>
      </c>
      <c r="K765" s="34">
        <v>204</v>
      </c>
      <c r="L765" s="34">
        <v>2</v>
      </c>
    </row>
    <row r="766" spans="2:12">
      <c r="B766" s="32">
        <v>770</v>
      </c>
      <c r="C766" s="31" t="s">
        <v>2288</v>
      </c>
      <c r="D766" s="36">
        <v>35</v>
      </c>
      <c r="E766" s="36">
        <v>205</v>
      </c>
      <c r="F766" s="36" t="s">
        <v>7855</v>
      </c>
      <c r="G766" s="36" t="s">
        <v>2289</v>
      </c>
      <c r="I766" s="33" t="s">
        <v>2288</v>
      </c>
      <c r="J766" s="34">
        <v>35</v>
      </c>
      <c r="K766" s="34">
        <v>205</v>
      </c>
      <c r="L766" s="34">
        <v>1</v>
      </c>
    </row>
    <row r="767" spans="2:12">
      <c r="B767" s="32">
        <v>771</v>
      </c>
      <c r="C767" s="31" t="s">
        <v>304</v>
      </c>
      <c r="D767" s="36">
        <v>35</v>
      </c>
      <c r="E767" s="36">
        <v>205</v>
      </c>
      <c r="F767" s="36" t="s">
        <v>6642</v>
      </c>
      <c r="G767" s="36" t="s">
        <v>305</v>
      </c>
      <c r="I767" s="33" t="s">
        <v>304</v>
      </c>
      <c r="J767" s="34">
        <v>35</v>
      </c>
      <c r="K767" s="34">
        <v>205</v>
      </c>
      <c r="L767" s="34">
        <v>2</v>
      </c>
    </row>
    <row r="768" spans="2:12">
      <c r="B768" s="32">
        <v>772</v>
      </c>
      <c r="C768" s="31" t="s">
        <v>4493</v>
      </c>
      <c r="D768" s="36">
        <v>35</v>
      </c>
      <c r="E768" s="36">
        <v>206</v>
      </c>
      <c r="F768" s="36" t="s">
        <v>6922</v>
      </c>
      <c r="G768" s="36" t="s">
        <v>4494</v>
      </c>
      <c r="I768" s="33" t="s">
        <v>4493</v>
      </c>
      <c r="J768" s="34">
        <v>35</v>
      </c>
      <c r="K768" s="34">
        <v>206</v>
      </c>
      <c r="L768" s="34">
        <v>1</v>
      </c>
    </row>
    <row r="769" spans="2:12">
      <c r="B769" s="32">
        <v>773</v>
      </c>
      <c r="C769" s="31" t="s">
        <v>3331</v>
      </c>
      <c r="D769" s="36">
        <v>35</v>
      </c>
      <c r="E769" s="36">
        <v>206</v>
      </c>
      <c r="F769" s="36" t="s">
        <v>7856</v>
      </c>
      <c r="G769" s="36" t="s">
        <v>3332</v>
      </c>
      <c r="I769" s="33" t="s">
        <v>3331</v>
      </c>
      <c r="J769" s="34">
        <v>35</v>
      </c>
      <c r="K769" s="34">
        <v>206</v>
      </c>
      <c r="L769" s="34">
        <v>2</v>
      </c>
    </row>
    <row r="770" spans="2:12">
      <c r="B770" s="32">
        <v>774</v>
      </c>
      <c r="C770" s="31" t="s">
        <v>5036</v>
      </c>
      <c r="D770" s="36">
        <v>35</v>
      </c>
      <c r="E770" s="36">
        <v>207</v>
      </c>
      <c r="F770" s="36" t="s">
        <v>7857</v>
      </c>
      <c r="G770" s="36" t="s">
        <v>5037</v>
      </c>
      <c r="I770" s="33" t="s">
        <v>5036</v>
      </c>
      <c r="J770" s="34">
        <v>35</v>
      </c>
      <c r="K770" s="34">
        <v>207</v>
      </c>
      <c r="L770" s="34">
        <v>1</v>
      </c>
    </row>
    <row r="771" spans="2:12">
      <c r="B771" s="32">
        <v>775</v>
      </c>
      <c r="C771" s="31" t="s">
        <v>3358</v>
      </c>
      <c r="D771" s="36">
        <v>35</v>
      </c>
      <c r="E771" s="36">
        <v>207</v>
      </c>
      <c r="F771" s="36" t="s">
        <v>7858</v>
      </c>
      <c r="G771" s="36" t="s">
        <v>3359</v>
      </c>
      <c r="I771" s="33" t="s">
        <v>3358</v>
      </c>
      <c r="J771" s="34">
        <v>35</v>
      </c>
      <c r="K771" s="34">
        <v>207</v>
      </c>
      <c r="L771" s="34">
        <v>2</v>
      </c>
    </row>
    <row r="772" spans="2:12">
      <c r="B772" s="32">
        <v>776</v>
      </c>
      <c r="C772" s="31" t="s">
        <v>4094</v>
      </c>
      <c r="D772" s="36">
        <v>35</v>
      </c>
      <c r="E772" s="36">
        <v>208</v>
      </c>
      <c r="F772" s="36" t="s">
        <v>6882</v>
      </c>
      <c r="G772" s="36" t="s">
        <v>4095</v>
      </c>
      <c r="I772" s="33" t="s">
        <v>4094</v>
      </c>
      <c r="J772" s="34">
        <v>35</v>
      </c>
      <c r="K772" s="34">
        <v>208</v>
      </c>
      <c r="L772" s="34">
        <v>1</v>
      </c>
    </row>
    <row r="773" spans="2:12">
      <c r="B773" s="32">
        <v>777</v>
      </c>
      <c r="C773" s="31" t="s">
        <v>4825</v>
      </c>
      <c r="D773" s="36">
        <v>35</v>
      </c>
      <c r="E773" s="36">
        <v>208</v>
      </c>
      <c r="F773" s="36" t="s">
        <v>7859</v>
      </c>
      <c r="G773" s="36" t="s">
        <v>4826</v>
      </c>
      <c r="I773" s="33" t="s">
        <v>4825</v>
      </c>
      <c r="J773" s="34">
        <v>35</v>
      </c>
      <c r="K773" s="34">
        <v>208</v>
      </c>
      <c r="L773" s="34">
        <v>2</v>
      </c>
    </row>
    <row r="774" spans="2:12">
      <c r="B774" s="32">
        <v>778</v>
      </c>
      <c r="C774" s="31" t="s">
        <v>2858</v>
      </c>
      <c r="D774" s="36">
        <v>35</v>
      </c>
      <c r="E774" s="36">
        <v>209</v>
      </c>
      <c r="F774" s="36" t="s">
        <v>6859</v>
      </c>
      <c r="G774" s="36" t="s">
        <v>2859</v>
      </c>
      <c r="I774" s="33" t="s">
        <v>2858</v>
      </c>
      <c r="J774" s="34">
        <v>35</v>
      </c>
      <c r="K774" s="34">
        <v>209</v>
      </c>
      <c r="L774" s="34">
        <v>1</v>
      </c>
    </row>
    <row r="775" spans="2:12">
      <c r="B775" s="32">
        <v>779</v>
      </c>
      <c r="C775" s="31" t="s">
        <v>471</v>
      </c>
      <c r="D775" s="36">
        <v>35</v>
      </c>
      <c r="E775" s="36">
        <v>209</v>
      </c>
      <c r="F775" s="36" t="s">
        <v>7211</v>
      </c>
      <c r="G775" s="36" t="s">
        <v>472</v>
      </c>
      <c r="I775" s="33" t="s">
        <v>471</v>
      </c>
      <c r="J775" s="34">
        <v>35</v>
      </c>
      <c r="K775" s="34">
        <v>209</v>
      </c>
      <c r="L775" s="34">
        <v>2</v>
      </c>
    </row>
    <row r="776" spans="2:12">
      <c r="B776" s="32">
        <v>780</v>
      </c>
      <c r="C776" s="31" t="s">
        <v>1160</v>
      </c>
      <c r="D776" s="36">
        <v>35</v>
      </c>
      <c r="E776" s="36">
        <v>209</v>
      </c>
      <c r="F776" s="36" t="s">
        <v>6850</v>
      </c>
      <c r="G776" s="36" t="s">
        <v>1161</v>
      </c>
      <c r="I776" s="33" t="s">
        <v>1160</v>
      </c>
      <c r="J776" s="34">
        <v>35</v>
      </c>
      <c r="K776" s="34">
        <v>209</v>
      </c>
      <c r="L776" s="34">
        <v>3</v>
      </c>
    </row>
    <row r="777" spans="2:12">
      <c r="B777" s="32">
        <v>781</v>
      </c>
      <c r="C777" s="31" t="s">
        <v>1859</v>
      </c>
      <c r="D777" s="36">
        <v>35</v>
      </c>
      <c r="E777" s="36">
        <v>210</v>
      </c>
      <c r="F777" s="36" t="s">
        <v>7288</v>
      </c>
      <c r="G777" s="36" t="s">
        <v>1860</v>
      </c>
      <c r="I777" s="33" t="s">
        <v>1859</v>
      </c>
      <c r="J777" s="34">
        <v>35</v>
      </c>
      <c r="K777" s="34">
        <v>210</v>
      </c>
      <c r="L777" s="34">
        <v>1</v>
      </c>
    </row>
    <row r="778" spans="2:12">
      <c r="B778" s="32">
        <v>782</v>
      </c>
      <c r="C778" s="31" t="s">
        <v>2893</v>
      </c>
      <c r="D778" s="36">
        <v>35</v>
      </c>
      <c r="E778" s="36">
        <v>210</v>
      </c>
      <c r="F778" s="36" t="s">
        <v>6790</v>
      </c>
      <c r="G778" s="36" t="s">
        <v>2894</v>
      </c>
      <c r="I778" s="33" t="s">
        <v>2893</v>
      </c>
      <c r="J778" s="34">
        <v>35</v>
      </c>
      <c r="K778" s="34">
        <v>210</v>
      </c>
      <c r="L778" s="34">
        <v>2</v>
      </c>
    </row>
    <row r="779" spans="2:12">
      <c r="B779" s="32">
        <v>783</v>
      </c>
      <c r="C779" s="31" t="s">
        <v>789</v>
      </c>
      <c r="D779" s="36">
        <v>35</v>
      </c>
      <c r="E779" s="36">
        <v>210</v>
      </c>
      <c r="F779" s="36" t="s">
        <v>7860</v>
      </c>
      <c r="G779" s="36" t="s">
        <v>790</v>
      </c>
      <c r="I779" s="33" t="s">
        <v>789</v>
      </c>
      <c r="J779" s="34">
        <v>35</v>
      </c>
      <c r="K779" s="34">
        <v>210</v>
      </c>
      <c r="L779" s="34">
        <v>3</v>
      </c>
    </row>
    <row r="780" spans="2:12">
      <c r="B780" s="32">
        <v>784</v>
      </c>
      <c r="C780" s="31" t="s">
        <v>5576</v>
      </c>
      <c r="D780" s="36">
        <v>35</v>
      </c>
      <c r="E780" s="36">
        <v>211</v>
      </c>
      <c r="F780" s="36" t="s">
        <v>6838</v>
      </c>
      <c r="G780" s="36" t="s">
        <v>5577</v>
      </c>
      <c r="I780" s="33" t="s">
        <v>5576</v>
      </c>
      <c r="J780" s="34">
        <v>35</v>
      </c>
      <c r="K780" s="34">
        <v>211</v>
      </c>
      <c r="L780" s="34">
        <v>1</v>
      </c>
    </row>
    <row r="781" spans="2:12">
      <c r="B781" s="32">
        <v>785</v>
      </c>
      <c r="C781" s="31" t="s">
        <v>2342</v>
      </c>
      <c r="D781" s="36">
        <v>35</v>
      </c>
      <c r="E781" s="36">
        <v>211</v>
      </c>
      <c r="F781" s="36" t="s">
        <v>7202</v>
      </c>
      <c r="G781" s="36" t="s">
        <v>2343</v>
      </c>
      <c r="I781" s="33" t="s">
        <v>2342</v>
      </c>
      <c r="J781" s="34">
        <v>35</v>
      </c>
      <c r="K781" s="34">
        <v>211</v>
      </c>
      <c r="L781" s="34">
        <v>2</v>
      </c>
    </row>
    <row r="782" spans="2:12">
      <c r="B782" s="32">
        <v>786</v>
      </c>
      <c r="C782" s="31" t="s">
        <v>250</v>
      </c>
      <c r="D782" s="36">
        <v>35</v>
      </c>
      <c r="E782" s="36">
        <v>211</v>
      </c>
      <c r="F782" s="36" t="s">
        <v>7009</v>
      </c>
      <c r="G782" s="36" t="s">
        <v>251</v>
      </c>
      <c r="I782" s="33" t="s">
        <v>250</v>
      </c>
      <c r="J782" s="34">
        <v>35</v>
      </c>
      <c r="K782" s="34">
        <v>211</v>
      </c>
      <c r="L782" s="34">
        <v>3</v>
      </c>
    </row>
    <row r="783" spans="2:12">
      <c r="B783" s="32">
        <v>787</v>
      </c>
      <c r="C783" s="31" t="s">
        <v>1768</v>
      </c>
      <c r="D783" s="36">
        <v>35</v>
      </c>
      <c r="E783" s="36">
        <v>212</v>
      </c>
      <c r="F783" s="36" t="s">
        <v>7002</v>
      </c>
      <c r="G783" s="36" t="s">
        <v>1769</v>
      </c>
      <c r="I783" s="33" t="s">
        <v>1768</v>
      </c>
      <c r="J783" s="34">
        <v>35</v>
      </c>
      <c r="K783" s="34">
        <v>212</v>
      </c>
      <c r="L783" s="34">
        <v>1</v>
      </c>
    </row>
    <row r="784" spans="2:12">
      <c r="B784" s="32">
        <v>788</v>
      </c>
      <c r="C784" s="31" t="s">
        <v>3969</v>
      </c>
      <c r="D784" s="36">
        <v>35</v>
      </c>
      <c r="E784" s="36">
        <v>212</v>
      </c>
      <c r="F784" s="36" t="s">
        <v>7028</v>
      </c>
      <c r="G784" s="36" t="s">
        <v>3970</v>
      </c>
      <c r="I784" s="33" t="s">
        <v>3969</v>
      </c>
      <c r="J784" s="34">
        <v>35</v>
      </c>
      <c r="K784" s="34">
        <v>212</v>
      </c>
      <c r="L784" s="34">
        <v>2</v>
      </c>
    </row>
    <row r="785" spans="2:12">
      <c r="B785" s="32">
        <v>789</v>
      </c>
      <c r="C785" s="31" t="s">
        <v>7984</v>
      </c>
      <c r="D785" s="36">
        <v>35</v>
      </c>
      <c r="E785" s="36">
        <v>212</v>
      </c>
      <c r="F785" s="36" t="s">
        <v>7861</v>
      </c>
      <c r="G785" s="36" t="s">
        <v>896</v>
      </c>
      <c r="I785" s="33" t="s">
        <v>7984</v>
      </c>
      <c r="J785" s="34">
        <v>35</v>
      </c>
      <c r="K785" s="34">
        <v>212</v>
      </c>
      <c r="L785" s="34">
        <v>3</v>
      </c>
    </row>
    <row r="786" spans="2:12">
      <c r="B786" s="32">
        <v>790</v>
      </c>
      <c r="C786" s="31" t="s">
        <v>497</v>
      </c>
      <c r="D786" s="36">
        <v>35</v>
      </c>
      <c r="E786" s="36">
        <v>213</v>
      </c>
      <c r="F786" s="36" t="s">
        <v>7862</v>
      </c>
      <c r="G786" s="36" t="s">
        <v>498</v>
      </c>
      <c r="I786" s="33" t="s">
        <v>497</v>
      </c>
      <c r="J786" s="34">
        <v>35</v>
      </c>
      <c r="K786" s="34">
        <v>213</v>
      </c>
      <c r="L786" s="34">
        <v>1</v>
      </c>
    </row>
    <row r="787" spans="2:12">
      <c r="B787" s="32">
        <v>791</v>
      </c>
      <c r="C787" s="31" t="s">
        <v>3126</v>
      </c>
      <c r="D787" s="36">
        <v>35</v>
      </c>
      <c r="E787" s="36">
        <v>213</v>
      </c>
      <c r="F787" s="36" t="s">
        <v>7863</v>
      </c>
      <c r="G787" s="36" t="s">
        <v>3127</v>
      </c>
      <c r="I787" s="33" t="s">
        <v>3126</v>
      </c>
      <c r="J787" s="34">
        <v>35</v>
      </c>
      <c r="K787" s="34">
        <v>213</v>
      </c>
      <c r="L787" s="34">
        <v>2</v>
      </c>
    </row>
    <row r="788" spans="2:12">
      <c r="B788" s="32">
        <v>792</v>
      </c>
      <c r="C788" s="31" t="s">
        <v>265</v>
      </c>
      <c r="D788" s="36">
        <v>35</v>
      </c>
      <c r="E788" s="36">
        <v>213</v>
      </c>
      <c r="F788" s="36" t="s">
        <v>7864</v>
      </c>
      <c r="G788" s="36" t="s">
        <v>266</v>
      </c>
      <c r="I788" s="33" t="s">
        <v>265</v>
      </c>
      <c r="J788" s="34">
        <v>35</v>
      </c>
      <c r="K788" s="34">
        <v>213</v>
      </c>
      <c r="L788" s="34">
        <v>3</v>
      </c>
    </row>
    <row r="789" spans="2:12">
      <c r="B789" s="32">
        <v>793</v>
      </c>
      <c r="C789" s="31" t="s">
        <v>5163</v>
      </c>
      <c r="D789" s="36">
        <v>35</v>
      </c>
      <c r="E789" s="36">
        <v>214</v>
      </c>
      <c r="F789" s="36" t="s">
        <v>7865</v>
      </c>
      <c r="G789" s="36" t="s">
        <v>5164</v>
      </c>
      <c r="I789" s="33" t="s">
        <v>5163</v>
      </c>
      <c r="J789" s="34">
        <v>35</v>
      </c>
      <c r="K789" s="34">
        <v>214</v>
      </c>
      <c r="L789" s="34">
        <v>1</v>
      </c>
    </row>
    <row r="790" spans="2:12">
      <c r="B790" s="32">
        <v>794</v>
      </c>
      <c r="C790" s="31" t="s">
        <v>261</v>
      </c>
      <c r="D790" s="36">
        <v>35</v>
      </c>
      <c r="E790" s="36">
        <v>214</v>
      </c>
      <c r="F790" s="36" t="s">
        <v>7866</v>
      </c>
      <c r="G790" s="36" t="s">
        <v>262</v>
      </c>
      <c r="I790" s="33" t="s">
        <v>261</v>
      </c>
      <c r="J790" s="34">
        <v>35</v>
      </c>
      <c r="K790" s="34">
        <v>214</v>
      </c>
      <c r="L790" s="34">
        <v>2</v>
      </c>
    </row>
    <row r="791" spans="2:12">
      <c r="B791" s="32">
        <v>795</v>
      </c>
      <c r="C791" s="31" t="s">
        <v>5471</v>
      </c>
      <c r="D791" s="36">
        <v>35</v>
      </c>
      <c r="E791" s="36">
        <v>214</v>
      </c>
      <c r="F791" s="36" t="s">
        <v>7867</v>
      </c>
      <c r="G791" s="36" t="s">
        <v>5472</v>
      </c>
      <c r="I791" s="33" t="s">
        <v>5471</v>
      </c>
      <c r="J791" s="34">
        <v>35</v>
      </c>
      <c r="K791" s="34">
        <v>214</v>
      </c>
      <c r="L791" s="34">
        <v>3</v>
      </c>
    </row>
    <row r="792" spans="2:12">
      <c r="B792" s="32">
        <v>796</v>
      </c>
      <c r="C792" s="31" t="s">
        <v>2348</v>
      </c>
      <c r="D792" s="36">
        <v>35</v>
      </c>
      <c r="E792" s="36">
        <v>215</v>
      </c>
      <c r="F792" s="36" t="s">
        <v>7868</v>
      </c>
      <c r="G792" s="36" t="s">
        <v>2349</v>
      </c>
      <c r="I792" s="33" t="s">
        <v>2348</v>
      </c>
      <c r="J792" s="34">
        <v>35</v>
      </c>
      <c r="K792" s="34">
        <v>215</v>
      </c>
      <c r="L792" s="34">
        <v>1</v>
      </c>
    </row>
    <row r="793" spans="2:12">
      <c r="B793" s="32">
        <v>797</v>
      </c>
      <c r="C793" s="31" t="s">
        <v>5881</v>
      </c>
      <c r="D793" s="36">
        <v>35</v>
      </c>
      <c r="E793" s="36">
        <v>215</v>
      </c>
      <c r="F793" s="36" t="s">
        <v>7869</v>
      </c>
      <c r="G793" s="36" t="s">
        <v>5882</v>
      </c>
      <c r="I793" s="33" t="s">
        <v>5881</v>
      </c>
      <c r="J793" s="34">
        <v>35</v>
      </c>
      <c r="K793" s="34">
        <v>215</v>
      </c>
      <c r="L793" s="34">
        <v>2</v>
      </c>
    </row>
    <row r="794" spans="2:12">
      <c r="B794" s="32">
        <v>798</v>
      </c>
      <c r="C794" s="31" t="s">
        <v>3368</v>
      </c>
      <c r="D794" s="36">
        <v>35</v>
      </c>
      <c r="E794" s="36">
        <v>215</v>
      </c>
      <c r="F794" s="36" t="s">
        <v>7870</v>
      </c>
      <c r="G794" s="36" t="s">
        <v>3369</v>
      </c>
      <c r="I794" s="33" t="s">
        <v>3368</v>
      </c>
      <c r="J794" s="34">
        <v>35</v>
      </c>
      <c r="K794" s="34">
        <v>215</v>
      </c>
      <c r="L794" s="34">
        <v>3</v>
      </c>
    </row>
    <row r="795" spans="2:12">
      <c r="B795" s="32">
        <v>799</v>
      </c>
      <c r="C795" s="31" t="s">
        <v>943</v>
      </c>
      <c r="D795" s="36">
        <v>35</v>
      </c>
      <c r="E795" s="36">
        <v>216</v>
      </c>
      <c r="F795" s="36" t="s">
        <v>7871</v>
      </c>
      <c r="G795" s="36" t="s">
        <v>944</v>
      </c>
      <c r="I795" s="33" t="s">
        <v>943</v>
      </c>
      <c r="J795" s="34">
        <v>35</v>
      </c>
      <c r="K795" s="34">
        <v>216</v>
      </c>
      <c r="L795" s="34">
        <v>1</v>
      </c>
    </row>
    <row r="796" spans="2:12">
      <c r="B796" s="32">
        <v>800</v>
      </c>
      <c r="C796" s="31" t="s">
        <v>4643</v>
      </c>
      <c r="D796" s="36">
        <v>35</v>
      </c>
      <c r="E796" s="36">
        <v>216</v>
      </c>
      <c r="F796" s="36" t="s">
        <v>7872</v>
      </c>
      <c r="G796" s="36" t="s">
        <v>4644</v>
      </c>
      <c r="I796" s="33" t="s">
        <v>4643</v>
      </c>
      <c r="J796" s="34">
        <v>35</v>
      </c>
      <c r="K796" s="34">
        <v>216</v>
      </c>
      <c r="L796" s="34">
        <v>2</v>
      </c>
    </row>
    <row r="797" spans="2:12">
      <c r="B797" s="32">
        <v>801</v>
      </c>
      <c r="C797" s="31" t="s">
        <v>2506</v>
      </c>
      <c r="D797" s="36">
        <v>35</v>
      </c>
      <c r="E797" s="36">
        <v>217</v>
      </c>
      <c r="F797" s="36" t="s">
        <v>7873</v>
      </c>
      <c r="G797" s="36" t="s">
        <v>2507</v>
      </c>
      <c r="I797" s="33" t="s">
        <v>2506</v>
      </c>
      <c r="J797" s="34">
        <v>35</v>
      </c>
      <c r="K797" s="34">
        <v>217</v>
      </c>
      <c r="L797" s="34">
        <v>1</v>
      </c>
    </row>
    <row r="798" spans="2:12">
      <c r="B798" s="32">
        <v>802</v>
      </c>
      <c r="C798" s="31" t="s">
        <v>1394</v>
      </c>
      <c r="D798" s="36">
        <v>35</v>
      </c>
      <c r="E798" s="36">
        <v>217</v>
      </c>
      <c r="F798" s="36" t="s">
        <v>7874</v>
      </c>
      <c r="G798" s="36" t="s">
        <v>1395</v>
      </c>
      <c r="I798" s="33" t="s">
        <v>1394</v>
      </c>
      <c r="J798" s="34">
        <v>35</v>
      </c>
      <c r="K798" s="34">
        <v>217</v>
      </c>
      <c r="L798" s="34">
        <v>2</v>
      </c>
    </row>
    <row r="799" spans="2:12">
      <c r="B799" s="32">
        <v>803</v>
      </c>
      <c r="C799" s="31" t="s">
        <v>627</v>
      </c>
      <c r="D799" s="36">
        <v>35</v>
      </c>
      <c r="E799" s="36">
        <v>218</v>
      </c>
      <c r="F799" s="36" t="s">
        <v>7875</v>
      </c>
      <c r="G799" s="36" t="s">
        <v>628</v>
      </c>
      <c r="I799" s="33" t="s">
        <v>627</v>
      </c>
      <c r="J799" s="34">
        <v>35</v>
      </c>
      <c r="K799" s="34">
        <v>218</v>
      </c>
      <c r="L799" s="34">
        <v>1</v>
      </c>
    </row>
    <row r="800" spans="2:12">
      <c r="B800" s="32">
        <v>804</v>
      </c>
      <c r="C800" s="31" t="s">
        <v>5909</v>
      </c>
      <c r="D800" s="36">
        <v>35</v>
      </c>
      <c r="E800" s="36">
        <v>218</v>
      </c>
      <c r="F800" s="36" t="s">
        <v>6963</v>
      </c>
      <c r="G800" s="36" t="s">
        <v>5910</v>
      </c>
      <c r="I800" s="33" t="s">
        <v>5909</v>
      </c>
      <c r="J800" s="34">
        <v>35</v>
      </c>
      <c r="K800" s="34">
        <v>218</v>
      </c>
      <c r="L800" s="34">
        <v>2</v>
      </c>
    </row>
    <row r="801" spans="2:12">
      <c r="B801" s="32">
        <v>805</v>
      </c>
      <c r="C801" s="31" t="s">
        <v>7985</v>
      </c>
      <c r="D801" s="36">
        <v>35</v>
      </c>
      <c r="E801" s="36">
        <v>219</v>
      </c>
      <c r="F801" s="36" t="s">
        <v>7986</v>
      </c>
      <c r="G801" s="36" t="s">
        <v>3024</v>
      </c>
      <c r="I801" s="33" t="s">
        <v>7985</v>
      </c>
      <c r="J801" s="34">
        <v>35</v>
      </c>
      <c r="K801" s="34">
        <v>219</v>
      </c>
      <c r="L801" s="34">
        <v>1</v>
      </c>
    </row>
    <row r="802" spans="2:12">
      <c r="B802" s="32">
        <v>806</v>
      </c>
      <c r="C802" s="31" t="s">
        <v>2793</v>
      </c>
      <c r="D802" s="36">
        <v>35</v>
      </c>
      <c r="E802" s="36">
        <v>219</v>
      </c>
      <c r="F802" s="36" t="s">
        <v>7987</v>
      </c>
      <c r="G802" s="36" t="s">
        <v>2794</v>
      </c>
      <c r="I802" s="33" t="s">
        <v>2793</v>
      </c>
      <c r="J802" s="34">
        <v>35</v>
      </c>
      <c r="K802" s="34">
        <v>219</v>
      </c>
      <c r="L802" s="34">
        <v>2</v>
      </c>
    </row>
    <row r="803" spans="2:12">
      <c r="B803" s="32">
        <v>807</v>
      </c>
      <c r="C803" s="31" t="s">
        <v>1588</v>
      </c>
      <c r="D803" s="36">
        <v>35</v>
      </c>
      <c r="E803" s="36">
        <v>220</v>
      </c>
      <c r="F803" s="36" t="s">
        <v>7385</v>
      </c>
      <c r="G803" s="36" t="s">
        <v>1589</v>
      </c>
      <c r="I803" s="33" t="s">
        <v>1588</v>
      </c>
      <c r="J803" s="34">
        <v>35</v>
      </c>
      <c r="K803" s="34">
        <v>220</v>
      </c>
      <c r="L803" s="34">
        <v>1</v>
      </c>
    </row>
    <row r="804" spans="2:12">
      <c r="B804" s="32">
        <v>808</v>
      </c>
      <c r="C804" s="31" t="s">
        <v>5016</v>
      </c>
      <c r="D804" s="36">
        <v>35</v>
      </c>
      <c r="E804" s="36">
        <v>220</v>
      </c>
      <c r="F804" s="36" t="s">
        <v>7876</v>
      </c>
      <c r="G804" s="36" t="s">
        <v>5017</v>
      </c>
      <c r="I804" s="33" t="s">
        <v>5016</v>
      </c>
      <c r="J804" s="34">
        <v>35</v>
      </c>
      <c r="K804" s="34">
        <v>220</v>
      </c>
      <c r="L804" s="34">
        <v>2</v>
      </c>
    </row>
    <row r="805" spans="2:12">
      <c r="B805" s="32">
        <v>809</v>
      </c>
      <c r="C805" s="31" t="s">
        <v>3528</v>
      </c>
      <c r="D805" s="32">
        <v>36</v>
      </c>
      <c r="E805" s="32">
        <v>101</v>
      </c>
      <c r="F805" s="36" t="s">
        <v>7878</v>
      </c>
      <c r="G805" s="36" t="s">
        <v>3529</v>
      </c>
      <c r="I805" s="33" t="s">
        <v>3528</v>
      </c>
      <c r="J805" s="34">
        <v>36</v>
      </c>
      <c r="K805" s="34">
        <v>101</v>
      </c>
      <c r="L805" s="34">
        <v>1</v>
      </c>
    </row>
    <row r="806" spans="2:12">
      <c r="B806" s="32">
        <v>810</v>
      </c>
      <c r="C806" s="31" t="s">
        <v>1456</v>
      </c>
      <c r="D806" s="36">
        <v>36</v>
      </c>
      <c r="E806" s="36">
        <v>102</v>
      </c>
      <c r="F806" s="36" t="s">
        <v>7879</v>
      </c>
      <c r="G806" s="36" t="s">
        <v>1457</v>
      </c>
      <c r="I806" s="33" t="s">
        <v>1456</v>
      </c>
      <c r="J806" s="34">
        <v>36</v>
      </c>
      <c r="K806" s="34">
        <v>102</v>
      </c>
      <c r="L806" s="34">
        <v>2</v>
      </c>
    </row>
    <row r="807" spans="2:12">
      <c r="B807" s="32">
        <v>812</v>
      </c>
      <c r="C807" s="31" t="s">
        <v>7988</v>
      </c>
      <c r="D807" s="36">
        <v>36</v>
      </c>
      <c r="E807" s="36">
        <v>103</v>
      </c>
      <c r="F807" s="36" t="s">
        <v>7420</v>
      </c>
      <c r="G807" s="36" t="s">
        <v>2864</v>
      </c>
      <c r="I807" s="33" t="s">
        <v>7988</v>
      </c>
      <c r="J807" s="34">
        <v>36</v>
      </c>
      <c r="K807" s="34">
        <v>103</v>
      </c>
      <c r="L807" s="34">
        <v>1</v>
      </c>
    </row>
    <row r="808" spans="2:12">
      <c r="B808" s="32">
        <v>813</v>
      </c>
      <c r="C808" s="31" t="s">
        <v>1784</v>
      </c>
      <c r="D808" s="36">
        <v>36</v>
      </c>
      <c r="E808" s="36">
        <v>103</v>
      </c>
      <c r="F808" s="36" t="s">
        <v>7989</v>
      </c>
      <c r="G808" s="36" t="s">
        <v>1785</v>
      </c>
      <c r="I808" s="33" t="s">
        <v>1784</v>
      </c>
      <c r="J808" s="34">
        <v>36</v>
      </c>
      <c r="K808" s="34">
        <v>103</v>
      </c>
      <c r="L808" s="34">
        <v>2</v>
      </c>
    </row>
    <row r="809" spans="2:12">
      <c r="B809" s="32">
        <v>814</v>
      </c>
      <c r="C809" s="31" t="s">
        <v>3941</v>
      </c>
      <c r="D809" s="36">
        <v>36</v>
      </c>
      <c r="E809" s="36">
        <v>104</v>
      </c>
      <c r="F809" s="36" t="s">
        <v>7391</v>
      </c>
      <c r="G809" s="36" t="s">
        <v>3942</v>
      </c>
      <c r="I809" s="33" t="s">
        <v>3941</v>
      </c>
      <c r="J809" s="34">
        <v>36</v>
      </c>
      <c r="K809" s="34">
        <v>104</v>
      </c>
      <c r="L809" s="34">
        <v>1</v>
      </c>
    </row>
    <row r="810" spans="2:12">
      <c r="B810" s="32">
        <v>587</v>
      </c>
      <c r="C810" s="31" t="s">
        <v>7958</v>
      </c>
      <c r="D810" s="36">
        <v>33</v>
      </c>
      <c r="E810" s="36">
        <v>212</v>
      </c>
      <c r="F810" s="36" t="s">
        <v>7938</v>
      </c>
      <c r="G810" s="36" t="s">
        <v>7938</v>
      </c>
      <c r="I810" s="33" t="s">
        <v>7990</v>
      </c>
      <c r="J810" s="34">
        <v>36</v>
      </c>
      <c r="K810" s="34">
        <v>104</v>
      </c>
      <c r="L810" s="34">
        <v>2</v>
      </c>
    </row>
    <row r="811" spans="2:12">
      <c r="B811" s="32">
        <v>816</v>
      </c>
      <c r="C811" s="31" t="s">
        <v>1404</v>
      </c>
      <c r="D811" s="36">
        <v>36</v>
      </c>
      <c r="E811" s="36">
        <v>105</v>
      </c>
      <c r="F811" s="36" t="s">
        <v>7880</v>
      </c>
      <c r="G811" s="36" t="s">
        <v>1405</v>
      </c>
      <c r="I811" s="33" t="s">
        <v>1404</v>
      </c>
      <c r="J811" s="34">
        <v>36</v>
      </c>
      <c r="K811" s="34">
        <v>105</v>
      </c>
      <c r="L811" s="34">
        <v>1</v>
      </c>
    </row>
    <row r="812" spans="2:12">
      <c r="B812" s="32">
        <v>817</v>
      </c>
      <c r="C812" s="31" t="s">
        <v>4908</v>
      </c>
      <c r="D812" s="36">
        <v>36</v>
      </c>
      <c r="E812" s="36">
        <v>105</v>
      </c>
      <c r="F812" s="36" t="s">
        <v>7012</v>
      </c>
      <c r="G812" s="36" t="s">
        <v>4909</v>
      </c>
      <c r="I812" s="33" t="s">
        <v>4908</v>
      </c>
      <c r="J812" s="34">
        <v>36</v>
      </c>
      <c r="K812" s="34">
        <v>105</v>
      </c>
      <c r="L812" s="34">
        <v>2</v>
      </c>
    </row>
    <row r="813" spans="2:12">
      <c r="B813" s="32">
        <v>818</v>
      </c>
      <c r="C813" s="31" t="s">
        <v>5353</v>
      </c>
      <c r="D813" s="36">
        <v>36</v>
      </c>
      <c r="E813" s="36">
        <v>106</v>
      </c>
      <c r="F813" s="36" t="s">
        <v>7393</v>
      </c>
      <c r="G813" s="36" t="s">
        <v>5354</v>
      </c>
      <c r="I813" s="33" t="s">
        <v>5353</v>
      </c>
      <c r="J813" s="34">
        <v>36</v>
      </c>
      <c r="K813" s="34">
        <v>106</v>
      </c>
      <c r="L813" s="34">
        <v>1</v>
      </c>
    </row>
    <row r="814" spans="2:12">
      <c r="B814" s="32">
        <v>819</v>
      </c>
      <c r="C814" s="31" t="s">
        <v>1389</v>
      </c>
      <c r="D814" s="36">
        <v>36</v>
      </c>
      <c r="E814" s="36">
        <v>106</v>
      </c>
      <c r="F814" s="36" t="s">
        <v>7360</v>
      </c>
      <c r="G814" s="36" t="s">
        <v>1390</v>
      </c>
      <c r="I814" s="33" t="s">
        <v>1389</v>
      </c>
      <c r="J814" s="34">
        <v>36</v>
      </c>
      <c r="K814" s="34">
        <v>106</v>
      </c>
      <c r="L814" s="34">
        <v>3</v>
      </c>
    </row>
    <row r="815" spans="2:12">
      <c r="B815" s="32">
        <v>820</v>
      </c>
      <c r="C815" s="31" t="s">
        <v>4433</v>
      </c>
      <c r="D815" s="36">
        <v>36</v>
      </c>
      <c r="E815" s="36">
        <v>107</v>
      </c>
      <c r="F815" s="36" t="s">
        <v>7881</v>
      </c>
      <c r="G815" s="36" t="s">
        <v>4434</v>
      </c>
      <c r="I815" s="33" t="s">
        <v>4433</v>
      </c>
      <c r="J815" s="34">
        <v>36</v>
      </c>
      <c r="K815" s="34">
        <v>107</v>
      </c>
      <c r="L815" s="34">
        <v>1</v>
      </c>
    </row>
    <row r="816" spans="2:12">
      <c r="B816" s="32">
        <v>821</v>
      </c>
      <c r="C816" s="31" t="s">
        <v>1030</v>
      </c>
      <c r="D816" s="36">
        <v>36</v>
      </c>
      <c r="E816" s="36">
        <v>107</v>
      </c>
      <c r="F816" s="36" t="s">
        <v>7882</v>
      </c>
      <c r="G816" s="36" t="s">
        <v>1031</v>
      </c>
      <c r="I816" s="33" t="s">
        <v>1030</v>
      </c>
      <c r="J816" s="34">
        <v>36</v>
      </c>
      <c r="K816" s="34">
        <v>107</v>
      </c>
      <c r="L816" s="34">
        <v>2</v>
      </c>
    </row>
    <row r="817" spans="2:12">
      <c r="B817" s="32">
        <v>822</v>
      </c>
      <c r="C817" s="31" t="s">
        <v>507</v>
      </c>
      <c r="D817" s="36">
        <v>36</v>
      </c>
      <c r="E817" s="36">
        <v>107</v>
      </c>
      <c r="F817" s="36" t="s">
        <v>7883</v>
      </c>
      <c r="G817" s="36" t="s">
        <v>508</v>
      </c>
      <c r="I817" s="33" t="s">
        <v>507</v>
      </c>
      <c r="J817" s="34">
        <v>36</v>
      </c>
      <c r="K817" s="34">
        <v>107</v>
      </c>
      <c r="L817" s="34">
        <v>3</v>
      </c>
    </row>
    <row r="818" spans="2:12">
      <c r="B818" s="32">
        <v>823</v>
      </c>
      <c r="C818" s="31" t="s">
        <v>3649</v>
      </c>
      <c r="D818" s="36">
        <v>36</v>
      </c>
      <c r="E818" s="36">
        <v>108</v>
      </c>
      <c r="F818" s="36" t="s">
        <v>7884</v>
      </c>
      <c r="G818" s="36" t="s">
        <v>3650</v>
      </c>
      <c r="I818" s="33" t="s">
        <v>3649</v>
      </c>
      <c r="J818" s="34">
        <v>36</v>
      </c>
      <c r="K818" s="34">
        <v>108</v>
      </c>
      <c r="L818" s="34">
        <v>1</v>
      </c>
    </row>
    <row r="819" spans="2:12">
      <c r="B819" s="32">
        <v>824</v>
      </c>
      <c r="C819" s="31" t="s">
        <v>1930</v>
      </c>
      <c r="D819" s="36">
        <v>36</v>
      </c>
      <c r="E819" s="36">
        <v>108</v>
      </c>
      <c r="F819" s="36" t="s">
        <v>7885</v>
      </c>
      <c r="G819" s="36" t="s">
        <v>1931</v>
      </c>
      <c r="I819" s="33" t="s">
        <v>1930</v>
      </c>
      <c r="J819" s="34">
        <v>36</v>
      </c>
      <c r="K819" s="34">
        <v>108</v>
      </c>
      <c r="L819" s="34">
        <v>2</v>
      </c>
    </row>
    <row r="820" spans="2:12">
      <c r="B820" s="32">
        <v>825</v>
      </c>
      <c r="C820" s="31" t="s">
        <v>4762</v>
      </c>
      <c r="D820" s="36">
        <v>36</v>
      </c>
      <c r="E820" s="36">
        <v>109</v>
      </c>
      <c r="F820" s="36" t="s">
        <v>7886</v>
      </c>
      <c r="G820" s="36" t="s">
        <v>4763</v>
      </c>
      <c r="I820" s="33" t="s">
        <v>4762</v>
      </c>
      <c r="J820" s="34">
        <v>36</v>
      </c>
      <c r="K820" s="34">
        <v>109</v>
      </c>
      <c r="L820" s="34">
        <v>1</v>
      </c>
    </row>
    <row r="821" spans="2:12">
      <c r="B821" s="32">
        <v>826</v>
      </c>
      <c r="C821" s="31" t="s">
        <v>4957</v>
      </c>
      <c r="D821" s="36">
        <v>36</v>
      </c>
      <c r="E821" s="36">
        <v>109</v>
      </c>
      <c r="F821" s="36" t="s">
        <v>7887</v>
      </c>
      <c r="G821" s="36" t="s">
        <v>5334</v>
      </c>
      <c r="I821" s="33" t="s">
        <v>4957</v>
      </c>
      <c r="J821" s="34">
        <v>36</v>
      </c>
      <c r="K821" s="34">
        <v>109</v>
      </c>
      <c r="L821" s="34">
        <v>2</v>
      </c>
    </row>
    <row r="822" spans="2:12">
      <c r="B822" s="32">
        <v>827</v>
      </c>
      <c r="C822" s="31" t="s">
        <v>7991</v>
      </c>
      <c r="D822" s="36">
        <v>36</v>
      </c>
      <c r="E822" s="36">
        <v>110</v>
      </c>
      <c r="F822" s="36" t="s">
        <v>7992</v>
      </c>
      <c r="G822" s="36" t="s">
        <v>821</v>
      </c>
      <c r="I822" s="33" t="s">
        <v>7991</v>
      </c>
      <c r="J822" s="34">
        <v>36</v>
      </c>
      <c r="K822" s="34">
        <v>110</v>
      </c>
      <c r="L822" s="34">
        <v>2</v>
      </c>
    </row>
    <row r="823" spans="2:12">
      <c r="B823" s="32">
        <v>828</v>
      </c>
      <c r="C823" s="31" t="s">
        <v>7993</v>
      </c>
      <c r="D823" s="36">
        <v>36</v>
      </c>
      <c r="E823" s="36">
        <v>110</v>
      </c>
      <c r="F823" s="36" t="s">
        <v>7341</v>
      </c>
      <c r="G823" s="36" t="s">
        <v>3378</v>
      </c>
      <c r="I823" s="33" t="s">
        <v>7993</v>
      </c>
      <c r="J823" s="34">
        <v>36</v>
      </c>
      <c r="K823" s="34">
        <v>110</v>
      </c>
      <c r="L823" s="34">
        <v>3</v>
      </c>
    </row>
    <row r="824" spans="2:12">
      <c r="B824" s="32">
        <v>830</v>
      </c>
      <c r="C824" s="31" t="s">
        <v>7994</v>
      </c>
      <c r="D824" s="36">
        <v>36</v>
      </c>
      <c r="E824" s="36">
        <v>111</v>
      </c>
      <c r="F824" s="36" t="s">
        <v>7995</v>
      </c>
      <c r="G824" s="36" t="s">
        <v>175</v>
      </c>
      <c r="I824" s="33" t="s">
        <v>7994</v>
      </c>
      <c r="J824" s="34">
        <v>36</v>
      </c>
      <c r="K824" s="34">
        <v>111</v>
      </c>
      <c r="L824" s="34">
        <v>1</v>
      </c>
    </row>
    <row r="825" spans="2:12">
      <c r="B825" s="32">
        <v>829</v>
      </c>
      <c r="C825" s="31" t="s">
        <v>4483</v>
      </c>
      <c r="D825" s="36">
        <v>36</v>
      </c>
      <c r="E825" s="36">
        <v>111</v>
      </c>
      <c r="F825" s="36" t="s">
        <v>7996</v>
      </c>
      <c r="G825" s="36" t="s">
        <v>4484</v>
      </c>
      <c r="I825" s="33" t="s">
        <v>4483</v>
      </c>
      <c r="J825" s="34">
        <v>36</v>
      </c>
      <c r="K825" s="34">
        <v>111</v>
      </c>
      <c r="L825" s="34">
        <v>2</v>
      </c>
    </row>
    <row r="826" spans="2:12">
      <c r="B826" s="32">
        <v>594</v>
      </c>
      <c r="C826" s="31" t="s">
        <v>7958</v>
      </c>
      <c r="D826" s="36">
        <v>33</v>
      </c>
      <c r="E826" s="36">
        <v>215</v>
      </c>
      <c r="F826" s="36" t="s">
        <v>7938</v>
      </c>
      <c r="G826" s="36" t="s">
        <v>7938</v>
      </c>
      <c r="I826" s="33" t="s">
        <v>7997</v>
      </c>
      <c r="J826" s="34">
        <v>36</v>
      </c>
      <c r="K826" s="34">
        <v>111</v>
      </c>
      <c r="L826" s="34">
        <v>3</v>
      </c>
    </row>
    <row r="827" spans="2:12">
      <c r="B827" s="32">
        <v>831</v>
      </c>
      <c r="C827" s="31" t="s">
        <v>7998</v>
      </c>
      <c r="D827" s="36">
        <v>36</v>
      </c>
      <c r="E827" s="36">
        <v>112</v>
      </c>
      <c r="F827" s="36" t="s">
        <v>7267</v>
      </c>
      <c r="G827" s="36" t="s">
        <v>1261</v>
      </c>
      <c r="I827" s="33" t="s">
        <v>7998</v>
      </c>
      <c r="J827" s="34">
        <v>36</v>
      </c>
      <c r="K827" s="34">
        <v>112</v>
      </c>
      <c r="L827" s="34">
        <v>1</v>
      </c>
    </row>
    <row r="828" spans="2:12">
      <c r="B828" s="32">
        <v>832</v>
      </c>
      <c r="C828" s="31" t="s">
        <v>7999</v>
      </c>
      <c r="D828" s="36">
        <v>36</v>
      </c>
      <c r="E828" s="36">
        <v>112</v>
      </c>
      <c r="F828" s="36" t="s">
        <v>7007</v>
      </c>
      <c r="G828" s="36" t="s">
        <v>2497</v>
      </c>
      <c r="I828" s="33" t="s">
        <v>7999</v>
      </c>
      <c r="J828" s="34">
        <v>36</v>
      </c>
      <c r="K828" s="34">
        <v>112</v>
      </c>
      <c r="L828" s="34">
        <v>2</v>
      </c>
    </row>
    <row r="829" spans="2:12">
      <c r="B829" s="32">
        <v>833</v>
      </c>
      <c r="C829" s="31" t="s">
        <v>3159</v>
      </c>
      <c r="D829" s="36">
        <v>36</v>
      </c>
      <c r="E829" s="36">
        <v>113</v>
      </c>
      <c r="F829" s="36" t="s">
        <v>7891</v>
      </c>
      <c r="G829" s="36" t="s">
        <v>3160</v>
      </c>
      <c r="I829" s="33" t="s">
        <v>3159</v>
      </c>
      <c r="J829" s="34">
        <v>36</v>
      </c>
      <c r="K829" s="34">
        <v>113</v>
      </c>
      <c r="L829" s="34">
        <v>1</v>
      </c>
    </row>
    <row r="830" spans="2:12">
      <c r="B830" s="32">
        <v>834</v>
      </c>
      <c r="C830" s="31" t="s">
        <v>5972</v>
      </c>
      <c r="D830" s="36">
        <v>36</v>
      </c>
      <c r="E830" s="36">
        <v>113</v>
      </c>
      <c r="F830" s="36" t="s">
        <v>7037</v>
      </c>
      <c r="G830" s="36" t="s">
        <v>5973</v>
      </c>
      <c r="I830" s="33" t="s">
        <v>5972</v>
      </c>
      <c r="J830" s="34">
        <v>36</v>
      </c>
      <c r="K830" s="34">
        <v>113</v>
      </c>
      <c r="L830" s="34">
        <v>2</v>
      </c>
    </row>
    <row r="831" spans="2:12">
      <c r="B831" s="32">
        <v>835</v>
      </c>
      <c r="C831" s="31" t="s">
        <v>5021</v>
      </c>
      <c r="D831" s="36">
        <v>36</v>
      </c>
      <c r="E831" s="36">
        <v>114</v>
      </c>
      <c r="F831" s="36" t="s">
        <v>7000</v>
      </c>
      <c r="G831" s="36" t="s">
        <v>5022</v>
      </c>
      <c r="I831" s="33" t="s">
        <v>5021</v>
      </c>
      <c r="J831" s="34">
        <v>36</v>
      </c>
      <c r="K831" s="34">
        <v>114</v>
      </c>
      <c r="L831" s="34">
        <v>1</v>
      </c>
    </row>
    <row r="832" spans="2:12">
      <c r="B832" s="32">
        <v>836</v>
      </c>
      <c r="C832" s="31" t="s">
        <v>6036</v>
      </c>
      <c r="D832" s="36">
        <v>36</v>
      </c>
      <c r="E832" s="36">
        <v>114</v>
      </c>
      <c r="F832" s="36" t="s">
        <v>7892</v>
      </c>
      <c r="G832" s="36" t="s">
        <v>6037</v>
      </c>
      <c r="I832" s="33" t="s">
        <v>6036</v>
      </c>
      <c r="J832" s="34">
        <v>36</v>
      </c>
      <c r="K832" s="34">
        <v>114</v>
      </c>
      <c r="L832" s="34">
        <v>2</v>
      </c>
    </row>
    <row r="833" spans="2:12">
      <c r="B833" s="32">
        <v>837</v>
      </c>
      <c r="C833" s="31" t="s">
        <v>3701</v>
      </c>
      <c r="D833" s="36">
        <v>36</v>
      </c>
      <c r="E833" s="36">
        <v>114</v>
      </c>
      <c r="F833" s="36" t="s">
        <v>7893</v>
      </c>
      <c r="G833" s="36" t="s">
        <v>3702</v>
      </c>
      <c r="I833" s="33" t="s">
        <v>3701</v>
      </c>
      <c r="J833" s="34">
        <v>36</v>
      </c>
      <c r="K833" s="34">
        <v>114</v>
      </c>
      <c r="L833" s="34">
        <v>3</v>
      </c>
    </row>
    <row r="834" spans="2:12">
      <c r="B834" s="32">
        <v>838</v>
      </c>
      <c r="C834" s="31" t="s">
        <v>995</v>
      </c>
      <c r="D834" s="36">
        <v>36</v>
      </c>
      <c r="E834" s="36">
        <v>115</v>
      </c>
      <c r="F834" s="36" t="s">
        <v>7026</v>
      </c>
      <c r="G834" s="36" t="s">
        <v>996</v>
      </c>
      <c r="I834" s="33" t="s">
        <v>995</v>
      </c>
      <c r="J834" s="34">
        <v>36</v>
      </c>
      <c r="K834" s="34">
        <v>115</v>
      </c>
      <c r="L834" s="34">
        <v>1</v>
      </c>
    </row>
    <row r="835" spans="2:12">
      <c r="B835" s="32">
        <v>839</v>
      </c>
      <c r="C835" s="31" t="s">
        <v>588</v>
      </c>
      <c r="D835" s="36">
        <v>36</v>
      </c>
      <c r="E835" s="36">
        <v>115</v>
      </c>
      <c r="F835" s="36" t="s">
        <v>7353</v>
      </c>
      <c r="G835" s="36" t="s">
        <v>589</v>
      </c>
      <c r="I835" s="33" t="s">
        <v>588</v>
      </c>
      <c r="J835" s="34">
        <v>36</v>
      </c>
      <c r="K835" s="34">
        <v>115</v>
      </c>
      <c r="L835" s="34">
        <v>2</v>
      </c>
    </row>
    <row r="836" spans="2:12">
      <c r="B836" s="32">
        <v>841</v>
      </c>
      <c r="C836" s="31" t="s">
        <v>2844</v>
      </c>
      <c r="D836" s="36">
        <v>36</v>
      </c>
      <c r="E836" s="36">
        <v>116</v>
      </c>
      <c r="F836" s="36" t="s">
        <v>7896</v>
      </c>
      <c r="G836" s="36" t="s">
        <v>2845</v>
      </c>
      <c r="I836" s="33" t="s">
        <v>2844</v>
      </c>
      <c r="J836" s="34">
        <v>36</v>
      </c>
      <c r="K836" s="34">
        <v>116</v>
      </c>
      <c r="L836" s="34">
        <v>1</v>
      </c>
    </row>
    <row r="837" spans="2:12">
      <c r="B837" s="32">
        <v>840</v>
      </c>
      <c r="C837" s="31" t="s">
        <v>3461</v>
      </c>
      <c r="D837" s="36">
        <v>36</v>
      </c>
      <c r="E837" s="36">
        <v>116</v>
      </c>
      <c r="F837" s="36" t="s">
        <v>7895</v>
      </c>
      <c r="G837" s="36" t="s">
        <v>3462</v>
      </c>
      <c r="I837" s="33" t="s">
        <v>3461</v>
      </c>
      <c r="J837" s="34">
        <v>36</v>
      </c>
      <c r="K837" s="34">
        <v>116</v>
      </c>
      <c r="L837" s="34">
        <v>2</v>
      </c>
    </row>
    <row r="838" spans="2:12">
      <c r="B838" s="32">
        <v>842</v>
      </c>
      <c r="C838" s="31" t="s">
        <v>8000</v>
      </c>
      <c r="D838" s="36">
        <v>36</v>
      </c>
      <c r="E838" s="36">
        <v>116</v>
      </c>
      <c r="F838" s="36" t="s">
        <v>7897</v>
      </c>
      <c r="G838" s="36" t="s">
        <v>2675</v>
      </c>
      <c r="I838" s="33" t="s">
        <v>8000</v>
      </c>
      <c r="J838" s="34">
        <v>36</v>
      </c>
      <c r="K838" s="34">
        <v>116</v>
      </c>
      <c r="L838" s="34">
        <v>3</v>
      </c>
    </row>
    <row r="839" spans="2:12">
      <c r="B839" s="32">
        <v>844</v>
      </c>
      <c r="C839" s="31" t="s">
        <v>4783</v>
      </c>
      <c r="D839" s="36">
        <v>36</v>
      </c>
      <c r="E839" s="36">
        <v>117</v>
      </c>
      <c r="F839" s="36" t="s">
        <v>7899</v>
      </c>
      <c r="G839" s="36" t="s">
        <v>4784</v>
      </c>
      <c r="I839" s="33" t="s">
        <v>4783</v>
      </c>
      <c r="J839" s="34">
        <v>36</v>
      </c>
      <c r="K839" s="34">
        <v>117</v>
      </c>
      <c r="L839" s="34">
        <v>1</v>
      </c>
    </row>
    <row r="840" spans="2:12">
      <c r="B840" s="32">
        <v>843</v>
      </c>
      <c r="C840" s="31" t="s">
        <v>4132</v>
      </c>
      <c r="D840" s="36">
        <v>36</v>
      </c>
      <c r="E840" s="36">
        <v>117</v>
      </c>
      <c r="F840" s="36" t="s">
        <v>7898</v>
      </c>
      <c r="G840" s="36" t="s">
        <v>4133</v>
      </c>
      <c r="I840" s="33" t="s">
        <v>4132</v>
      </c>
      <c r="J840" s="34">
        <v>36</v>
      </c>
      <c r="K840" s="34">
        <v>117</v>
      </c>
      <c r="L840" s="34">
        <v>2</v>
      </c>
    </row>
    <row r="841" spans="2:12">
      <c r="B841" s="32">
        <v>845</v>
      </c>
      <c r="C841" s="31" t="s">
        <v>8001</v>
      </c>
      <c r="D841" s="36">
        <v>36</v>
      </c>
      <c r="E841" s="36">
        <v>118</v>
      </c>
      <c r="F841" s="36" t="s">
        <v>8002</v>
      </c>
      <c r="G841" s="36" t="s">
        <v>2012</v>
      </c>
      <c r="I841" s="33" t="s">
        <v>8001</v>
      </c>
      <c r="J841" s="34">
        <v>36</v>
      </c>
      <c r="K841" s="34">
        <v>118</v>
      </c>
      <c r="L841" s="34">
        <v>1</v>
      </c>
    </row>
    <row r="842" spans="2:12">
      <c r="B842" s="32">
        <v>846</v>
      </c>
      <c r="C842" s="31" t="s">
        <v>5956</v>
      </c>
      <c r="D842" s="36">
        <v>36</v>
      </c>
      <c r="E842" s="36">
        <v>118</v>
      </c>
      <c r="F842" s="36" t="s">
        <v>7900</v>
      </c>
      <c r="G842" s="36" t="s">
        <v>5957</v>
      </c>
      <c r="I842" s="33" t="s">
        <v>5956</v>
      </c>
      <c r="J842" s="34">
        <v>36</v>
      </c>
      <c r="K842" s="34">
        <v>118</v>
      </c>
      <c r="L842" s="34">
        <v>2</v>
      </c>
    </row>
    <row r="843" spans="2:12">
      <c r="B843" s="32">
        <v>847</v>
      </c>
      <c r="C843" s="31" t="s">
        <v>5765</v>
      </c>
      <c r="D843" s="36">
        <v>36</v>
      </c>
      <c r="E843" s="36">
        <v>118</v>
      </c>
      <c r="F843" s="36" t="s">
        <v>7901</v>
      </c>
      <c r="G843" s="36" t="s">
        <v>5766</v>
      </c>
      <c r="I843" s="33" t="s">
        <v>5765</v>
      </c>
      <c r="J843" s="34">
        <v>36</v>
      </c>
      <c r="K843" s="34">
        <v>118</v>
      </c>
      <c r="L843" s="34">
        <v>3</v>
      </c>
    </row>
    <row r="844" spans="2:12">
      <c r="B844" s="32">
        <v>849</v>
      </c>
      <c r="C844" s="31" t="s">
        <v>4325</v>
      </c>
      <c r="D844" s="36">
        <v>36</v>
      </c>
      <c r="E844" s="36">
        <v>119</v>
      </c>
      <c r="F844" s="36" t="s">
        <v>7903</v>
      </c>
      <c r="G844" s="36" t="s">
        <v>4326</v>
      </c>
      <c r="I844" s="33" t="s">
        <v>4325</v>
      </c>
      <c r="J844" s="34">
        <v>36</v>
      </c>
      <c r="K844" s="34">
        <v>119</v>
      </c>
      <c r="L844" s="34">
        <v>1</v>
      </c>
    </row>
    <row r="845" spans="2:12">
      <c r="B845" s="32">
        <v>848</v>
      </c>
      <c r="C845" s="31" t="s">
        <v>8003</v>
      </c>
      <c r="D845" s="36">
        <v>36</v>
      </c>
      <c r="E845" s="36">
        <v>119</v>
      </c>
      <c r="F845" s="36" t="s">
        <v>7902</v>
      </c>
      <c r="G845" s="36" t="s">
        <v>1361</v>
      </c>
      <c r="I845" s="33" t="s">
        <v>8003</v>
      </c>
      <c r="J845" s="34">
        <v>36</v>
      </c>
      <c r="K845" s="34">
        <v>119</v>
      </c>
      <c r="L845" s="34">
        <v>2</v>
      </c>
    </row>
    <row r="846" spans="2:12">
      <c r="B846" s="32">
        <v>850</v>
      </c>
      <c r="C846" s="31" t="s">
        <v>4108</v>
      </c>
      <c r="D846" s="36">
        <v>36</v>
      </c>
      <c r="E846" s="36">
        <v>119</v>
      </c>
      <c r="F846" s="36" t="s">
        <v>7904</v>
      </c>
      <c r="G846" s="36" t="s">
        <v>4109</v>
      </c>
      <c r="I846" s="33" t="s">
        <v>4108</v>
      </c>
      <c r="J846" s="34">
        <v>36</v>
      </c>
      <c r="K846" s="34">
        <v>119</v>
      </c>
      <c r="L846" s="34">
        <v>3</v>
      </c>
    </row>
    <row r="847" spans="2:12">
      <c r="B847" s="32">
        <v>851</v>
      </c>
      <c r="C847" s="31" t="s">
        <v>319</v>
      </c>
      <c r="D847" s="36">
        <v>36</v>
      </c>
      <c r="E847" s="36">
        <v>120</v>
      </c>
      <c r="F847" s="36" t="s">
        <v>7905</v>
      </c>
      <c r="G847" s="36" t="s">
        <v>320</v>
      </c>
      <c r="I847" s="33" t="s">
        <v>319</v>
      </c>
      <c r="J847" s="34">
        <v>36</v>
      </c>
      <c r="K847" s="34">
        <v>120</v>
      </c>
      <c r="L847" s="34">
        <v>1</v>
      </c>
    </row>
    <row r="848" spans="2:12">
      <c r="B848" s="32">
        <v>852</v>
      </c>
      <c r="C848" s="31" t="s">
        <v>3932</v>
      </c>
      <c r="D848" s="36">
        <v>36</v>
      </c>
      <c r="E848" s="36">
        <v>120</v>
      </c>
      <c r="F848" s="36" t="s">
        <v>7906</v>
      </c>
      <c r="G848" s="36" t="s">
        <v>3933</v>
      </c>
      <c r="I848" s="33" t="s">
        <v>3932</v>
      </c>
      <c r="J848" s="34">
        <v>36</v>
      </c>
      <c r="K848" s="34">
        <v>120</v>
      </c>
      <c r="L848" s="34">
        <v>2</v>
      </c>
    </row>
    <row r="849" spans="2:12">
      <c r="B849" s="32">
        <v>853</v>
      </c>
      <c r="C849" s="31" t="s">
        <v>80</v>
      </c>
      <c r="D849" s="36">
        <v>36</v>
      </c>
      <c r="E849" s="36">
        <v>201</v>
      </c>
      <c r="F849" s="36" t="s">
        <v>7907</v>
      </c>
      <c r="G849" s="36" t="s">
        <v>81</v>
      </c>
      <c r="I849" s="33" t="s">
        <v>80</v>
      </c>
      <c r="J849" s="34">
        <v>36</v>
      </c>
      <c r="K849" s="34">
        <v>201</v>
      </c>
      <c r="L849" s="34">
        <v>1</v>
      </c>
    </row>
    <row r="850" spans="2:12">
      <c r="B850" s="32">
        <v>855</v>
      </c>
      <c r="C850" s="31" t="s">
        <v>4658</v>
      </c>
      <c r="D850" s="36">
        <v>36</v>
      </c>
      <c r="E850" s="36">
        <v>201</v>
      </c>
      <c r="F850" s="36" t="s">
        <v>7909</v>
      </c>
      <c r="G850" s="36" t="s">
        <v>4659</v>
      </c>
      <c r="I850" s="33" t="s">
        <v>4658</v>
      </c>
      <c r="J850" s="34">
        <v>36</v>
      </c>
      <c r="K850" s="34">
        <v>201</v>
      </c>
      <c r="L850" s="34">
        <v>2</v>
      </c>
    </row>
    <row r="851" spans="2:12">
      <c r="B851" s="32">
        <v>854</v>
      </c>
      <c r="C851" s="31" t="s">
        <v>5368</v>
      </c>
      <c r="D851" s="36">
        <v>36</v>
      </c>
      <c r="E851" s="36">
        <v>201</v>
      </c>
      <c r="F851" s="36" t="s">
        <v>7908</v>
      </c>
      <c r="G851" s="36" t="s">
        <v>5369</v>
      </c>
      <c r="I851" s="33" t="s">
        <v>5368</v>
      </c>
      <c r="J851" s="34">
        <v>36</v>
      </c>
      <c r="K851" s="34">
        <v>201</v>
      </c>
      <c r="L851" s="34">
        <v>3</v>
      </c>
    </row>
    <row r="852" spans="2:12">
      <c r="B852" s="32">
        <v>856</v>
      </c>
      <c r="C852" s="31" t="s">
        <v>5080</v>
      </c>
      <c r="D852" s="36">
        <v>36</v>
      </c>
      <c r="E852" s="36">
        <v>202</v>
      </c>
      <c r="F852" s="36" t="s">
        <v>7911</v>
      </c>
      <c r="G852" s="36" t="s">
        <v>5081</v>
      </c>
      <c r="I852" s="33" t="s">
        <v>5080</v>
      </c>
      <c r="J852" s="34">
        <v>36</v>
      </c>
      <c r="K852" s="34">
        <v>202</v>
      </c>
      <c r="L852" s="34">
        <v>1</v>
      </c>
    </row>
    <row r="853" spans="2:12">
      <c r="B853" s="32">
        <v>858</v>
      </c>
      <c r="C853" s="31" t="s">
        <v>8004</v>
      </c>
      <c r="D853" s="36">
        <v>36</v>
      </c>
      <c r="E853" s="36">
        <v>202</v>
      </c>
      <c r="F853" s="36" t="s">
        <v>7489</v>
      </c>
      <c r="G853" s="36" t="s">
        <v>5743</v>
      </c>
      <c r="I853" s="33" t="s">
        <v>8004</v>
      </c>
      <c r="J853" s="34">
        <v>36</v>
      </c>
      <c r="K853" s="34">
        <v>202</v>
      </c>
      <c r="L853" s="34">
        <v>2</v>
      </c>
    </row>
    <row r="854" spans="2:12">
      <c r="B854" s="32">
        <v>857</v>
      </c>
      <c r="C854" s="31" t="s">
        <v>8005</v>
      </c>
      <c r="D854" s="36">
        <v>36</v>
      </c>
      <c r="E854" s="36">
        <v>202</v>
      </c>
      <c r="F854" s="36" t="s">
        <v>7488</v>
      </c>
      <c r="G854" s="36" t="s">
        <v>5387</v>
      </c>
      <c r="I854" s="33" t="s">
        <v>8005</v>
      </c>
      <c r="J854" s="34">
        <v>36</v>
      </c>
      <c r="K854" s="34">
        <v>202</v>
      </c>
      <c r="L854" s="34">
        <v>3</v>
      </c>
    </row>
    <row r="855" spans="2:12">
      <c r="B855" s="32">
        <v>859</v>
      </c>
      <c r="C855" s="31" t="s">
        <v>439</v>
      </c>
      <c r="D855" s="36">
        <v>36</v>
      </c>
      <c r="E855" s="36">
        <v>203</v>
      </c>
      <c r="F855" s="36" t="s">
        <v>7912</v>
      </c>
      <c r="G855" s="36" t="s">
        <v>440</v>
      </c>
      <c r="I855" s="33" t="s">
        <v>439</v>
      </c>
      <c r="J855" s="34">
        <v>36</v>
      </c>
      <c r="K855" s="34">
        <v>203</v>
      </c>
      <c r="L855" s="34">
        <v>1</v>
      </c>
    </row>
    <row r="856" spans="2:12">
      <c r="B856" s="32">
        <v>861</v>
      </c>
      <c r="C856" s="31" t="s">
        <v>4542</v>
      </c>
      <c r="D856" s="36">
        <v>36</v>
      </c>
      <c r="E856" s="36">
        <v>203</v>
      </c>
      <c r="F856" s="36" t="s">
        <v>7914</v>
      </c>
      <c r="G856" s="36" t="s">
        <v>4543</v>
      </c>
      <c r="I856" s="33" t="s">
        <v>4542</v>
      </c>
      <c r="J856" s="34">
        <v>36</v>
      </c>
      <c r="K856" s="34">
        <v>203</v>
      </c>
      <c r="L856" s="34">
        <v>2</v>
      </c>
    </row>
    <row r="857" spans="2:12">
      <c r="B857" s="32">
        <v>860</v>
      </c>
      <c r="C857" s="31" t="s">
        <v>2878</v>
      </c>
      <c r="D857" s="36">
        <v>36</v>
      </c>
      <c r="E857" s="36">
        <v>203</v>
      </c>
      <c r="F857" s="36" t="s">
        <v>7913</v>
      </c>
      <c r="G857" s="36" t="s">
        <v>2879</v>
      </c>
      <c r="I857" s="33" t="s">
        <v>2878</v>
      </c>
      <c r="J857" s="34">
        <v>36</v>
      </c>
      <c r="K857" s="34">
        <v>203</v>
      </c>
      <c r="L857" s="34">
        <v>3</v>
      </c>
    </row>
    <row r="858" spans="2:12">
      <c r="B858" s="32">
        <v>862</v>
      </c>
      <c r="C858" s="31" t="s">
        <v>931</v>
      </c>
      <c r="D858" s="36">
        <v>36</v>
      </c>
      <c r="E858" s="36">
        <v>204</v>
      </c>
      <c r="F858" s="36" t="s">
        <v>7915</v>
      </c>
      <c r="G858" s="36" t="s">
        <v>932</v>
      </c>
      <c r="I858" s="33" t="s">
        <v>931</v>
      </c>
      <c r="J858" s="34">
        <v>36</v>
      </c>
      <c r="K858" s="34">
        <v>204</v>
      </c>
      <c r="L858" s="34">
        <v>1</v>
      </c>
    </row>
    <row r="859" spans="2:12">
      <c r="B859" s="32">
        <v>863</v>
      </c>
      <c r="C859" s="31" t="s">
        <v>689</v>
      </c>
      <c r="D859" s="36">
        <v>36</v>
      </c>
      <c r="E859" s="36">
        <v>204</v>
      </c>
      <c r="F859" s="36" t="s">
        <v>7916</v>
      </c>
      <c r="G859" s="36" t="s">
        <v>690</v>
      </c>
      <c r="I859" s="33" t="s">
        <v>689</v>
      </c>
      <c r="J859" s="34">
        <v>36</v>
      </c>
      <c r="K859" s="34">
        <v>204</v>
      </c>
      <c r="L859" s="34">
        <v>2</v>
      </c>
    </row>
    <row r="860" spans="2:12">
      <c r="B860" s="32">
        <v>864</v>
      </c>
      <c r="C860" s="31" t="s">
        <v>2113</v>
      </c>
      <c r="D860" s="36">
        <v>36</v>
      </c>
      <c r="E860" s="36">
        <v>204</v>
      </c>
      <c r="F860" s="36" t="s">
        <v>7917</v>
      </c>
      <c r="G860" s="36" t="s">
        <v>2114</v>
      </c>
      <c r="I860" s="33" t="s">
        <v>2113</v>
      </c>
      <c r="J860" s="34">
        <v>36</v>
      </c>
      <c r="K860" s="34">
        <v>204</v>
      </c>
      <c r="L860" s="34">
        <v>3</v>
      </c>
    </row>
    <row r="861" spans="2:12">
      <c r="B861" s="32">
        <v>865</v>
      </c>
      <c r="C861" s="31" t="s">
        <v>5143</v>
      </c>
      <c r="D861" s="36">
        <v>36</v>
      </c>
      <c r="E861" s="36">
        <v>205</v>
      </c>
      <c r="F861" s="36" t="s">
        <v>7918</v>
      </c>
      <c r="G861" s="36" t="s">
        <v>5144</v>
      </c>
      <c r="I861" s="33" t="s">
        <v>5143</v>
      </c>
      <c r="J861" s="34">
        <v>36</v>
      </c>
      <c r="K861" s="34">
        <v>205</v>
      </c>
      <c r="L861" s="34">
        <v>1</v>
      </c>
    </row>
    <row r="862" spans="2:12">
      <c r="B862" s="32">
        <v>866</v>
      </c>
      <c r="C862" s="31" t="s">
        <v>960</v>
      </c>
      <c r="D862" s="36">
        <v>36</v>
      </c>
      <c r="E862" s="36">
        <v>205</v>
      </c>
      <c r="F862" s="36" t="s">
        <v>7919</v>
      </c>
      <c r="G862" s="36" t="s">
        <v>961</v>
      </c>
      <c r="I862" s="33" t="s">
        <v>960</v>
      </c>
      <c r="J862" s="34">
        <v>36</v>
      </c>
      <c r="K862" s="34">
        <v>205</v>
      </c>
      <c r="L862" s="34">
        <v>2</v>
      </c>
    </row>
    <row r="863" spans="2:12">
      <c r="B863" s="32">
        <v>867</v>
      </c>
      <c r="C863" s="31" t="s">
        <v>1344</v>
      </c>
      <c r="D863" s="36">
        <v>36</v>
      </c>
      <c r="E863" s="36">
        <v>205</v>
      </c>
      <c r="F863" s="36" t="s">
        <v>7920</v>
      </c>
      <c r="G863" s="36" t="s">
        <v>1345</v>
      </c>
      <c r="I863" s="33" t="s">
        <v>1344</v>
      </c>
      <c r="J863" s="34">
        <v>36</v>
      </c>
      <c r="K863" s="34">
        <v>205</v>
      </c>
      <c r="L863" s="34">
        <v>3</v>
      </c>
    </row>
    <row r="864" spans="2:12">
      <c r="B864" s="32">
        <v>868</v>
      </c>
      <c r="C864" s="31" t="s">
        <v>4197</v>
      </c>
      <c r="D864" s="36">
        <v>36</v>
      </c>
      <c r="E864" s="36">
        <v>206</v>
      </c>
      <c r="F864" s="36" t="s">
        <v>7921</v>
      </c>
      <c r="G864" s="36" t="s">
        <v>4198</v>
      </c>
      <c r="I864" s="33" t="s">
        <v>4197</v>
      </c>
      <c r="J864" s="34">
        <v>36</v>
      </c>
      <c r="K864" s="34">
        <v>206</v>
      </c>
      <c r="L864" s="34">
        <v>1</v>
      </c>
    </row>
    <row r="865" spans="2:12">
      <c r="B865" s="32">
        <v>869</v>
      </c>
      <c r="C865" s="31" t="s">
        <v>4572</v>
      </c>
      <c r="D865" s="36">
        <v>36</v>
      </c>
      <c r="E865" s="36">
        <v>206</v>
      </c>
      <c r="F865" s="36" t="s">
        <v>6979</v>
      </c>
      <c r="G865" s="36" t="s">
        <v>4573</v>
      </c>
      <c r="I865" s="33" t="s">
        <v>4572</v>
      </c>
      <c r="J865" s="34">
        <v>36</v>
      </c>
      <c r="K865" s="34">
        <v>206</v>
      </c>
      <c r="L865" s="34">
        <v>2</v>
      </c>
    </row>
    <row r="866" spans="2:12">
      <c r="B866" s="32">
        <v>870</v>
      </c>
      <c r="C866" s="31" t="s">
        <v>5312</v>
      </c>
      <c r="D866" s="36">
        <v>36</v>
      </c>
      <c r="E866" s="36">
        <v>206</v>
      </c>
      <c r="F866" s="36" t="s">
        <v>6996</v>
      </c>
      <c r="G866" s="36" t="s">
        <v>5313</v>
      </c>
      <c r="I866" s="33" t="s">
        <v>5312</v>
      </c>
      <c r="J866" s="34">
        <v>36</v>
      </c>
      <c r="K866" s="34">
        <v>206</v>
      </c>
      <c r="L866" s="34">
        <v>3</v>
      </c>
    </row>
    <row r="867" spans="2:12">
      <c r="B867" s="32">
        <v>871</v>
      </c>
      <c r="C867" s="31" t="s">
        <v>5454</v>
      </c>
      <c r="D867" s="36">
        <v>36</v>
      </c>
      <c r="E867" s="36">
        <v>207</v>
      </c>
      <c r="F867" s="36" t="s">
        <v>8006</v>
      </c>
      <c r="G867" s="36" t="s">
        <v>2220</v>
      </c>
      <c r="I867" s="33" t="s">
        <v>5454</v>
      </c>
      <c r="J867" s="34">
        <v>36</v>
      </c>
      <c r="K867" s="34">
        <v>207</v>
      </c>
      <c r="L867" s="34">
        <v>1</v>
      </c>
    </row>
    <row r="868" spans="2:12">
      <c r="B868" s="32">
        <v>872</v>
      </c>
      <c r="C868" s="31" t="s">
        <v>109</v>
      </c>
      <c r="D868" s="36">
        <v>36</v>
      </c>
      <c r="E868" s="36">
        <v>207</v>
      </c>
      <c r="F868" s="36" t="s">
        <v>8007</v>
      </c>
      <c r="G868" s="36" t="s">
        <v>110</v>
      </c>
      <c r="I868" s="33" t="s">
        <v>109</v>
      </c>
      <c r="J868" s="34">
        <v>36</v>
      </c>
      <c r="K868" s="34">
        <v>207</v>
      </c>
      <c r="L868" s="34">
        <v>2</v>
      </c>
    </row>
    <row r="869" spans="2:12">
      <c r="B869" s="32">
        <v>873</v>
      </c>
      <c r="C869" s="31" t="s">
        <v>8008</v>
      </c>
      <c r="D869" s="36">
        <v>36</v>
      </c>
      <c r="E869" s="36">
        <v>208</v>
      </c>
      <c r="F869" s="36" t="s">
        <v>7922</v>
      </c>
      <c r="G869" s="36" t="s">
        <v>4064</v>
      </c>
      <c r="I869" s="33" t="s">
        <v>8008</v>
      </c>
      <c r="J869" s="34">
        <v>36</v>
      </c>
      <c r="K869" s="34">
        <v>208</v>
      </c>
      <c r="L869" s="34">
        <v>1</v>
      </c>
    </row>
    <row r="870" spans="2:12">
      <c r="B870" s="32">
        <v>874</v>
      </c>
      <c r="C870" s="31" t="s">
        <v>8009</v>
      </c>
      <c r="D870" s="36">
        <v>36</v>
      </c>
      <c r="E870" s="36">
        <v>208</v>
      </c>
      <c r="F870" s="36" t="s">
        <v>7923</v>
      </c>
      <c r="G870" s="36" t="s">
        <v>6611</v>
      </c>
      <c r="I870" s="33" t="s">
        <v>8009</v>
      </c>
      <c r="J870" s="34">
        <v>36</v>
      </c>
      <c r="K870" s="34">
        <v>208</v>
      </c>
      <c r="L870" s="34">
        <v>2</v>
      </c>
    </row>
    <row r="871" spans="2:12">
      <c r="B871" s="32">
        <v>875</v>
      </c>
      <c r="C871" s="31" t="s">
        <v>8010</v>
      </c>
      <c r="D871" s="36">
        <v>36</v>
      </c>
      <c r="E871" s="36">
        <v>209</v>
      </c>
      <c r="F871" s="36" t="s">
        <v>7467</v>
      </c>
      <c r="G871" s="36" t="s">
        <v>2994</v>
      </c>
      <c r="I871" s="33" t="s">
        <v>8010</v>
      </c>
      <c r="J871" s="34">
        <v>36</v>
      </c>
      <c r="K871" s="34">
        <v>209</v>
      </c>
      <c r="L871" s="34">
        <v>1</v>
      </c>
    </row>
    <row r="872" spans="2:12">
      <c r="B872" s="32">
        <v>876</v>
      </c>
      <c r="C872" s="31" t="s">
        <v>4261</v>
      </c>
      <c r="D872" s="36">
        <v>36</v>
      </c>
      <c r="E872" s="36">
        <v>209</v>
      </c>
      <c r="F872" s="36" t="s">
        <v>7356</v>
      </c>
      <c r="G872" s="36" t="s">
        <v>4262</v>
      </c>
      <c r="I872" s="33" t="s">
        <v>4261</v>
      </c>
      <c r="J872" s="34">
        <v>36</v>
      </c>
      <c r="K872" s="34">
        <v>209</v>
      </c>
      <c r="L872" s="34">
        <v>2</v>
      </c>
    </row>
    <row r="873" spans="2:12">
      <c r="B873" s="32">
        <v>879</v>
      </c>
      <c r="C873" s="31" t="s">
        <v>5823</v>
      </c>
      <c r="D873" s="36">
        <v>36</v>
      </c>
      <c r="E873" s="36">
        <v>211</v>
      </c>
      <c r="F873" s="36" t="s">
        <v>7926</v>
      </c>
      <c r="G873" s="36" t="s">
        <v>5824</v>
      </c>
      <c r="I873" s="33" t="s">
        <v>5823</v>
      </c>
      <c r="J873" s="34">
        <v>36</v>
      </c>
      <c r="K873" s="34">
        <v>211</v>
      </c>
      <c r="L873" s="34">
        <v>1</v>
      </c>
    </row>
    <row r="874" spans="2:12">
      <c r="B874" s="32">
        <v>593</v>
      </c>
      <c r="C874" s="31" t="s">
        <v>7958</v>
      </c>
      <c r="D874" s="36">
        <v>33</v>
      </c>
      <c r="E874" s="36">
        <v>215</v>
      </c>
      <c r="F874" s="36" t="s">
        <v>7938</v>
      </c>
      <c r="G874" s="36" t="s">
        <v>7938</v>
      </c>
      <c r="I874" s="33" t="s">
        <v>725</v>
      </c>
      <c r="J874" s="34">
        <v>36</v>
      </c>
      <c r="K874" s="34">
        <v>211</v>
      </c>
      <c r="L874" s="34">
        <v>2</v>
      </c>
    </row>
    <row r="875" spans="2:12">
      <c r="B875" s="32">
        <v>881</v>
      </c>
      <c r="C875" s="31" t="s">
        <v>8011</v>
      </c>
      <c r="D875" s="36">
        <v>36</v>
      </c>
      <c r="E875" s="36">
        <v>212</v>
      </c>
      <c r="F875" s="36" t="s">
        <v>7408</v>
      </c>
      <c r="G875" s="36" t="s">
        <v>5455</v>
      </c>
      <c r="I875" s="33" t="s">
        <v>8011</v>
      </c>
      <c r="J875" s="34">
        <v>36</v>
      </c>
      <c r="K875" s="34">
        <v>212</v>
      </c>
      <c r="L875" s="34">
        <v>1</v>
      </c>
    </row>
    <row r="876" spans="2:12">
      <c r="B876" s="32">
        <v>882</v>
      </c>
      <c r="C876" s="31" t="s">
        <v>8012</v>
      </c>
      <c r="D876" s="36">
        <v>36</v>
      </c>
      <c r="E876" s="36">
        <v>212</v>
      </c>
      <c r="F876" s="36" t="s">
        <v>8013</v>
      </c>
      <c r="G876" s="36" t="s">
        <v>2611</v>
      </c>
      <c r="I876" s="33" t="s">
        <v>8012</v>
      </c>
      <c r="J876" s="34">
        <v>36</v>
      </c>
      <c r="K876" s="34">
        <v>212</v>
      </c>
      <c r="L876" s="34">
        <v>2</v>
      </c>
    </row>
    <row r="877" spans="2:12">
      <c r="B877" s="32">
        <v>883</v>
      </c>
      <c r="C877" s="31" t="s">
        <v>8014</v>
      </c>
      <c r="D877" s="36">
        <v>36</v>
      </c>
      <c r="E877" s="36">
        <v>213</v>
      </c>
      <c r="F877" s="36" t="s">
        <v>6930</v>
      </c>
      <c r="G877" s="36" t="s">
        <v>3710</v>
      </c>
      <c r="I877" s="33" t="s">
        <v>8014</v>
      </c>
      <c r="J877" s="34">
        <v>36</v>
      </c>
      <c r="K877" s="34">
        <v>213</v>
      </c>
      <c r="L877" s="34">
        <v>1</v>
      </c>
    </row>
    <row r="878" spans="2:12">
      <c r="B878" s="32">
        <v>884</v>
      </c>
      <c r="C878" s="31" t="s">
        <v>8015</v>
      </c>
      <c r="D878" s="36">
        <v>36</v>
      </c>
      <c r="E878" s="36">
        <v>213</v>
      </c>
      <c r="F878" s="36" t="s">
        <v>8016</v>
      </c>
      <c r="G878" s="36" t="s">
        <v>3714</v>
      </c>
      <c r="I878" s="33" t="s">
        <v>8015</v>
      </c>
      <c r="J878" s="34">
        <v>36</v>
      </c>
      <c r="K878" s="34">
        <v>213</v>
      </c>
      <c r="L878" s="34">
        <v>2</v>
      </c>
    </row>
    <row r="879" spans="2:12">
      <c r="B879" s="32">
        <v>885</v>
      </c>
      <c r="C879" s="31" t="s">
        <v>1440</v>
      </c>
      <c r="D879" s="36">
        <v>36</v>
      </c>
      <c r="E879" s="36">
        <v>214</v>
      </c>
      <c r="F879" s="36" t="s">
        <v>7927</v>
      </c>
      <c r="G879" s="36" t="s">
        <v>1441</v>
      </c>
      <c r="I879" s="33" t="s">
        <v>1440</v>
      </c>
      <c r="J879" s="34">
        <v>36</v>
      </c>
      <c r="K879" s="34">
        <v>214</v>
      </c>
      <c r="L879" s="34">
        <v>1</v>
      </c>
    </row>
    <row r="880" spans="2:12">
      <c r="B880" s="32">
        <v>886</v>
      </c>
      <c r="C880" s="31" t="s">
        <v>3481</v>
      </c>
      <c r="D880" s="36">
        <v>36</v>
      </c>
      <c r="E880" s="36">
        <v>214</v>
      </c>
      <c r="F880" s="36" t="s">
        <v>7334</v>
      </c>
      <c r="G880" s="36" t="s">
        <v>3482</v>
      </c>
      <c r="I880" s="33" t="s">
        <v>3481</v>
      </c>
      <c r="J880" s="34">
        <v>36</v>
      </c>
      <c r="K880" s="34">
        <v>214</v>
      </c>
      <c r="L880" s="34">
        <v>2</v>
      </c>
    </row>
    <row r="881" spans="2:12">
      <c r="B881" s="32">
        <v>887</v>
      </c>
      <c r="C881" s="31" t="s">
        <v>122</v>
      </c>
      <c r="D881" s="36">
        <v>36</v>
      </c>
      <c r="E881" s="36">
        <v>214</v>
      </c>
      <c r="F881" s="36" t="s">
        <v>6969</v>
      </c>
      <c r="G881" s="36" t="s">
        <v>123</v>
      </c>
      <c r="I881" s="33" t="s">
        <v>122</v>
      </c>
      <c r="J881" s="34">
        <v>36</v>
      </c>
      <c r="K881" s="34">
        <v>214</v>
      </c>
      <c r="L881" s="34">
        <v>3</v>
      </c>
    </row>
    <row r="882" spans="2:12">
      <c r="B882" s="32">
        <v>888</v>
      </c>
      <c r="C882" s="31" t="s">
        <v>3363</v>
      </c>
      <c r="D882" s="36">
        <v>36</v>
      </c>
      <c r="E882" s="36">
        <v>215</v>
      </c>
      <c r="F882" s="36" t="s">
        <v>7928</v>
      </c>
      <c r="G882" s="36" t="s">
        <v>3364</v>
      </c>
      <c r="I882" s="33" t="s">
        <v>3363</v>
      </c>
      <c r="J882" s="34">
        <v>36</v>
      </c>
      <c r="K882" s="34">
        <v>215</v>
      </c>
      <c r="L882" s="34">
        <v>1</v>
      </c>
    </row>
    <row r="883" spans="2:12">
      <c r="B883" s="32">
        <v>889</v>
      </c>
      <c r="C883" s="31" t="s">
        <v>3688</v>
      </c>
      <c r="D883" s="36">
        <v>36</v>
      </c>
      <c r="E883" s="36">
        <v>215</v>
      </c>
      <c r="F883" s="36" t="s">
        <v>7929</v>
      </c>
      <c r="G883" s="36" t="s">
        <v>3689</v>
      </c>
      <c r="I883" s="33" t="s">
        <v>3688</v>
      </c>
      <c r="J883" s="34">
        <v>36</v>
      </c>
      <c r="K883" s="34">
        <v>215</v>
      </c>
      <c r="L883" s="34">
        <v>2</v>
      </c>
    </row>
    <row r="884" spans="2:12">
      <c r="B884" s="32">
        <v>890</v>
      </c>
      <c r="C884" s="31" t="s">
        <v>4902</v>
      </c>
      <c r="D884" s="36">
        <v>36</v>
      </c>
      <c r="E884" s="36">
        <v>215</v>
      </c>
      <c r="F884" s="36" t="s">
        <v>7412</v>
      </c>
      <c r="G884" s="36" t="s">
        <v>4903</v>
      </c>
      <c r="I884" s="33" t="s">
        <v>4902</v>
      </c>
      <c r="J884" s="34">
        <v>36</v>
      </c>
      <c r="K884" s="34">
        <v>215</v>
      </c>
      <c r="L884" s="34">
        <v>3</v>
      </c>
    </row>
    <row r="885" spans="2:12">
      <c r="B885" s="32">
        <v>891</v>
      </c>
      <c r="C885" s="31" t="s">
        <v>2198</v>
      </c>
      <c r="D885" s="36">
        <v>36</v>
      </c>
      <c r="E885" s="36">
        <v>216</v>
      </c>
      <c r="F885" s="36" t="s">
        <v>7930</v>
      </c>
      <c r="G885" s="36" t="s">
        <v>2199</v>
      </c>
      <c r="I885" s="33" t="s">
        <v>2198</v>
      </c>
      <c r="J885" s="34">
        <v>36</v>
      </c>
      <c r="K885" s="34">
        <v>216</v>
      </c>
      <c r="L885" s="34">
        <v>1</v>
      </c>
    </row>
    <row r="886" spans="2:12">
      <c r="B886" s="32">
        <v>892</v>
      </c>
      <c r="C886" s="31" t="s">
        <v>537</v>
      </c>
      <c r="D886" s="36">
        <v>36</v>
      </c>
      <c r="E886" s="36">
        <v>216</v>
      </c>
      <c r="F886" s="36" t="s">
        <v>7931</v>
      </c>
      <c r="G886" s="36" t="s">
        <v>538</v>
      </c>
      <c r="I886" s="33" t="s">
        <v>537</v>
      </c>
      <c r="J886" s="34">
        <v>36</v>
      </c>
      <c r="K886" s="34">
        <v>216</v>
      </c>
      <c r="L886" s="34">
        <v>2</v>
      </c>
    </row>
    <row r="887" spans="2:12">
      <c r="B887" s="32">
        <v>893</v>
      </c>
      <c r="C887" s="31" t="s">
        <v>5609</v>
      </c>
      <c r="D887" s="36">
        <v>36</v>
      </c>
      <c r="E887" s="36">
        <v>217</v>
      </c>
      <c r="F887" s="36" t="s">
        <v>7932</v>
      </c>
      <c r="G887" s="36" t="s">
        <v>5610</v>
      </c>
      <c r="I887" s="33" t="s">
        <v>5609</v>
      </c>
      <c r="J887" s="34">
        <v>36</v>
      </c>
      <c r="K887" s="34">
        <v>217</v>
      </c>
      <c r="L887" s="34">
        <v>1</v>
      </c>
    </row>
    <row r="888" spans="2:12">
      <c r="B888" s="32">
        <v>894</v>
      </c>
      <c r="C888" s="31" t="s">
        <v>2753</v>
      </c>
      <c r="D888" s="36">
        <v>36</v>
      </c>
      <c r="E888" s="36">
        <v>217</v>
      </c>
      <c r="F888" s="36" t="s">
        <v>6971</v>
      </c>
      <c r="G888" s="36" t="s">
        <v>2754</v>
      </c>
      <c r="I888" s="33" t="s">
        <v>2753</v>
      </c>
      <c r="J888" s="34">
        <v>36</v>
      </c>
      <c r="K888" s="34">
        <v>217</v>
      </c>
      <c r="L888" s="34">
        <v>2</v>
      </c>
    </row>
    <row r="889" spans="2:12">
      <c r="B889" s="32">
        <v>895</v>
      </c>
      <c r="C889" s="31" t="s">
        <v>3643</v>
      </c>
      <c r="D889" s="36">
        <v>36</v>
      </c>
      <c r="E889" s="36">
        <v>218</v>
      </c>
      <c r="F889" s="36" t="s">
        <v>7403</v>
      </c>
      <c r="G889" s="36" t="s">
        <v>3644</v>
      </c>
      <c r="I889" s="33" t="s">
        <v>3643</v>
      </c>
      <c r="J889" s="34">
        <v>36</v>
      </c>
      <c r="K889" s="34">
        <v>218</v>
      </c>
      <c r="L889" s="34">
        <v>1</v>
      </c>
    </row>
    <row r="890" spans="2:12">
      <c r="B890" s="32">
        <v>896</v>
      </c>
      <c r="C890" s="31" t="s">
        <v>1355</v>
      </c>
      <c r="D890" s="36">
        <v>36</v>
      </c>
      <c r="E890" s="36">
        <v>218</v>
      </c>
      <c r="F890" s="36" t="s">
        <v>7933</v>
      </c>
      <c r="G890" s="36" t="s">
        <v>1356</v>
      </c>
      <c r="I890" s="33" t="s">
        <v>1355</v>
      </c>
      <c r="J890" s="34">
        <v>36</v>
      </c>
      <c r="K890" s="34">
        <v>218</v>
      </c>
      <c r="L890" s="34">
        <v>2</v>
      </c>
    </row>
    <row r="891" spans="2:12">
      <c r="B891" s="32">
        <v>897</v>
      </c>
      <c r="C891" s="31" t="s">
        <v>547</v>
      </c>
      <c r="D891" s="36">
        <v>36</v>
      </c>
      <c r="E891" s="36">
        <v>219</v>
      </c>
      <c r="F891" s="36" t="s">
        <v>7934</v>
      </c>
      <c r="G891" s="36" t="s">
        <v>548</v>
      </c>
      <c r="I891" s="33" t="s">
        <v>547</v>
      </c>
      <c r="J891" s="34">
        <v>36</v>
      </c>
      <c r="K891" s="34">
        <v>219</v>
      </c>
      <c r="L891" s="34">
        <v>1</v>
      </c>
    </row>
    <row r="892" spans="2:12">
      <c r="B892" s="32">
        <v>898</v>
      </c>
      <c r="C892" s="31" t="s">
        <v>3770</v>
      </c>
      <c r="D892" s="36">
        <v>36</v>
      </c>
      <c r="E892" s="36">
        <v>219</v>
      </c>
      <c r="F892" s="36" t="s">
        <v>7935</v>
      </c>
      <c r="G892" s="36" t="s">
        <v>3771</v>
      </c>
      <c r="I892" s="33" t="s">
        <v>3770</v>
      </c>
      <c r="J892" s="34">
        <v>36</v>
      </c>
      <c r="K892" s="34">
        <v>219</v>
      </c>
      <c r="L892" s="34">
        <v>2</v>
      </c>
    </row>
    <row r="893" spans="2:12">
      <c r="B893" s="32">
        <v>899</v>
      </c>
      <c r="C893" s="31" t="s">
        <v>4987</v>
      </c>
      <c r="D893" s="36">
        <v>36</v>
      </c>
      <c r="E893" s="36">
        <v>219</v>
      </c>
      <c r="F893" s="36" t="s">
        <v>7022</v>
      </c>
      <c r="G893" s="36" t="s">
        <v>4988</v>
      </c>
      <c r="I893" s="33" t="s">
        <v>4987</v>
      </c>
      <c r="J893" s="34">
        <v>36</v>
      </c>
      <c r="K893" s="34">
        <v>219</v>
      </c>
      <c r="L893" s="34">
        <v>3</v>
      </c>
    </row>
    <row r="894" spans="2:12">
      <c r="B894" s="32">
        <v>900</v>
      </c>
      <c r="C894" s="31" t="s">
        <v>2083</v>
      </c>
      <c r="D894" s="36">
        <v>36</v>
      </c>
      <c r="E894" s="36">
        <v>220</v>
      </c>
      <c r="F894" s="36" t="s">
        <v>7936</v>
      </c>
      <c r="G894" s="36" t="s">
        <v>2084</v>
      </c>
      <c r="I894" s="33" t="s">
        <v>2083</v>
      </c>
      <c r="J894" s="34">
        <v>36</v>
      </c>
      <c r="K894" s="34">
        <v>220</v>
      </c>
      <c r="L894" s="34">
        <v>1</v>
      </c>
    </row>
    <row r="895" spans="2:12">
      <c r="B895" s="32">
        <v>901</v>
      </c>
      <c r="C895" s="31" t="s">
        <v>4966</v>
      </c>
      <c r="D895" s="36">
        <v>36</v>
      </c>
      <c r="E895" s="36">
        <v>220</v>
      </c>
      <c r="F895" s="36" t="s">
        <v>7937</v>
      </c>
      <c r="G895" s="36" t="s">
        <v>4967</v>
      </c>
      <c r="I895" s="33" t="s">
        <v>4966</v>
      </c>
      <c r="J895" s="34">
        <v>36</v>
      </c>
      <c r="K895" s="34">
        <v>220</v>
      </c>
      <c r="L895" s="34">
        <v>3</v>
      </c>
    </row>
    <row r="896" spans="2:7">
      <c r="B896" s="32">
        <v>509</v>
      </c>
      <c r="C896" s="31" t="s">
        <v>6604</v>
      </c>
      <c r="D896" s="36">
        <v>32</v>
      </c>
      <c r="E896" s="36">
        <v>202</v>
      </c>
      <c r="F896" s="36" t="s">
        <v>7938</v>
      </c>
      <c r="G896" s="36" t="s">
        <v>1278</v>
      </c>
    </row>
    <row r="897" spans="2:7">
      <c r="B897" s="32">
        <v>815</v>
      </c>
      <c r="C897" s="31" t="s">
        <v>8017</v>
      </c>
      <c r="D897" s="36">
        <v>36</v>
      </c>
      <c r="E897" s="36">
        <v>104</v>
      </c>
      <c r="F897" s="36" t="s">
        <v>7938</v>
      </c>
      <c r="G897" s="36" t="s">
        <v>7938</v>
      </c>
    </row>
    <row r="898" spans="2:7">
      <c r="B898" s="32">
        <v>811</v>
      </c>
      <c r="C898" s="31" t="s">
        <v>8018</v>
      </c>
      <c r="D898" s="36">
        <v>36</v>
      </c>
      <c r="E898" s="36">
        <v>102</v>
      </c>
      <c r="F898" s="36" t="s">
        <v>7938</v>
      </c>
      <c r="G898" s="36" t="s">
        <v>7938</v>
      </c>
    </row>
    <row r="899" spans="2:7">
      <c r="B899" s="32">
        <v>662</v>
      </c>
      <c r="C899" s="31" t="s">
        <v>8019</v>
      </c>
      <c r="D899" s="36">
        <v>34</v>
      </c>
      <c r="E899" s="36">
        <v>201</v>
      </c>
      <c r="F899" s="36" t="s">
        <v>7938</v>
      </c>
      <c r="G899" s="36" t="s">
        <v>7938</v>
      </c>
    </row>
    <row r="900" spans="2:7">
      <c r="B900" s="32">
        <v>880</v>
      </c>
      <c r="C900" s="31" t="s">
        <v>8019</v>
      </c>
      <c r="D900" s="36">
        <v>36</v>
      </c>
      <c r="E900" s="36">
        <v>211</v>
      </c>
      <c r="F900" s="36" t="s">
        <v>7938</v>
      </c>
      <c r="G900" s="36" t="s">
        <v>7938</v>
      </c>
    </row>
    <row r="901" spans="2:7">
      <c r="B901" s="32">
        <v>695</v>
      </c>
      <c r="C901" s="31" t="s">
        <v>7958</v>
      </c>
      <c r="D901" s="36">
        <v>34</v>
      </c>
      <c r="E901" s="36">
        <v>217</v>
      </c>
      <c r="F901" s="36" t="s">
        <v>7938</v>
      </c>
      <c r="G901" s="36" t="s">
        <v>7938</v>
      </c>
    </row>
    <row r="902" spans="2:7">
      <c r="B902" s="32">
        <v>696</v>
      </c>
      <c r="C902" s="31" t="s">
        <v>7958</v>
      </c>
      <c r="D902" s="36">
        <v>34</v>
      </c>
      <c r="E902" s="36">
        <v>217</v>
      </c>
      <c r="F902" s="36" t="s">
        <v>7938</v>
      </c>
      <c r="G902" s="36" t="s">
        <v>7938</v>
      </c>
    </row>
    <row r="903" spans="2:7">
      <c r="B903" s="32">
        <v>877</v>
      </c>
      <c r="C903" s="31" t="s">
        <v>7958</v>
      </c>
      <c r="D903" s="36">
        <v>36</v>
      </c>
      <c r="E903" s="36">
        <v>210</v>
      </c>
      <c r="F903" s="36" t="s">
        <v>7938</v>
      </c>
      <c r="G903" s="36" t="s">
        <v>7938</v>
      </c>
    </row>
    <row r="904" spans="2:7">
      <c r="B904" s="32">
        <v>878</v>
      </c>
      <c r="C904" s="31" t="s">
        <v>7958</v>
      </c>
      <c r="D904" s="36">
        <v>36</v>
      </c>
      <c r="E904" s="36">
        <v>210</v>
      </c>
      <c r="F904" s="36" t="s">
        <v>7938</v>
      </c>
      <c r="G904" s="36" t="s">
        <v>7938</v>
      </c>
    </row>
    <row r="905" spans="2:7">
      <c r="B905" s="32">
        <v>56</v>
      </c>
      <c r="C905" s="31" t="s">
        <v>8020</v>
      </c>
      <c r="D905" s="36">
        <v>27</v>
      </c>
      <c r="E905" s="36">
        <v>207</v>
      </c>
      <c r="F905" s="36" t="s">
        <v>7938</v>
      </c>
      <c r="G905" s="36" t="s">
        <v>7938</v>
      </c>
    </row>
    <row r="906" spans="2:7">
      <c r="B906" s="32">
        <v>234</v>
      </c>
      <c r="C906" s="31" t="s">
        <v>8021</v>
      </c>
      <c r="D906" s="36">
        <v>29</v>
      </c>
      <c r="E906" s="36">
        <v>116</v>
      </c>
      <c r="F906" s="36" t="s">
        <v>7938</v>
      </c>
      <c r="G906" s="36" t="s">
        <v>7938</v>
      </c>
    </row>
    <row r="907" spans="2:7">
      <c r="B907" s="32">
        <v>595</v>
      </c>
      <c r="C907" s="31" t="s">
        <v>8022</v>
      </c>
      <c r="D907" s="36">
        <v>33</v>
      </c>
      <c r="E907" s="36">
        <v>216</v>
      </c>
      <c r="F907" s="36" t="s">
        <v>7938</v>
      </c>
      <c r="G907" s="36" t="s">
        <v>7938</v>
      </c>
    </row>
    <row r="908" spans="2:7">
      <c r="B908" s="32">
        <v>544</v>
      </c>
      <c r="C908" s="31" t="s">
        <v>8023</v>
      </c>
      <c r="D908" s="36">
        <v>33</v>
      </c>
      <c r="E908" s="36">
        <v>112</v>
      </c>
      <c r="F908" s="36" t="s">
        <v>7938</v>
      </c>
      <c r="G908" s="36" t="s">
        <v>7938</v>
      </c>
    </row>
    <row r="910" spans="2:7">
      <c r="B910" s="37"/>
      <c r="C910" s="38"/>
      <c r="D910" s="37"/>
      <c r="E910" s="37"/>
      <c r="F910" s="36"/>
      <c r="G910" s="36"/>
    </row>
  </sheetData>
  <sortState ref="B1:L910">
    <sortCondition ref="J1:J910"/>
    <sortCondition ref="K1:K910"/>
    <sortCondition ref="L1:L910"/>
  </sortState>
  <conditionalFormatting sqref="B231">
    <cfRule type="cellIs" dxfId="12" priority="1751" operator="equal">
      <formula>B895</formula>
    </cfRule>
  </conditionalFormatting>
  <conditionalFormatting sqref="B233">
    <cfRule type="cellIs" dxfId="12" priority="1746" operator="equal">
      <formula>B230</formula>
    </cfRule>
  </conditionalFormatting>
  <conditionalFormatting sqref="B234">
    <cfRule type="cellIs" dxfId="12" priority="1749" operator="equal">
      <formula>B230</formula>
    </cfRule>
  </conditionalFormatting>
  <conditionalFormatting sqref="B875">
    <cfRule type="cellIs" dxfId="12" priority="1739" operator="equal">
      <formula>#REF!</formula>
    </cfRule>
  </conditionalFormatting>
  <conditionalFormatting sqref="B879">
    <cfRule type="cellIs" dxfId="12" priority="1710" operator="equal">
      <formula>B873</formula>
    </cfRule>
  </conditionalFormatting>
  <conditionalFormatting sqref="B896">
    <cfRule type="cellIs" dxfId="12" priority="1752" operator="equal">
      <formula>B232</formula>
    </cfRule>
  </conditionalFormatting>
  <conditionalFormatting sqref="B905">
    <cfRule type="cellIs" dxfId="12" priority="1744" operator="equal">
      <formula>B878</formula>
    </cfRule>
  </conditionalFormatting>
  <conditionalFormatting sqref="C1:C910">
    <cfRule type="cellIs" dxfId="12" priority="31" operator="equal">
      <formula>0</formula>
    </cfRule>
  </conditionalFormatting>
  <conditionalFormatting sqref="F1:F915">
    <cfRule type="duplicateValues" dxfId="17" priority="1881"/>
  </conditionalFormatting>
  <conditionalFormatting sqref="G1:G915">
    <cfRule type="duplicateValues" dxfId="17" priority="1883"/>
  </conditionalFormatting>
  <conditionalFormatting sqref="I$1:I$1048576">
    <cfRule type="duplicateValues" dxfId="23" priority="1"/>
  </conditionalFormatting>
  <conditionalFormatting sqref="B1 B910">
    <cfRule type="cellIs" dxfId="12" priority="1592" operator="equal">
      <formula>#REF!</formula>
    </cfRule>
  </conditionalFormatting>
  <conditionalFormatting sqref="F1:G915">
    <cfRule type="cellIs" dxfId="22" priority="6" operator="equal">
      <formula>""</formula>
    </cfRule>
  </conditionalFormatting>
  <conditionalFormatting sqref="I$1:K$1048576">
    <cfRule type="cellIs" dxfId="26" priority="3" operator="notEqual">
      <formula>C1</formula>
    </cfRule>
    <cfRule type="cellIs" dxfId="24" priority="4" operator="equal">
      <formula>"sadmin"</formula>
    </cfRule>
    <cfRule type="cellIs" dxfId="25" priority="5" operator="equal">
      <formula>"global1"</formula>
    </cfRule>
  </conditionalFormatting>
  <conditionalFormatting sqref="B2:B69 B71:B230 B232 B235:B250 B252:B266 B268:B555 B557:B843 B845:B874 B876:B878 B880:B895 B897:B904 B906:B909">
    <cfRule type="cellIs" dxfId="12" priority="32" operator="equal">
      <formula>B1</formula>
    </cfRule>
  </conditionalFormatting>
  <conditionalFormatting sqref="B70 B251 B267 B556 B844">
    <cfRule type="cellIs" dxfId="12" priority="1611" operator="equal">
      <formula>B68</formula>
    </cfRule>
  </conditionalFormatting>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3"/>
  <sheetViews>
    <sheetView zoomScale="85" zoomScaleNormal="85" workbookViewId="0">
      <selection activeCell="Z36" sqref="Z36"/>
    </sheetView>
  </sheetViews>
  <sheetFormatPr defaultColWidth="8.70909090909091" defaultRowHeight="14.5"/>
  <cols>
    <col min="1" max="1" width="4.28181818181818" style="1" customWidth="1"/>
    <col min="2" max="2" width="8.70909090909091" style="2"/>
    <col min="3" max="3" width="5" style="2" customWidth="1"/>
    <col min="4" max="6" width="8.70909090909091" style="2"/>
    <col min="7" max="7" width="5" style="2" customWidth="1"/>
    <col min="8" max="10" width="8.70909090909091" style="2"/>
    <col min="11" max="11" width="5" style="2" customWidth="1"/>
    <col min="12" max="14" width="8.70909090909091" style="2"/>
    <col min="15" max="15" width="5" style="2" customWidth="1"/>
    <col min="16" max="18" width="8.70909090909091" style="2"/>
    <col min="19" max="19" width="5" style="2" customWidth="1"/>
    <col min="20" max="20" width="8.70909090909091" style="2"/>
    <col min="21" max="21" width="3.42727272727273" style="2" customWidth="1"/>
    <col min="22" max="16384" width="8.70909090909091" style="2"/>
  </cols>
  <sheetData>
    <row r="1" ht="15.25" spans="1:21">
      <c r="A1" s="3"/>
      <c r="B1" s="4"/>
      <c r="C1" s="4"/>
      <c r="D1" s="4"/>
      <c r="E1" s="4"/>
      <c r="F1" s="4"/>
      <c r="G1" s="4"/>
      <c r="H1" s="4"/>
      <c r="I1" s="4"/>
      <c r="J1" s="4"/>
      <c r="K1" s="4"/>
      <c r="L1" s="4"/>
      <c r="M1" s="4"/>
      <c r="N1" s="4"/>
      <c r="O1" s="4"/>
      <c r="P1" s="4"/>
      <c r="Q1" s="4"/>
      <c r="R1" s="4"/>
      <c r="S1" s="4"/>
      <c r="T1" s="4"/>
      <c r="U1" s="28"/>
    </row>
    <row r="2" ht="14.65" customHeight="1" spans="1:21">
      <c r="A2" s="5" t="s">
        <v>8024</v>
      </c>
      <c r="B2" s="6">
        <v>101</v>
      </c>
      <c r="C2" s="7">
        <v>36</v>
      </c>
      <c r="D2" s="8">
        <v>120</v>
      </c>
      <c r="F2" s="6">
        <v>101</v>
      </c>
      <c r="G2" s="7">
        <v>35</v>
      </c>
      <c r="H2" s="8">
        <v>120</v>
      </c>
      <c r="J2" s="6">
        <v>101</v>
      </c>
      <c r="K2" s="7">
        <v>34</v>
      </c>
      <c r="L2" s="8">
        <v>120</v>
      </c>
      <c r="N2" s="6">
        <v>101</v>
      </c>
      <c r="O2" s="7">
        <v>33</v>
      </c>
      <c r="P2" s="8">
        <v>120</v>
      </c>
      <c r="R2" s="6">
        <v>101</v>
      </c>
      <c r="S2" s="7">
        <v>32</v>
      </c>
      <c r="T2" s="8">
        <v>120</v>
      </c>
      <c r="U2" s="29"/>
    </row>
    <row r="3" spans="1:21">
      <c r="A3" s="5"/>
      <c r="B3" s="9">
        <v>102</v>
      </c>
      <c r="C3" s="10"/>
      <c r="D3" s="11">
        <v>119</v>
      </c>
      <c r="F3" s="9">
        <v>102</v>
      </c>
      <c r="G3" s="10"/>
      <c r="H3" s="11">
        <v>119</v>
      </c>
      <c r="J3" s="9">
        <v>102</v>
      </c>
      <c r="K3" s="10"/>
      <c r="L3" s="11">
        <v>119</v>
      </c>
      <c r="N3" s="9">
        <v>102</v>
      </c>
      <c r="O3" s="10"/>
      <c r="P3" s="11">
        <v>119</v>
      </c>
      <c r="R3" s="9">
        <v>102</v>
      </c>
      <c r="S3" s="10"/>
      <c r="T3" s="11">
        <v>119</v>
      </c>
      <c r="U3" s="29"/>
    </row>
    <row r="4" spans="1:21">
      <c r="A4" s="5"/>
      <c r="B4" s="9">
        <v>103</v>
      </c>
      <c r="C4" s="10"/>
      <c r="D4" s="11">
        <v>118</v>
      </c>
      <c r="F4" s="9">
        <v>103</v>
      </c>
      <c r="G4" s="10"/>
      <c r="H4" s="11">
        <v>118</v>
      </c>
      <c r="J4" s="9">
        <v>103</v>
      </c>
      <c r="K4" s="10"/>
      <c r="L4" s="11">
        <v>118</v>
      </c>
      <c r="N4" s="9">
        <v>103</v>
      </c>
      <c r="O4" s="10"/>
      <c r="P4" s="11">
        <v>118</v>
      </c>
      <c r="R4" s="9">
        <v>103</v>
      </c>
      <c r="S4" s="10"/>
      <c r="T4" s="11">
        <v>118</v>
      </c>
      <c r="U4" s="29"/>
    </row>
    <row r="5" spans="1:21">
      <c r="A5" s="5"/>
      <c r="B5" s="9">
        <v>104</v>
      </c>
      <c r="C5" s="10"/>
      <c r="D5" s="11">
        <v>117</v>
      </c>
      <c r="F5" s="9">
        <v>104</v>
      </c>
      <c r="G5" s="10"/>
      <c r="H5" s="11">
        <v>117</v>
      </c>
      <c r="J5" s="9">
        <v>104</v>
      </c>
      <c r="K5" s="10"/>
      <c r="L5" s="11">
        <v>117</v>
      </c>
      <c r="N5" s="9">
        <v>104</v>
      </c>
      <c r="O5" s="10"/>
      <c r="P5" s="11">
        <v>117</v>
      </c>
      <c r="R5" s="9">
        <v>104</v>
      </c>
      <c r="S5" s="10"/>
      <c r="T5" s="11">
        <v>117</v>
      </c>
      <c r="U5" s="29"/>
    </row>
    <row r="6" spans="1:21">
      <c r="A6" s="5"/>
      <c r="B6" s="9">
        <v>105</v>
      </c>
      <c r="C6" s="10"/>
      <c r="D6" s="11">
        <v>116</v>
      </c>
      <c r="F6" s="9">
        <v>105</v>
      </c>
      <c r="G6" s="10"/>
      <c r="H6" s="11">
        <v>116</v>
      </c>
      <c r="J6" s="9">
        <v>105</v>
      </c>
      <c r="K6" s="10"/>
      <c r="L6" s="11">
        <v>116</v>
      </c>
      <c r="N6" s="9">
        <v>105</v>
      </c>
      <c r="O6" s="10"/>
      <c r="P6" s="11">
        <v>116</v>
      </c>
      <c r="R6" s="9">
        <v>105</v>
      </c>
      <c r="S6" s="10"/>
      <c r="T6" s="11">
        <v>116</v>
      </c>
      <c r="U6" s="29"/>
    </row>
    <row r="7" spans="1:21">
      <c r="A7" s="5"/>
      <c r="B7" s="9">
        <v>106</v>
      </c>
      <c r="C7" s="10"/>
      <c r="D7" s="12" t="s">
        <v>8025</v>
      </c>
      <c r="F7" s="9">
        <v>106</v>
      </c>
      <c r="G7" s="10"/>
      <c r="H7" s="12" t="s">
        <v>8025</v>
      </c>
      <c r="J7" s="9">
        <v>106</v>
      </c>
      <c r="K7" s="10"/>
      <c r="L7" s="12" t="s">
        <v>8025</v>
      </c>
      <c r="N7" s="9">
        <v>106</v>
      </c>
      <c r="O7" s="10"/>
      <c r="P7" s="12" t="s">
        <v>8025</v>
      </c>
      <c r="R7" s="9">
        <v>106</v>
      </c>
      <c r="S7" s="10"/>
      <c r="T7" s="12" t="s">
        <v>8025</v>
      </c>
      <c r="U7" s="29"/>
    </row>
    <row r="8" spans="1:21">
      <c r="A8" s="5"/>
      <c r="B8" s="9">
        <v>107</v>
      </c>
      <c r="C8" s="10"/>
      <c r="D8" s="13"/>
      <c r="F8" s="9">
        <v>107</v>
      </c>
      <c r="G8" s="10"/>
      <c r="H8" s="13"/>
      <c r="J8" s="9">
        <v>107</v>
      </c>
      <c r="K8" s="10"/>
      <c r="L8" s="13"/>
      <c r="N8" s="9">
        <v>107</v>
      </c>
      <c r="O8" s="10"/>
      <c r="P8" s="13"/>
      <c r="R8" s="9">
        <v>107</v>
      </c>
      <c r="S8" s="10"/>
      <c r="T8" s="13"/>
      <c r="U8" s="29"/>
    </row>
    <row r="9" spans="1:21">
      <c r="A9" s="5"/>
      <c r="B9" s="9">
        <v>108</v>
      </c>
      <c r="C9" s="10"/>
      <c r="D9" s="11">
        <v>115</v>
      </c>
      <c r="F9" s="9">
        <v>108</v>
      </c>
      <c r="G9" s="10"/>
      <c r="H9" s="11">
        <v>115</v>
      </c>
      <c r="J9" s="9">
        <v>108</v>
      </c>
      <c r="K9" s="10"/>
      <c r="L9" s="11">
        <v>115</v>
      </c>
      <c r="N9" s="9">
        <v>108</v>
      </c>
      <c r="O9" s="10"/>
      <c r="P9" s="11">
        <v>115</v>
      </c>
      <c r="R9" s="9">
        <v>108</v>
      </c>
      <c r="S9" s="10"/>
      <c r="T9" s="11">
        <v>115</v>
      </c>
      <c r="U9" s="29"/>
    </row>
    <row r="10" spans="1:21">
      <c r="A10" s="5"/>
      <c r="B10" s="9">
        <v>109</v>
      </c>
      <c r="C10" s="10"/>
      <c r="D10" s="11">
        <v>114</v>
      </c>
      <c r="F10" s="9">
        <v>109</v>
      </c>
      <c r="G10" s="10"/>
      <c r="H10" s="11">
        <v>114</v>
      </c>
      <c r="J10" s="9">
        <v>109</v>
      </c>
      <c r="K10" s="10"/>
      <c r="L10" s="11">
        <v>114</v>
      </c>
      <c r="N10" s="9">
        <v>109</v>
      </c>
      <c r="O10" s="10"/>
      <c r="P10" s="11">
        <v>114</v>
      </c>
      <c r="R10" s="9">
        <v>109</v>
      </c>
      <c r="S10" s="10"/>
      <c r="T10" s="11">
        <v>114</v>
      </c>
      <c r="U10" s="29"/>
    </row>
    <row r="11" spans="1:21">
      <c r="A11" s="5"/>
      <c r="B11" s="9">
        <v>110</v>
      </c>
      <c r="C11" s="10"/>
      <c r="D11" s="11">
        <v>113</v>
      </c>
      <c r="F11" s="9">
        <v>110</v>
      </c>
      <c r="G11" s="10"/>
      <c r="H11" s="11">
        <v>113</v>
      </c>
      <c r="J11" s="9">
        <v>110</v>
      </c>
      <c r="K11" s="10"/>
      <c r="L11" s="11">
        <v>113</v>
      </c>
      <c r="N11" s="9">
        <v>110</v>
      </c>
      <c r="O11" s="10"/>
      <c r="P11" s="11">
        <v>113</v>
      </c>
      <c r="R11" s="9">
        <v>110</v>
      </c>
      <c r="S11" s="10"/>
      <c r="T11" s="11">
        <v>113</v>
      </c>
      <c r="U11" s="29"/>
    </row>
    <row r="12" ht="15.25" spans="1:21">
      <c r="A12" s="5"/>
      <c r="B12" s="14">
        <v>111</v>
      </c>
      <c r="C12" s="15"/>
      <c r="D12" s="16">
        <v>112</v>
      </c>
      <c r="F12" s="14">
        <v>111</v>
      </c>
      <c r="G12" s="15"/>
      <c r="H12" s="16">
        <v>112</v>
      </c>
      <c r="J12" s="14">
        <v>111</v>
      </c>
      <c r="K12" s="15"/>
      <c r="L12" s="16">
        <v>112</v>
      </c>
      <c r="N12" s="14">
        <v>111</v>
      </c>
      <c r="O12" s="15"/>
      <c r="P12" s="16">
        <v>112</v>
      </c>
      <c r="R12" s="14">
        <v>111</v>
      </c>
      <c r="S12" s="15"/>
      <c r="T12" s="16">
        <v>112</v>
      </c>
      <c r="U12" s="29"/>
    </row>
    <row r="13" spans="1:21">
      <c r="A13" s="5"/>
      <c r="U13" s="29"/>
    </row>
    <row r="14" ht="15.25" spans="1:21">
      <c r="A14" s="5"/>
      <c r="B14" s="17"/>
      <c r="C14" s="18"/>
      <c r="D14" s="18"/>
      <c r="F14" s="17"/>
      <c r="G14" s="18"/>
      <c r="H14" s="18"/>
      <c r="J14" s="17"/>
      <c r="K14" s="18"/>
      <c r="L14" s="18"/>
      <c r="N14" s="17"/>
      <c r="O14" s="18"/>
      <c r="P14" s="18"/>
      <c r="R14" s="17"/>
      <c r="S14" s="18"/>
      <c r="T14" s="18"/>
      <c r="U14" s="29"/>
    </row>
    <row r="15" ht="14.65" customHeight="1" spans="1:21">
      <c r="A15" s="5"/>
      <c r="B15" s="6">
        <v>101</v>
      </c>
      <c r="C15" s="7">
        <v>27</v>
      </c>
      <c r="D15" s="8">
        <v>120</v>
      </c>
      <c r="F15" s="6">
        <v>101</v>
      </c>
      <c r="G15" s="7">
        <v>28</v>
      </c>
      <c r="H15" s="8">
        <v>120</v>
      </c>
      <c r="J15" s="6">
        <v>101</v>
      </c>
      <c r="K15" s="7">
        <v>29</v>
      </c>
      <c r="L15" s="8">
        <v>120</v>
      </c>
      <c r="N15" s="6">
        <v>101</v>
      </c>
      <c r="O15" s="7">
        <v>30</v>
      </c>
      <c r="P15" s="8">
        <v>120</v>
      </c>
      <c r="R15" s="6">
        <v>101</v>
      </c>
      <c r="S15" s="7">
        <v>31</v>
      </c>
      <c r="T15" s="8">
        <v>120</v>
      </c>
      <c r="U15" s="29"/>
    </row>
    <row r="16" spans="1:21">
      <c r="A16" s="5"/>
      <c r="B16" s="9">
        <v>102</v>
      </c>
      <c r="C16" s="10"/>
      <c r="D16" s="11">
        <v>119</v>
      </c>
      <c r="F16" s="9">
        <v>102</v>
      </c>
      <c r="G16" s="10"/>
      <c r="H16" s="11">
        <v>119</v>
      </c>
      <c r="J16" s="9">
        <v>102</v>
      </c>
      <c r="K16" s="10"/>
      <c r="L16" s="11">
        <v>119</v>
      </c>
      <c r="N16" s="9">
        <v>102</v>
      </c>
      <c r="O16" s="10"/>
      <c r="P16" s="11">
        <v>119</v>
      </c>
      <c r="R16" s="9">
        <v>102</v>
      </c>
      <c r="S16" s="10"/>
      <c r="T16" s="11">
        <v>119</v>
      </c>
      <c r="U16" s="29"/>
    </row>
    <row r="17" spans="1:21">
      <c r="A17" s="5"/>
      <c r="B17" s="9">
        <v>103</v>
      </c>
      <c r="C17" s="10"/>
      <c r="D17" s="11">
        <v>118</v>
      </c>
      <c r="F17" s="9">
        <v>103</v>
      </c>
      <c r="G17" s="10"/>
      <c r="H17" s="11">
        <v>118</v>
      </c>
      <c r="J17" s="9">
        <v>103</v>
      </c>
      <c r="K17" s="10"/>
      <c r="L17" s="11">
        <v>118</v>
      </c>
      <c r="N17" s="9">
        <v>103</v>
      </c>
      <c r="O17" s="10"/>
      <c r="P17" s="11">
        <v>118</v>
      </c>
      <c r="R17" s="9">
        <v>103</v>
      </c>
      <c r="S17" s="10"/>
      <c r="T17" s="11">
        <v>118</v>
      </c>
      <c r="U17" s="29"/>
    </row>
    <row r="18" spans="1:21">
      <c r="A18" s="5"/>
      <c r="B18" s="9">
        <v>104</v>
      </c>
      <c r="C18" s="10"/>
      <c r="D18" s="11">
        <v>117</v>
      </c>
      <c r="F18" s="9">
        <v>104</v>
      </c>
      <c r="G18" s="10"/>
      <c r="H18" s="11">
        <v>117</v>
      </c>
      <c r="J18" s="9">
        <v>104</v>
      </c>
      <c r="K18" s="10"/>
      <c r="L18" s="11">
        <v>117</v>
      </c>
      <c r="N18" s="9">
        <v>104</v>
      </c>
      <c r="O18" s="10"/>
      <c r="P18" s="11">
        <v>117</v>
      </c>
      <c r="R18" s="9">
        <v>104</v>
      </c>
      <c r="S18" s="10"/>
      <c r="T18" s="11">
        <v>117</v>
      </c>
      <c r="U18" s="29"/>
    </row>
    <row r="19" spans="1:21">
      <c r="A19" s="5"/>
      <c r="B19" s="9">
        <v>105</v>
      </c>
      <c r="C19" s="10"/>
      <c r="D19" s="11">
        <v>116</v>
      </c>
      <c r="F19" s="9">
        <v>105</v>
      </c>
      <c r="G19" s="10"/>
      <c r="H19" s="11">
        <v>116</v>
      </c>
      <c r="J19" s="9">
        <v>105</v>
      </c>
      <c r="K19" s="10"/>
      <c r="L19" s="11">
        <v>116</v>
      </c>
      <c r="N19" s="9">
        <v>105</v>
      </c>
      <c r="O19" s="10"/>
      <c r="P19" s="11">
        <v>116</v>
      </c>
      <c r="R19" s="9">
        <v>105</v>
      </c>
      <c r="S19" s="10"/>
      <c r="T19" s="11">
        <v>116</v>
      </c>
      <c r="U19" s="29"/>
    </row>
    <row r="20" spans="1:21">
      <c r="A20" s="5"/>
      <c r="B20" s="9">
        <v>106</v>
      </c>
      <c r="C20" s="10"/>
      <c r="D20" s="12" t="s">
        <v>8025</v>
      </c>
      <c r="F20" s="9">
        <v>106</v>
      </c>
      <c r="G20" s="10"/>
      <c r="H20" s="12" t="s">
        <v>8025</v>
      </c>
      <c r="J20" s="9">
        <v>106</v>
      </c>
      <c r="K20" s="10"/>
      <c r="L20" s="12" t="s">
        <v>8025</v>
      </c>
      <c r="N20" s="9">
        <v>106</v>
      </c>
      <c r="O20" s="10"/>
      <c r="P20" s="12" t="s">
        <v>8025</v>
      </c>
      <c r="R20" s="9">
        <v>106</v>
      </c>
      <c r="S20" s="10"/>
      <c r="T20" s="12" t="s">
        <v>8025</v>
      </c>
      <c r="U20" s="29"/>
    </row>
    <row r="21" spans="1:21">
      <c r="A21" s="5"/>
      <c r="B21" s="9">
        <v>107</v>
      </c>
      <c r="C21" s="10"/>
      <c r="D21" s="13"/>
      <c r="F21" s="9">
        <v>107</v>
      </c>
      <c r="G21" s="10"/>
      <c r="H21" s="13"/>
      <c r="J21" s="9">
        <v>107</v>
      </c>
      <c r="K21" s="10"/>
      <c r="L21" s="13"/>
      <c r="N21" s="9">
        <v>107</v>
      </c>
      <c r="O21" s="10"/>
      <c r="P21" s="13"/>
      <c r="R21" s="9">
        <v>107</v>
      </c>
      <c r="S21" s="10"/>
      <c r="T21" s="13"/>
      <c r="U21" s="29"/>
    </row>
    <row r="22" spans="1:21">
      <c r="A22" s="5"/>
      <c r="B22" s="9">
        <v>108</v>
      </c>
      <c r="C22" s="10"/>
      <c r="D22" s="11">
        <v>115</v>
      </c>
      <c r="F22" s="9">
        <v>108</v>
      </c>
      <c r="G22" s="10"/>
      <c r="H22" s="11">
        <v>115</v>
      </c>
      <c r="J22" s="9">
        <v>108</v>
      </c>
      <c r="K22" s="10"/>
      <c r="L22" s="11">
        <v>115</v>
      </c>
      <c r="N22" s="9">
        <v>108</v>
      </c>
      <c r="O22" s="10"/>
      <c r="P22" s="11">
        <v>115</v>
      </c>
      <c r="R22" s="9">
        <v>108</v>
      </c>
      <c r="S22" s="10"/>
      <c r="T22" s="11">
        <v>115</v>
      </c>
      <c r="U22" s="29"/>
    </row>
    <row r="23" spans="1:21">
      <c r="A23" s="5"/>
      <c r="B23" s="9">
        <v>109</v>
      </c>
      <c r="C23" s="10"/>
      <c r="D23" s="11">
        <v>114</v>
      </c>
      <c r="F23" s="9">
        <v>109</v>
      </c>
      <c r="G23" s="10"/>
      <c r="H23" s="11">
        <v>114</v>
      </c>
      <c r="J23" s="9">
        <v>109</v>
      </c>
      <c r="K23" s="10"/>
      <c r="L23" s="11">
        <v>114</v>
      </c>
      <c r="N23" s="9">
        <v>109</v>
      </c>
      <c r="O23" s="10"/>
      <c r="P23" s="11">
        <v>114</v>
      </c>
      <c r="R23" s="9">
        <v>109</v>
      </c>
      <c r="S23" s="10"/>
      <c r="T23" s="11">
        <v>114</v>
      </c>
      <c r="U23" s="29"/>
    </row>
    <row r="24" spans="1:21">
      <c r="A24" s="5"/>
      <c r="B24" s="9">
        <v>110</v>
      </c>
      <c r="C24" s="10"/>
      <c r="D24" s="11">
        <v>113</v>
      </c>
      <c r="F24" s="9">
        <v>110</v>
      </c>
      <c r="G24" s="10"/>
      <c r="H24" s="11">
        <v>113</v>
      </c>
      <c r="J24" s="9">
        <v>110</v>
      </c>
      <c r="K24" s="10"/>
      <c r="L24" s="11">
        <v>113</v>
      </c>
      <c r="N24" s="9">
        <v>110</v>
      </c>
      <c r="O24" s="10"/>
      <c r="P24" s="11">
        <v>113</v>
      </c>
      <c r="R24" s="9">
        <v>110</v>
      </c>
      <c r="S24" s="10"/>
      <c r="T24" s="11">
        <v>113</v>
      </c>
      <c r="U24" s="29"/>
    </row>
    <row r="25" ht="15.25" spans="1:21">
      <c r="A25" s="5"/>
      <c r="B25" s="14">
        <v>111</v>
      </c>
      <c r="C25" s="15"/>
      <c r="D25" s="16">
        <v>112</v>
      </c>
      <c r="F25" s="14">
        <v>111</v>
      </c>
      <c r="G25" s="15"/>
      <c r="H25" s="16">
        <v>112</v>
      </c>
      <c r="J25" s="14">
        <v>111</v>
      </c>
      <c r="K25" s="15"/>
      <c r="L25" s="16">
        <v>112</v>
      </c>
      <c r="N25" s="14">
        <v>111</v>
      </c>
      <c r="O25" s="15"/>
      <c r="P25" s="16">
        <v>112</v>
      </c>
      <c r="R25" s="14">
        <v>111</v>
      </c>
      <c r="S25" s="15"/>
      <c r="T25" s="16">
        <v>112</v>
      </c>
      <c r="U25" s="29"/>
    </row>
    <row r="26" ht="15.75" customHeight="1" spans="1:21">
      <c r="A26" s="19"/>
      <c r="B26" s="20"/>
      <c r="C26" s="21"/>
      <c r="D26" s="20"/>
      <c r="E26" s="20"/>
      <c r="F26" s="20"/>
      <c r="G26" s="21"/>
      <c r="H26" s="20"/>
      <c r="I26" s="20"/>
      <c r="J26" s="20"/>
      <c r="K26" s="21"/>
      <c r="L26" s="20"/>
      <c r="M26" s="20"/>
      <c r="N26" s="20"/>
      <c r="O26" s="21"/>
      <c r="P26" s="20"/>
      <c r="Q26" s="20"/>
      <c r="R26" s="20"/>
      <c r="S26" s="21"/>
      <c r="T26" s="20"/>
      <c r="U26" s="30"/>
    </row>
    <row r="27" ht="15.75" customHeight="1" spans="1:19">
      <c r="A27" s="22"/>
      <c r="C27" s="23"/>
      <c r="G27" s="23"/>
      <c r="K27" s="23"/>
      <c r="O27" s="23"/>
      <c r="S27" s="23"/>
    </row>
    <row r="28" ht="15.75" customHeight="1" spans="1:21">
      <c r="A28" s="3"/>
      <c r="B28" s="4"/>
      <c r="C28" s="4"/>
      <c r="D28" s="4"/>
      <c r="E28" s="4"/>
      <c r="F28" s="4"/>
      <c r="G28" s="4"/>
      <c r="H28" s="4"/>
      <c r="I28" s="4"/>
      <c r="J28" s="4"/>
      <c r="K28" s="4"/>
      <c r="L28" s="4"/>
      <c r="M28" s="4"/>
      <c r="N28" s="4"/>
      <c r="O28" s="4"/>
      <c r="P28" s="4"/>
      <c r="Q28" s="4"/>
      <c r="R28" s="4"/>
      <c r="S28" s="4"/>
      <c r="T28" s="4"/>
      <c r="U28" s="28"/>
    </row>
    <row r="29" ht="14.65" customHeight="1" spans="1:21">
      <c r="A29" s="5" t="s">
        <v>8026</v>
      </c>
      <c r="B29" s="6">
        <v>201</v>
      </c>
      <c r="C29" s="24">
        <v>36</v>
      </c>
      <c r="D29" s="8">
        <v>220</v>
      </c>
      <c r="F29" s="6">
        <v>201</v>
      </c>
      <c r="G29" s="24">
        <f>C29-1</f>
        <v>35</v>
      </c>
      <c r="H29" s="8">
        <v>220</v>
      </c>
      <c r="J29" s="6">
        <v>201</v>
      </c>
      <c r="K29" s="24">
        <f>G29-1</f>
        <v>34</v>
      </c>
      <c r="L29" s="8">
        <v>220</v>
      </c>
      <c r="N29" s="6">
        <v>201</v>
      </c>
      <c r="O29" s="24">
        <f>K29-1</f>
        <v>33</v>
      </c>
      <c r="P29" s="8">
        <v>220</v>
      </c>
      <c r="R29" s="6">
        <v>201</v>
      </c>
      <c r="S29" s="24">
        <f>O29-1</f>
        <v>32</v>
      </c>
      <c r="T29" s="8">
        <v>220</v>
      </c>
      <c r="U29" s="29"/>
    </row>
    <row r="30" ht="14.65" customHeight="1" spans="1:21">
      <c r="A30" s="5"/>
      <c r="B30" s="9">
        <v>202</v>
      </c>
      <c r="C30" s="25"/>
      <c r="D30" s="11">
        <v>219</v>
      </c>
      <c r="F30" s="9">
        <v>202</v>
      </c>
      <c r="G30" s="25"/>
      <c r="H30" s="11">
        <v>219</v>
      </c>
      <c r="J30" s="9">
        <v>202</v>
      </c>
      <c r="K30" s="25"/>
      <c r="L30" s="11">
        <v>219</v>
      </c>
      <c r="N30" s="9">
        <v>202</v>
      </c>
      <c r="O30" s="25"/>
      <c r="P30" s="11">
        <v>219</v>
      </c>
      <c r="R30" s="9">
        <v>202</v>
      </c>
      <c r="S30" s="25"/>
      <c r="T30" s="11">
        <v>219</v>
      </c>
      <c r="U30" s="29"/>
    </row>
    <row r="31" ht="14.65" customHeight="1" spans="1:21">
      <c r="A31" s="5"/>
      <c r="B31" s="9">
        <v>203</v>
      </c>
      <c r="C31" s="25"/>
      <c r="D31" s="11">
        <v>218</v>
      </c>
      <c r="F31" s="9">
        <v>203</v>
      </c>
      <c r="G31" s="25"/>
      <c r="H31" s="11">
        <v>218</v>
      </c>
      <c r="J31" s="9">
        <v>203</v>
      </c>
      <c r="K31" s="25"/>
      <c r="L31" s="11">
        <v>218</v>
      </c>
      <c r="N31" s="9">
        <v>203</v>
      </c>
      <c r="O31" s="25"/>
      <c r="P31" s="11">
        <v>218</v>
      </c>
      <c r="R31" s="9">
        <v>203</v>
      </c>
      <c r="S31" s="25"/>
      <c r="T31" s="11">
        <v>218</v>
      </c>
      <c r="U31" s="29"/>
    </row>
    <row r="32" ht="14.65" customHeight="1" spans="1:21">
      <c r="A32" s="5"/>
      <c r="B32" s="9">
        <v>204</v>
      </c>
      <c r="C32" s="25"/>
      <c r="D32" s="11">
        <v>217</v>
      </c>
      <c r="F32" s="9">
        <v>204</v>
      </c>
      <c r="G32" s="25"/>
      <c r="H32" s="11">
        <v>217</v>
      </c>
      <c r="J32" s="9">
        <v>204</v>
      </c>
      <c r="K32" s="25"/>
      <c r="L32" s="11">
        <v>217</v>
      </c>
      <c r="N32" s="9">
        <v>204</v>
      </c>
      <c r="O32" s="25"/>
      <c r="P32" s="11">
        <v>217</v>
      </c>
      <c r="R32" s="9">
        <v>204</v>
      </c>
      <c r="S32" s="25"/>
      <c r="T32" s="11">
        <v>217</v>
      </c>
      <c r="U32" s="29"/>
    </row>
    <row r="33" ht="14.65" customHeight="1" spans="1:21">
      <c r="A33" s="5"/>
      <c r="B33" s="9">
        <v>205</v>
      </c>
      <c r="C33" s="25"/>
      <c r="D33" s="11">
        <v>216</v>
      </c>
      <c r="F33" s="9">
        <v>205</v>
      </c>
      <c r="G33" s="25"/>
      <c r="H33" s="11">
        <v>216</v>
      </c>
      <c r="J33" s="9">
        <v>205</v>
      </c>
      <c r="K33" s="25"/>
      <c r="L33" s="11">
        <v>216</v>
      </c>
      <c r="N33" s="9">
        <v>205</v>
      </c>
      <c r="O33" s="25"/>
      <c r="P33" s="11">
        <v>216</v>
      </c>
      <c r="R33" s="9">
        <v>205</v>
      </c>
      <c r="S33" s="25"/>
      <c r="T33" s="11">
        <v>216</v>
      </c>
      <c r="U33" s="29"/>
    </row>
    <row r="34" ht="14.65" customHeight="1" spans="1:21">
      <c r="A34" s="5"/>
      <c r="B34" s="9">
        <v>206</v>
      </c>
      <c r="C34" s="25"/>
      <c r="D34" s="11" t="s">
        <v>8025</v>
      </c>
      <c r="F34" s="9">
        <v>206</v>
      </c>
      <c r="G34" s="25"/>
      <c r="H34" s="11" t="s">
        <v>8025</v>
      </c>
      <c r="J34" s="9">
        <v>206</v>
      </c>
      <c r="K34" s="25"/>
      <c r="L34" s="11" t="s">
        <v>8025</v>
      </c>
      <c r="N34" s="9">
        <v>206</v>
      </c>
      <c r="O34" s="25"/>
      <c r="P34" s="11" t="s">
        <v>8025</v>
      </c>
      <c r="R34" s="9">
        <v>206</v>
      </c>
      <c r="S34" s="25"/>
      <c r="T34" s="11" t="s">
        <v>8025</v>
      </c>
      <c r="U34" s="29"/>
    </row>
    <row r="35" ht="14.65" customHeight="1" spans="1:21">
      <c r="A35" s="5"/>
      <c r="B35" s="9">
        <v>207</v>
      </c>
      <c r="C35" s="25"/>
      <c r="D35" s="11"/>
      <c r="F35" s="9">
        <v>207</v>
      </c>
      <c r="G35" s="25"/>
      <c r="H35" s="11"/>
      <c r="J35" s="9">
        <v>207</v>
      </c>
      <c r="K35" s="25"/>
      <c r="L35" s="11"/>
      <c r="N35" s="9">
        <v>207</v>
      </c>
      <c r="O35" s="25"/>
      <c r="P35" s="11"/>
      <c r="R35" s="9">
        <v>207</v>
      </c>
      <c r="S35" s="25"/>
      <c r="T35" s="11"/>
      <c r="U35" s="29"/>
    </row>
    <row r="36" ht="14.65" customHeight="1" spans="1:21">
      <c r="A36" s="5"/>
      <c r="B36" s="9">
        <v>208</v>
      </c>
      <c r="C36" s="25"/>
      <c r="D36" s="11">
        <v>215</v>
      </c>
      <c r="F36" s="9">
        <v>208</v>
      </c>
      <c r="G36" s="25"/>
      <c r="H36" s="11">
        <v>215</v>
      </c>
      <c r="J36" s="9">
        <v>208</v>
      </c>
      <c r="K36" s="25"/>
      <c r="L36" s="11">
        <v>215</v>
      </c>
      <c r="N36" s="9">
        <v>208</v>
      </c>
      <c r="O36" s="25"/>
      <c r="P36" s="11">
        <v>215</v>
      </c>
      <c r="R36" s="9">
        <v>208</v>
      </c>
      <c r="S36" s="25"/>
      <c r="T36" s="11">
        <v>215</v>
      </c>
      <c r="U36" s="29"/>
    </row>
    <row r="37" ht="14.65" customHeight="1" spans="1:21">
      <c r="A37" s="5"/>
      <c r="B37" s="9">
        <v>209</v>
      </c>
      <c r="C37" s="25"/>
      <c r="D37" s="11">
        <v>214</v>
      </c>
      <c r="F37" s="9">
        <v>209</v>
      </c>
      <c r="G37" s="25"/>
      <c r="H37" s="11">
        <v>214</v>
      </c>
      <c r="J37" s="9">
        <v>209</v>
      </c>
      <c r="K37" s="25"/>
      <c r="L37" s="11">
        <v>214</v>
      </c>
      <c r="N37" s="9">
        <v>209</v>
      </c>
      <c r="O37" s="25"/>
      <c r="P37" s="11">
        <v>214</v>
      </c>
      <c r="R37" s="9">
        <v>209</v>
      </c>
      <c r="S37" s="25"/>
      <c r="T37" s="11">
        <v>214</v>
      </c>
      <c r="U37" s="29"/>
    </row>
    <row r="38" ht="14.65" customHeight="1" spans="1:21">
      <c r="A38" s="5"/>
      <c r="B38" s="9">
        <v>210</v>
      </c>
      <c r="C38" s="25"/>
      <c r="D38" s="11">
        <v>213</v>
      </c>
      <c r="F38" s="9">
        <v>210</v>
      </c>
      <c r="G38" s="25"/>
      <c r="H38" s="11">
        <v>213</v>
      </c>
      <c r="J38" s="9">
        <v>210</v>
      </c>
      <c r="K38" s="25"/>
      <c r="L38" s="11">
        <v>213</v>
      </c>
      <c r="N38" s="9">
        <v>210</v>
      </c>
      <c r="O38" s="25"/>
      <c r="P38" s="11">
        <v>213</v>
      </c>
      <c r="R38" s="9">
        <v>210</v>
      </c>
      <c r="S38" s="25"/>
      <c r="T38" s="11">
        <v>213</v>
      </c>
      <c r="U38" s="29"/>
    </row>
    <row r="39" ht="15" customHeight="1" spans="1:21">
      <c r="A39" s="5"/>
      <c r="B39" s="14">
        <v>211</v>
      </c>
      <c r="C39" s="26"/>
      <c r="D39" s="16">
        <v>212</v>
      </c>
      <c r="F39" s="14">
        <v>211</v>
      </c>
      <c r="G39" s="26"/>
      <c r="H39" s="16">
        <v>212</v>
      </c>
      <c r="J39" s="14">
        <v>211</v>
      </c>
      <c r="K39" s="26"/>
      <c r="L39" s="16">
        <v>212</v>
      </c>
      <c r="N39" s="14">
        <v>211</v>
      </c>
      <c r="O39" s="26"/>
      <c r="P39" s="16">
        <v>212</v>
      </c>
      <c r="R39" s="14">
        <v>211</v>
      </c>
      <c r="S39" s="26"/>
      <c r="T39" s="16">
        <v>212</v>
      </c>
      <c r="U39" s="29"/>
    </row>
    <row r="40" spans="1:21">
      <c r="A40" s="5"/>
      <c r="U40" s="29"/>
    </row>
    <row r="41" ht="15.25" spans="1:21">
      <c r="A41" s="5"/>
      <c r="B41" s="17"/>
      <c r="C41" s="18"/>
      <c r="D41" s="18"/>
      <c r="F41" s="17"/>
      <c r="G41" s="18"/>
      <c r="H41" s="18"/>
      <c r="J41" s="17"/>
      <c r="K41" s="18"/>
      <c r="L41" s="18"/>
      <c r="N41" s="17"/>
      <c r="O41" s="18"/>
      <c r="P41" s="18"/>
      <c r="R41" s="17"/>
      <c r="S41" s="18"/>
      <c r="T41" s="18"/>
      <c r="U41" s="29"/>
    </row>
    <row r="42" ht="14.65" customHeight="1" spans="1:21">
      <c r="A42" s="5"/>
      <c r="B42" s="6">
        <v>201</v>
      </c>
      <c r="C42" s="24">
        <v>27</v>
      </c>
      <c r="D42" s="8">
        <v>220</v>
      </c>
      <c r="F42" s="6">
        <v>201</v>
      </c>
      <c r="G42" s="24">
        <f>C42+1</f>
        <v>28</v>
      </c>
      <c r="H42" s="8">
        <v>220</v>
      </c>
      <c r="J42" s="6">
        <v>201</v>
      </c>
      <c r="K42" s="24">
        <f>G42+1</f>
        <v>29</v>
      </c>
      <c r="L42" s="8">
        <v>220</v>
      </c>
      <c r="N42" s="6">
        <v>201</v>
      </c>
      <c r="O42" s="24">
        <f>K42+1</f>
        <v>30</v>
      </c>
      <c r="P42" s="8">
        <v>220</v>
      </c>
      <c r="R42" s="6">
        <v>201</v>
      </c>
      <c r="S42" s="24">
        <f>O42+1</f>
        <v>31</v>
      </c>
      <c r="T42" s="8">
        <v>220</v>
      </c>
      <c r="U42" s="29"/>
    </row>
    <row r="43" ht="14.65" customHeight="1" spans="1:21">
      <c r="A43" s="5"/>
      <c r="B43" s="9">
        <v>202</v>
      </c>
      <c r="C43" s="25"/>
      <c r="D43" s="11">
        <v>219</v>
      </c>
      <c r="F43" s="9">
        <v>202</v>
      </c>
      <c r="G43" s="25"/>
      <c r="H43" s="11">
        <v>219</v>
      </c>
      <c r="J43" s="9">
        <v>202</v>
      </c>
      <c r="K43" s="25"/>
      <c r="L43" s="11">
        <v>219</v>
      </c>
      <c r="N43" s="9">
        <v>202</v>
      </c>
      <c r="O43" s="25"/>
      <c r="P43" s="11">
        <v>219</v>
      </c>
      <c r="R43" s="9">
        <v>202</v>
      </c>
      <c r="S43" s="25"/>
      <c r="T43" s="11">
        <v>219</v>
      </c>
      <c r="U43" s="29"/>
    </row>
    <row r="44" ht="14.65" customHeight="1" spans="1:21">
      <c r="A44" s="5"/>
      <c r="B44" s="9">
        <v>203</v>
      </c>
      <c r="C44" s="25"/>
      <c r="D44" s="11">
        <v>218</v>
      </c>
      <c r="F44" s="9">
        <v>203</v>
      </c>
      <c r="G44" s="25"/>
      <c r="H44" s="11">
        <v>218</v>
      </c>
      <c r="J44" s="9">
        <v>203</v>
      </c>
      <c r="K44" s="25"/>
      <c r="L44" s="11">
        <v>218</v>
      </c>
      <c r="N44" s="9">
        <v>203</v>
      </c>
      <c r="O44" s="25"/>
      <c r="P44" s="11">
        <v>218</v>
      </c>
      <c r="R44" s="9">
        <v>203</v>
      </c>
      <c r="S44" s="25"/>
      <c r="T44" s="11">
        <v>218</v>
      </c>
      <c r="U44" s="29"/>
    </row>
    <row r="45" ht="14.65" customHeight="1" spans="1:21">
      <c r="A45" s="5"/>
      <c r="B45" s="9">
        <v>204</v>
      </c>
      <c r="C45" s="25"/>
      <c r="D45" s="11">
        <v>217</v>
      </c>
      <c r="F45" s="9">
        <v>204</v>
      </c>
      <c r="G45" s="25"/>
      <c r="H45" s="11">
        <v>217</v>
      </c>
      <c r="J45" s="9">
        <v>204</v>
      </c>
      <c r="K45" s="25"/>
      <c r="L45" s="11">
        <v>217</v>
      </c>
      <c r="N45" s="9">
        <v>204</v>
      </c>
      <c r="O45" s="25"/>
      <c r="P45" s="11">
        <v>217</v>
      </c>
      <c r="R45" s="9">
        <v>204</v>
      </c>
      <c r="S45" s="25"/>
      <c r="T45" s="11">
        <v>217</v>
      </c>
      <c r="U45" s="29"/>
    </row>
    <row r="46" ht="14.65" customHeight="1" spans="1:21">
      <c r="A46" s="5"/>
      <c r="B46" s="9">
        <v>205</v>
      </c>
      <c r="C46" s="25"/>
      <c r="D46" s="11">
        <v>216</v>
      </c>
      <c r="F46" s="9">
        <v>205</v>
      </c>
      <c r="G46" s="25"/>
      <c r="H46" s="11">
        <v>216</v>
      </c>
      <c r="J46" s="9">
        <v>205</v>
      </c>
      <c r="K46" s="25"/>
      <c r="L46" s="11">
        <v>216</v>
      </c>
      <c r="N46" s="9">
        <v>205</v>
      </c>
      <c r="O46" s="25"/>
      <c r="P46" s="11">
        <v>216</v>
      </c>
      <c r="R46" s="9">
        <v>205</v>
      </c>
      <c r="S46" s="25"/>
      <c r="T46" s="11">
        <v>216</v>
      </c>
      <c r="U46" s="29"/>
    </row>
    <row r="47" ht="14.65" customHeight="1" spans="1:21">
      <c r="A47" s="5"/>
      <c r="B47" s="9">
        <v>206</v>
      </c>
      <c r="C47" s="25"/>
      <c r="D47" s="11" t="s">
        <v>8025</v>
      </c>
      <c r="F47" s="9">
        <v>206</v>
      </c>
      <c r="G47" s="25"/>
      <c r="H47" s="11" t="s">
        <v>8025</v>
      </c>
      <c r="J47" s="9">
        <v>206</v>
      </c>
      <c r="K47" s="25"/>
      <c r="L47" s="11" t="s">
        <v>8025</v>
      </c>
      <c r="N47" s="9">
        <v>206</v>
      </c>
      <c r="O47" s="25"/>
      <c r="P47" s="11" t="s">
        <v>8025</v>
      </c>
      <c r="R47" s="9">
        <v>206</v>
      </c>
      <c r="S47" s="25"/>
      <c r="T47" s="11" t="s">
        <v>8025</v>
      </c>
      <c r="U47" s="29"/>
    </row>
    <row r="48" ht="14.65" customHeight="1" spans="1:21">
      <c r="A48" s="5"/>
      <c r="B48" s="9">
        <v>207</v>
      </c>
      <c r="C48" s="25"/>
      <c r="D48" s="11"/>
      <c r="F48" s="9">
        <v>207</v>
      </c>
      <c r="G48" s="25"/>
      <c r="H48" s="11"/>
      <c r="J48" s="9">
        <v>207</v>
      </c>
      <c r="K48" s="25"/>
      <c r="L48" s="11"/>
      <c r="N48" s="9">
        <v>207</v>
      </c>
      <c r="O48" s="25"/>
      <c r="P48" s="11"/>
      <c r="R48" s="9">
        <v>207</v>
      </c>
      <c r="S48" s="25"/>
      <c r="T48" s="11"/>
      <c r="U48" s="29"/>
    </row>
    <row r="49" ht="14.65" customHeight="1" spans="1:21">
      <c r="A49" s="5"/>
      <c r="B49" s="9">
        <v>208</v>
      </c>
      <c r="C49" s="25"/>
      <c r="D49" s="11">
        <v>215</v>
      </c>
      <c r="F49" s="9">
        <v>208</v>
      </c>
      <c r="G49" s="25"/>
      <c r="H49" s="11">
        <v>215</v>
      </c>
      <c r="J49" s="9">
        <v>208</v>
      </c>
      <c r="K49" s="25"/>
      <c r="L49" s="11">
        <v>215</v>
      </c>
      <c r="N49" s="9">
        <v>208</v>
      </c>
      <c r="O49" s="25"/>
      <c r="P49" s="11">
        <v>215</v>
      </c>
      <c r="R49" s="9">
        <v>208</v>
      </c>
      <c r="S49" s="25"/>
      <c r="T49" s="11">
        <v>215</v>
      </c>
      <c r="U49" s="29"/>
    </row>
    <row r="50" ht="14.65" customHeight="1" spans="1:21">
      <c r="A50" s="5"/>
      <c r="B50" s="9">
        <v>209</v>
      </c>
      <c r="C50" s="25"/>
      <c r="D50" s="11">
        <v>214</v>
      </c>
      <c r="F50" s="9">
        <v>209</v>
      </c>
      <c r="G50" s="25"/>
      <c r="H50" s="11">
        <v>214</v>
      </c>
      <c r="J50" s="9">
        <v>209</v>
      </c>
      <c r="K50" s="25"/>
      <c r="L50" s="11">
        <v>214</v>
      </c>
      <c r="N50" s="9">
        <v>209</v>
      </c>
      <c r="O50" s="25"/>
      <c r="P50" s="11">
        <v>214</v>
      </c>
      <c r="R50" s="9">
        <v>209</v>
      </c>
      <c r="S50" s="25"/>
      <c r="T50" s="11">
        <v>214</v>
      </c>
      <c r="U50" s="29"/>
    </row>
    <row r="51" ht="14.65" customHeight="1" spans="1:21">
      <c r="A51" s="5"/>
      <c r="B51" s="9">
        <v>210</v>
      </c>
      <c r="C51" s="25"/>
      <c r="D51" s="11">
        <v>213</v>
      </c>
      <c r="F51" s="9">
        <v>210</v>
      </c>
      <c r="G51" s="25"/>
      <c r="H51" s="11">
        <v>213</v>
      </c>
      <c r="J51" s="9">
        <v>210</v>
      </c>
      <c r="K51" s="25"/>
      <c r="L51" s="11">
        <v>213</v>
      </c>
      <c r="N51" s="9">
        <v>210</v>
      </c>
      <c r="O51" s="25"/>
      <c r="P51" s="11">
        <v>213</v>
      </c>
      <c r="R51" s="9">
        <v>210</v>
      </c>
      <c r="S51" s="25"/>
      <c r="T51" s="11">
        <v>213</v>
      </c>
      <c r="U51" s="29"/>
    </row>
    <row r="52" ht="15" customHeight="1" spans="1:21">
      <c r="A52" s="5"/>
      <c r="B52" s="14">
        <v>211</v>
      </c>
      <c r="C52" s="26"/>
      <c r="D52" s="16">
        <v>212</v>
      </c>
      <c r="F52" s="14">
        <v>211</v>
      </c>
      <c r="G52" s="26"/>
      <c r="H52" s="16">
        <v>212</v>
      </c>
      <c r="J52" s="14">
        <v>211</v>
      </c>
      <c r="K52" s="26"/>
      <c r="L52" s="16">
        <v>212</v>
      </c>
      <c r="N52" s="14">
        <v>211</v>
      </c>
      <c r="O52" s="26"/>
      <c r="P52" s="16">
        <v>212</v>
      </c>
      <c r="R52" s="14">
        <v>211</v>
      </c>
      <c r="S52" s="26"/>
      <c r="T52" s="16">
        <v>212</v>
      </c>
      <c r="U52" s="29"/>
    </row>
    <row r="53" ht="15.25" spans="1:21">
      <c r="A53" s="27"/>
      <c r="B53" s="20"/>
      <c r="C53" s="20"/>
      <c r="D53" s="20"/>
      <c r="E53" s="20"/>
      <c r="F53" s="20"/>
      <c r="G53" s="20"/>
      <c r="H53" s="20"/>
      <c r="I53" s="20"/>
      <c r="J53" s="20"/>
      <c r="K53" s="20"/>
      <c r="L53" s="20"/>
      <c r="M53" s="20"/>
      <c r="N53" s="20"/>
      <c r="O53" s="20"/>
      <c r="P53" s="20"/>
      <c r="Q53" s="20"/>
      <c r="R53" s="20"/>
      <c r="S53" s="20"/>
      <c r="T53" s="20"/>
      <c r="U53" s="30"/>
    </row>
  </sheetData>
  <mergeCells count="42">
    <mergeCell ref="A2:A25"/>
    <mergeCell ref="A29:A52"/>
    <mergeCell ref="C2:C12"/>
    <mergeCell ref="C15:C25"/>
    <mergeCell ref="C29:C39"/>
    <mergeCell ref="C42:C52"/>
    <mergeCell ref="D7:D8"/>
    <mergeCell ref="D20:D21"/>
    <mergeCell ref="D34:D35"/>
    <mergeCell ref="D47:D48"/>
    <mergeCell ref="G2:G12"/>
    <mergeCell ref="G15:G25"/>
    <mergeCell ref="G29:G39"/>
    <mergeCell ref="G42:G52"/>
    <mergeCell ref="H7:H8"/>
    <mergeCell ref="H20:H21"/>
    <mergeCell ref="H34:H35"/>
    <mergeCell ref="H47:H48"/>
    <mergeCell ref="K2:K12"/>
    <mergeCell ref="K15:K25"/>
    <mergeCell ref="K29:K39"/>
    <mergeCell ref="K42:K52"/>
    <mergeCell ref="L7:L8"/>
    <mergeCell ref="L20:L21"/>
    <mergeCell ref="L34:L35"/>
    <mergeCell ref="L47:L48"/>
    <mergeCell ref="O2:O12"/>
    <mergeCell ref="O15:O25"/>
    <mergeCell ref="O29:O39"/>
    <mergeCell ref="O42:O52"/>
    <mergeCell ref="P7:P8"/>
    <mergeCell ref="P20:P21"/>
    <mergeCell ref="P34:P35"/>
    <mergeCell ref="P47:P48"/>
    <mergeCell ref="S2:S12"/>
    <mergeCell ref="S15:S25"/>
    <mergeCell ref="S29:S39"/>
    <mergeCell ref="S42:S52"/>
    <mergeCell ref="T7:T8"/>
    <mergeCell ref="T20:T21"/>
    <mergeCell ref="T34:T35"/>
    <mergeCell ref="T47:T48"/>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37" master="" otherUserPermission="visible"/>
  <rangeList sheetStid="16" master="" otherUserPermission="visible"/>
  <rangeList sheetStid="20" master="" otherUserPermission="visible"/>
  <rangeList sheetStid="25" master="" otherUserPermission="visible"/>
  <rangeList sheetStid="39" master="" otherUserPermission="visible"/>
  <rangeList sheetStid="38" master="" otherUserPermission="visible"/>
  <rangeList sheetStid="36" master="" otherUserPermission="visible"/>
  <rangeList sheetStid="8" master="" otherUserPermission="visible"/>
  <rangeList sheetStid="26" master="" otherUserPermission="visible"/>
  <rangeList sheetStid="27" master="" otherUserPermission="visible"/>
  <rangeList sheetStid="28" master="" otherUserPermission="visible"/>
  <rangeList sheetStid="29" master="" otherUserPermission="visible"/>
  <rangeList sheetStid="7" master="" otherUserPermission="visible"/>
  <rangeList sheetStid="31" master="" otherUserPermission="visible"/>
  <rangeList sheetStid="33" master="" otherUserPermission="visible"/>
  <rangeList sheetStid="34" master="" otherUserPermission="visible"/>
  <rangeList sheetStid="35" master="" otherUserPermission="visible"/>
  <rangeList sheetStid="21" master="" otherUserPermission="visible"/>
  <rangeList sheetStid="2"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9E4B5CB-D4B8-432A-9347-3065B494E4AC}">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Data Keys</vt:lpstr>
      <vt:lpstr>All</vt:lpstr>
      <vt:lpstr>Notes</vt:lpstr>
      <vt:lpstr>Data</vt:lpstr>
      <vt:lpstr>MEAL CARD</vt:lpstr>
      <vt:lpstr>Sheet2</vt:lpstr>
      <vt:lpstr>Sheet1</vt:lpstr>
      <vt:lpstr>27</vt:lpstr>
      <vt:lpstr>28</vt:lpstr>
      <vt:lpstr>29</vt:lpstr>
      <vt:lpstr>30</vt:lpstr>
      <vt:lpstr>31</vt:lpstr>
      <vt:lpstr>32</vt:lpstr>
      <vt:lpstr>33</vt:lpstr>
      <vt:lpstr>34</vt:lpstr>
      <vt:lpstr>35</vt:lpstr>
      <vt:lpstr>36</vt:lpstr>
      <vt:lpstr>Sort-Keys</vt:lpstr>
      <vt:lpstr>Accommodation buildings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 3</dc:creator>
  <cp:lastModifiedBy>ivajl</cp:lastModifiedBy>
  <dcterms:created xsi:type="dcterms:W3CDTF">2024-07-21T12:05:00Z</dcterms:created>
  <cp:lastPrinted>2025-01-10T06:48:00Z</cp:lastPrinted>
  <dcterms:modified xsi:type="dcterms:W3CDTF">2025-01-14T12:06:22Z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190fa235-5d81-477a-99cc-cd031b19db9a</vt:lpwstr>
  </property>
  <property fmtid="{D5CDD505-2E9C-101B-9397-08002B2CF9AE}" pid="3" name="Klassifikation">
    <vt:lpwstr>IKKE KLASSIFICERET</vt:lpwstr>
  </property>
  <property fmtid="{D5CDD505-2E9C-101B-9397-08002B2CF9AE}" pid="4" name="Maerkning">
    <vt:lpwstr/>
  </property>
  <property fmtid="{D5CDD505-2E9C-101B-9397-08002B2CF9AE}" pid="5" name="ICV">
    <vt:lpwstr>F236B92F4AED4B1AB0CCE335B5C192E4_13</vt:lpwstr>
  </property>
  <property fmtid="{D5CDD505-2E9C-101B-9397-08002B2CF9AE}" pid="6" name="KSOProductBuildVer">
    <vt:lpwstr>2057-12.2.0.18639</vt:lpwstr>
  </property>
</Properties>
</file>